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현재_통합_문서" defaultThemeVersion="166925"/>
  <mc:AlternateContent xmlns:mc="http://schemas.openxmlformats.org/markup-compatibility/2006">
    <mc:Choice Requires="x15">
      <x15ac:absPath xmlns:x15ac="http://schemas.microsoft.com/office/spreadsheetml/2010/11/ac" url="https://cheongyeon-my.sharepoint.com/personal/admin_cheongyeon_onmicrosoft_com/Documents/바탕 화면/프로그램 요청 파일/이체용 프로그램,미수금,미지급금,거래처원장/"/>
    </mc:Choice>
  </mc:AlternateContent>
  <xr:revisionPtr revIDLastSave="59657" documentId="8_{27949971-1900-430B-A479-3485DE8C6CA8}" xr6:coauthVersionLast="47" xr6:coauthVersionMax="47" xr10:uidLastSave="{D37508FE-61CA-4978-84A6-123321843D03}"/>
  <bookViews>
    <workbookView xWindow="28680" yWindow="-120" windowWidth="29040" windowHeight="15840" tabRatio="774" activeTab="5" xr2:uid="{00000000-000D-0000-FFFF-FFFF00000000}"/>
  </bookViews>
  <sheets>
    <sheet name="입력폼" sheetId="13" r:id="rId1"/>
    <sheet name="조회(매출,매입거래장)" sheetId="11" r:id="rId2"/>
    <sheet name="전체 조회" sheetId="9" r:id="rId3"/>
    <sheet name="현장별 원가계산" sheetId="1" state="hidden" r:id="rId4"/>
    <sheet name="DB" sheetId="10" r:id="rId5"/>
    <sheet name="사용설명서(이건 안만들어 주셔도 됩니다)" sheetId="25" r:id="rId6"/>
    <sheet name="계산" sheetId="15" state="hidden" r:id="rId7"/>
  </sheets>
  <definedNames>
    <definedName name="_xlnm._FilterDatabase" localSheetId="4" hidden="1">DB!$A$1:$N$1000000</definedName>
    <definedName name="_xlnm._FilterDatabase" localSheetId="6" hidden="1">계산!$AA$1:$AM$1000000</definedName>
    <definedName name="_xlnm._FilterDatabase" localSheetId="5" hidden="1">'사용설명서(이건 안만들어 주셔도 됩니다)'!$A$9:$L$78</definedName>
    <definedName name="_xlnm._FilterDatabase" localSheetId="2" hidden="1">'전체 조회'!$A$9:$Q$55</definedName>
    <definedName name="_xlnm._FilterDatabase" localSheetId="1" hidden="1">'조회(매출,매입거래장)'!$A$12:$S$83</definedName>
    <definedName name="_xlnm.Criteria" localSheetId="6">계산!$S$1:$S$2</definedName>
    <definedName name="_xlnm.Extract" localSheetId="6">계산!$DA$1:$DM$1</definedName>
    <definedName name="_xlnm.Print_Area" localSheetId="5">'사용설명서(이건 안만들어 주셔도 됩니다)'!$A$1:$L$78</definedName>
    <definedName name="_xlnm.Print_Area" localSheetId="2">'전체 조회'!$A$1:$L$38</definedName>
    <definedName name="_xlnm.Print_Area" localSheetId="1">'조회(매출,매입거래장)'!$A$1:$H$23</definedName>
    <definedName name="_xlnm.Print_Area" localSheetId="3">'현장별 원가계산'!#REF!</definedName>
    <definedName name="_xlnm.Print_Titles" localSheetId="5">'사용설명서(이건 안만들어 주셔도 됩니다)'!$1:$9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H2" i="15" l="1"/>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95"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2" i="15"/>
  <c r="AH123" i="15"/>
  <c r="AH124" i="15"/>
  <c r="AH125" i="15"/>
  <c r="AH126" i="15"/>
  <c r="AH127" i="15"/>
  <c r="AH128" i="15"/>
  <c r="AH129" i="15"/>
  <c r="AH130" i="15"/>
  <c r="AH131" i="15"/>
  <c r="AH132" i="15"/>
  <c r="AH133" i="15"/>
  <c r="AH134" i="15"/>
  <c r="AH135" i="15"/>
  <c r="AH136" i="15"/>
  <c r="AH137" i="15"/>
  <c r="AH138" i="15"/>
  <c r="AH139" i="15"/>
  <c r="AH140" i="15"/>
  <c r="AH141" i="15"/>
  <c r="AH142" i="15"/>
  <c r="AH143" i="15"/>
  <c r="AH144" i="15"/>
  <c r="AH145" i="15"/>
  <c r="AH146" i="15"/>
  <c r="AH147" i="15"/>
  <c r="AH148" i="15"/>
  <c r="AH149" i="15"/>
  <c r="AH150" i="15"/>
  <c r="AH151" i="15"/>
  <c r="AH152" i="15"/>
  <c r="AH153" i="15"/>
  <c r="AH154" i="15"/>
  <c r="AH155" i="15"/>
  <c r="AH156" i="15"/>
  <c r="AH157" i="15"/>
  <c r="AH158" i="15"/>
  <c r="AH159" i="15"/>
  <c r="AH160" i="15"/>
  <c r="AH161" i="15"/>
  <c r="AH162" i="15"/>
  <c r="AH163" i="15"/>
  <c r="AH164" i="15"/>
  <c r="AH165" i="15"/>
  <c r="AH166" i="15"/>
  <c r="AH167" i="15"/>
  <c r="AH168" i="15"/>
  <c r="AH169" i="15"/>
  <c r="AH170" i="15"/>
  <c r="AH171" i="15"/>
  <c r="AH172" i="15"/>
  <c r="AH173" i="15"/>
  <c r="AH174" i="15"/>
  <c r="AH175" i="15"/>
  <c r="AH176" i="15"/>
  <c r="AH177" i="15"/>
  <c r="AH178" i="15"/>
  <c r="AH179" i="15"/>
  <c r="AH180" i="15"/>
  <c r="AH181" i="15"/>
  <c r="AH182" i="15"/>
  <c r="AH183" i="15"/>
  <c r="AH184" i="15"/>
  <c r="AH185" i="15"/>
  <c r="AH186" i="15"/>
  <c r="AH187" i="15"/>
  <c r="AH188" i="15"/>
  <c r="AH189" i="15"/>
  <c r="AH190" i="15"/>
  <c r="AH191" i="15"/>
  <c r="AH192" i="15"/>
  <c r="AH193" i="15"/>
  <c r="AH194" i="15"/>
  <c r="AH195" i="15"/>
  <c r="AH196" i="15"/>
  <c r="AH197" i="15"/>
  <c r="AH198" i="15"/>
  <c r="AH199" i="15"/>
  <c r="AH200" i="15"/>
  <c r="AH201" i="15"/>
  <c r="AH202" i="15"/>
  <c r="AH203" i="15"/>
  <c r="AH204" i="15"/>
  <c r="AH205" i="15"/>
  <c r="AH206" i="15"/>
  <c r="AH207" i="15"/>
  <c r="AH208" i="15"/>
  <c r="AH209" i="15"/>
  <c r="AH210" i="15"/>
  <c r="AH211" i="15"/>
  <c r="AH212" i="15"/>
  <c r="AH213" i="15"/>
  <c r="AH214" i="15"/>
  <c r="AH215" i="15"/>
  <c r="AH216" i="15"/>
  <c r="AH217" i="15"/>
  <c r="AH218" i="15"/>
  <c r="AH219" i="15"/>
  <c r="AH220" i="15"/>
  <c r="AH221" i="15"/>
  <c r="AH222" i="15"/>
  <c r="AH223" i="15"/>
  <c r="AH224" i="15"/>
  <c r="AH225" i="15"/>
  <c r="AH226" i="15"/>
  <c r="AH227" i="15"/>
  <c r="AH228" i="15"/>
  <c r="AH229" i="15"/>
  <c r="AH230" i="15"/>
  <c r="AH231" i="15"/>
  <c r="AH232" i="15"/>
  <c r="AH233" i="15"/>
  <c r="AH234" i="15"/>
  <c r="AH235" i="15"/>
  <c r="AH236" i="15"/>
  <c r="AH237" i="15"/>
  <c r="AH238" i="15"/>
  <c r="AH239" i="15"/>
  <c r="AH240" i="15"/>
  <c r="AH241" i="15"/>
  <c r="AH242" i="15"/>
  <c r="AH243" i="15"/>
  <c r="AH244" i="15"/>
  <c r="AH245" i="15"/>
  <c r="AH246" i="15"/>
  <c r="AH247" i="15"/>
  <c r="AH248" i="15"/>
  <c r="AH249" i="15"/>
  <c r="AH250" i="15"/>
  <c r="AH251" i="15"/>
  <c r="AH252" i="15"/>
  <c r="AH253" i="15"/>
  <c r="AH254" i="15"/>
  <c r="AH255" i="15"/>
  <c r="AH256" i="15"/>
  <c r="AH257" i="15"/>
  <c r="AH258" i="15"/>
  <c r="AH259" i="15"/>
  <c r="AH260" i="15"/>
  <c r="AH261" i="15"/>
  <c r="AH262" i="15"/>
  <c r="AH263" i="15"/>
  <c r="AH264" i="15"/>
  <c r="AH265" i="15"/>
  <c r="AH266" i="15"/>
  <c r="AH267" i="15"/>
  <c r="AH268" i="15"/>
  <c r="AH269" i="15"/>
  <c r="AH270" i="15"/>
  <c r="AH271" i="15"/>
  <c r="AH272" i="15"/>
  <c r="AH273" i="15"/>
  <c r="AH274" i="15"/>
  <c r="AH275" i="15"/>
  <c r="AH276" i="15"/>
  <c r="AH277" i="15"/>
  <c r="AH278" i="15"/>
  <c r="AH279" i="15"/>
  <c r="AH280" i="15"/>
  <c r="AH281" i="15"/>
  <c r="AH282" i="15"/>
  <c r="AH283" i="15"/>
  <c r="AH284" i="15"/>
  <c r="AH285" i="15"/>
  <c r="AH286" i="15"/>
  <c r="AH287" i="15"/>
  <c r="AH288" i="15"/>
  <c r="AH289" i="15"/>
  <c r="AH290" i="15"/>
  <c r="AH291" i="15"/>
  <c r="AH292" i="15"/>
  <c r="AH293" i="15"/>
  <c r="AH294" i="15"/>
  <c r="AH295" i="15"/>
  <c r="AH296" i="15"/>
  <c r="AH297" i="15"/>
  <c r="AH298" i="15"/>
  <c r="AH299" i="15"/>
  <c r="AH300" i="15"/>
  <c r="AH301" i="15"/>
  <c r="AH302" i="15"/>
  <c r="AH303" i="15"/>
  <c r="AH304" i="15"/>
  <c r="AH305" i="15"/>
  <c r="AH306" i="15"/>
  <c r="AH307" i="15"/>
  <c r="AH308" i="15"/>
  <c r="AH309" i="15"/>
  <c r="AH310" i="15"/>
  <c r="AH311" i="15"/>
  <c r="AH312" i="15"/>
  <c r="AH313" i="15"/>
  <c r="AH314" i="15"/>
  <c r="AH315" i="15"/>
  <c r="AH316" i="15"/>
  <c r="AH317" i="15"/>
  <c r="AH318" i="15"/>
  <c r="AH319" i="15"/>
  <c r="AH320" i="15"/>
  <c r="AH321" i="15"/>
  <c r="AH322" i="15"/>
  <c r="AH323" i="15"/>
  <c r="AH324" i="15"/>
  <c r="AH325" i="15"/>
  <c r="AH326" i="15"/>
  <c r="AH327" i="15"/>
  <c r="AH328" i="15"/>
  <c r="F78" i="25"/>
  <c r="G78" i="25"/>
  <c r="H78" i="25"/>
  <c r="I78" i="25"/>
  <c r="J78" i="25"/>
  <c r="E78" i="25"/>
  <c r="H7" i="13" l="1"/>
  <c r="I7" i="13" s="1"/>
  <c r="K7" i="13"/>
  <c r="N7" i="13"/>
  <c r="H8" i="13"/>
  <c r="I8" i="13" s="1"/>
  <c r="K8" i="13"/>
  <c r="N8" i="13"/>
  <c r="H9" i="13"/>
  <c r="I9" i="13" s="1"/>
  <c r="K9" i="13"/>
  <c r="N9" i="13"/>
  <c r="H10" i="13"/>
  <c r="I10" i="13" s="1"/>
  <c r="K10" i="13"/>
  <c r="N10" i="13"/>
  <c r="H11" i="13"/>
  <c r="I11" i="13" s="1"/>
  <c r="K11" i="13"/>
  <c r="N11" i="13"/>
  <c r="H12" i="13"/>
  <c r="I12" i="13" s="1"/>
  <c r="K12" i="13"/>
  <c r="N12" i="13"/>
  <c r="H13" i="13"/>
  <c r="I13" i="13" s="1"/>
  <c r="K13" i="13"/>
  <c r="N13" i="13"/>
  <c r="H14" i="13"/>
  <c r="I14" i="13" s="1"/>
  <c r="K14" i="13"/>
  <c r="N14" i="13"/>
  <c r="H15" i="13"/>
  <c r="I15" i="13" s="1"/>
  <c r="K15" i="13"/>
  <c r="N15" i="13"/>
  <c r="H16" i="13"/>
  <c r="I16" i="13" s="1"/>
  <c r="K16" i="13"/>
  <c r="N16" i="13"/>
  <c r="H17" i="13"/>
  <c r="I17" i="13" s="1"/>
  <c r="K17" i="13"/>
  <c r="N17" i="13"/>
  <c r="H18" i="13"/>
  <c r="I18" i="13" s="1"/>
  <c r="K18" i="13"/>
  <c r="N18" i="13"/>
  <c r="H19" i="13"/>
  <c r="I19" i="13" s="1"/>
  <c r="K19" i="13"/>
  <c r="N19" i="13"/>
  <c r="H20" i="13"/>
  <c r="I20" i="13" s="1"/>
  <c r="K20" i="13"/>
  <c r="N20" i="13"/>
  <c r="H21" i="13"/>
  <c r="I21" i="13" s="1"/>
  <c r="K21" i="13"/>
  <c r="N21" i="13"/>
  <c r="H22" i="13"/>
  <c r="I22" i="13" s="1"/>
  <c r="K22" i="13"/>
  <c r="N22" i="13"/>
  <c r="H23" i="13"/>
  <c r="I23" i="13" s="1"/>
  <c r="K23" i="13"/>
  <c r="N23" i="13"/>
  <c r="H24" i="13"/>
  <c r="I24" i="13" s="1"/>
  <c r="K24" i="13"/>
  <c r="N24" i="13"/>
  <c r="H25" i="13"/>
  <c r="I25" i="13" s="1"/>
  <c r="K25" i="13"/>
  <c r="N25" i="13"/>
  <c r="H26" i="13"/>
  <c r="I26" i="13" s="1"/>
  <c r="K26" i="13"/>
  <c r="N26" i="13"/>
  <c r="H27" i="13"/>
  <c r="I27" i="13" s="1"/>
  <c r="K27" i="13"/>
  <c r="N27" i="13"/>
  <c r="H28" i="13"/>
  <c r="I28" i="13" s="1"/>
  <c r="K28" i="13"/>
  <c r="N28" i="13"/>
  <c r="H29" i="13"/>
  <c r="I29" i="13" s="1"/>
  <c r="K29" i="13"/>
  <c r="N29" i="13"/>
  <c r="H30" i="13"/>
  <c r="I30" i="13" s="1"/>
  <c r="K30" i="13"/>
  <c r="N30" i="13"/>
  <c r="H31" i="13"/>
  <c r="I31" i="13"/>
  <c r="K31" i="13"/>
  <c r="N31" i="13"/>
  <c r="H32" i="13"/>
  <c r="I32" i="13" s="1"/>
  <c r="K32" i="13"/>
  <c r="N32" i="13"/>
  <c r="H33" i="13"/>
  <c r="I33" i="13" s="1"/>
  <c r="K33" i="13"/>
  <c r="N33" i="13"/>
  <c r="H34" i="13"/>
  <c r="I34" i="13" s="1"/>
  <c r="K34" i="13"/>
  <c r="N34" i="13"/>
  <c r="H35" i="13"/>
  <c r="I35" i="13" s="1"/>
  <c r="K35" i="13"/>
  <c r="N35" i="13"/>
  <c r="H36" i="13"/>
  <c r="I36" i="13" s="1"/>
  <c r="K36" i="13"/>
  <c r="N36" i="13"/>
  <c r="H37" i="13"/>
  <c r="I37" i="13" s="1"/>
  <c r="K37" i="13"/>
  <c r="N37" i="13"/>
  <c r="H38" i="13"/>
  <c r="I38" i="13" s="1"/>
  <c r="K38" i="13"/>
  <c r="N38" i="13"/>
  <c r="F12" i="1" l="1"/>
  <c r="F13" i="1"/>
  <c r="F14" i="1"/>
  <c r="F15" i="1"/>
  <c r="F16" i="1"/>
  <c r="F17" i="1"/>
  <c r="F18" i="1"/>
  <c r="F19" i="1"/>
  <c r="F20" i="1"/>
  <c r="F21" i="1"/>
  <c r="F22" i="1"/>
  <c r="F23" i="1"/>
  <c r="F24" i="1"/>
  <c r="K41" i="13" l="1"/>
  <c r="F25" i="1" l="1"/>
  <c r="Y2" i="15" l="1"/>
  <c r="H9" i="1" l="1"/>
  <c r="B9" i="1"/>
  <c r="S2" i="15"/>
  <c r="X2" i="15"/>
  <c r="F26" i="1" l="1"/>
  <c r="F27" i="1"/>
  <c r="F28" i="1"/>
  <c r="F29" i="1"/>
  <c r="F30" i="1"/>
  <c r="F31" i="1"/>
  <c r="F32" i="1"/>
  <c r="F33" i="1"/>
  <c r="F34" i="1"/>
  <c r="F35" i="1"/>
  <c r="F36" i="1"/>
  <c r="F37" i="1"/>
  <c r="F38" i="1"/>
  <c r="F39" i="1"/>
  <c r="F40" i="1"/>
  <c r="F41" i="1"/>
  <c r="F42" i="1"/>
  <c r="F43" i="1"/>
  <c r="F44" i="1"/>
  <c r="F45" i="1"/>
  <c r="F46" i="1"/>
  <c r="F47" i="1"/>
  <c r="F48" i="1"/>
  <c r="F49" i="1"/>
  <c r="F50" i="1"/>
  <c r="BT4" i="15"/>
  <c r="BZ4" i="15"/>
  <c r="BX4" i="15"/>
  <c r="BW4" i="15"/>
  <c r="BV4" i="15"/>
  <c r="BU4" i="15"/>
  <c r="BZ2" i="15"/>
  <c r="BS2" i="15"/>
  <c r="BU2" i="15"/>
  <c r="BX2" i="15"/>
  <c r="BW2" i="15"/>
  <c r="BV2" i="15"/>
  <c r="V2" i="15" l="1"/>
  <c r="W2" i="15"/>
  <c r="U2" i="15"/>
  <c r="T2" i="15"/>
  <c r="F2" i="15" l="1"/>
  <c r="E2" i="15"/>
  <c r="D2" i="15"/>
  <c r="C2" i="15"/>
  <c r="B2" i="15"/>
  <c r="A2" i="15"/>
  <c r="H39" i="13" l="1"/>
  <c r="I39" i="13" s="1"/>
  <c r="K39" i="13"/>
  <c r="N39" i="13"/>
  <c r="H40" i="13"/>
  <c r="I40" i="13" s="1"/>
  <c r="K40" i="13"/>
  <c r="N40" i="13"/>
  <c r="H41" i="13"/>
  <c r="I41" i="13" s="1"/>
  <c r="N41" i="13"/>
  <c r="H42" i="13"/>
  <c r="I42" i="13" s="1"/>
  <c r="K42" i="13"/>
  <c r="N42" i="13"/>
  <c r="H43" i="13"/>
  <c r="I43" i="13" s="1"/>
  <c r="K43" i="13"/>
  <c r="N43" i="13"/>
  <c r="H44" i="13"/>
  <c r="I44" i="13" s="1"/>
  <c r="K44" i="13"/>
  <c r="N44" i="13"/>
  <c r="H45" i="13"/>
  <c r="I45" i="13" s="1"/>
  <c r="K45" i="13"/>
  <c r="N45" i="13"/>
  <c r="H46" i="13"/>
  <c r="I46" i="13" s="1"/>
  <c r="K46" i="13"/>
  <c r="N46" i="13"/>
  <c r="H47" i="13"/>
  <c r="I47" i="13" s="1"/>
  <c r="K47" i="13"/>
  <c r="N47" i="13"/>
  <c r="H48" i="13"/>
  <c r="I48" i="13" s="1"/>
  <c r="K48" i="13"/>
  <c r="N48" i="13"/>
  <c r="H49" i="13"/>
  <c r="I49" i="13" s="1"/>
  <c r="K49" i="13"/>
  <c r="N49" i="13"/>
  <c r="H50" i="13"/>
  <c r="I50" i="13" s="1"/>
  <c r="K50" i="13"/>
  <c r="N50" i="13"/>
  <c r="H51" i="13"/>
  <c r="I51" i="13" s="1"/>
  <c r="K51" i="13"/>
  <c r="N51" i="13"/>
  <c r="H52" i="13"/>
  <c r="I52" i="13" s="1"/>
  <c r="K52" i="13"/>
  <c r="N52" i="13"/>
  <c r="H53" i="13"/>
  <c r="I53" i="13" s="1"/>
  <c r="K53" i="13"/>
  <c r="N53" i="13"/>
  <c r="H54" i="13"/>
  <c r="I54" i="13" s="1"/>
  <c r="K54" i="13"/>
  <c r="N54" i="13"/>
  <c r="H55" i="13"/>
  <c r="I55" i="13"/>
  <c r="K55" i="13"/>
  <c r="N55" i="13"/>
  <c r="H56" i="13"/>
  <c r="I56" i="13" s="1"/>
  <c r="K56" i="13"/>
  <c r="N56" i="13"/>
  <c r="H57" i="13"/>
  <c r="I57" i="13" s="1"/>
  <c r="K57" i="13"/>
  <c r="N57" i="13"/>
  <c r="H58" i="13"/>
  <c r="I58" i="13"/>
  <c r="K58" i="13"/>
  <c r="N58" i="13"/>
  <c r="H59" i="13"/>
  <c r="I59" i="13"/>
  <c r="K59" i="13"/>
  <c r="N59" i="13"/>
  <c r="H60" i="13"/>
  <c r="I60" i="13"/>
  <c r="K60" i="13"/>
  <c r="N60" i="13"/>
  <c r="H61" i="13"/>
  <c r="I61" i="13" s="1"/>
  <c r="K61" i="13"/>
  <c r="N61" i="13"/>
  <c r="H62" i="13"/>
  <c r="I62" i="13" s="1"/>
  <c r="K62" i="13"/>
  <c r="N62" i="13"/>
  <c r="H63" i="13"/>
  <c r="I63" i="13"/>
  <c r="K63" i="13"/>
  <c r="N63" i="13"/>
  <c r="H64" i="13"/>
  <c r="I64" i="13"/>
  <c r="K64" i="13"/>
  <c r="N64" i="13"/>
  <c r="H65" i="13"/>
  <c r="I65" i="13"/>
  <c r="K65" i="13"/>
  <c r="N65" i="13"/>
  <c r="H66" i="13"/>
  <c r="I66" i="13"/>
  <c r="K66" i="13"/>
  <c r="N66" i="13"/>
  <c r="H67" i="13"/>
  <c r="I67" i="13"/>
  <c r="K67" i="13"/>
  <c r="N67" i="13"/>
  <c r="H68" i="13"/>
  <c r="I68" i="13"/>
  <c r="K68" i="13"/>
  <c r="N68" i="13"/>
  <c r="H69" i="13"/>
  <c r="I69" i="13"/>
  <c r="K69" i="13"/>
  <c r="N69" i="13"/>
  <c r="H70" i="13"/>
  <c r="I70" i="13"/>
  <c r="K70" i="13"/>
  <c r="N70" i="13"/>
  <c r="H71" i="13"/>
  <c r="I71" i="13"/>
  <c r="K71" i="13"/>
  <c r="N71" i="13"/>
  <c r="H72" i="13"/>
  <c r="I72" i="13"/>
  <c r="K72" i="13"/>
  <c r="N72" i="13"/>
  <c r="H73" i="13"/>
  <c r="I73" i="13"/>
  <c r="K73" i="13"/>
  <c r="N73" i="13"/>
  <c r="H74" i="13"/>
  <c r="I74" i="13"/>
  <c r="K74" i="13"/>
  <c r="N74" i="13"/>
  <c r="H75" i="13"/>
  <c r="I75" i="13"/>
  <c r="K75" i="13"/>
  <c r="N75" i="13"/>
  <c r="H76" i="13"/>
  <c r="I76" i="13"/>
  <c r="K76" i="13"/>
  <c r="N76" i="13"/>
  <c r="H77" i="13"/>
  <c r="I77" i="13"/>
  <c r="K77" i="13"/>
  <c r="N77" i="13"/>
  <c r="H78" i="13"/>
  <c r="I78" i="13"/>
  <c r="K78" i="13"/>
  <c r="N78" i="13"/>
  <c r="H79" i="13"/>
  <c r="I79" i="13"/>
  <c r="K79" i="13"/>
  <c r="N79" i="13"/>
  <c r="H80" i="13"/>
  <c r="I80" i="13"/>
  <c r="K80" i="13"/>
  <c r="N80" i="13"/>
  <c r="H81" i="13"/>
  <c r="I81" i="13"/>
  <c r="K81" i="13"/>
  <c r="N81" i="13"/>
  <c r="H82" i="13"/>
  <c r="I82" i="13"/>
  <c r="K82" i="13"/>
  <c r="N82" i="13"/>
  <c r="H83" i="13"/>
  <c r="I83" i="13"/>
  <c r="K83" i="13"/>
  <c r="N83" i="13"/>
  <c r="H84" i="13"/>
  <c r="I84" i="13"/>
  <c r="K84" i="13"/>
  <c r="N84" i="13"/>
  <c r="H85" i="13"/>
  <c r="I85" i="13"/>
  <c r="K85" i="13"/>
  <c r="N85" i="13"/>
  <c r="H86" i="13"/>
  <c r="I86" i="13"/>
  <c r="K86" i="13"/>
  <c r="N86" i="13"/>
  <c r="H87" i="13"/>
  <c r="I87" i="13"/>
  <c r="K87" i="13"/>
  <c r="N87" i="13"/>
  <c r="H88" i="13"/>
  <c r="I88" i="13"/>
  <c r="K88" i="13"/>
  <c r="N88" i="13"/>
  <c r="H89" i="13"/>
  <c r="I89" i="13"/>
  <c r="K89" i="13"/>
  <c r="N89" i="13"/>
  <c r="H90" i="13"/>
  <c r="I90" i="13"/>
  <c r="K90" i="13"/>
  <c r="N90" i="13"/>
  <c r="H91" i="13"/>
  <c r="I91" i="13"/>
  <c r="K91" i="13"/>
  <c r="N91" i="13"/>
  <c r="H92" i="13"/>
  <c r="I92" i="13"/>
  <c r="K92" i="13"/>
  <c r="N92" i="13"/>
  <c r="H93" i="13"/>
  <c r="I93" i="13"/>
  <c r="K93" i="13"/>
  <c r="N93" i="13"/>
  <c r="H94" i="13"/>
  <c r="I94" i="13"/>
  <c r="K94" i="13"/>
  <c r="N94" i="13"/>
  <c r="H95" i="13"/>
  <c r="I95" i="13"/>
  <c r="K95" i="13"/>
  <c r="N95" i="13"/>
  <c r="H96" i="13"/>
  <c r="I96" i="13"/>
  <c r="K96" i="13"/>
  <c r="N96" i="13"/>
  <c r="H97" i="13"/>
  <c r="I97" i="13"/>
  <c r="K97" i="13"/>
  <c r="N97" i="13"/>
  <c r="H98" i="13"/>
  <c r="I98" i="13"/>
  <c r="K98" i="13"/>
  <c r="N98" i="13"/>
  <c r="H99" i="13"/>
  <c r="I99" i="13"/>
  <c r="K99" i="13"/>
  <c r="N99" i="13"/>
  <c r="H100" i="13"/>
  <c r="I100" i="13"/>
  <c r="K100" i="13"/>
  <c r="N100" i="13"/>
  <c r="A10" i="11" l="1"/>
  <c r="E10" i="1" l="1"/>
  <c r="P7" i="1" s="1"/>
  <c r="J10" i="1" l="1"/>
  <c r="N7" i="1" s="1"/>
  <c r="D10" i="1"/>
  <c r="M7" i="1" s="1"/>
  <c r="F10" i="1" l="1"/>
  <c r="O7" i="1"/>
  <c r="Q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hi</author>
  </authors>
  <commentList>
    <comment ref="B3" authorId="0" shapeId="0" xr:uid="{00000000-0006-0000-0200-000001000000}">
      <text>
        <r>
          <rPr>
            <b/>
            <sz val="9"/>
            <color indexed="81"/>
            <rFont val="돋움"/>
            <family val="3"/>
            <charset val="129"/>
          </rPr>
          <t>연도</t>
        </r>
        <r>
          <rPr>
            <b/>
            <sz val="9"/>
            <color indexed="81"/>
            <rFont val="Tahoma"/>
            <family val="2"/>
          </rPr>
          <t>/</t>
        </r>
        <r>
          <rPr>
            <b/>
            <sz val="9"/>
            <color indexed="81"/>
            <rFont val="돋움"/>
            <family val="3"/>
            <charset val="129"/>
          </rPr>
          <t>월</t>
        </r>
        <r>
          <rPr>
            <b/>
            <sz val="9"/>
            <color indexed="81"/>
            <rFont val="Tahoma"/>
            <family val="2"/>
          </rPr>
          <t xml:space="preserve"> </t>
        </r>
        <r>
          <rPr>
            <b/>
            <sz val="9"/>
            <color indexed="81"/>
            <rFont val="돋움"/>
            <family val="3"/>
            <charset val="129"/>
          </rPr>
          <t>분리해서</t>
        </r>
        <r>
          <rPr>
            <b/>
            <sz val="9"/>
            <color indexed="81"/>
            <rFont val="Tahoma"/>
            <family val="2"/>
          </rPr>
          <t xml:space="preserve"> </t>
        </r>
        <r>
          <rPr>
            <b/>
            <sz val="9"/>
            <color indexed="81"/>
            <rFont val="돋움"/>
            <family val="3"/>
            <charset val="129"/>
          </rPr>
          <t xml:space="preserve">검색
</t>
        </r>
        <r>
          <rPr>
            <b/>
            <sz val="9"/>
            <color indexed="81"/>
            <rFont val="Tahoma"/>
            <family val="2"/>
          </rPr>
          <t>DB</t>
        </r>
        <r>
          <rPr>
            <b/>
            <sz val="9"/>
            <color indexed="81"/>
            <rFont val="돋움"/>
            <family val="3"/>
            <charset val="129"/>
          </rPr>
          <t>상의</t>
        </r>
        <r>
          <rPr>
            <b/>
            <sz val="9"/>
            <color indexed="81"/>
            <rFont val="Tahoma"/>
            <family val="2"/>
          </rPr>
          <t xml:space="preserve"> </t>
        </r>
        <r>
          <rPr>
            <b/>
            <sz val="9"/>
            <color indexed="81"/>
            <rFont val="돋움"/>
            <family val="3"/>
            <charset val="129"/>
          </rPr>
          <t>적용연도</t>
        </r>
        <r>
          <rPr>
            <b/>
            <sz val="9"/>
            <color indexed="81"/>
            <rFont val="Tahoma"/>
            <family val="2"/>
          </rPr>
          <t xml:space="preserve"> </t>
        </r>
        <r>
          <rPr>
            <b/>
            <sz val="9"/>
            <color indexed="81"/>
            <rFont val="돋움"/>
            <family val="3"/>
            <charset val="129"/>
          </rPr>
          <t>적용월</t>
        </r>
        <r>
          <rPr>
            <b/>
            <sz val="9"/>
            <color indexed="81"/>
            <rFont val="Tahoma"/>
            <family val="2"/>
          </rPr>
          <t xml:space="preserve"> </t>
        </r>
        <r>
          <rPr>
            <b/>
            <sz val="9"/>
            <color indexed="81"/>
            <rFont val="돋움"/>
            <family val="3"/>
            <charset val="129"/>
          </rPr>
          <t>기준으로</t>
        </r>
        <r>
          <rPr>
            <b/>
            <sz val="9"/>
            <color indexed="81"/>
            <rFont val="Tahoma"/>
            <family val="2"/>
          </rPr>
          <t xml:space="preserve"> </t>
        </r>
        <r>
          <rPr>
            <b/>
            <sz val="9"/>
            <color indexed="81"/>
            <rFont val="돋움"/>
            <family val="3"/>
            <charset val="129"/>
          </rPr>
          <t>검색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hi</author>
  </authors>
  <commentList>
    <comment ref="B3" authorId="0" shapeId="0" xr:uid="{B38E75A3-FB13-421A-9A43-D6299B47D396}">
      <text>
        <r>
          <rPr>
            <b/>
            <sz val="9"/>
            <color indexed="81"/>
            <rFont val="돋움"/>
            <family val="3"/>
            <charset val="129"/>
          </rPr>
          <t>연도</t>
        </r>
        <r>
          <rPr>
            <b/>
            <sz val="9"/>
            <color indexed="81"/>
            <rFont val="Tahoma"/>
            <family val="2"/>
          </rPr>
          <t>/</t>
        </r>
        <r>
          <rPr>
            <b/>
            <sz val="9"/>
            <color indexed="81"/>
            <rFont val="돋움"/>
            <family val="3"/>
            <charset val="129"/>
          </rPr>
          <t>월</t>
        </r>
        <r>
          <rPr>
            <b/>
            <sz val="9"/>
            <color indexed="81"/>
            <rFont val="Tahoma"/>
            <family val="2"/>
          </rPr>
          <t xml:space="preserve"> </t>
        </r>
        <r>
          <rPr>
            <b/>
            <sz val="9"/>
            <color indexed="81"/>
            <rFont val="돋움"/>
            <family val="3"/>
            <charset val="129"/>
          </rPr>
          <t>분리해서</t>
        </r>
        <r>
          <rPr>
            <b/>
            <sz val="9"/>
            <color indexed="81"/>
            <rFont val="Tahoma"/>
            <family val="2"/>
          </rPr>
          <t xml:space="preserve"> </t>
        </r>
        <r>
          <rPr>
            <b/>
            <sz val="9"/>
            <color indexed="81"/>
            <rFont val="돋움"/>
            <family val="3"/>
            <charset val="129"/>
          </rPr>
          <t xml:space="preserve">검색
</t>
        </r>
        <r>
          <rPr>
            <b/>
            <sz val="9"/>
            <color indexed="81"/>
            <rFont val="Tahoma"/>
            <family val="2"/>
          </rPr>
          <t>DB</t>
        </r>
        <r>
          <rPr>
            <b/>
            <sz val="9"/>
            <color indexed="81"/>
            <rFont val="돋움"/>
            <family val="3"/>
            <charset val="129"/>
          </rPr>
          <t>상의</t>
        </r>
        <r>
          <rPr>
            <b/>
            <sz val="9"/>
            <color indexed="81"/>
            <rFont val="Tahoma"/>
            <family val="2"/>
          </rPr>
          <t xml:space="preserve"> </t>
        </r>
        <r>
          <rPr>
            <b/>
            <sz val="9"/>
            <color indexed="81"/>
            <rFont val="돋움"/>
            <family val="3"/>
            <charset val="129"/>
          </rPr>
          <t>적용연도</t>
        </r>
        <r>
          <rPr>
            <b/>
            <sz val="9"/>
            <color indexed="81"/>
            <rFont val="Tahoma"/>
            <family val="2"/>
          </rPr>
          <t xml:space="preserve"> </t>
        </r>
        <r>
          <rPr>
            <b/>
            <sz val="9"/>
            <color indexed="81"/>
            <rFont val="돋움"/>
            <family val="3"/>
            <charset val="129"/>
          </rPr>
          <t>적용월</t>
        </r>
        <r>
          <rPr>
            <b/>
            <sz val="9"/>
            <color indexed="81"/>
            <rFont val="Tahoma"/>
            <family val="2"/>
          </rPr>
          <t xml:space="preserve"> </t>
        </r>
        <r>
          <rPr>
            <b/>
            <sz val="9"/>
            <color indexed="81"/>
            <rFont val="돋움"/>
            <family val="3"/>
            <charset val="129"/>
          </rPr>
          <t>기준으로</t>
        </r>
        <r>
          <rPr>
            <b/>
            <sz val="9"/>
            <color indexed="81"/>
            <rFont val="Tahoma"/>
            <family val="2"/>
          </rPr>
          <t xml:space="preserve"> </t>
        </r>
        <r>
          <rPr>
            <b/>
            <sz val="9"/>
            <color indexed="81"/>
            <rFont val="돋움"/>
            <family val="3"/>
            <charset val="129"/>
          </rPr>
          <t>검색</t>
        </r>
      </text>
    </comment>
  </commentList>
</comments>
</file>

<file path=xl/sharedStrings.xml><?xml version="1.0" encoding="utf-8"?>
<sst xmlns="http://schemas.openxmlformats.org/spreadsheetml/2006/main" count="41018" uniqueCount="3228">
  <si>
    <t>날 짜</t>
    <phoneticPr fontId="2" type="noConversion"/>
  </si>
  <si>
    <t>합  계</t>
    <phoneticPr fontId="2" type="noConversion"/>
  </si>
  <si>
    <t>공급가액</t>
  </si>
  <si>
    <t>공급가액</t>
    <phoneticPr fontId="2" type="noConversion"/>
  </si>
  <si>
    <t>현장명</t>
  </si>
  <si>
    <t>비 고</t>
  </si>
  <si>
    <t>세 액</t>
  </si>
  <si>
    <t>내   용</t>
    <phoneticPr fontId="2" type="noConversion"/>
  </si>
  <si>
    <t>현장명</t>
    <phoneticPr fontId="2" type="noConversion"/>
  </si>
  <si>
    <t>현장명</t>
    <phoneticPr fontId="2" type="noConversion"/>
  </si>
  <si>
    <t>거래처</t>
    <phoneticPr fontId="2" type="noConversion"/>
  </si>
  <si>
    <t>입금금액</t>
    <phoneticPr fontId="2" type="noConversion"/>
  </si>
  <si>
    <t>구분</t>
    <phoneticPr fontId="2" type="noConversion"/>
  </si>
  <si>
    <t>내용</t>
    <phoneticPr fontId="2" type="noConversion"/>
  </si>
  <si>
    <t>입금금액</t>
    <phoneticPr fontId="2" type="noConversion"/>
  </si>
  <si>
    <t>부가세</t>
    <phoneticPr fontId="2" type="noConversion"/>
  </si>
  <si>
    <t>합계</t>
    <phoneticPr fontId="2" type="noConversion"/>
  </si>
  <si>
    <t>공수</t>
    <phoneticPr fontId="2" type="noConversion"/>
  </si>
  <si>
    <t>매출</t>
    <phoneticPr fontId="2" type="noConversion"/>
  </si>
  <si>
    <t>매입</t>
    <phoneticPr fontId="2" type="noConversion"/>
  </si>
  <si>
    <t>합계</t>
    <phoneticPr fontId="2" type="noConversion"/>
  </si>
  <si>
    <t>쓰꾸미</t>
    <phoneticPr fontId="2" type="noConversion"/>
  </si>
  <si>
    <t>합 계</t>
  </si>
  <si>
    <t>수 금</t>
  </si>
  <si>
    <t>미수금</t>
  </si>
  <si>
    <t>거래처명</t>
    <phoneticPr fontId="2" type="noConversion"/>
  </si>
  <si>
    <t>현장명</t>
    <phoneticPr fontId="2" type="noConversion"/>
  </si>
  <si>
    <t>공수</t>
    <phoneticPr fontId="2" type="noConversion"/>
  </si>
  <si>
    <t>적용연도</t>
  </si>
  <si>
    <t>적용월</t>
  </si>
  <si>
    <t>비고</t>
  </si>
  <si>
    <t>기준연도</t>
    <phoneticPr fontId="2" type="noConversion"/>
  </si>
  <si>
    <t>매출</t>
  </si>
  <si>
    <t>매입</t>
  </si>
  <si>
    <t>검색시작일</t>
    <phoneticPr fontId="2" type="noConversion"/>
  </si>
  <si>
    <t>검색종료일</t>
    <phoneticPr fontId="2" type="noConversion"/>
  </si>
  <si>
    <t>구   분</t>
    <phoneticPr fontId="2" type="noConversion"/>
  </si>
  <si>
    <t>팀     명</t>
    <phoneticPr fontId="2" type="noConversion"/>
  </si>
  <si>
    <t>팀명</t>
    <phoneticPr fontId="2" type="noConversion"/>
  </si>
  <si>
    <t>팀   명</t>
    <phoneticPr fontId="2" type="noConversion"/>
  </si>
  <si>
    <t>거래처</t>
    <phoneticPr fontId="2" type="noConversion"/>
  </si>
  <si>
    <t>현장별 원가 계산</t>
    <phoneticPr fontId="2" type="noConversion"/>
  </si>
  <si>
    <t>매출/매입 거래장</t>
    <phoneticPr fontId="2" type="noConversion"/>
  </si>
  <si>
    <t>데이터 입력 시트</t>
    <phoneticPr fontId="2" type="noConversion"/>
  </si>
  <si>
    <t>이재욱</t>
  </si>
  <si>
    <t>날짜</t>
  </si>
  <si>
    <t>날짜</t>
    <phoneticPr fontId="2" type="noConversion"/>
  </si>
  <si>
    <t>내용</t>
  </si>
  <si>
    <t>구분</t>
  </si>
  <si>
    <t>구분</t>
    <phoneticPr fontId="2" type="noConversion"/>
  </si>
  <si>
    <t>팀명</t>
  </si>
  <si>
    <t>팀명</t>
    <phoneticPr fontId="2" type="noConversion"/>
  </si>
  <si>
    <t>거래처명</t>
  </si>
  <si>
    <t>거래처명</t>
    <phoneticPr fontId="2" type="noConversion"/>
  </si>
  <si>
    <t>내용</t>
    <phoneticPr fontId="2" type="noConversion"/>
  </si>
  <si>
    <t>합계</t>
  </si>
  <si>
    <t>합계</t>
    <phoneticPr fontId="2" type="noConversion"/>
  </si>
  <si>
    <t>비고</t>
    <phoneticPr fontId="2" type="noConversion"/>
  </si>
  <si>
    <t>입금금액</t>
  </si>
  <si>
    <t>공수</t>
  </si>
  <si>
    <t>부가세</t>
  </si>
  <si>
    <t>날짜</t>
    <phoneticPr fontId="2" type="noConversion"/>
  </si>
  <si>
    <t>내용</t>
    <phoneticPr fontId="2" type="noConversion"/>
  </si>
  <si>
    <t>잔액</t>
    <phoneticPr fontId="2" type="noConversion"/>
  </si>
  <si>
    <t>입금일/지급일</t>
  </si>
  <si>
    <t>구분</t>
    <phoneticPr fontId="2" type="noConversion"/>
  </si>
  <si>
    <t>구분</t>
    <phoneticPr fontId="2" type="noConversion"/>
  </si>
  <si>
    <t>날짜</t>
    <phoneticPr fontId="2" type="noConversion"/>
  </si>
  <si>
    <t>매입</t>
    <phoneticPr fontId="2" type="noConversion"/>
  </si>
  <si>
    <t>날짜</t>
    <phoneticPr fontId="2" type="noConversion"/>
  </si>
  <si>
    <t>팀명</t>
    <phoneticPr fontId="2" type="noConversion"/>
  </si>
  <si>
    <t>현장명</t>
    <phoneticPr fontId="2" type="noConversion"/>
  </si>
  <si>
    <t>날짜</t>
    <phoneticPr fontId="2" type="noConversion"/>
  </si>
  <si>
    <t>매출</t>
    <phoneticPr fontId="2" type="noConversion"/>
  </si>
  <si>
    <t>합계</t>
    <phoneticPr fontId="2" type="noConversion"/>
  </si>
  <si>
    <t>거래처명</t>
    <phoneticPr fontId="2" type="noConversion"/>
  </si>
  <si>
    <t>시스템</t>
  </si>
  <si>
    <t>입금</t>
  </si>
  <si>
    <t>시스템 비계</t>
  </si>
  <si>
    <t>지급</t>
  </si>
  <si>
    <t>여의도 두양건축</t>
  </si>
  <si>
    <t>대치</t>
  </si>
  <si>
    <t>하나산업테크</t>
  </si>
  <si>
    <t>공급가액</t>
    <phoneticPr fontId="2" type="noConversion"/>
  </si>
  <si>
    <t>이재욱</t>
    <phoneticPr fontId="2" type="noConversion"/>
  </si>
  <si>
    <t>세일하우징</t>
  </si>
  <si>
    <t>비고</t>
    <phoneticPr fontId="2" type="noConversion"/>
  </si>
  <si>
    <t>미수금</t>
    <phoneticPr fontId="2" type="noConversion"/>
  </si>
  <si>
    <t>공수</t>
    <phoneticPr fontId="2" type="noConversion"/>
  </si>
  <si>
    <t>연도</t>
    <phoneticPr fontId="2" type="noConversion"/>
  </si>
  <si>
    <t>시작월</t>
    <phoneticPr fontId="2" type="noConversion"/>
  </si>
  <si>
    <t>종료월</t>
    <phoneticPr fontId="2" type="noConversion"/>
  </si>
  <si>
    <t>수성운반기계</t>
  </si>
  <si>
    <t>전동파레트 트럭렌탈</t>
  </si>
  <si>
    <t>청주 세일하우징</t>
    <phoneticPr fontId="2" type="noConversion"/>
  </si>
  <si>
    <t>러셀망(오렌지)외 4건</t>
  </si>
  <si>
    <t>나라로지스</t>
  </si>
  <si>
    <t>운송료</t>
  </si>
  <si>
    <t>송암지게차</t>
  </si>
  <si>
    <t>지게차</t>
  </si>
  <si>
    <t>엠케이렌탈</t>
  </si>
  <si>
    <t>진천 우창종합건설</t>
  </si>
  <si>
    <t>시스템 임대료</t>
  </si>
  <si>
    <t>한국시스템산업</t>
  </si>
  <si>
    <t>시스템동바리-지하1층</t>
  </si>
  <si>
    <t>용인 영기건설</t>
  </si>
  <si>
    <t>모텔별밤</t>
  </si>
  <si>
    <t>수기세금계산서</t>
  </si>
  <si>
    <t>숙박비</t>
  </si>
  <si>
    <t>대산 대자기업</t>
  </si>
  <si>
    <t>속초 동암석재</t>
  </si>
  <si>
    <t>수직망청색(멀티망)</t>
  </si>
  <si>
    <t>주문진 동암석재</t>
  </si>
  <si>
    <t>부천 우창건설</t>
  </si>
  <si>
    <t>손망실비용</t>
  </si>
  <si>
    <t>집밥</t>
  </si>
  <si>
    <t>2월 김덕기 식대</t>
  </si>
  <si>
    <t>2월 김세흔 식대</t>
  </si>
  <si>
    <t>시스템동바리, 비계 차액분</t>
  </si>
  <si>
    <t>성심시스템</t>
  </si>
  <si>
    <t>낭만상사</t>
  </si>
  <si>
    <t>김명희</t>
  </si>
  <si>
    <t>노란반코팅장갑</t>
  </si>
  <si>
    <t>1500 * @250원</t>
  </si>
  <si>
    <t>명동찌개마을</t>
  </si>
  <si>
    <t>식대</t>
  </si>
  <si>
    <t>마드레</t>
  </si>
  <si>
    <t>봉천동 영기건설</t>
  </si>
  <si>
    <t>봉촌동 장비사용료</t>
  </si>
  <si>
    <t>징검다리엠알오</t>
  </si>
  <si>
    <t>반생이외 운반비</t>
  </si>
  <si>
    <t>공구팩토리</t>
  </si>
  <si>
    <t>토사코 안전화 Tos-610</t>
  </si>
  <si>
    <t>자연주유소</t>
  </si>
  <si>
    <t>이만승외</t>
  </si>
  <si>
    <t>주유비</t>
  </si>
  <si>
    <t>광일장갑</t>
  </si>
  <si>
    <t>김옥수</t>
  </si>
  <si>
    <t>10G속장갑</t>
  </si>
  <si>
    <t>평택 한주산업</t>
  </si>
  <si>
    <t>안전망(안자망)2M*50M</t>
  </si>
  <si>
    <t>독립문지게차</t>
  </si>
  <si>
    <t>서대문 원진산업개발</t>
  </si>
  <si>
    <t>지게차 사용료</t>
  </si>
  <si>
    <t>두산크레인</t>
  </si>
  <si>
    <t>구로 백림종합건설</t>
  </si>
  <si>
    <t>크레인임대</t>
  </si>
  <si>
    <t>송암지게차</t>
    <phoneticPr fontId="2" type="noConversion"/>
  </si>
  <si>
    <t>입금</t>
    <phoneticPr fontId="2" type="noConversion"/>
  </si>
  <si>
    <t>지게차</t>
    <phoneticPr fontId="2" type="noConversion"/>
  </si>
  <si>
    <t>광주 아주산업건설</t>
  </si>
  <si>
    <t>화성 아성케이비건설</t>
  </si>
  <si>
    <t>성남 아성케이비건설</t>
  </si>
  <si>
    <t>아성-성남119현장</t>
  </si>
  <si>
    <t>동아 위례주차타워 현장</t>
  </si>
  <si>
    <t>한빛지게차</t>
  </si>
  <si>
    <t>응암동 세일하우징</t>
  </si>
  <si>
    <t>지게차사용료</t>
  </si>
  <si>
    <t>형인</t>
  </si>
  <si>
    <t>안성 삼부토건</t>
  </si>
  <si>
    <t>석촌지게차</t>
  </si>
  <si>
    <t>송파 세종건설</t>
  </si>
  <si>
    <t>한아식당</t>
    <phoneticPr fontId="2" type="noConversion"/>
  </si>
  <si>
    <t>가좌동 다우림현장</t>
    <phoneticPr fontId="2" type="noConversion"/>
  </si>
  <si>
    <t>식대</t>
    <phoneticPr fontId="2" type="noConversion"/>
  </si>
  <si>
    <t>장비사용료</t>
  </si>
  <si>
    <t>푸디스</t>
  </si>
  <si>
    <t>산단</t>
  </si>
  <si>
    <t>태극김밥</t>
  </si>
  <si>
    <t>씨앤오건설</t>
  </si>
  <si>
    <t>마곡 동아비앤에이치</t>
  </si>
  <si>
    <t>씨에스가설산업</t>
  </si>
  <si>
    <t>판교 빌트에이</t>
  </si>
  <si>
    <t>시흥 해촐초 RS종합건설</t>
  </si>
  <si>
    <t>경유산업개발</t>
  </si>
  <si>
    <t>장안시스템</t>
  </si>
  <si>
    <t>신사동 현도종건</t>
  </si>
  <si>
    <t>가좌동 다우림건설</t>
  </si>
  <si>
    <t>오산 BK건설</t>
  </si>
  <si>
    <t>신흥동 진복종합건설</t>
  </si>
  <si>
    <t>대자기업</t>
  </si>
  <si>
    <t>삼부토건</t>
  </si>
  <si>
    <t>청주 세일하우징</t>
  </si>
  <si>
    <t>오산국제시스템</t>
  </si>
  <si>
    <t>합판외</t>
  </si>
  <si>
    <t>영기건설</t>
  </si>
  <si>
    <t>용인 영기건설</t>
    <phoneticPr fontId="2" type="noConversion"/>
  </si>
  <si>
    <t>광명 영기건설</t>
  </si>
  <si>
    <t>인선</t>
  </si>
  <si>
    <t>인천검단 라라건설</t>
  </si>
  <si>
    <t>천안 부운종합건설</t>
  </si>
  <si>
    <t>인천 진복종합건설</t>
  </si>
  <si>
    <t>의정부 세환건설</t>
  </si>
  <si>
    <t>광명 동위건설산업</t>
  </si>
  <si>
    <t>2,400*250원</t>
    <phoneticPr fontId="2" type="noConversion"/>
  </si>
  <si>
    <t>2,100*250원</t>
    <phoneticPr fontId="2" type="noConversion"/>
  </si>
  <si>
    <t>대목가설산업</t>
  </si>
  <si>
    <t>가산 고이건설</t>
  </si>
  <si>
    <t>가설재외</t>
  </si>
  <si>
    <t>손명훈팀</t>
    <phoneticPr fontId="2" type="noConversion"/>
  </si>
  <si>
    <t>가산 고이건설</t>
    <phoneticPr fontId="2" type="noConversion"/>
  </si>
  <si>
    <t>현대오피스유한</t>
  </si>
  <si>
    <t>천용태</t>
  </si>
  <si>
    <t>법랑 화이트보드 유광 자석 830*1000</t>
  </si>
  <si>
    <t>동아비앤에이치</t>
  </si>
  <si>
    <t>위례 동아비앤에이치</t>
  </si>
  <si>
    <t>아성케이비건설</t>
  </si>
  <si>
    <t>성남119 아성케이비건설</t>
  </si>
  <si>
    <t>화성월문초 아성케이비건설</t>
  </si>
  <si>
    <t>고이건설</t>
  </si>
  <si>
    <t>시스템 비계(수정발행)</t>
  </si>
  <si>
    <t>삼부토건</t>
    <phoneticPr fontId="2" type="noConversion"/>
  </si>
  <si>
    <t>마곡 동아비앤에이치</t>
    <phoneticPr fontId="2" type="noConversion"/>
  </si>
  <si>
    <t>부천 경유산업개발</t>
  </si>
  <si>
    <t>2월 이재욱팀 식대</t>
  </si>
  <si>
    <t>2월 김봉수팀 식대</t>
  </si>
  <si>
    <t>공구팩토리</t>
    <phoneticPr fontId="2" type="noConversion"/>
  </si>
  <si>
    <t>K2 전체식 안전벨트 KB-9202외</t>
    <phoneticPr fontId="2" type="noConversion"/>
  </si>
  <si>
    <t>김봉수 구입</t>
    <phoneticPr fontId="2" type="noConversion"/>
  </si>
  <si>
    <t>빈운영 구입</t>
    <phoneticPr fontId="2" type="noConversion"/>
  </si>
  <si>
    <t>밀워키 드릴비트</t>
    <phoneticPr fontId="2" type="noConversion"/>
  </si>
  <si>
    <t>이종찬 구입</t>
    <phoneticPr fontId="2" type="noConversion"/>
  </si>
  <si>
    <t>도규-자석망치245외</t>
    <phoneticPr fontId="2" type="noConversion"/>
  </si>
  <si>
    <t>자연주유소</t>
    <phoneticPr fontId="2" type="noConversion"/>
  </si>
  <si>
    <t>이만승외</t>
    <phoneticPr fontId="2" type="noConversion"/>
  </si>
  <si>
    <t>주유비</t>
    <phoneticPr fontId="2" type="noConversion"/>
  </si>
  <si>
    <t>안산고속주유소</t>
  </si>
  <si>
    <t>김현숙</t>
  </si>
  <si>
    <t>경유</t>
  </si>
  <si>
    <t>정재숙</t>
  </si>
  <si>
    <t>3월 이재욱팀 식대</t>
  </si>
  <si>
    <t>3월 김봉수팀 식대</t>
  </si>
  <si>
    <t>3월 김덕기팀 식대</t>
  </si>
  <si>
    <t>3월 김세흔팀 식대</t>
  </si>
  <si>
    <t>하나산업테크</t>
    <phoneticPr fontId="2" type="noConversion"/>
  </si>
  <si>
    <t>응암동 세일하우징</t>
    <phoneticPr fontId="2" type="noConversion"/>
  </si>
  <si>
    <t>러셀망(오렌지)외 4건</t>
    <phoneticPr fontId="2" type="noConversion"/>
  </si>
  <si>
    <t>4월 이재욱팀 식대</t>
  </si>
  <si>
    <t>4월 김봉수팀 식대</t>
  </si>
  <si>
    <t>4월 김덕기팀 식대</t>
  </si>
  <si>
    <t>4월 김세흔팀 식대</t>
  </si>
  <si>
    <t>동아 위례주차타워현장</t>
  </si>
  <si>
    <t>성남119현장</t>
  </si>
  <si>
    <t>화성-월문초교현장</t>
  </si>
  <si>
    <t>서초 동아비앤에이치</t>
    <phoneticPr fontId="2" type="noConversion"/>
  </si>
  <si>
    <t>외부비계시스템외-양재동 현장</t>
  </si>
  <si>
    <t>시스템</t>
    <phoneticPr fontId="2" type="noConversion"/>
  </si>
  <si>
    <t>고이건설</t>
    <phoneticPr fontId="2" type="noConversion"/>
  </si>
  <si>
    <t>세종건설</t>
    <phoneticPr fontId="2" type="noConversion"/>
  </si>
  <si>
    <t>송파 세종건설</t>
    <phoneticPr fontId="2" type="noConversion"/>
  </si>
  <si>
    <t>시스템 비계</t>
    <phoneticPr fontId="2" type="noConversion"/>
  </si>
  <si>
    <t>와이티건설</t>
    <phoneticPr fontId="2" type="noConversion"/>
  </si>
  <si>
    <t>밀양 와이티건설</t>
    <phoneticPr fontId="2" type="noConversion"/>
  </si>
  <si>
    <t>현금 입금</t>
    <phoneticPr fontId="2" type="noConversion"/>
  </si>
  <si>
    <t>간식비</t>
    <phoneticPr fontId="2" type="noConversion"/>
  </si>
  <si>
    <t>5월 김덕기팀 식대</t>
  </si>
  <si>
    <t>5월 김세흔팀 식대</t>
  </si>
  <si>
    <t>132,000원 입금</t>
    <phoneticPr fontId="2" type="noConversion"/>
  </si>
  <si>
    <t>이점순</t>
  </si>
  <si>
    <t>식대비</t>
  </si>
  <si>
    <t>두리앤푸드</t>
  </si>
  <si>
    <t>밀양 와이티건설</t>
  </si>
  <si>
    <t>2월~5월 식대</t>
  </si>
  <si>
    <t>외부비계시스템</t>
  </si>
  <si>
    <t>성우이엔씨</t>
  </si>
  <si>
    <t>남가좌동 성운건설</t>
  </si>
  <si>
    <t>면목동 거남이엔씨</t>
  </si>
  <si>
    <t>시스템비계</t>
  </si>
  <si>
    <t>와이티건설</t>
  </si>
  <si>
    <t>시스템 동바리</t>
  </si>
  <si>
    <t>간식,식대 마이나스 발행</t>
    <phoneticPr fontId="2" type="noConversion"/>
  </si>
  <si>
    <t>현금입금</t>
  </si>
  <si>
    <t>간식비 공제</t>
    <phoneticPr fontId="2" type="noConversion"/>
  </si>
  <si>
    <t>포항 와이티건설</t>
  </si>
  <si>
    <t>현금 입금</t>
  </si>
  <si>
    <t>식대공제</t>
  </si>
  <si>
    <t>밀양간식대</t>
  </si>
  <si>
    <t>범강</t>
  </si>
  <si>
    <t>의정부 범강</t>
  </si>
  <si>
    <t>15,551,811입금</t>
  </si>
  <si>
    <t>아키담</t>
  </si>
  <si>
    <t>동암석재</t>
  </si>
  <si>
    <t>세종건설</t>
  </si>
  <si>
    <t>흥안이앤씨</t>
  </si>
  <si>
    <t>김포은여울초 흥안이앤씨</t>
  </si>
  <si>
    <t>백림종합건설</t>
  </si>
  <si>
    <t>구로 백림종합건설</t>
    <phoneticPr fontId="2" type="noConversion"/>
  </si>
  <si>
    <t>아주산업건설</t>
  </si>
  <si>
    <t>원진건설산업</t>
  </si>
  <si>
    <t>서대문 원진건설산업</t>
  </si>
  <si>
    <t>광명 원진건설산업</t>
  </si>
  <si>
    <t>씨즌텍</t>
  </si>
  <si>
    <t>광명 씨즌텍</t>
  </si>
  <si>
    <t>우창종합건설</t>
  </si>
  <si>
    <t>시도 실내체육관</t>
  </si>
  <si>
    <t>망</t>
  </si>
  <si>
    <t>마곡 토우코리아</t>
  </si>
  <si>
    <t>김포 KB안전</t>
  </si>
  <si>
    <t>구로 네오이엔씨</t>
  </si>
  <si>
    <t>보미엔지니어링</t>
  </si>
  <si>
    <t>영등포 보미엔지니어링</t>
  </si>
  <si>
    <t>신흥동꺼랑 같이 입금</t>
  </si>
  <si>
    <t>신흥동 보미엔지니어링</t>
  </si>
  <si>
    <t>오성종합건설</t>
  </si>
  <si>
    <t>평택 오성종합건설</t>
  </si>
  <si>
    <t>덕암가설</t>
  </si>
  <si>
    <t>시스템(마이나스 발행)</t>
  </si>
  <si>
    <t>인화건설</t>
  </si>
  <si>
    <t>천안 인화건설</t>
  </si>
  <si>
    <t>다산위너텍</t>
  </si>
  <si>
    <t>광명 다산위너텍</t>
  </si>
  <si>
    <t>기원건설</t>
  </si>
  <si>
    <t>평택 기원건설</t>
  </si>
  <si>
    <t xml:space="preserve">시스템 </t>
  </si>
  <si>
    <t>전주 세일하우징</t>
  </si>
  <si>
    <t>명현종합건설</t>
  </si>
  <si>
    <t>의왕 명현종합건설</t>
  </si>
  <si>
    <t>김동원팀</t>
  </si>
  <si>
    <t>김동원팀 지원</t>
  </si>
  <si>
    <t>송파 빌트에이</t>
  </si>
  <si>
    <t>삼삼지게차(부림중기)</t>
  </si>
  <si>
    <t>성수동 장학건설</t>
  </si>
  <si>
    <t>대산시스템산업</t>
  </si>
  <si>
    <t>가설재외(임대)</t>
  </si>
  <si>
    <t>K2 전체식 안전벨트 KB-9202</t>
  </si>
  <si>
    <t>홍진우 구입</t>
  </si>
  <si>
    <t>디월트 880 수리비</t>
  </si>
  <si>
    <t>충남특수제직</t>
  </si>
  <si>
    <t>수직보호망(비계망)</t>
  </si>
  <si>
    <t>크레인</t>
  </si>
  <si>
    <t>창신</t>
  </si>
  <si>
    <t>응암동 창신</t>
  </si>
  <si>
    <t>비계설비</t>
  </si>
  <si>
    <t>하남 지엘종합건설</t>
  </si>
  <si>
    <t>부강가설산업</t>
  </si>
  <si>
    <t>인천신항 삼부토건</t>
    <phoneticPr fontId="2" type="noConversion"/>
  </si>
  <si>
    <t>4월분</t>
  </si>
  <si>
    <t>양재동 동아비앤에이치</t>
  </si>
  <si>
    <t>5월분</t>
  </si>
  <si>
    <t>더미르건설</t>
  </si>
  <si>
    <t>남가좌동 더미르건설</t>
  </si>
  <si>
    <t>비계직영공사</t>
  </si>
  <si>
    <t>남가좌 성운건설</t>
    <phoneticPr fontId="2" type="noConversion"/>
  </si>
  <si>
    <t>비계망 설치</t>
  </si>
  <si>
    <t>대산4공구 대자기업</t>
  </si>
  <si>
    <t>시스템 동바리</t>
    <phoneticPr fontId="2" type="noConversion"/>
  </si>
  <si>
    <t>뉴폼코리아</t>
  </si>
  <si>
    <t>성수동 뉴폼코리아</t>
  </si>
  <si>
    <t>인천신항 삼부토건</t>
  </si>
  <si>
    <t>남양주 누마루건설</t>
  </si>
  <si>
    <t>안면도 시공종합건설</t>
  </si>
  <si>
    <t>청라 서도건설</t>
  </si>
  <si>
    <t>한세이엔씨</t>
  </si>
  <si>
    <t>경유산업개발</t>
    <phoneticPr fontId="2" type="noConversion"/>
  </si>
  <si>
    <t>세 액</t>
    <phoneticPr fontId="2" type="noConversion"/>
  </si>
  <si>
    <t>주식회사 청연이엔지</t>
    <phoneticPr fontId="2" type="noConversion"/>
  </si>
  <si>
    <t>러셀망(오렌지,청색)</t>
  </si>
  <si>
    <t>잘 되다가도 어느순간 "1004 런타임 오류"가 뜨면서 그 뒤로는 조회가 않되네요</t>
    <phoneticPr fontId="2" type="noConversion"/>
  </si>
  <si>
    <t>그럼 메일에서 다시 수정해서 보내주신거 가져다가 싹다 지우고 DB 복사해 붙여 놓으면 다시 조회가 되다가 또 시간 지나면 않되네요~</t>
    <phoneticPr fontId="2" type="noConversion"/>
  </si>
  <si>
    <t>5월 이재욱팀 식대</t>
  </si>
  <si>
    <t>5월 김봉수팀 식대</t>
  </si>
  <si>
    <t>날짜</t>
    <phoneticPr fontId="2" type="noConversion"/>
  </si>
  <si>
    <t>내용</t>
    <phoneticPr fontId="2" type="noConversion"/>
  </si>
  <si>
    <t>거래처명</t>
    <phoneticPr fontId="2" type="noConversion"/>
  </si>
  <si>
    <t>공수</t>
    <phoneticPr fontId="2" type="noConversion"/>
  </si>
  <si>
    <t>공급가액</t>
    <phoneticPr fontId="2" type="noConversion"/>
  </si>
  <si>
    <t>공급가액</t>
    <phoneticPr fontId="2" type="noConversion"/>
  </si>
  <si>
    <t>쯔쿠미</t>
    <phoneticPr fontId="2" type="noConversion"/>
  </si>
  <si>
    <t>부천 도당동 경유산업개발</t>
    <phoneticPr fontId="2" type="noConversion"/>
  </si>
  <si>
    <t>한원석</t>
    <phoneticPr fontId="2" type="noConversion"/>
  </si>
  <si>
    <t xml:space="preserve">비계망 </t>
    <phoneticPr fontId="2" type="noConversion"/>
  </si>
  <si>
    <t>황정미</t>
  </si>
  <si>
    <t>농심 안성가리 삼부토건</t>
  </si>
  <si>
    <t>음성 ES산업 삼부토건</t>
    <phoneticPr fontId="2" type="noConversion"/>
  </si>
  <si>
    <t>손명훈팀</t>
  </si>
  <si>
    <t>화성-월문초교현장</t>
    <phoneticPr fontId="2" type="noConversion"/>
  </si>
  <si>
    <t>박카스 송도  삼부토건</t>
    <phoneticPr fontId="2" type="noConversion"/>
  </si>
  <si>
    <t>강화 아키담</t>
    <phoneticPr fontId="2" type="noConversion"/>
  </si>
  <si>
    <t>성수동 뉴폼코리아</t>
    <phoneticPr fontId="2" type="noConversion"/>
  </si>
  <si>
    <t>김대진</t>
    <phoneticPr fontId="2" type="noConversion"/>
  </si>
  <si>
    <t>송림동 연지종합건설</t>
    <phoneticPr fontId="2" type="noConversion"/>
  </si>
  <si>
    <t>푸디스</t>
    <phoneticPr fontId="2" type="noConversion"/>
  </si>
  <si>
    <t>양주 한세이엔씨</t>
    <phoneticPr fontId="2" type="noConversion"/>
  </si>
  <si>
    <t>김포 세일하우징</t>
  </si>
  <si>
    <t>대자기업</t>
    <phoneticPr fontId="2" type="noConversion"/>
  </si>
  <si>
    <t>대산4공구 대자기업</t>
    <phoneticPr fontId="2" type="noConversion"/>
  </si>
  <si>
    <t>송파 백림종합건설</t>
  </si>
  <si>
    <t>크레인 임대</t>
  </si>
  <si>
    <t>구로 고이건설</t>
    <phoneticPr fontId="2" type="noConversion"/>
  </si>
  <si>
    <t>운송료</t>
    <phoneticPr fontId="2" type="noConversion"/>
  </si>
  <si>
    <t>뉴폼코리아</t>
    <phoneticPr fontId="2" type="noConversion"/>
  </si>
  <si>
    <t>동아비앤에이치</t>
    <phoneticPr fontId="2" type="noConversion"/>
  </si>
  <si>
    <t>위례 동아비앤에이치</t>
    <phoneticPr fontId="2" type="noConversion"/>
  </si>
  <si>
    <t>부천 심곡본동 동아비앤에이치</t>
    <phoneticPr fontId="2" type="noConversion"/>
  </si>
  <si>
    <t>6월 식대</t>
  </si>
  <si>
    <t>명동찌개마을</t>
    <phoneticPr fontId="2" type="noConversion"/>
  </si>
  <si>
    <t>장비사용료(지게차)</t>
  </si>
  <si>
    <t>성심시스템</t>
    <phoneticPr fontId="2" type="noConversion"/>
  </si>
  <si>
    <t>안성 삼부토건 시스템</t>
    <phoneticPr fontId="2" type="noConversion"/>
  </si>
  <si>
    <t>세일하우징</t>
    <phoneticPr fontId="2" type="noConversion"/>
  </si>
  <si>
    <t>신건설</t>
    <phoneticPr fontId="2" type="noConversion"/>
  </si>
  <si>
    <t>하남 신건설</t>
    <phoneticPr fontId="2" type="noConversion"/>
  </si>
  <si>
    <t>아성케이비건설</t>
    <phoneticPr fontId="2" type="noConversion"/>
  </si>
  <si>
    <t>아주산업건설</t>
    <phoneticPr fontId="2" type="noConversion"/>
  </si>
  <si>
    <t>광주 아주산업건설</t>
    <phoneticPr fontId="2" type="noConversion"/>
  </si>
  <si>
    <t>아키담</t>
    <phoneticPr fontId="2" type="noConversion"/>
  </si>
  <si>
    <t>인선</t>
    <phoneticPr fontId="2" type="noConversion"/>
  </si>
  <si>
    <t>평택 한주산업</t>
    <phoneticPr fontId="2" type="noConversion"/>
  </si>
  <si>
    <t>아산 세환건설</t>
  </si>
  <si>
    <t>세종 미르종합건설</t>
  </si>
  <si>
    <t>안산 삼성탑종합건설</t>
  </si>
  <si>
    <t>일성토건</t>
  </si>
  <si>
    <t>의정부 일성토건</t>
  </si>
  <si>
    <t>장안시스템</t>
    <phoneticPr fontId="2" type="noConversion"/>
  </si>
  <si>
    <t>신흥동 진복종합건설</t>
    <phoneticPr fontId="2" type="noConversion"/>
  </si>
  <si>
    <t>정림건설</t>
  </si>
  <si>
    <t>태백 정림건설</t>
  </si>
  <si>
    <t>6월 이재욱팀 식대</t>
  </si>
  <si>
    <t>6월 김봉수팀 식대</t>
  </si>
  <si>
    <t>6월 김덕기팀 식대</t>
  </si>
  <si>
    <t>6월 김세흔팀 식대</t>
  </si>
  <si>
    <t>6월 김군회팀 식대</t>
    <phoneticPr fontId="2" type="noConversion"/>
  </si>
  <si>
    <t>태극김밥</t>
    <phoneticPr fontId="2" type="noConversion"/>
  </si>
  <si>
    <t>이점순</t>
    <phoneticPr fontId="2" type="noConversion"/>
  </si>
  <si>
    <t>태우공영</t>
    <phoneticPr fontId="2" type="noConversion"/>
  </si>
  <si>
    <t>광명 태우공영</t>
    <phoneticPr fontId="2" type="noConversion"/>
  </si>
  <si>
    <t>러셀망(오렌지), 케이블타이</t>
  </si>
  <si>
    <t>양주 한세이엔씨</t>
  </si>
  <si>
    <t>러셀망(청색), 케이블타이</t>
  </si>
  <si>
    <t>해강종합건설</t>
    <phoneticPr fontId="2" type="noConversion"/>
  </si>
  <si>
    <t>부천 원종동 해강종합건설</t>
    <phoneticPr fontId="2" type="noConversion"/>
  </si>
  <si>
    <t>시스템 동바리, 비계</t>
    <phoneticPr fontId="2" type="noConversion"/>
  </si>
  <si>
    <t>동우화스너</t>
  </si>
  <si>
    <t>김동연</t>
  </si>
  <si>
    <t>셋트앙카외</t>
  </si>
  <si>
    <t>삼우건기</t>
  </si>
  <si>
    <t>안양 SA종합건설</t>
  </si>
  <si>
    <t>시스템 상,하차</t>
  </si>
  <si>
    <t>간식대 현금 입금</t>
  </si>
  <si>
    <t>정샘</t>
  </si>
  <si>
    <t>밀워키 M18 FIW12-502X 충전임책외</t>
  </si>
  <si>
    <t>에스에이종합건설</t>
  </si>
  <si>
    <t xml:space="preserve">안양 노루페인트 </t>
  </si>
  <si>
    <t>용인 동영종합건설</t>
  </si>
  <si>
    <t>수직보호망 외</t>
  </si>
  <si>
    <t>크레인사용료</t>
  </si>
  <si>
    <t>홍익건설기계</t>
  </si>
  <si>
    <t>운반비</t>
  </si>
  <si>
    <t>마대(500Kg)외</t>
  </si>
  <si>
    <t>반생이외</t>
  </si>
  <si>
    <t>대치가설 현장</t>
  </si>
  <si>
    <t>평택 동암석재</t>
  </si>
  <si>
    <t>성남 동암석재</t>
  </si>
  <si>
    <t>음성 ES산업 삼부토건</t>
  </si>
  <si>
    <t>평택 삼부토건</t>
  </si>
  <si>
    <t>7월부터 본팀현장</t>
    <phoneticPr fontId="2" type="noConversion"/>
  </si>
  <si>
    <t>신건설</t>
  </si>
  <si>
    <t>하남 신건설</t>
  </si>
  <si>
    <t>시흥 해솔초 RS종합건설</t>
  </si>
  <si>
    <t xml:space="preserve">와이티건설 </t>
  </si>
  <si>
    <t>횡성 세환건설</t>
  </si>
  <si>
    <t>양주 보금토건</t>
  </si>
  <si>
    <t>부천 일성토건</t>
  </si>
  <si>
    <t>청담동 유호토건</t>
  </si>
  <si>
    <t>송림동 연지종합건설</t>
  </si>
  <si>
    <t>이천 소망주택</t>
    <phoneticPr fontId="2" type="noConversion"/>
  </si>
  <si>
    <t>조형기술개발</t>
  </si>
  <si>
    <t>파주 조형기술개발</t>
  </si>
  <si>
    <t>이재욱팀 식대</t>
  </si>
  <si>
    <t>김봉수팀 식대</t>
  </si>
  <si>
    <t>김덕기팀 식대</t>
  </si>
  <si>
    <t>김군회팀 식대</t>
  </si>
  <si>
    <t>김세흔팀 식대</t>
  </si>
  <si>
    <t>수직망오렌지(멀티망)</t>
  </si>
  <si>
    <t>해강종합건설</t>
  </si>
  <si>
    <t>7월식대</t>
  </si>
  <si>
    <t>방이동 백림종합건설</t>
  </si>
  <si>
    <t>미디어윌 서울지점</t>
  </si>
  <si>
    <t>주원석</t>
  </si>
  <si>
    <t>광고료</t>
  </si>
  <si>
    <t>간식대 현금 입금</t>
    <phoneticPr fontId="2" type="noConversion"/>
  </si>
  <si>
    <t>지퍼안전화 구입</t>
  </si>
  <si>
    <t>이성주 구입</t>
    <phoneticPr fontId="2" type="noConversion"/>
  </si>
  <si>
    <t>마끼다 D-59156 우드외</t>
  </si>
  <si>
    <t>3,000개 * 250원</t>
    <phoneticPr fontId="2" type="noConversion"/>
  </si>
  <si>
    <t>선우크레인</t>
  </si>
  <si>
    <t>동탄 빌트에이</t>
  </si>
  <si>
    <t>강성크레인</t>
  </si>
  <si>
    <t>이진 구입</t>
    <phoneticPr fontId="2" type="noConversion"/>
  </si>
  <si>
    <t>알덴 멀티소켓 9~12 외</t>
  </si>
  <si>
    <t>밀워키 M18외</t>
  </si>
  <si>
    <t>응암동 서원토건</t>
  </si>
  <si>
    <t>8월식대</t>
  </si>
  <si>
    <t>명성건기(고주내지게차)</t>
  </si>
  <si>
    <t>양주 남양건설-세움</t>
  </si>
  <si>
    <t>8월 지게차 사용료</t>
  </si>
  <si>
    <t>백광도시개발</t>
  </si>
  <si>
    <t>부천 백광도시개발</t>
    <phoneticPr fontId="2" type="noConversion"/>
  </si>
  <si>
    <t>빌트에이</t>
  </si>
  <si>
    <t>다산프리미어캠퍼스 빌트에이</t>
  </si>
  <si>
    <t>박카스 송도  삼부토건</t>
  </si>
  <si>
    <t>선건설</t>
  </si>
  <si>
    <t>김포마산동 선건설</t>
  </si>
  <si>
    <t>성부건설</t>
  </si>
  <si>
    <t>신정동 삼부토건</t>
  </si>
  <si>
    <t>성우건설</t>
  </si>
  <si>
    <t>봉담 성우건설</t>
  </si>
  <si>
    <t>성원시스템</t>
  </si>
  <si>
    <t>광주 경원</t>
  </si>
  <si>
    <t>세움</t>
  </si>
  <si>
    <t>양주 남양건설</t>
  </si>
  <si>
    <t>송림와이에스건설</t>
  </si>
  <si>
    <t>가산동 송림와이에스건설</t>
  </si>
  <si>
    <t>성남 119센터 아성케이비건설</t>
  </si>
  <si>
    <t>안양 노루페인트</t>
  </si>
  <si>
    <t xml:space="preserve">광명 동위건설산업 </t>
  </si>
  <si>
    <t>양평 정전무님 사옥</t>
  </si>
  <si>
    <t>인천 가좌 용성종합건설</t>
  </si>
  <si>
    <t>안양 디앤디건설</t>
  </si>
  <si>
    <t>장학건설</t>
  </si>
  <si>
    <t>일성토건</t>
    <phoneticPr fontId="2" type="noConversion"/>
  </si>
  <si>
    <t>부천 일성토건</t>
    <phoneticPr fontId="2" type="noConversion"/>
  </si>
  <si>
    <t>의정부 일성토건</t>
    <phoneticPr fontId="2" type="noConversion"/>
  </si>
  <si>
    <t>5,447,200원 입금</t>
    <phoneticPr fontId="2" type="noConversion"/>
  </si>
  <si>
    <t>고용보험료 118,110원 공제됨</t>
    <phoneticPr fontId="2" type="noConversion"/>
  </si>
  <si>
    <t>인천 라라건설</t>
  </si>
  <si>
    <t>현금입금분</t>
    <phoneticPr fontId="2" type="noConversion"/>
  </si>
  <si>
    <t>제일지게차</t>
  </si>
  <si>
    <t>남양주 빌트에이</t>
  </si>
  <si>
    <t>강동하나지게차</t>
    <phoneticPr fontId="2" type="noConversion"/>
  </si>
  <si>
    <t>방이동 백림종합건설</t>
    <phoneticPr fontId="2" type="noConversion"/>
  </si>
  <si>
    <t>지게차 사용료</t>
    <phoneticPr fontId="2" type="noConversion"/>
  </si>
  <si>
    <t>범사다리</t>
  </si>
  <si>
    <t>두리시스템</t>
    <phoneticPr fontId="2" type="noConversion"/>
  </si>
  <si>
    <t>인천 라라건설</t>
    <phoneticPr fontId="2" type="noConversion"/>
  </si>
  <si>
    <t>인화건설</t>
    <phoneticPr fontId="2" type="noConversion"/>
  </si>
  <si>
    <t>대전 인화건설</t>
    <phoneticPr fontId="2" type="noConversion"/>
  </si>
  <si>
    <t>키움공인중개사사무소</t>
  </si>
  <si>
    <t>이경선</t>
  </si>
  <si>
    <t>사동 1411-4 201호 중개수수료</t>
  </si>
  <si>
    <t>주안동 경유산업개발</t>
    <phoneticPr fontId="2" type="noConversion"/>
  </si>
  <si>
    <t>구로 고이건설</t>
  </si>
  <si>
    <t>다연식당</t>
  </si>
  <si>
    <t>9월식대</t>
  </si>
  <si>
    <t>두코식당</t>
  </si>
  <si>
    <t>윤용준</t>
    <phoneticPr fontId="2" type="noConversion"/>
  </si>
  <si>
    <t>부천 백광도시개발</t>
  </si>
  <si>
    <t>10/1 마이나스 발행</t>
    <phoneticPr fontId="2" type="noConversion"/>
  </si>
  <si>
    <t>백림종합건설</t>
    <phoneticPr fontId="2" type="noConversion"/>
  </si>
  <si>
    <t>삼인종합건설</t>
  </si>
  <si>
    <t>진천 삼인종합건설</t>
  </si>
  <si>
    <t xml:space="preserve">명동 성우이엔씨 </t>
  </si>
  <si>
    <t>시온건영</t>
  </si>
  <si>
    <t>부천 시온건영</t>
  </si>
  <si>
    <t>동탄 씨에스가설산업</t>
  </si>
  <si>
    <t>영기건설</t>
    <phoneticPr fontId="2" type="noConversion"/>
  </si>
  <si>
    <t>용인 영기건설-&gt;10월 강성복팀 현장</t>
    <phoneticPr fontId="2" type="noConversion"/>
  </si>
  <si>
    <t>오산 정원건설</t>
  </si>
  <si>
    <t>9월부터 본팀현장</t>
    <phoneticPr fontId="2" type="noConversion"/>
  </si>
  <si>
    <t>인천 진복건설 34-34현장</t>
  </si>
  <si>
    <t>인천 진복건설 34-29현장</t>
  </si>
  <si>
    <t>정담은푸드</t>
  </si>
  <si>
    <t>음성 삼부토건</t>
  </si>
  <si>
    <t>집밥</t>
    <phoneticPr fontId="2" type="noConversion"/>
  </si>
  <si>
    <t>김봉수팀 식대</t>
    <phoneticPr fontId="2" type="noConversion"/>
  </si>
  <si>
    <t>김군회팀 식대</t>
    <phoneticPr fontId="2" type="noConversion"/>
  </si>
  <si>
    <t>김세흔팀 식대</t>
    <phoneticPr fontId="2" type="noConversion"/>
  </si>
  <si>
    <t>김덕기팀 식대</t>
    <phoneticPr fontId="2" type="noConversion"/>
  </si>
  <si>
    <t>러셀망외</t>
  </si>
  <si>
    <t>방화동 해강종합건설</t>
  </si>
  <si>
    <t>9월분</t>
  </si>
  <si>
    <t>9월분</t>
    <phoneticPr fontId="2" type="noConversion"/>
  </si>
  <si>
    <t>마드레</t>
    <phoneticPr fontId="2" type="noConversion"/>
  </si>
  <si>
    <t>장비사용료</t>
    <phoneticPr fontId="2" type="noConversion"/>
  </si>
  <si>
    <t>고용보험료 134,950원 공제됨</t>
    <phoneticPr fontId="2" type="noConversion"/>
  </si>
  <si>
    <t>볼트모아</t>
  </si>
  <si>
    <t>박재진</t>
  </si>
  <si>
    <t>볼트외</t>
  </si>
  <si>
    <t>밀워키드릴 수리비</t>
  </si>
  <si>
    <t>김기호반장</t>
    <phoneticPr fontId="2" type="noConversion"/>
  </si>
  <si>
    <t>신대지자동차정비</t>
  </si>
  <si>
    <t>김성빈</t>
  </si>
  <si>
    <t>자동차정비</t>
  </si>
  <si>
    <t>10월 식대</t>
  </si>
  <si>
    <t>라지한식당</t>
  </si>
  <si>
    <t>10월 식대</t>
    <phoneticPr fontId="2" type="noConversion"/>
  </si>
  <si>
    <t>하남 YBC건설</t>
  </si>
  <si>
    <t>오산크레인</t>
  </si>
  <si>
    <t>중기사용료</t>
  </si>
  <si>
    <t>광주 와이티건설</t>
  </si>
  <si>
    <t>윤성시스템</t>
  </si>
  <si>
    <t>김상동팀</t>
  </si>
  <si>
    <t>시스템시공비</t>
  </si>
  <si>
    <t>천안 지표건설</t>
  </si>
  <si>
    <t>10월부터 김세흔팀이로 변경</t>
    <phoneticPr fontId="2" type="noConversion"/>
  </si>
  <si>
    <t>서대문 이안알앤씨</t>
  </si>
  <si>
    <t>역삼동 현건설</t>
  </si>
  <si>
    <t>이천 소망주택</t>
  </si>
  <si>
    <t>10월부터 유재훈팀으로 변경</t>
    <phoneticPr fontId="2" type="noConversion"/>
  </si>
  <si>
    <t>낙화물방지망</t>
  </si>
  <si>
    <t>고용보험료 305,280원 공제됨</t>
    <phoneticPr fontId="2" type="noConversion"/>
  </si>
  <si>
    <t>고용보험료 11,840원 공제됨</t>
    <phoneticPr fontId="2" type="noConversion"/>
  </si>
  <si>
    <t>고용보험료 332,720원 공제됨</t>
    <phoneticPr fontId="2" type="noConversion"/>
  </si>
  <si>
    <t>이가종합건설</t>
  </si>
  <si>
    <t>인천 천하토건</t>
  </si>
  <si>
    <t>강한산업개발</t>
  </si>
  <si>
    <t>판교 강한산업개발</t>
  </si>
  <si>
    <t>대동건설</t>
    <phoneticPr fontId="2" type="noConversion"/>
  </si>
  <si>
    <t>안전시설물</t>
    <phoneticPr fontId="2" type="noConversion"/>
  </si>
  <si>
    <t>두인건설</t>
  </si>
  <si>
    <t>주안동 두인건설</t>
  </si>
  <si>
    <t>11월 식대</t>
    <phoneticPr fontId="2" type="noConversion"/>
  </si>
  <si>
    <t>면목동,신내동,명동 성우이엔씨</t>
    <phoneticPr fontId="2" type="noConversion"/>
  </si>
  <si>
    <t>11/30 마이나스 발행</t>
    <phoneticPr fontId="2" type="noConversion"/>
  </si>
  <si>
    <t>교보자산신탁㈜ 입금</t>
    <phoneticPr fontId="2" type="noConversion"/>
  </si>
  <si>
    <t>안산고속주유소</t>
    <phoneticPr fontId="2" type="noConversion"/>
  </si>
  <si>
    <t>김현숙</t>
    <phoneticPr fontId="2" type="noConversion"/>
  </si>
  <si>
    <t>경유</t>
    <phoneticPr fontId="2" type="noConversion"/>
  </si>
  <si>
    <t>에덴종합건설</t>
  </si>
  <si>
    <t>송파 석촌동 세종건설</t>
  </si>
  <si>
    <t>천안 혜민건설</t>
  </si>
  <si>
    <t>반포 청미건설</t>
  </si>
  <si>
    <t>삼성동 성지우종합건설</t>
  </si>
  <si>
    <t>아산 미르종합건설</t>
  </si>
  <si>
    <t>파주 굿모닝건설</t>
  </si>
  <si>
    <t xml:space="preserve">천안 지표건설 </t>
  </si>
  <si>
    <t>챔피언몰</t>
  </si>
  <si>
    <t>임정희</t>
  </si>
  <si>
    <t>시스템사다리차스카이</t>
  </si>
  <si>
    <t>가평 서용건설</t>
  </si>
  <si>
    <t>장비임대료</t>
  </si>
  <si>
    <t>고용보험료 26,880원 공제됨</t>
    <phoneticPr fontId="2" type="noConversion"/>
  </si>
  <si>
    <t>고용보험료 187,830원 공제됨</t>
    <phoneticPr fontId="2" type="noConversion"/>
  </si>
  <si>
    <t>고용보험료 391,980원 공제됨</t>
    <phoneticPr fontId="2" type="noConversion"/>
  </si>
  <si>
    <t>작업복</t>
  </si>
  <si>
    <t>예인</t>
  </si>
  <si>
    <t>박금희</t>
  </si>
  <si>
    <t>시스템동바리</t>
  </si>
  <si>
    <t>이우홍(더더블유서울) 입금</t>
  </si>
  <si>
    <t>에비수 미니자석 수평 6</t>
  </si>
  <si>
    <t>금농토건</t>
  </si>
  <si>
    <t>김포 금농토건</t>
    <phoneticPr fontId="2" type="noConversion"/>
  </si>
  <si>
    <t>12월 식대</t>
  </si>
  <si>
    <t>12월  식대</t>
  </si>
  <si>
    <t>면목동,명동 성우이엔씨</t>
    <phoneticPr fontId="2" type="noConversion"/>
  </si>
  <si>
    <t>신대지자동차정비</t>
    <phoneticPr fontId="2" type="noConversion"/>
  </si>
  <si>
    <t>김성빈</t>
    <phoneticPr fontId="2" type="noConversion"/>
  </si>
  <si>
    <t>자동차정비</t>
    <phoneticPr fontId="2" type="noConversion"/>
  </si>
  <si>
    <t>안성 영기건설</t>
    <phoneticPr fontId="2" type="noConversion"/>
  </si>
  <si>
    <t>광명 유선종합건설</t>
  </si>
  <si>
    <t>아산 대경종합건설</t>
  </si>
  <si>
    <t>평안건설</t>
  </si>
  <si>
    <t>괴산 평안건설</t>
  </si>
  <si>
    <t>외부비계시스템-옥탑동</t>
  </si>
  <si>
    <t>탑엔지니어링</t>
  </si>
  <si>
    <t>수원 탑엔지니어링</t>
  </si>
  <si>
    <t>면목동,신내동,명동 성우이엔씨</t>
  </si>
  <si>
    <t>잡손실처리</t>
    <phoneticPr fontId="2" type="noConversion"/>
  </si>
  <si>
    <t>금원안전종합</t>
  </si>
  <si>
    <t>박형준</t>
  </si>
  <si>
    <t>비계수직망</t>
  </si>
  <si>
    <t>현건설</t>
  </si>
  <si>
    <t>pvc망비</t>
  </si>
  <si>
    <t>송창원</t>
  </si>
  <si>
    <t>경부유로테크</t>
  </si>
  <si>
    <t>고용보험 0.8% 271,050원 공제후 입금</t>
    <phoneticPr fontId="2" type="noConversion"/>
  </si>
  <si>
    <t>3,000개</t>
  </si>
  <si>
    <t>정도건설</t>
  </si>
  <si>
    <t>영등포 정도건설</t>
  </si>
  <si>
    <t xml:space="preserve">밀워키외 </t>
  </si>
  <si>
    <t>기담건설</t>
  </si>
  <si>
    <t>오름사옥 PVC망</t>
  </si>
  <si>
    <t>다우기건</t>
  </si>
  <si>
    <t>남양주 한영기건</t>
  </si>
  <si>
    <t>역삼동 동아비앤에이치</t>
  </si>
  <si>
    <t>부천 삼정동 동아비앤에이치</t>
    <phoneticPr fontId="2" type="noConversion"/>
  </si>
  <si>
    <t>디앤디건설</t>
  </si>
  <si>
    <t>새재건설</t>
  </si>
  <si>
    <t>과천 새재건설</t>
  </si>
  <si>
    <t>면목동,명동 성우이엔씨</t>
  </si>
  <si>
    <t>송치건설</t>
  </si>
  <si>
    <t>신림동 송치건설</t>
  </si>
  <si>
    <t>여주 씨즌텍</t>
  </si>
  <si>
    <t>안성 영기건설</t>
  </si>
  <si>
    <t>안산 영기건설</t>
  </si>
  <si>
    <t>용성종합건설</t>
  </si>
  <si>
    <t>부천 원종동 해강종합건설</t>
  </si>
  <si>
    <t>광주 현건설</t>
  </si>
  <si>
    <t>현진씨앤에스</t>
  </si>
  <si>
    <t>건승이엔씨</t>
    <phoneticPr fontId="2" type="noConversion"/>
  </si>
  <si>
    <t xml:space="preserve">김명식팀 </t>
    <phoneticPr fontId="2" type="noConversion"/>
  </si>
  <si>
    <t>용성종합건설</t>
    <phoneticPr fontId="2" type="noConversion"/>
  </si>
  <si>
    <t>민주크레인</t>
  </si>
  <si>
    <t>이승철</t>
  </si>
  <si>
    <t>정도건설</t>
    <phoneticPr fontId="2" type="noConversion"/>
  </si>
  <si>
    <t>부천 정도건설</t>
    <phoneticPr fontId="2" type="noConversion"/>
  </si>
  <si>
    <t>고용보험 0.8% 488,460원 공제후 입금</t>
    <phoneticPr fontId="2" type="noConversion"/>
  </si>
  <si>
    <t>성문건설</t>
    <phoneticPr fontId="2" type="noConversion"/>
  </si>
  <si>
    <t>당진 보건소 성문건설</t>
    <phoneticPr fontId="2" type="noConversion"/>
  </si>
  <si>
    <t>안전망</t>
    <phoneticPr fontId="2" type="noConversion"/>
  </si>
  <si>
    <t>SSG시스템</t>
  </si>
  <si>
    <t>백경훈팀</t>
  </si>
  <si>
    <t>부천 심곡동 경유산업개발</t>
    <phoneticPr fontId="2" type="noConversion"/>
  </si>
  <si>
    <t>금농토건</t>
    <phoneticPr fontId="2" type="noConversion"/>
  </si>
  <si>
    <t>다우기건</t>
    <phoneticPr fontId="2" type="noConversion"/>
  </si>
  <si>
    <t>남양주 한영기건</t>
    <phoneticPr fontId="2" type="noConversion"/>
  </si>
  <si>
    <t>역삼동 동아비앤에이치</t>
    <phoneticPr fontId="2" type="noConversion"/>
  </si>
  <si>
    <t>부천 동아비앤에이치</t>
    <phoneticPr fontId="2" type="noConversion"/>
  </si>
  <si>
    <t>2월식대</t>
  </si>
  <si>
    <t>리치건설</t>
    <phoneticPr fontId="2" type="noConversion"/>
  </si>
  <si>
    <t>안성 기흥피씨</t>
    <phoneticPr fontId="2" type="noConversion"/>
  </si>
  <si>
    <t>백광도시개발</t>
    <phoneticPr fontId="2" type="noConversion"/>
  </si>
  <si>
    <t>마포 백림종합건설</t>
    <phoneticPr fontId="2" type="noConversion"/>
  </si>
  <si>
    <t>낙화물방지망</t>
    <phoneticPr fontId="2" type="noConversion"/>
  </si>
  <si>
    <t>부강가설산업</t>
    <phoneticPr fontId="2" type="noConversion"/>
  </si>
  <si>
    <t>하남 YBC건설</t>
    <phoneticPr fontId="2" type="noConversion"/>
  </si>
  <si>
    <t>삼광토건</t>
    <phoneticPr fontId="2" type="noConversion"/>
  </si>
  <si>
    <t>대현동 삼광토건</t>
    <phoneticPr fontId="2" type="noConversion"/>
  </si>
  <si>
    <t>월곶 삼부토건</t>
    <phoneticPr fontId="2" type="noConversion"/>
  </si>
  <si>
    <t>농심 안성가리 삼부토건</t>
    <phoneticPr fontId="2" type="noConversion"/>
  </si>
  <si>
    <t>새재건설</t>
    <phoneticPr fontId="2" type="noConversion"/>
  </si>
  <si>
    <t>과천 새재건설</t>
    <phoneticPr fontId="2" type="noConversion"/>
  </si>
  <si>
    <t>성우건설</t>
    <phoneticPr fontId="2" type="noConversion"/>
  </si>
  <si>
    <t>봉담 성우건설</t>
    <phoneticPr fontId="2" type="noConversion"/>
  </si>
  <si>
    <t>세방지게차</t>
  </si>
  <si>
    <t>심샛별</t>
  </si>
  <si>
    <t>송림와이에스건설</t>
    <phoneticPr fontId="2" type="noConversion"/>
  </si>
  <si>
    <t>가산동 송림와이에스건설</t>
    <phoneticPr fontId="2" type="noConversion"/>
  </si>
  <si>
    <t>시온건영</t>
    <phoneticPr fontId="2" type="noConversion"/>
  </si>
  <si>
    <t>부천 시온건영</t>
    <phoneticPr fontId="2" type="noConversion"/>
  </si>
  <si>
    <t>안산 영기건설</t>
    <phoneticPr fontId="2" type="noConversion"/>
  </si>
  <si>
    <t>광주 와이티건설</t>
    <phoneticPr fontId="2" type="noConversion"/>
  </si>
  <si>
    <t>천안 혜민건설</t>
    <phoneticPr fontId="2" type="noConversion"/>
  </si>
  <si>
    <t>성수동 뉴폼코리아 현장</t>
    <phoneticPr fontId="2" type="noConversion"/>
  </si>
  <si>
    <t>조형기술개발</t>
    <phoneticPr fontId="2" type="noConversion"/>
  </si>
  <si>
    <t>파주 조형기술개발</t>
    <phoneticPr fontId="2" type="noConversion"/>
  </si>
  <si>
    <t>유급분</t>
    <phoneticPr fontId="2" type="noConversion"/>
  </si>
  <si>
    <t>김대진</t>
  </si>
  <si>
    <t>한세이엔씨</t>
    <phoneticPr fontId="2" type="noConversion"/>
  </si>
  <si>
    <t>현진씨앤에스</t>
    <phoneticPr fontId="2" type="noConversion"/>
  </si>
  <si>
    <t>가산 계룡건설</t>
    <phoneticPr fontId="2" type="noConversion"/>
  </si>
  <si>
    <t>내역외 공사</t>
  </si>
  <si>
    <t>밀워키 충전원형톱베어툴외</t>
  </si>
  <si>
    <t>대자연이엔지</t>
  </si>
  <si>
    <t>임대훈팀</t>
    <phoneticPr fontId="2" type="noConversion"/>
  </si>
  <si>
    <t>마드레(최원혁)</t>
    <phoneticPr fontId="2" type="noConversion"/>
  </si>
  <si>
    <t>영등포 삼광토건</t>
    <phoneticPr fontId="2" type="noConversion"/>
  </si>
  <si>
    <t>영등포 장비사용료</t>
  </si>
  <si>
    <t>고용보험 8% 공제분 현금처리</t>
    <phoneticPr fontId="2" type="noConversion"/>
  </si>
  <si>
    <t>보쉬배터리</t>
  </si>
  <si>
    <t>김세흔팀 구입</t>
  </si>
  <si>
    <t>마포 백림종합건설 장비사용료</t>
  </si>
  <si>
    <t>영등포 삼광토건 장비사용료</t>
  </si>
  <si>
    <t>의정부 일성토건 장비사용료</t>
  </si>
  <si>
    <t>서울크레인</t>
  </si>
  <si>
    <t>박대성</t>
  </si>
  <si>
    <t>상암중학교크레인작업</t>
  </si>
  <si>
    <t>콩콩지게차</t>
  </si>
  <si>
    <t>김영단</t>
  </si>
  <si>
    <t>마포 백림종합건설</t>
  </si>
  <si>
    <t>건승이엔씨</t>
  </si>
  <si>
    <t xml:space="preserve">김명식팀 </t>
  </si>
  <si>
    <t>부천 심곡동 경유산업개발</t>
  </si>
  <si>
    <t>김포 금농토건</t>
  </si>
  <si>
    <t xml:space="preserve">남양주 한영기건 </t>
  </si>
  <si>
    <t>수원 대자기업</t>
  </si>
  <si>
    <t>윤용준</t>
  </si>
  <si>
    <t>3월식대</t>
  </si>
  <si>
    <t>리치건설</t>
  </si>
  <si>
    <t>안성 기흥피씨</t>
  </si>
  <si>
    <t>대각재</t>
  </si>
  <si>
    <t>비비시스템</t>
  </si>
  <si>
    <t>윤석고팀</t>
  </si>
  <si>
    <t>삼광토건</t>
  </si>
  <si>
    <t xml:space="preserve">대현동 삼광토건 </t>
  </si>
  <si>
    <t xml:space="preserve">영등포 삼광토건 </t>
  </si>
  <si>
    <t>성화설비</t>
  </si>
  <si>
    <t>구로 고려대병원 성화설비</t>
  </si>
  <si>
    <t>논현동 영기건설</t>
  </si>
  <si>
    <t>유대건설</t>
  </si>
  <si>
    <t>이천 유대건설</t>
  </si>
  <si>
    <t>이모네</t>
  </si>
  <si>
    <t>김진애</t>
  </si>
  <si>
    <t xml:space="preserve">영등포 윤중초 GH고흥건설 </t>
  </si>
  <si>
    <t xml:space="preserve">용인 동영종합건설 </t>
  </si>
  <si>
    <t xml:space="preserve">천안 부대동 삼환씨원 </t>
  </si>
  <si>
    <t>군포 라임종합건설</t>
  </si>
  <si>
    <t>중앙디자인</t>
  </si>
  <si>
    <t>구로병원 중앙디자인</t>
  </si>
  <si>
    <t>하랑시스템</t>
  </si>
  <si>
    <t>박강근팀</t>
  </si>
  <si>
    <t>3월 지원</t>
  </si>
  <si>
    <t>세종 빌트에이</t>
  </si>
  <si>
    <t>태성</t>
  </si>
  <si>
    <t>이재호팀 지원(개포동)</t>
  </si>
  <si>
    <t>3월 유급분 고용보험 8% 공제분 현금처리</t>
    <phoneticPr fontId="2" type="noConversion"/>
  </si>
  <si>
    <t>고용보험 8% 공제분 현금처리(2월 유급분)</t>
    <phoneticPr fontId="2" type="noConversion"/>
  </si>
  <si>
    <t>청담 서용건설</t>
  </si>
  <si>
    <t>㈜안강건설로 입금</t>
    <phoneticPr fontId="2" type="noConversion"/>
  </si>
  <si>
    <t>고용보험료 0.8% 공제금액</t>
  </si>
  <si>
    <t>윤s디자인</t>
  </si>
  <si>
    <t>우정미</t>
  </si>
  <si>
    <t>사무실 인테리어</t>
  </si>
  <si>
    <t>계약금 입금</t>
  </si>
  <si>
    <t>부천 해강종합건설</t>
  </si>
  <si>
    <t>정재숙</t>
    <phoneticPr fontId="2" type="noConversion"/>
  </si>
  <si>
    <t>4월 식대</t>
    <phoneticPr fontId="2" type="noConversion"/>
  </si>
  <si>
    <t>진성토건</t>
  </si>
  <si>
    <t xml:space="preserve">김포 열병합발전소 </t>
  </si>
  <si>
    <t>서울대 삼광토건</t>
  </si>
  <si>
    <t xml:space="preserve">주안 메탈로드 </t>
  </si>
  <si>
    <t>유동 경유산업개발</t>
  </si>
  <si>
    <t>도곡동 고이건설</t>
  </si>
  <si>
    <t>김밥천국(푸드카페)</t>
  </si>
  <si>
    <t>김정순</t>
  </si>
  <si>
    <t>4월 식대</t>
  </si>
  <si>
    <t>서대문 삼광토건</t>
  </si>
  <si>
    <t>의정부 동아비앤에이치</t>
  </si>
  <si>
    <t>두코식당</t>
    <phoneticPr fontId="2" type="noConversion"/>
  </si>
  <si>
    <t>라지한식당</t>
    <phoneticPr fontId="2" type="noConversion"/>
  </si>
  <si>
    <t>부운종합건설</t>
  </si>
  <si>
    <t>대현동,여의도 삼광토건</t>
  </si>
  <si>
    <t>시흥 삼부토건</t>
  </si>
  <si>
    <t>논현동 삼부토건</t>
  </si>
  <si>
    <t xml:space="preserve">과천 새재건설 </t>
  </si>
  <si>
    <t>마곡 새재건설</t>
  </si>
  <si>
    <t>논현동 삼부토건</t>
    <phoneticPr fontId="2" type="noConversion"/>
  </si>
  <si>
    <t>논현삼부토건 현장 시스템</t>
    <phoneticPr fontId="2" type="noConversion"/>
  </si>
  <si>
    <t>4월 지원 시스템</t>
  </si>
  <si>
    <t>천안 삼환씨원</t>
  </si>
  <si>
    <t>영등포 윤중초 GH고흥건설</t>
  </si>
  <si>
    <t>정도건업</t>
  </si>
  <si>
    <t>이승용팀 지원</t>
  </si>
  <si>
    <t>황정미</t>
    <phoneticPr fontId="2" type="noConversion"/>
  </si>
  <si>
    <t>충청시스템가설</t>
  </si>
  <si>
    <t>인천 탑엔지니어링</t>
  </si>
  <si>
    <t>박강근팀 지원</t>
  </si>
  <si>
    <t>3월식대 입금</t>
    <phoneticPr fontId="2" type="noConversion"/>
  </si>
  <si>
    <t>마드레(최원혁)</t>
  </si>
  <si>
    <t>다산동 장비사용료</t>
  </si>
  <si>
    <t>사무실 인테리어공사</t>
  </si>
  <si>
    <t>상계동 보미건설</t>
  </si>
  <si>
    <t>시스템(4월분)</t>
    <phoneticPr fontId="2" type="noConversion"/>
  </si>
  <si>
    <t>서용건설</t>
  </si>
  <si>
    <t>은일종합건설</t>
  </si>
  <si>
    <t>위례 거여동 은일종합건설</t>
  </si>
  <si>
    <t>태우이엔지</t>
  </si>
  <si>
    <t xml:space="preserve">남양주 태우이엔지 </t>
  </si>
  <si>
    <t>동원비계</t>
  </si>
  <si>
    <t>이익훈팀 지원</t>
  </si>
  <si>
    <t>114에서 허준지게차</t>
  </si>
  <si>
    <t>허준원</t>
  </si>
  <si>
    <t>지게차(보미건설노원)</t>
  </si>
  <si>
    <t>시스템(5월분)</t>
    <phoneticPr fontId="2" type="noConversion"/>
  </si>
  <si>
    <t>삼척 김명식팀 지원</t>
  </si>
  <si>
    <t xml:space="preserve">가평 서용건설 </t>
  </si>
  <si>
    <t xml:space="preserve">부천 경유산업개발 </t>
  </si>
  <si>
    <t xml:space="preserve">유동 경유산업개발 </t>
  </si>
  <si>
    <t xml:space="preserve">도곡동 고이건설 </t>
  </si>
  <si>
    <t xml:space="preserve">구로 고이건설 </t>
  </si>
  <si>
    <t xml:space="preserve">김포 금농토건 </t>
  </si>
  <si>
    <t>다온</t>
  </si>
  <si>
    <t>구제범팀</t>
  </si>
  <si>
    <t>농협356-1511-5558-63</t>
  </si>
  <si>
    <t>다온시스템</t>
  </si>
  <si>
    <t>이영진팀</t>
  </si>
  <si>
    <t>국민227501-04-405153</t>
  </si>
  <si>
    <t xml:space="preserve">다우기건 </t>
  </si>
  <si>
    <t xml:space="preserve">상계동 보미엔지니어링 </t>
  </si>
  <si>
    <t xml:space="preserve">부강가설산업 </t>
  </si>
  <si>
    <t xml:space="preserve">하남 YBC건설 </t>
  </si>
  <si>
    <t xml:space="preserve">새재건설 </t>
  </si>
  <si>
    <t xml:space="preserve">안양 평촌 새재건설 </t>
  </si>
  <si>
    <t xml:space="preserve">마곡 새재건설 </t>
  </si>
  <si>
    <t>인계동 영기건설</t>
  </si>
  <si>
    <t>지원비</t>
  </si>
  <si>
    <t xml:space="preserve">의왕 승주건설 </t>
    <phoneticPr fontId="2" type="noConversion"/>
  </si>
  <si>
    <t>의왕 승주건설</t>
  </si>
  <si>
    <t xml:space="preserve">봉담 성우건설 </t>
  </si>
  <si>
    <t>성우이엔씨</t>
    <phoneticPr fontId="2" type="noConversion"/>
  </si>
  <si>
    <t xml:space="preserve">성우이엔씨 </t>
  </si>
  <si>
    <t>승주건설</t>
  </si>
  <si>
    <t xml:space="preserve">의왕 승주건설 </t>
  </si>
  <si>
    <t xml:space="preserve">시온건영 </t>
  </si>
  <si>
    <t xml:space="preserve">부천 시온건영 </t>
  </si>
  <si>
    <t>시온시스템</t>
  </si>
  <si>
    <t>조해준팀</t>
  </si>
  <si>
    <t>국민848801-00-110526</t>
  </si>
  <si>
    <t>엘케이건설</t>
  </si>
  <si>
    <t xml:space="preserve">중곡동 엘케이건설 </t>
  </si>
  <si>
    <t xml:space="preserve">수원 인계동 영기건설 </t>
  </si>
  <si>
    <t xml:space="preserve">수원 권선동 영기건설 </t>
  </si>
  <si>
    <t xml:space="preserve">안성 영기건설 </t>
  </si>
  <si>
    <t>위례 거여동 은일종합건설</t>
    <phoneticPr fontId="2" type="noConversion"/>
  </si>
  <si>
    <t>시스템 야간작업</t>
    <phoneticPr fontId="2" type="noConversion"/>
  </si>
  <si>
    <t xml:space="preserve">평택 더존종합건축 </t>
  </si>
  <si>
    <t xml:space="preserve">광주 현건설 </t>
  </si>
  <si>
    <t xml:space="preserve">삼성동 성지우종합건설 </t>
  </si>
  <si>
    <t xml:space="preserve">성수동 장학건설 </t>
  </si>
  <si>
    <t xml:space="preserve">파주 조형기술개발 </t>
  </si>
  <si>
    <t>케이디시스템</t>
  </si>
  <si>
    <t>강성식팀</t>
  </si>
  <si>
    <t>농협351-0827-1689-73</t>
  </si>
  <si>
    <t xml:space="preserve">괴산 평안건설 </t>
  </si>
  <si>
    <t>현진종합건설</t>
  </si>
  <si>
    <t xml:space="preserve">안산 영기건설 </t>
  </si>
  <si>
    <t>다원현수막</t>
  </si>
  <si>
    <t>최호준</t>
  </si>
  <si>
    <t>썬팅및 아크릴다보</t>
  </si>
  <si>
    <t>고용보험료 0.8% 공제</t>
  </si>
  <si>
    <t>전체식 안전벨트</t>
  </si>
  <si>
    <t>4,776,020원 입금</t>
    <phoneticPr fontId="2" type="noConversion"/>
  </si>
  <si>
    <t>태성건기</t>
  </si>
  <si>
    <t>송창원</t>
    <phoneticPr fontId="2" type="noConversion"/>
  </si>
  <si>
    <t>수원 영기건설</t>
  </si>
  <si>
    <t>공상</t>
  </si>
  <si>
    <t>조은시스템</t>
  </si>
  <si>
    <t>신현주</t>
  </si>
  <si>
    <t>건화종합건설</t>
  </si>
  <si>
    <t>서대문 건화종합건설</t>
  </si>
  <si>
    <t>인정시스템</t>
  </si>
  <si>
    <t>박상호팀 지원</t>
  </si>
  <si>
    <t>태선시스템</t>
  </si>
  <si>
    <t>김세년팀 지원</t>
  </si>
  <si>
    <t>안양 새재건설</t>
  </si>
  <si>
    <t>디딤시스템</t>
  </si>
  <si>
    <t>김민승팀 지원</t>
  </si>
  <si>
    <t>중곡동 엘케이건설</t>
  </si>
  <si>
    <t>서초동 고이건설</t>
  </si>
  <si>
    <t>구로 중앙디자인</t>
  </si>
  <si>
    <t>김명식팀 지원</t>
  </si>
  <si>
    <t>수원 인계동 영기건설</t>
  </si>
  <si>
    <t>수원 권선동 영기건설</t>
  </si>
  <si>
    <t xml:space="preserve">오산 성우이엔씨 </t>
  </si>
  <si>
    <t>공상비</t>
  </si>
  <si>
    <t>서대문 삼광토건 식대</t>
  </si>
  <si>
    <t>정통손칼국수</t>
  </si>
  <si>
    <t>김상봉</t>
  </si>
  <si>
    <t>맹광호</t>
  </si>
  <si>
    <t>의왕 승주건설 시스템비계</t>
  </si>
  <si>
    <t>메탈로드</t>
  </si>
  <si>
    <t>주안 메탈로드</t>
  </si>
  <si>
    <t>혁진이엔씨</t>
  </si>
  <si>
    <t>역삼동 혁진이엔씨</t>
  </si>
  <si>
    <t>태성이앤씨</t>
  </si>
  <si>
    <t>이재호팀 지원</t>
  </si>
  <si>
    <t>세종,구리,시흥 지원</t>
  </si>
  <si>
    <t>세종현장 지원</t>
  </si>
  <si>
    <t>계룡건설산업</t>
    <phoneticPr fontId="2" type="noConversion"/>
  </si>
  <si>
    <t>구로 고대병원 계룡건설</t>
  </si>
  <si>
    <t>삼일개발</t>
  </si>
  <si>
    <t>일산 백병원 삼일개발</t>
    <phoneticPr fontId="2" type="noConversion"/>
  </si>
  <si>
    <t>대현동 삼광토건</t>
  </si>
  <si>
    <t>서울 이평종합건설</t>
  </si>
  <si>
    <t>평택 와이티건설</t>
  </si>
  <si>
    <t>효성하이랜더</t>
  </si>
  <si>
    <t>인천 케이엠지</t>
  </si>
  <si>
    <t>하이랜더장비사용료</t>
  </si>
  <si>
    <t>동남건재</t>
  </si>
  <si>
    <t>반생이 구입</t>
  </si>
  <si>
    <t>동양건기</t>
  </si>
  <si>
    <t>배철준</t>
  </si>
  <si>
    <t>인천 탑엔지니어링 지게차</t>
  </si>
  <si>
    <t>밀워키 구입(김진민)</t>
  </si>
  <si>
    <t>디월트 안전화구입(김봉수)</t>
  </si>
  <si>
    <t>자재대금</t>
  </si>
  <si>
    <t>에이치앤피건설</t>
  </si>
  <si>
    <t>의왕 승주건설 시스템</t>
  </si>
  <si>
    <t>자게차사용료</t>
  </si>
  <si>
    <t>밀워키 M18M5</t>
  </si>
  <si>
    <t>김진민팀</t>
  </si>
  <si>
    <t>재온</t>
  </si>
  <si>
    <t>최은정</t>
  </si>
  <si>
    <t>수직보호망</t>
  </si>
  <si>
    <t>대아</t>
  </si>
  <si>
    <t>김영팀</t>
  </si>
  <si>
    <t>가산동 송림와이에스건설</t>
    <phoneticPr fontId="2" type="noConversion"/>
  </si>
  <si>
    <t>제이에이치건설</t>
  </si>
  <si>
    <t>의왕 제이에이치건설</t>
  </si>
  <si>
    <t>일산 백병원 삼일개발</t>
  </si>
  <si>
    <t>부천 인화건설</t>
  </si>
  <si>
    <t>광명 건웅건업</t>
  </si>
  <si>
    <t>범한건설</t>
  </si>
  <si>
    <t>두리시스템</t>
  </si>
  <si>
    <t>새터건설</t>
  </si>
  <si>
    <t>청북 새터건설</t>
  </si>
  <si>
    <t>세종,구리 지원</t>
  </si>
  <si>
    <t>제이에스한창건설</t>
  </si>
  <si>
    <t>인천 제이에스한창건설</t>
  </si>
  <si>
    <t>금아건설</t>
  </si>
  <si>
    <t>하남 금아건설</t>
  </si>
  <si>
    <t>일두건설</t>
  </si>
  <si>
    <t>신촌 일두건설</t>
  </si>
  <si>
    <t>명동,오산 성우이엔씨</t>
  </si>
  <si>
    <t>청주 탑엔지니어링</t>
  </si>
  <si>
    <t>수원 동아비앤에이치</t>
  </si>
  <si>
    <t>에스비산업</t>
  </si>
  <si>
    <t>고용보험료 0.9% 공제금액</t>
    <phoneticPr fontId="2" type="noConversion"/>
  </si>
  <si>
    <t>의왕 승주건설</t>
    <phoneticPr fontId="2" type="noConversion"/>
  </si>
  <si>
    <t>성원시스템</t>
    <phoneticPr fontId="2" type="noConversion"/>
  </si>
  <si>
    <t>시스템(박상도팀)</t>
    <phoneticPr fontId="2" type="noConversion"/>
  </si>
  <si>
    <t>박상도팀</t>
    <phoneticPr fontId="2" type="noConversion"/>
  </si>
  <si>
    <t>하남 금아건설</t>
    <phoneticPr fontId="2" type="noConversion"/>
  </si>
  <si>
    <t>김동주팀</t>
    <phoneticPr fontId="2" type="noConversion"/>
  </si>
  <si>
    <t>도규-자석망치345외</t>
  </si>
  <si>
    <t>밀워키외</t>
  </si>
  <si>
    <t>운송료외</t>
  </si>
  <si>
    <t>알쥐시스템</t>
  </si>
  <si>
    <t>김도경팀</t>
    <phoneticPr fontId="2" type="noConversion"/>
  </si>
  <si>
    <t>시스템시공</t>
  </si>
  <si>
    <t>김동주팀</t>
  </si>
  <si>
    <t>여주 시온건영</t>
  </si>
  <si>
    <t>부천 두리시스템</t>
  </si>
  <si>
    <t>인천 지원</t>
  </si>
  <si>
    <t>남양주 대양종합건설</t>
  </si>
  <si>
    <t>수원 제이에스한창건설</t>
  </si>
  <si>
    <t>가산 송림와이에스건설</t>
  </si>
  <si>
    <t>성수도 장학건설</t>
  </si>
  <si>
    <t>시스템 안전발판(05월~09월)</t>
  </si>
  <si>
    <t>일산 범한건설</t>
  </si>
  <si>
    <t>신선명팀 지원</t>
  </si>
  <si>
    <t>시스템(9월분)</t>
  </si>
  <si>
    <t>본오시스템</t>
  </si>
  <si>
    <t>김주송팀</t>
  </si>
  <si>
    <t>마이나스 발행</t>
    <phoneticPr fontId="2" type="noConversion"/>
  </si>
  <si>
    <t>김도경팀</t>
  </si>
  <si>
    <t>시스템 마이나스 발행</t>
    <phoneticPr fontId="2" type="noConversion"/>
  </si>
  <si>
    <t>유대건설</t>
    <phoneticPr fontId="2" type="noConversion"/>
  </si>
  <si>
    <t>이천 유대건설</t>
    <phoneticPr fontId="2" type="noConversion"/>
  </si>
  <si>
    <t>시스템(3월분 마이나스 발행)</t>
    <phoneticPr fontId="2" type="noConversion"/>
  </si>
  <si>
    <t>시스템(4월분 마이나스 발행)</t>
    <phoneticPr fontId="2" type="noConversion"/>
  </si>
  <si>
    <t>1500D 수직보호망</t>
  </si>
  <si>
    <t>더시스템</t>
  </si>
  <si>
    <t>이종민팀</t>
  </si>
  <si>
    <t>윤S디자인</t>
  </si>
  <si>
    <t>인테리어</t>
  </si>
  <si>
    <t>인테리어 계약금</t>
  </si>
  <si>
    <t>다산건업</t>
  </si>
  <si>
    <t>동원비계</t>
    <phoneticPr fontId="2" type="noConversion"/>
  </si>
  <si>
    <t>이익훈팀</t>
    <phoneticPr fontId="2" type="noConversion"/>
  </si>
  <si>
    <t>비계시공</t>
    <phoneticPr fontId="2" type="noConversion"/>
  </si>
  <si>
    <t>정샘</t>
    <phoneticPr fontId="2" type="noConversion"/>
  </si>
  <si>
    <t>밀워키 M18FIW12-502</t>
    <phoneticPr fontId="2" type="noConversion"/>
  </si>
  <si>
    <t>김주송팀구입</t>
    <phoneticPr fontId="2" type="noConversion"/>
  </si>
  <si>
    <t>본오시스템</t>
    <phoneticPr fontId="2" type="noConversion"/>
  </si>
  <si>
    <t>김주송팀</t>
    <phoneticPr fontId="2" type="noConversion"/>
  </si>
  <si>
    <t>윤S디자인</t>
    <phoneticPr fontId="2" type="noConversion"/>
  </si>
  <si>
    <t>우정미</t>
    <phoneticPr fontId="2" type="noConversion"/>
  </si>
  <si>
    <t>서울대 고이건설</t>
  </si>
  <si>
    <t>케이지산업</t>
  </si>
  <si>
    <t>시스템 지원</t>
  </si>
  <si>
    <t>간석동 경유산업개발</t>
  </si>
  <si>
    <t>입금</t>
    <phoneticPr fontId="2" type="noConversion"/>
  </si>
  <si>
    <t>입금</t>
    <phoneticPr fontId="2" type="noConversion"/>
  </si>
  <si>
    <t>5/25-17,208,500원 입금됨.</t>
    <phoneticPr fontId="2" type="noConversion"/>
  </si>
  <si>
    <t>백만원 선수금 7월분으로 넘김</t>
    <phoneticPr fontId="2" type="noConversion"/>
  </si>
  <si>
    <t>매입</t>
    <phoneticPr fontId="2" type="noConversion"/>
  </si>
  <si>
    <t>지게차 사용료</t>
    <phoneticPr fontId="2" type="noConversion"/>
  </si>
  <si>
    <t>이재욱</t>
    <phoneticPr fontId="2" type="noConversion"/>
  </si>
  <si>
    <t>태성이앤씨</t>
    <phoneticPr fontId="2" type="noConversion"/>
  </si>
  <si>
    <t>이재호팀</t>
    <phoneticPr fontId="2" type="noConversion"/>
  </si>
  <si>
    <t>시스템 동바리</t>
    <phoneticPr fontId="2" type="noConversion"/>
  </si>
  <si>
    <t>조혜준팀</t>
  </si>
  <si>
    <t>시스템(김상동팀)</t>
  </si>
  <si>
    <t>청량리 빌트에이</t>
    <phoneticPr fontId="2" type="noConversion"/>
  </si>
  <si>
    <t>입금(매출과 상계처리함)</t>
    <phoneticPr fontId="2" type="noConversion"/>
  </si>
  <si>
    <t>아산이앤씨</t>
  </si>
  <si>
    <t>성산토건</t>
  </si>
  <si>
    <t>목신아트빌드</t>
  </si>
  <si>
    <t xml:space="preserve">청북 새터건설 </t>
  </si>
  <si>
    <t>향남 태성이엔테크</t>
  </si>
  <si>
    <t>수원 알파건설</t>
  </si>
  <si>
    <t>청량이 빌트에이</t>
  </si>
  <si>
    <t>부천 대원종합건설</t>
  </si>
  <si>
    <t>원주 성우이엔씨</t>
  </si>
  <si>
    <t>판교 아산이앤씨</t>
  </si>
  <si>
    <t>이천 그린생활 신축공사</t>
  </si>
  <si>
    <t>하남 위례 에덴종합건설</t>
  </si>
  <si>
    <t>다산동 6054 동아비앤에이치</t>
  </si>
  <si>
    <t>다산동 6085 동아비앤에이치</t>
  </si>
  <si>
    <t>마포 영기건설</t>
  </si>
  <si>
    <t>매입 상계처리</t>
  </si>
  <si>
    <t>화곡동 886-8</t>
  </si>
  <si>
    <t>동두천 상패동 155</t>
  </si>
  <si>
    <t>10월분</t>
  </si>
  <si>
    <t>18*270000</t>
  </si>
  <si>
    <t>33.2*250000</t>
  </si>
  <si>
    <t>발행일</t>
    <phoneticPr fontId="2" type="noConversion"/>
  </si>
  <si>
    <t>입금일</t>
    <phoneticPr fontId="2" type="noConversion"/>
  </si>
  <si>
    <t>수금금액</t>
    <phoneticPr fontId="2" type="noConversion"/>
  </si>
  <si>
    <t>시스템동바리(8월분)</t>
    <phoneticPr fontId="2" type="noConversion"/>
  </si>
  <si>
    <t>시스템동바리(9월분)</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</si>
  <si>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</si>
  <si>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</si>
  <si>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</si>
  <si>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</si>
  <si>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</si>
  <si>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</si>
  <si>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</si>
  <si>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</si>
  <si>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운반비외</t>
  </si>
  <si>
    <t>시스템비계(김상동팀)</t>
  </si>
  <si>
    <t>입금</t>
    <phoneticPr fontId="2" type="noConversion"/>
  </si>
  <si>
    <t>입금</t>
    <phoneticPr fontId="2" type="noConversion"/>
  </si>
  <si>
    <t>이재욱</t>
    <phoneticPr fontId="2" type="noConversion"/>
  </si>
  <si>
    <t>매입</t>
    <phoneticPr fontId="2" type="noConversion"/>
  </si>
  <si>
    <t>태성가설산업</t>
    <phoneticPr fontId="2" type="noConversion"/>
  </si>
  <si>
    <t>이재호팀</t>
    <phoneticPr fontId="2" type="noConversion"/>
  </si>
  <si>
    <t>시스템 동바리</t>
    <phoneticPr fontId="2" type="noConversion"/>
  </si>
  <si>
    <t>이재욱</t>
    <phoneticPr fontId="2" type="noConversion"/>
  </si>
  <si>
    <t>비비시스템</t>
    <phoneticPr fontId="2" type="noConversion"/>
  </si>
  <si>
    <t>윤석고팀</t>
    <phoneticPr fontId="2" type="noConversion"/>
  </si>
  <si>
    <t>시스템</t>
    <phoneticPr fontId="2" type="noConversion"/>
  </si>
  <si>
    <t>입금</t>
    <phoneticPr fontId="2" type="noConversion"/>
  </si>
  <si>
    <t>중앙종합건설</t>
  </si>
  <si>
    <t>준우건설</t>
  </si>
  <si>
    <t>다음종합건설</t>
  </si>
  <si>
    <t>호계동 현송건설</t>
  </si>
  <si>
    <t>화성 IBT</t>
  </si>
  <si>
    <t xml:space="preserve">의정부 한경기건 </t>
  </si>
  <si>
    <t>평택 준우건설</t>
  </si>
  <si>
    <t>22년 11월분 안전발판</t>
  </si>
  <si>
    <t>인천 용현동 463-33</t>
  </si>
  <si>
    <t>남양주 다산6054 현장</t>
  </si>
  <si>
    <t>천호동 동아비앤에이치</t>
  </si>
  <si>
    <t>남양주 다산6085 현장</t>
  </si>
  <si>
    <t>한국오츠카제약 향남현장</t>
  </si>
  <si>
    <t>청량리 빌트에이</t>
  </si>
  <si>
    <t xml:space="preserve">수직보호망 </t>
  </si>
  <si>
    <t>빌트에이(매입)</t>
    <phoneticPr fontId="2" type="noConversion"/>
  </si>
  <si>
    <t>입금</t>
    <phoneticPr fontId="2" type="noConversion"/>
  </si>
  <si>
    <t>김주송</t>
  </si>
  <si>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</si>
  <si>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</si>
  <si>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</si>
  <si>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</si>
  <si>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</si>
  <si>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</si>
  <si>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밀워키 M18FIW212-0 베어툴외</t>
  </si>
  <si>
    <t>반월단자</t>
  </si>
  <si>
    <t>김기영</t>
  </si>
  <si>
    <t>케이블타이</t>
  </si>
  <si>
    <t>입금</t>
    <phoneticPr fontId="2" type="noConversion"/>
  </si>
  <si>
    <t>입금</t>
    <phoneticPr fontId="2" type="noConversion"/>
  </si>
  <si>
    <t>입금</t>
    <phoneticPr fontId="2" type="noConversion"/>
  </si>
  <si>
    <t>입금</t>
    <phoneticPr fontId="2" type="noConversion"/>
  </si>
  <si>
    <t>입금</t>
    <phoneticPr fontId="2" type="noConversion"/>
  </si>
  <si>
    <t>10월~11월분 같이 입금</t>
    <phoneticPr fontId="2" type="noConversion"/>
  </si>
  <si>
    <t>입금</t>
    <phoneticPr fontId="2" type="noConversion"/>
  </si>
  <si>
    <t>김상동 시스템동바리,비계</t>
  </si>
  <si>
    <t>스마트머터리얼즈</t>
  </si>
  <si>
    <t>명성 인테리어</t>
  </si>
  <si>
    <t>대양종합건설</t>
  </si>
  <si>
    <t>자이 C&amp;A 현장</t>
  </si>
  <si>
    <t>의정도 한경기건</t>
  </si>
  <si>
    <t>인천 가정동 경유산업개발</t>
  </si>
  <si>
    <t>상봉동 탑엔지니어링</t>
  </si>
  <si>
    <t>양주 아성케이비건설</t>
  </si>
  <si>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</si>
  <si>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</si>
  <si>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</si>
  <si>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</si>
  <si>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</si>
  <si>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</si>
  <si>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현송건설</t>
  </si>
  <si>
    <t>단산동 6095</t>
  </si>
  <si>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</si>
  <si>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</si>
  <si>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</si>
  <si>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</si>
  <si>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</si>
  <si>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</si>
  <si>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</si>
  <si>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</si>
  <si>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</si>
  <si>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박상근팀</t>
  </si>
  <si>
    <t>박상도팀</t>
  </si>
  <si>
    <t>시스템동바리,비계(김상동)</t>
  </si>
  <si>
    <t>㈜동언종합건설</t>
  </si>
  <si>
    <t>대원종합건설</t>
  </si>
  <si>
    <t>남양주 퇴계원리 44-43</t>
  </si>
  <si>
    <t xml:space="preserve">동두천 브라운스톤 </t>
  </si>
  <si>
    <t>이종민팀 지원</t>
  </si>
  <si>
    <t>부평 정도건설</t>
  </si>
  <si>
    <t>의정부 한경기건</t>
  </si>
  <si>
    <t>식사동 617-2번지 한경기건</t>
  </si>
  <si>
    <t>성남문원중 아성케이비건설</t>
  </si>
  <si>
    <t>다산동 6095</t>
  </si>
  <si>
    <t>이천 성산토건</t>
  </si>
  <si>
    <t>평택 와이티건설 직영작업</t>
  </si>
  <si>
    <t>하남 에덴종합건설</t>
  </si>
  <si>
    <t>공급가 7,980,000원 기준</t>
    <phoneticPr fontId="2" type="noConversion"/>
  </si>
  <si>
    <t>입금</t>
    <phoneticPr fontId="2" type="noConversion"/>
  </si>
  <si>
    <t>1월 지게차 사용료</t>
  </si>
  <si>
    <t>매출과 상계처리</t>
  </si>
  <si>
    <t>입금</t>
    <phoneticPr fontId="2" type="noConversion"/>
  </si>
  <si>
    <t>입금</t>
    <phoneticPr fontId="2" type="noConversion"/>
  </si>
  <si>
    <t>입금</t>
    <phoneticPr fontId="2" type="noConversion"/>
  </si>
  <si>
    <t>에이스시스템비계</t>
  </si>
  <si>
    <t>역삼동 휴림종합건설</t>
  </si>
  <si>
    <t>입금</t>
    <phoneticPr fontId="2" type="noConversion"/>
  </si>
  <si>
    <t>입</t>
    <phoneticPr fontId="2" type="noConversion"/>
  </si>
  <si>
    <t>입금</t>
    <phoneticPr fontId="2" type="noConversion"/>
  </si>
  <si>
    <t>입금</t>
    <phoneticPr fontId="2" type="noConversion"/>
  </si>
  <si>
    <t>신해공영㈜로 입금 됨</t>
    <phoneticPr fontId="2" type="noConversion"/>
  </si>
  <si>
    <t>입금</t>
    <phoneticPr fontId="2" type="noConversion"/>
  </si>
  <si>
    <t>입금</t>
    <phoneticPr fontId="2" type="noConversion"/>
  </si>
  <si>
    <t>잡손실처리</t>
    <phoneticPr fontId="2" type="noConversion"/>
  </si>
  <si>
    <t>청북시스템으로 입금</t>
    <phoneticPr fontId="2" type="noConversion"/>
  </si>
  <si>
    <t>매입</t>
    <phoneticPr fontId="2" type="noConversion"/>
  </si>
  <si>
    <t>대원종합건설</t>
    <phoneticPr fontId="2" type="noConversion"/>
  </si>
  <si>
    <t>부천 대원종합건설</t>
    <phoneticPr fontId="2" type="noConversion"/>
  </si>
  <si>
    <t>시스템</t>
    <phoneticPr fontId="2" type="noConversion"/>
  </si>
  <si>
    <t>이재욱</t>
    <phoneticPr fontId="2" type="noConversion"/>
  </si>
  <si>
    <t>입금</t>
    <phoneticPr fontId="2" type="noConversion"/>
  </si>
  <si>
    <t>춘천 탑엔지니어링</t>
  </si>
  <si>
    <t>파주 조형기술 개발</t>
  </si>
  <si>
    <t>고용보험료 0.9% 공제</t>
  </si>
  <si>
    <t>신한기업</t>
  </si>
  <si>
    <t>포천 탑엔지니어링</t>
  </si>
  <si>
    <t>건설가설자재</t>
  </si>
  <si>
    <t>입금</t>
    <phoneticPr fontId="2" type="noConversion"/>
  </si>
  <si>
    <t>시스템(박강근팀)</t>
  </si>
  <si>
    <t>시스템(김동주팀)</t>
  </si>
  <si>
    <t>시스템(손명훈팀)</t>
  </si>
  <si>
    <t>한주가설재</t>
  </si>
  <si>
    <t>윤정건설</t>
  </si>
  <si>
    <t>광명 고이건설</t>
  </si>
  <si>
    <t xml:space="preserve">안산 진원석재 </t>
  </si>
  <si>
    <t>다산동 6085</t>
  </si>
  <si>
    <t>용산 윤정건설</t>
  </si>
  <si>
    <t xml:space="preserve">포천 탑엔지니어링 </t>
  </si>
  <si>
    <t>시스템비계 임대료</t>
  </si>
  <si>
    <t>설계비</t>
  </si>
  <si>
    <t>포천 비즈니스센터</t>
  </si>
  <si>
    <t>입금</t>
    <phoneticPr fontId="2" type="noConversion"/>
  </si>
  <si>
    <t>매출</t>
    <phoneticPr fontId="2" type="noConversion"/>
  </si>
  <si>
    <t>범한건설</t>
    <phoneticPr fontId="2" type="noConversion"/>
  </si>
  <si>
    <t>일산 범한건설</t>
    <phoneticPr fontId="2" type="noConversion"/>
  </si>
  <si>
    <t>시스템</t>
    <phoneticPr fontId="2" type="noConversion"/>
  </si>
  <si>
    <t>입금</t>
    <phoneticPr fontId="2" type="noConversion"/>
  </si>
  <si>
    <t>입금</t>
    <phoneticPr fontId="2" type="noConversion"/>
  </si>
  <si>
    <t>입금</t>
    <phoneticPr fontId="2" type="noConversion"/>
  </si>
  <si>
    <t>지게차 사용 공제</t>
  </si>
  <si>
    <t>입금</t>
    <phoneticPr fontId="2" type="noConversion"/>
  </si>
  <si>
    <t>입금</t>
    <phoneticPr fontId="2" type="noConversion"/>
  </si>
  <si>
    <t>입금</t>
    <phoneticPr fontId="2" type="noConversion"/>
  </si>
  <si>
    <t>입금</t>
    <phoneticPr fontId="2" type="noConversion"/>
  </si>
  <si>
    <t>입금</t>
    <phoneticPr fontId="2" type="noConversion"/>
  </si>
  <si>
    <t>천룡크레인</t>
  </si>
  <si>
    <t>재원중기</t>
  </si>
  <si>
    <t>남양주 동아비엔에이치</t>
  </si>
  <si>
    <t>입금</t>
    <phoneticPr fontId="2" type="noConversion"/>
  </si>
  <si>
    <t>시스템 동바리 비계</t>
  </si>
  <si>
    <t>양주 제이에스한창건설</t>
  </si>
  <si>
    <t>입금</t>
    <phoneticPr fontId="2" type="noConversion"/>
  </si>
  <si>
    <t>청북으로 입금</t>
    <phoneticPr fontId="2" type="noConversion"/>
  </si>
  <si>
    <t>정온</t>
  </si>
  <si>
    <t>윤영우팀</t>
  </si>
  <si>
    <t>건설가설자재 임대료</t>
  </si>
  <si>
    <t>입금</t>
    <phoneticPr fontId="2" type="noConversion"/>
  </si>
  <si>
    <t>입금</t>
    <phoneticPr fontId="2" type="noConversion"/>
  </si>
  <si>
    <t>부영시스템</t>
  </si>
  <si>
    <t>백승주팀 지원</t>
  </si>
  <si>
    <t>입금</t>
    <phoneticPr fontId="2" type="noConversion"/>
  </si>
  <si>
    <t>에스제이이앤씨</t>
  </si>
  <si>
    <t>꾼시스템</t>
  </si>
  <si>
    <t>고양 한경기건</t>
  </si>
  <si>
    <t>광명 이다포스</t>
  </si>
  <si>
    <t>양주 지식산업센터 세척망</t>
  </si>
  <si>
    <t>포천 성우이엔씨</t>
  </si>
  <si>
    <t>다산동 6054</t>
  </si>
  <si>
    <t>다산동 6054 직영분</t>
  </si>
  <si>
    <t>김포 동아비앤에이치</t>
  </si>
  <si>
    <t>안산 진원석재</t>
  </si>
  <si>
    <t>논현동 파이브엔씨</t>
  </si>
  <si>
    <t>박종석팀 지원</t>
  </si>
  <si>
    <t>이주경팀 지원</t>
  </si>
  <si>
    <t>세척망</t>
  </si>
  <si>
    <t>입금</t>
    <phoneticPr fontId="2" type="noConversion"/>
  </si>
  <si>
    <t>입금</t>
    <phoneticPr fontId="2" type="noConversion"/>
  </si>
  <si>
    <t>대림동 포엠씨엔디</t>
  </si>
  <si>
    <t>건설가설자재(시스템 동바리)</t>
  </si>
  <si>
    <t>입금</t>
    <phoneticPr fontId="2" type="noConversion"/>
  </si>
  <si>
    <t>홍보인테리어</t>
  </si>
  <si>
    <t>의왕 홍보인테리어</t>
  </si>
  <si>
    <t>남명건설</t>
  </si>
  <si>
    <t>남양주 남명건설</t>
  </si>
  <si>
    <t>시스템 발판 2월분</t>
  </si>
  <si>
    <t>시스템 발판 3월분</t>
  </si>
  <si>
    <t>시스템 안전발판</t>
  </si>
  <si>
    <t xml:space="preserve">시스템 안전발판 </t>
    <phoneticPr fontId="2" type="noConversion"/>
  </si>
  <si>
    <t>매출</t>
    <phoneticPr fontId="2" type="noConversion"/>
  </si>
  <si>
    <t>빌트에이</t>
    <phoneticPr fontId="2" type="noConversion"/>
  </si>
  <si>
    <t>청량리 빌트에이</t>
    <phoneticPr fontId="2" type="noConversion"/>
  </si>
  <si>
    <t>지게차사용 공제</t>
    <phoneticPr fontId="2" type="noConversion"/>
  </si>
  <si>
    <t>이재욱</t>
    <phoneticPr fontId="2" type="noConversion"/>
  </si>
  <si>
    <t>입금</t>
    <phoneticPr fontId="2" type="noConversion"/>
  </si>
  <si>
    <t>입금</t>
    <phoneticPr fontId="2" type="noConversion"/>
  </si>
  <si>
    <t>마드레(최원혁)</t>
    <phoneticPr fontId="2" type="noConversion"/>
  </si>
  <si>
    <t>입금</t>
    <phoneticPr fontId="2" type="noConversion"/>
  </si>
  <si>
    <t>입금</t>
    <phoneticPr fontId="2" type="noConversion"/>
  </si>
  <si>
    <t>입금</t>
    <phoneticPr fontId="2" type="noConversion"/>
  </si>
  <si>
    <t>입금</t>
    <phoneticPr fontId="2" type="noConversion"/>
  </si>
  <si>
    <t>4/27 1,500만원 입금</t>
    <phoneticPr fontId="2" type="noConversion"/>
  </si>
  <si>
    <t>매입</t>
    <phoneticPr fontId="2" type="noConversion"/>
  </si>
  <si>
    <t>신한기업</t>
    <phoneticPr fontId="2" type="noConversion"/>
  </si>
  <si>
    <t>포천 탑엔지니어링</t>
    <phoneticPr fontId="2" type="noConversion"/>
  </si>
  <si>
    <t>건설가설자재 비계 임대료</t>
    <phoneticPr fontId="2" type="noConversion"/>
  </si>
  <si>
    <t>이재욱</t>
    <phoneticPr fontId="2" type="noConversion"/>
  </si>
  <si>
    <t>입금</t>
    <phoneticPr fontId="2" type="noConversion"/>
  </si>
  <si>
    <t>4/28-660만원 입금 순차적으로 입금잡음</t>
    <phoneticPr fontId="2" type="noConversion"/>
  </si>
  <si>
    <t>17,716,160원 입금(광명+서초동 같이 입금)</t>
    <phoneticPr fontId="2" type="noConversion"/>
  </si>
  <si>
    <t>14,768,600원입금</t>
    <phoneticPr fontId="2" type="noConversion"/>
  </si>
  <si>
    <t>입금</t>
    <phoneticPr fontId="2" type="noConversion"/>
  </si>
  <si>
    <t>돈돼지맛돼지</t>
  </si>
  <si>
    <t>4월식대</t>
  </si>
  <si>
    <t>입금</t>
    <phoneticPr fontId="2" type="noConversion"/>
  </si>
  <si>
    <t>입금</t>
    <phoneticPr fontId="2" type="noConversion"/>
  </si>
  <si>
    <t>3월분</t>
    <phoneticPr fontId="2" type="noConversion"/>
  </si>
  <si>
    <t>입금</t>
    <phoneticPr fontId="2" type="noConversion"/>
  </si>
  <si>
    <t>안전발판</t>
    <phoneticPr fontId="2" type="noConversion"/>
  </si>
  <si>
    <t>입금</t>
    <phoneticPr fontId="2" type="noConversion"/>
  </si>
  <si>
    <t>매입</t>
    <phoneticPr fontId="2" type="noConversion"/>
  </si>
  <si>
    <t>성심시스템</t>
    <phoneticPr fontId="2" type="noConversion"/>
  </si>
  <si>
    <t>서울대 고이건설</t>
    <phoneticPr fontId="2" type="noConversion"/>
  </si>
  <si>
    <t>시스템</t>
    <phoneticPr fontId="2" type="noConversion"/>
  </si>
  <si>
    <t>이재욱</t>
    <phoneticPr fontId="2" type="noConversion"/>
  </si>
  <si>
    <t>킹콩</t>
  </si>
  <si>
    <t>안전망</t>
  </si>
  <si>
    <t>가좌동 보브종합건설</t>
  </si>
  <si>
    <t>중선아이티씨</t>
  </si>
  <si>
    <t>더블유건설</t>
  </si>
  <si>
    <t>제이에스시스템</t>
  </si>
  <si>
    <t>인성건업</t>
  </si>
  <si>
    <t>태성가설산업</t>
  </si>
  <si>
    <t>코리아디케이에스</t>
  </si>
  <si>
    <t>고양 탑엔지니어링</t>
  </si>
  <si>
    <t>고려대학교 구로병원</t>
  </si>
  <si>
    <t>부평 태평연립</t>
  </si>
  <si>
    <t>김포 리움건설</t>
  </si>
  <si>
    <t>안양 관양동 더블유건설</t>
  </si>
  <si>
    <t>가평 서용건설 3월분</t>
  </si>
  <si>
    <t>남양주 다산동 6085</t>
  </si>
  <si>
    <t>양주 준우건설 현장</t>
  </si>
  <si>
    <t>동두천 시온건영 현장</t>
  </si>
  <si>
    <t>청담,하남,선릉 지원비</t>
  </si>
  <si>
    <t>잠실 dks현장</t>
  </si>
  <si>
    <t>시스템 비계 임대</t>
  </si>
  <si>
    <t>시스템 비계 직영품</t>
  </si>
  <si>
    <t>입금</t>
    <phoneticPr fontId="2" type="noConversion"/>
  </si>
  <si>
    <t>포천 탑엔지니어링</t>
    <phoneticPr fontId="2" type="noConversion"/>
  </si>
  <si>
    <t>포천 탑엔지니어링</t>
    <phoneticPr fontId="2" type="noConversion"/>
  </si>
  <si>
    <t>조해준팀</t>
    <phoneticPr fontId="2" type="noConversion"/>
  </si>
  <si>
    <t>시스템지원</t>
    <phoneticPr fontId="2" type="noConversion"/>
  </si>
  <si>
    <t>이재호팀</t>
    <phoneticPr fontId="2" type="noConversion"/>
  </si>
  <si>
    <t>안산지원</t>
    <phoneticPr fontId="2" type="noConversion"/>
  </si>
  <si>
    <t>김승진팀-&gt;조해준팀 지원</t>
    <phoneticPr fontId="2" type="noConversion"/>
  </si>
  <si>
    <t>입금</t>
    <phoneticPr fontId="2" type="noConversion"/>
  </si>
  <si>
    <t>입금</t>
    <phoneticPr fontId="2" type="noConversion"/>
  </si>
  <si>
    <t>입금</t>
    <phoneticPr fontId="2" type="noConversion"/>
  </si>
  <si>
    <t>평택 와이티건설</t>
    <phoneticPr fontId="2" type="noConversion"/>
  </si>
  <si>
    <t>입금</t>
    <phoneticPr fontId="2" type="noConversion"/>
  </si>
  <si>
    <t>구로 중선아이티</t>
  </si>
  <si>
    <t>시스템(식대공제)</t>
  </si>
  <si>
    <t>입금</t>
    <phoneticPr fontId="2" type="noConversion"/>
  </si>
  <si>
    <t>입금</t>
    <phoneticPr fontId="2" type="noConversion"/>
  </si>
  <si>
    <t>입금</t>
    <phoneticPr fontId="2" type="noConversion"/>
  </si>
  <si>
    <t>매출</t>
    <phoneticPr fontId="2" type="noConversion"/>
  </si>
  <si>
    <t>입금</t>
    <phoneticPr fontId="2" type="noConversion"/>
  </si>
  <si>
    <t>입금</t>
    <phoneticPr fontId="2" type="noConversion"/>
  </si>
  <si>
    <t>입금</t>
    <phoneticPr fontId="2" type="noConversion"/>
  </si>
  <si>
    <t>이준수팀</t>
    <phoneticPr fontId="2" type="noConversion"/>
  </si>
  <si>
    <t>김세년팀 지원감</t>
    <phoneticPr fontId="2" type="noConversion"/>
  </si>
  <si>
    <t>입금</t>
    <phoneticPr fontId="2" type="noConversion"/>
  </si>
  <si>
    <t>인천 가좌동 장비사용료</t>
  </si>
  <si>
    <t>탑엔지니어링(나재학)</t>
    <phoneticPr fontId="2" type="noConversion"/>
  </si>
  <si>
    <t>가좌동 보브종합건설</t>
    <phoneticPr fontId="2" type="noConversion"/>
  </si>
  <si>
    <t>입금</t>
    <phoneticPr fontId="2" type="noConversion"/>
  </si>
  <si>
    <t>입금</t>
    <phoneticPr fontId="2" type="noConversion"/>
  </si>
  <si>
    <t>입금</t>
    <phoneticPr fontId="2" type="noConversion"/>
  </si>
  <si>
    <t>양촌지게차</t>
  </si>
  <si>
    <t>5월 지게차 사용료</t>
  </si>
  <si>
    <t>건설기계임대료</t>
  </si>
  <si>
    <t>대림동 포엠씨엠디(740-2)</t>
  </si>
  <si>
    <t>건설가설자재비계 임대료</t>
  </si>
  <si>
    <t>대림동 포엠씨엠디</t>
  </si>
  <si>
    <t>구조검토비(740-2,779-19번지)</t>
  </si>
  <si>
    <t>대림동 포엠씨엠디(779-19)</t>
  </si>
  <si>
    <t>건설가설자재동바리 임대료</t>
  </si>
  <si>
    <t>포천 탑 지원비</t>
  </si>
  <si>
    <t>정보가설</t>
  </si>
  <si>
    <t>가설재외 임대료</t>
  </si>
  <si>
    <t>아이비가설산업</t>
  </si>
  <si>
    <t>시스템동바리 임대료</t>
  </si>
  <si>
    <t>쓰리노</t>
  </si>
  <si>
    <t>포엠씨앤디</t>
  </si>
  <si>
    <t>고양시스템</t>
  </si>
  <si>
    <t>태양시스템</t>
  </si>
  <si>
    <t>이송건설</t>
  </si>
  <si>
    <t>씨에이치지건설</t>
  </si>
  <si>
    <t>차량매각(75하8861)</t>
  </si>
  <si>
    <t>잠실 디케이에스</t>
  </si>
  <si>
    <t>대구 디케이에스</t>
  </si>
  <si>
    <t>최영우팀 지원</t>
  </si>
  <si>
    <t xml:space="preserve">인천 남동 탑엔지니어링 </t>
  </si>
  <si>
    <t>남대문 에너지플러스 인화건설</t>
  </si>
  <si>
    <t>화성 삼송종합건설</t>
  </si>
  <si>
    <t>김포 협성공사</t>
  </si>
  <si>
    <t>부천 정도건설</t>
  </si>
  <si>
    <t>인천 삼광토건</t>
  </si>
  <si>
    <t>서초 고이건설</t>
  </si>
  <si>
    <t>별내 고이건설</t>
  </si>
  <si>
    <t>안산 이송건설</t>
  </si>
  <si>
    <t>송파 원진건설산업</t>
  </si>
  <si>
    <t xml:space="preserve">동탄94블럭 </t>
  </si>
  <si>
    <t>양주 준우건설</t>
  </si>
  <si>
    <t>구조검토비</t>
  </si>
  <si>
    <t>대림동 779-19번지</t>
  </si>
  <si>
    <t>대림동 740-2번지</t>
  </si>
  <si>
    <t>양주 한창건설</t>
  </si>
  <si>
    <t>비계 임대료</t>
  </si>
  <si>
    <t>대구,당진지원</t>
  </si>
  <si>
    <t>송도 경유산업개발</t>
  </si>
  <si>
    <t>명동 화이자 인화건설</t>
  </si>
  <si>
    <t>입금</t>
    <phoneticPr fontId="2" type="noConversion"/>
  </si>
  <si>
    <t>입금</t>
    <phoneticPr fontId="2" type="noConversion"/>
  </si>
  <si>
    <t>입금</t>
    <phoneticPr fontId="2" type="noConversion"/>
  </si>
  <si>
    <t>입금</t>
    <phoneticPr fontId="2" type="noConversion"/>
  </si>
  <si>
    <t>취암스틸</t>
  </si>
  <si>
    <t>각관구입</t>
  </si>
  <si>
    <t>이천 고이건설</t>
  </si>
  <si>
    <t>입금</t>
    <phoneticPr fontId="2" type="noConversion"/>
  </si>
  <si>
    <t>42,958,783입금(1,523,550원 더 입금됨)</t>
    <phoneticPr fontId="2" type="noConversion"/>
  </si>
  <si>
    <t>5/26 선입금분으로 입금 잡음</t>
    <phoneticPr fontId="2" type="noConversion"/>
  </si>
  <si>
    <t>각관(HGI)외 1건</t>
  </si>
  <si>
    <t>입금</t>
    <phoneticPr fontId="2" type="noConversion"/>
  </si>
  <si>
    <t xml:space="preserve">6월 매출과 상계처리 </t>
    <phoneticPr fontId="2" type="noConversion"/>
  </si>
  <si>
    <t>입금</t>
    <phoneticPr fontId="2" type="noConversion"/>
  </si>
  <si>
    <t>관악구성심지게차</t>
  </si>
  <si>
    <t>입금</t>
    <phoneticPr fontId="2" type="noConversion"/>
  </si>
  <si>
    <t>비계임대료</t>
  </si>
  <si>
    <t>이종훈</t>
    <phoneticPr fontId="2" type="noConversion"/>
  </si>
  <si>
    <t>양주 제이에스한창건설</t>
    <phoneticPr fontId="2" type="noConversion"/>
  </si>
  <si>
    <t>39,132,896원 입금됨</t>
    <phoneticPr fontId="2" type="noConversion"/>
  </si>
  <si>
    <t>입금</t>
    <phoneticPr fontId="2" type="noConversion"/>
  </si>
  <si>
    <t>입금</t>
    <phoneticPr fontId="2" type="noConversion"/>
  </si>
  <si>
    <t>송파 원진건설산업</t>
    <phoneticPr fontId="2" type="noConversion"/>
  </si>
  <si>
    <t>매입</t>
    <phoneticPr fontId="2" type="noConversion"/>
  </si>
  <si>
    <t>아이비가설산업</t>
    <phoneticPr fontId="2" type="noConversion"/>
  </si>
  <si>
    <t>송파 원진건설산업</t>
    <phoneticPr fontId="2" type="noConversion"/>
  </si>
  <si>
    <t>시스템 동바리 자재임대</t>
    <phoneticPr fontId="2" type="noConversion"/>
  </si>
  <si>
    <t>이재욱</t>
    <phoneticPr fontId="2" type="noConversion"/>
  </si>
  <si>
    <t>윤성시스템</t>
    <phoneticPr fontId="2" type="noConversion"/>
  </si>
  <si>
    <t>여주 시온건영</t>
    <phoneticPr fontId="2" type="noConversion"/>
  </si>
  <si>
    <t>시스템 동바리 비계</t>
    <phoneticPr fontId="2" type="noConversion"/>
  </si>
  <si>
    <t>성심시스템</t>
    <phoneticPr fontId="2" type="noConversion"/>
  </si>
  <si>
    <t>서울대 고이건설</t>
    <phoneticPr fontId="2" type="noConversion"/>
  </si>
  <si>
    <t>시스템</t>
    <phoneticPr fontId="2" type="noConversion"/>
  </si>
  <si>
    <t>가좌동 보브종합건설</t>
    <phoneticPr fontId="2" type="noConversion"/>
  </si>
  <si>
    <t>입금</t>
    <phoneticPr fontId="2" type="noConversion"/>
  </si>
  <si>
    <t>한진</t>
  </si>
  <si>
    <t>유성이앤지건설</t>
  </si>
  <si>
    <t>풍창건설</t>
  </si>
  <si>
    <t>오원건설</t>
  </si>
  <si>
    <t>정명건설산업</t>
  </si>
  <si>
    <t>리더스시스템</t>
  </si>
  <si>
    <t>성광렌텍</t>
  </si>
  <si>
    <t>에이치케이안전시스템</t>
  </si>
  <si>
    <t>미창건설</t>
  </si>
  <si>
    <t>디피건설</t>
  </si>
  <si>
    <t>용인 엘케이건설</t>
  </si>
  <si>
    <t>인천 아시아드 풍창건설</t>
  </si>
  <si>
    <t>용산 서호교회 오원건설</t>
  </si>
  <si>
    <t xml:space="preserve">부평동 533-3번지 정도건설 </t>
  </si>
  <si>
    <t>수도포병여단668대대</t>
  </si>
  <si>
    <t>전현우팀</t>
  </si>
  <si>
    <t>이준수팀</t>
  </si>
  <si>
    <t>안산 대부도 명현건설</t>
  </si>
  <si>
    <t>서울대 HK안전</t>
  </si>
  <si>
    <t>고양 현진건설</t>
  </si>
  <si>
    <t>과천 미창건설</t>
  </si>
  <si>
    <t>양천구 동아비앤에이치</t>
  </si>
  <si>
    <t>동탄94블럭 (김세년팀)</t>
  </si>
  <si>
    <t>동탄94블럭 (이재욱팀)</t>
  </si>
  <si>
    <t>아산현장(김세년팀)</t>
  </si>
  <si>
    <t>동해현장(김세년팀)</t>
  </si>
  <si>
    <t>파주 두송건설</t>
  </si>
  <si>
    <t>남대문 인화건설</t>
  </si>
  <si>
    <t>바이백</t>
  </si>
  <si>
    <t xml:space="preserve">석송초등학교 </t>
  </si>
  <si>
    <t>멍에재</t>
  </si>
  <si>
    <t>임대료</t>
  </si>
  <si>
    <t>입금</t>
    <phoneticPr fontId="2" type="noConversion"/>
  </si>
  <si>
    <t>삼창운수</t>
  </si>
  <si>
    <t>안성하차</t>
  </si>
  <si>
    <t>차량매각</t>
  </si>
  <si>
    <t>입금</t>
    <phoneticPr fontId="2" type="noConversion"/>
  </si>
  <si>
    <t>안양 새재현장 2월분 과입금분 반환</t>
    <phoneticPr fontId="2" type="noConversion"/>
  </si>
  <si>
    <t>식대 1,812,250원 빼고 수정발행</t>
    <phoneticPr fontId="2" type="noConversion"/>
  </si>
  <si>
    <t>입금</t>
    <phoneticPr fontId="2" type="noConversion"/>
  </si>
  <si>
    <t>개별화물</t>
  </si>
  <si>
    <t>입금</t>
    <phoneticPr fontId="2" type="noConversion"/>
  </si>
  <si>
    <t>다인과파트너</t>
  </si>
  <si>
    <t>추가검토비</t>
  </si>
  <si>
    <t>입금</t>
    <phoneticPr fontId="2" type="noConversion"/>
  </si>
  <si>
    <t>입금</t>
    <phoneticPr fontId="2" type="noConversion"/>
  </si>
  <si>
    <t>입금</t>
    <phoneticPr fontId="2" type="noConversion"/>
  </si>
  <si>
    <t>입금</t>
    <phoneticPr fontId="2" type="noConversion"/>
  </si>
  <si>
    <t>5공수 입금 받음.</t>
    <phoneticPr fontId="2" type="noConversion"/>
  </si>
  <si>
    <t>입금</t>
    <phoneticPr fontId="2" type="noConversion"/>
  </si>
  <si>
    <t>방배동, 포천 성우이엔씨</t>
    <phoneticPr fontId="2" type="noConversion"/>
  </si>
  <si>
    <t>입금</t>
    <phoneticPr fontId="2" type="noConversion"/>
  </si>
  <si>
    <t>입금</t>
    <phoneticPr fontId="2" type="noConversion"/>
  </si>
  <si>
    <t>각관외 4건</t>
  </si>
  <si>
    <t>입금</t>
    <phoneticPr fontId="2" type="noConversion"/>
  </si>
  <si>
    <t>건설가설자재 임대</t>
  </si>
  <si>
    <t>57,416,414원 입금됨</t>
    <phoneticPr fontId="2" type="noConversion"/>
  </si>
  <si>
    <t>입금</t>
    <phoneticPr fontId="2" type="noConversion"/>
  </si>
  <si>
    <t>옵티마엔지니어링</t>
  </si>
  <si>
    <t>석송초 다목적강당</t>
  </si>
  <si>
    <t>석송초등학교 비계 구조설계비</t>
  </si>
  <si>
    <t>PVC메쉬망</t>
  </si>
  <si>
    <t>이재호팀</t>
  </si>
  <si>
    <t>강서중학교</t>
  </si>
  <si>
    <t>강서중학교</t>
    <phoneticPr fontId="2" type="noConversion"/>
  </si>
  <si>
    <t>수직보호망(비계망 외)</t>
  </si>
  <si>
    <t>송도-안성</t>
  </si>
  <si>
    <t>가설재 임대료</t>
  </si>
  <si>
    <t>동두천 시온건영</t>
  </si>
  <si>
    <t>입금</t>
    <phoneticPr fontId="2" type="noConversion"/>
  </si>
  <si>
    <t>천운이엔씨</t>
  </si>
  <si>
    <t>우림에어택</t>
  </si>
  <si>
    <t>드레건축</t>
  </si>
  <si>
    <t>엠케이(MK)시스템</t>
  </si>
  <si>
    <t xml:space="preserve">양주 준우건설 </t>
  </si>
  <si>
    <t>과천 SK현장</t>
  </si>
  <si>
    <t>이천 고이건설 멍에재</t>
  </si>
  <si>
    <t>의왕 내손동 739-3 드레건축</t>
  </si>
  <si>
    <t>명천동 1274 라움건설</t>
  </si>
  <si>
    <t>명천동 1146 라움건설</t>
  </si>
  <si>
    <t>강화 PVC 세척망</t>
  </si>
  <si>
    <t>김승진팀 지원</t>
  </si>
  <si>
    <t>동탄 현장</t>
  </si>
  <si>
    <t>광휘동아성케이비건설</t>
  </si>
  <si>
    <t>광명 고이건설-임대료</t>
  </si>
  <si>
    <t>연천 색채산업개발</t>
  </si>
  <si>
    <t>아산현장(김세년)</t>
  </si>
  <si>
    <t>화곡중학교 원진건설산업</t>
  </si>
  <si>
    <t>PVC 세척망</t>
  </si>
  <si>
    <t>시스템 시공비</t>
  </si>
  <si>
    <t>시스템 자재임대료</t>
  </si>
  <si>
    <t>1500D 수직보호망 합포</t>
  </si>
  <si>
    <t>입금</t>
    <phoneticPr fontId="2" type="noConversion"/>
  </si>
  <si>
    <t>입금</t>
    <phoneticPr fontId="2" type="noConversion"/>
  </si>
  <si>
    <t>과천 문원동</t>
  </si>
  <si>
    <t>시스템비계 자재비</t>
  </si>
  <si>
    <t>입금</t>
    <phoneticPr fontId="2" type="noConversion"/>
  </si>
  <si>
    <t>입금</t>
    <phoneticPr fontId="2" type="noConversion"/>
  </si>
  <si>
    <t>144,504,140원 입금</t>
    <phoneticPr fontId="2" type="noConversion"/>
  </si>
  <si>
    <t>시스템 비계 임대료</t>
  </si>
  <si>
    <t>입금</t>
    <phoneticPr fontId="2" type="noConversion"/>
  </si>
  <si>
    <t>25,862,360원 입금</t>
    <phoneticPr fontId="2" type="noConversion"/>
  </si>
  <si>
    <t>입금</t>
    <phoneticPr fontId="2" type="noConversion"/>
  </si>
  <si>
    <t>입금</t>
    <phoneticPr fontId="2" type="noConversion"/>
  </si>
  <si>
    <t>입금</t>
    <phoneticPr fontId="2" type="noConversion"/>
  </si>
  <si>
    <t>용산 오원건설</t>
  </si>
  <si>
    <t>수직보호망(인쇄망)</t>
  </si>
  <si>
    <t>입금</t>
    <phoneticPr fontId="2" type="noConversion"/>
  </si>
  <si>
    <t>아성시스템산업</t>
  </si>
  <si>
    <t>시스템 비계 자재비</t>
  </si>
  <si>
    <t>입금</t>
    <phoneticPr fontId="2" type="noConversion"/>
  </si>
  <si>
    <t>교신</t>
  </si>
  <si>
    <t>강서화곡중 원진건설</t>
  </si>
  <si>
    <t>수직보호망 임대</t>
  </si>
  <si>
    <t>대림동 포엠씨앤디</t>
  </si>
  <si>
    <t>시스템동바리 자재 임대</t>
  </si>
  <si>
    <t>가설재 임대</t>
  </si>
  <si>
    <t>시스템동바리비계</t>
  </si>
  <si>
    <t>나재학</t>
  </si>
  <si>
    <t>인천송도-안성대덕</t>
  </si>
  <si>
    <t>강서 화곡중 원진건설산업</t>
  </si>
  <si>
    <t>건설가설자재임대</t>
  </si>
  <si>
    <t>애드웰종합건설</t>
  </si>
  <si>
    <t>라움건설산업</t>
  </si>
  <si>
    <t>엘에이치종합건설</t>
  </si>
  <si>
    <t>정문이엔씨</t>
  </si>
  <si>
    <t>피케이건설</t>
  </si>
  <si>
    <t>대웅건설</t>
  </si>
  <si>
    <t>횡성현장(박성환팀)</t>
  </si>
  <si>
    <t>양주 수직보호망</t>
  </si>
  <si>
    <t>수원 디케이에스</t>
  </si>
  <si>
    <t>대전 대케이에스</t>
  </si>
  <si>
    <t xml:space="preserve">안산 대부도 명현건설 </t>
  </si>
  <si>
    <t>파주 은성건설</t>
  </si>
  <si>
    <t xml:space="preserve">부천 정도건설 </t>
  </si>
  <si>
    <t xml:space="preserve">고양 한경기건 </t>
  </si>
  <si>
    <t xml:space="preserve">고양 현진건설 </t>
  </si>
  <si>
    <t xml:space="preserve">광주 창조종합건설 </t>
  </si>
  <si>
    <t xml:space="preserve">김포 정명건설산업 </t>
  </si>
  <si>
    <t>운서동 3244-6 베델공간</t>
  </si>
  <si>
    <t>정태영팀</t>
  </si>
  <si>
    <t>용산 서빙고 서호교회</t>
  </si>
  <si>
    <t>중구 인화건설</t>
  </si>
  <si>
    <t>관악 우리CNS현장</t>
  </si>
  <si>
    <t>대구감삼동(김세년팀)</t>
  </si>
  <si>
    <t>아산삼부(김세년팀)</t>
  </si>
  <si>
    <t>인천 LH종합건설</t>
  </si>
  <si>
    <t xml:space="preserve">파주 정문이엔씨 </t>
  </si>
  <si>
    <t>하남 피케이건설</t>
  </si>
  <si>
    <t>평택 대웅건설</t>
  </si>
  <si>
    <t>예산 대웅건설</t>
  </si>
  <si>
    <t>방배동,고색동현장</t>
  </si>
  <si>
    <t>강남,인천현장</t>
  </si>
  <si>
    <t>군포 색채종합건설 현장</t>
  </si>
  <si>
    <t>양평 선일종합건설 현장</t>
  </si>
  <si>
    <t>역삼동 휴림종합건설 현장</t>
  </si>
  <si>
    <t>연천 색채종합건설 현장</t>
  </si>
  <si>
    <t>화성 삼송종합건설 현장</t>
  </si>
  <si>
    <t>동해쌍용(김세년팀)</t>
  </si>
  <si>
    <t>동부산전력(김세년팀)</t>
  </si>
  <si>
    <t>시스템자재 임대료</t>
  </si>
  <si>
    <t>베델공간</t>
  </si>
  <si>
    <t>7월분</t>
  </si>
  <si>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</si>
  <si>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</si>
  <si>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</si>
  <si>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</si>
  <si>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</si>
  <si>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</si>
  <si>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</si>
  <si>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</si>
  <si>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</si>
  <si>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</si>
  <si>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</si>
  <si>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잡손실 처리</t>
    <phoneticPr fontId="2" type="noConversion"/>
  </si>
  <si>
    <t>나재학</t>
    <phoneticPr fontId="2" type="noConversion"/>
  </si>
  <si>
    <t>입</t>
    <phoneticPr fontId="2" type="noConversion"/>
  </si>
  <si>
    <t>광명 고이건설 인건비</t>
  </si>
  <si>
    <t>별내 고이건설 임대료</t>
  </si>
  <si>
    <t>입금</t>
    <phoneticPr fontId="2" type="noConversion"/>
  </si>
  <si>
    <t>1,727,000원으로 발행</t>
    <phoneticPr fontId="2" type="noConversion"/>
  </si>
  <si>
    <t xml:space="preserve">부천 정도건설 </t>
    <phoneticPr fontId="2" type="noConversion"/>
  </si>
  <si>
    <t>12,501,720원 입금</t>
    <phoneticPr fontId="2" type="noConversion"/>
  </si>
  <si>
    <t>입금</t>
    <phoneticPr fontId="2" type="noConversion"/>
  </si>
  <si>
    <t>7월분 포천현장 식대 차감</t>
  </si>
  <si>
    <t>입금</t>
    <phoneticPr fontId="2" type="noConversion"/>
  </si>
  <si>
    <t>세척비</t>
  </si>
  <si>
    <t>양주 천운이엔씨</t>
  </si>
  <si>
    <t>수직보호망1500D</t>
  </si>
  <si>
    <t>케이지건업</t>
  </si>
  <si>
    <t>9월 지원비</t>
  </si>
  <si>
    <t>입금</t>
    <phoneticPr fontId="2" type="noConversion"/>
  </si>
  <si>
    <t>시스템 서포드 자재비</t>
  </si>
  <si>
    <t>입금</t>
    <phoneticPr fontId="2" type="noConversion"/>
  </si>
  <si>
    <t>강서내발산-시흥조남동</t>
  </si>
  <si>
    <t>운송비</t>
  </si>
  <si>
    <t>중구회현동-이천대월</t>
  </si>
  <si>
    <t>하남 HK안전시스템</t>
  </si>
  <si>
    <t>각관(HGI) 멍어재</t>
  </si>
  <si>
    <t>호연건설개발</t>
  </si>
  <si>
    <t>대미산업</t>
  </si>
  <si>
    <t>성지건설산업</t>
  </si>
  <si>
    <t>세경 ENT</t>
  </si>
  <si>
    <t>예봉건설</t>
  </si>
  <si>
    <t>314저9287(구:53호6735)</t>
  </si>
  <si>
    <t>725가4802(구:75호7541)</t>
  </si>
  <si>
    <t>725가4801(구:75하8893)</t>
  </si>
  <si>
    <t xml:space="preserve">여주 시온건영 </t>
  </si>
  <si>
    <t>속초 조양동 1379-5</t>
  </si>
  <si>
    <t>가정동 경유산업개발</t>
  </si>
  <si>
    <t>하남 디케이에스</t>
  </si>
  <si>
    <t xml:space="preserve">고양 탑엔지니어링 </t>
  </si>
  <si>
    <t xml:space="preserve">보령 탑엔지니어링 </t>
  </si>
  <si>
    <t>서초창호비계</t>
  </si>
  <si>
    <t>광희동 아성케이비건설</t>
  </si>
  <si>
    <t>안산 경인건설</t>
  </si>
  <si>
    <t>하남 HK안전</t>
  </si>
  <si>
    <t>방이동현장 (김명식팀)</t>
  </si>
  <si>
    <t>상일동 현장</t>
  </si>
  <si>
    <t>파주 정문이엔씨</t>
  </si>
  <si>
    <t>파주 현장</t>
  </si>
  <si>
    <t xml:space="preserve">연천 색채종합건설 </t>
  </si>
  <si>
    <t xml:space="preserve">용인 신안건설 </t>
  </si>
  <si>
    <t xml:space="preserve">양평 에이스가설 </t>
  </si>
  <si>
    <t>음성 동성씨앤디</t>
  </si>
  <si>
    <t>동해(김세년팀)</t>
  </si>
  <si>
    <t>용인 예봉건설</t>
  </si>
  <si>
    <t>시스템 7월 임대료</t>
  </si>
  <si>
    <t>시스템 9월 임대료</t>
  </si>
  <si>
    <t>차량 매각</t>
  </si>
  <si>
    <t>입금</t>
    <phoneticPr fontId="2" type="noConversion"/>
  </si>
  <si>
    <t>입금</t>
    <phoneticPr fontId="2" type="noConversion"/>
  </si>
  <si>
    <t>시스템(용인현장)</t>
    <phoneticPr fontId="2" type="noConversion"/>
  </si>
  <si>
    <t>입금</t>
    <phoneticPr fontId="2" type="noConversion"/>
  </si>
  <si>
    <t>입금</t>
    <phoneticPr fontId="2" type="noConversion"/>
  </si>
  <si>
    <t>입금</t>
    <phoneticPr fontId="2" type="noConversion"/>
  </si>
  <si>
    <t>입금</t>
    <phoneticPr fontId="2" type="noConversion"/>
  </si>
  <si>
    <t>입금</t>
    <phoneticPr fontId="2" type="noConversion"/>
  </si>
  <si>
    <t>광명 고이건설 인건비</t>
    <phoneticPr fontId="2" type="noConversion"/>
  </si>
  <si>
    <t>매입</t>
    <phoneticPr fontId="2" type="noConversion"/>
  </si>
  <si>
    <t>태성건기</t>
    <phoneticPr fontId="2" type="noConversion"/>
  </si>
  <si>
    <t>나재학</t>
    <phoneticPr fontId="2" type="noConversion"/>
  </si>
  <si>
    <t>운반비</t>
    <phoneticPr fontId="2" type="noConversion"/>
  </si>
  <si>
    <t>이재욱</t>
    <phoneticPr fontId="2" type="noConversion"/>
  </si>
  <si>
    <t>재온</t>
    <phoneticPr fontId="2" type="noConversion"/>
  </si>
  <si>
    <t>송도 경유산업개발</t>
    <phoneticPr fontId="2" type="noConversion"/>
  </si>
  <si>
    <t>1500D 수직보호망 합포</t>
    <phoneticPr fontId="2" type="noConversion"/>
  </si>
  <si>
    <t>입금</t>
    <phoneticPr fontId="2" type="noConversion"/>
  </si>
  <si>
    <t>수원,동탄현장</t>
  </si>
  <si>
    <t>입금</t>
    <phoneticPr fontId="2" type="noConversion"/>
  </si>
  <si>
    <t>입금</t>
    <phoneticPr fontId="2" type="noConversion"/>
  </si>
  <si>
    <t>매출</t>
    <phoneticPr fontId="2" type="noConversion"/>
  </si>
  <si>
    <t>장안시스템</t>
    <phoneticPr fontId="2" type="noConversion"/>
  </si>
  <si>
    <t>시스템</t>
    <phoneticPr fontId="2" type="noConversion"/>
  </si>
  <si>
    <t>이재욱</t>
    <phoneticPr fontId="2" type="noConversion"/>
  </si>
  <si>
    <t>과입금분 반환</t>
    <phoneticPr fontId="2" type="noConversion"/>
  </si>
  <si>
    <t>3,000만원 입금(201,280원 이월시킴)</t>
    <phoneticPr fontId="2" type="noConversion"/>
  </si>
  <si>
    <t>시스템(파주,송도,인천지원)</t>
  </si>
  <si>
    <t>시스템(별내 고이)</t>
  </si>
  <si>
    <t>아성건업</t>
  </si>
  <si>
    <t>시스템동바리(별내 고이)</t>
  </si>
  <si>
    <t>시스템(평택,안양,파주)</t>
  </si>
  <si>
    <t>영광시스템</t>
  </si>
  <si>
    <t>송성화팀</t>
  </si>
  <si>
    <t>시스템(별재 고이건설)</t>
  </si>
  <si>
    <t>입금</t>
    <phoneticPr fontId="2" type="noConversion"/>
  </si>
  <si>
    <t>입금</t>
    <phoneticPr fontId="2" type="noConversion"/>
  </si>
  <si>
    <t>신당제일지게차</t>
  </si>
  <si>
    <t>동대문 아성케이비건설</t>
  </si>
  <si>
    <t>입금</t>
    <phoneticPr fontId="2" type="noConversion"/>
  </si>
  <si>
    <t>윤장호팀 지원</t>
    <phoneticPr fontId="2" type="noConversion"/>
  </si>
  <si>
    <t>시스템서포트자재비</t>
  </si>
  <si>
    <t>영등포대림-여주능서</t>
  </si>
  <si>
    <t>입금</t>
    <phoneticPr fontId="2" type="noConversion"/>
  </si>
  <si>
    <t>하남 유성종합설비</t>
  </si>
  <si>
    <t>시스템(의왕현장)</t>
    <phoneticPr fontId="2" type="noConversion"/>
  </si>
  <si>
    <t>입금</t>
    <phoneticPr fontId="2" type="noConversion"/>
  </si>
  <si>
    <t>명신건설</t>
  </si>
  <si>
    <t>유성종합설비</t>
  </si>
  <si>
    <t>이루건설</t>
  </si>
  <si>
    <t>장평건설</t>
  </si>
  <si>
    <t>동경개발</t>
  </si>
  <si>
    <t>53주 4577 차량매매</t>
  </si>
  <si>
    <t xml:space="preserve">서초동 효성중공업 </t>
  </si>
  <si>
    <t>SK당산V1 장평건설</t>
  </si>
  <si>
    <t xml:space="preserve">가좌동 보브종합건설 </t>
  </si>
  <si>
    <t xml:space="preserve">가정동 경유산업개발 </t>
  </si>
  <si>
    <t xml:space="preserve">안산 명현건설 </t>
  </si>
  <si>
    <t xml:space="preserve">아산 은성개발 </t>
  </si>
  <si>
    <t xml:space="preserve">파주 은성개발 </t>
  </si>
  <si>
    <t xml:space="preserve">하남 HK안전 </t>
  </si>
  <si>
    <t xml:space="preserve">남대문 인화건설 </t>
  </si>
  <si>
    <t xml:space="preserve">일산 탑엔지니어링 </t>
  </si>
  <si>
    <t>평택 탑엔지니어링</t>
  </si>
  <si>
    <t xml:space="preserve">당산동 새재건설 </t>
  </si>
  <si>
    <t>군포 색채산업개발</t>
  </si>
  <si>
    <t xml:space="preserve">광주 서우종합건설 </t>
  </si>
  <si>
    <t xml:space="preserve">오산 도담건설산업 </t>
  </si>
  <si>
    <t>논현동 장방종합건설</t>
  </si>
  <si>
    <t xml:space="preserve">관악 우리cns </t>
  </si>
  <si>
    <t xml:space="preserve">음성 동성씨앤디 </t>
  </si>
  <si>
    <t>동대문 아성KB건설</t>
  </si>
  <si>
    <t>속초 조양동 1379-5번지</t>
  </si>
  <si>
    <t>부평동 417-4번지 동경개발</t>
  </si>
  <si>
    <t>상일동,방배동 성우이엔씨</t>
  </si>
  <si>
    <t xml:space="preserve">용인 예봉건설 </t>
  </si>
  <si>
    <t>PVC망</t>
  </si>
  <si>
    <t>도면비</t>
  </si>
  <si>
    <t>시스템(9월분)</t>
    <phoneticPr fontId="2" type="noConversion"/>
  </si>
  <si>
    <t>입금</t>
    <phoneticPr fontId="2" type="noConversion"/>
  </si>
  <si>
    <t>입금</t>
    <phoneticPr fontId="2" type="noConversion"/>
  </si>
  <si>
    <t>입금</t>
    <phoneticPr fontId="2" type="noConversion"/>
  </si>
  <si>
    <t>시스템비계외</t>
  </si>
  <si>
    <t>입금</t>
    <phoneticPr fontId="2" type="noConversion"/>
  </si>
  <si>
    <t>부평 동경개발</t>
  </si>
  <si>
    <t>입금</t>
    <phoneticPr fontId="2" type="noConversion"/>
  </si>
  <si>
    <t>별미가</t>
  </si>
  <si>
    <t>식대및 음료수</t>
  </si>
  <si>
    <t>동아종합안전</t>
  </si>
  <si>
    <t>김명수</t>
  </si>
  <si>
    <t>U헤드 멍에 센터유지구외</t>
  </si>
  <si>
    <t>가좌 보브종합건설</t>
  </si>
  <si>
    <t>낙방사다리</t>
  </si>
  <si>
    <t>입금</t>
    <phoneticPr fontId="2" type="noConversion"/>
  </si>
  <si>
    <t>입금</t>
    <phoneticPr fontId="2" type="noConversion"/>
  </si>
  <si>
    <t>장비 사용료</t>
  </si>
  <si>
    <t>시스템 비계(마이나스 발행)</t>
    <phoneticPr fontId="2" type="noConversion"/>
  </si>
  <si>
    <t>입금</t>
    <phoneticPr fontId="2" type="noConversion"/>
  </si>
  <si>
    <t>입금</t>
    <phoneticPr fontId="2" type="noConversion"/>
  </si>
  <si>
    <t>대준</t>
  </si>
  <si>
    <t>53호6776차량매각</t>
  </si>
  <si>
    <t>동두천 상패동</t>
  </si>
  <si>
    <t>입금</t>
    <phoneticPr fontId="2" type="noConversion"/>
  </si>
  <si>
    <t>입금</t>
    <phoneticPr fontId="2" type="noConversion"/>
  </si>
  <si>
    <t>㈜유토플렉스산업으로 입금</t>
    <phoneticPr fontId="2" type="noConversion"/>
  </si>
  <si>
    <t>청연이엔지로 입금</t>
    <phoneticPr fontId="2" type="noConversion"/>
  </si>
  <si>
    <t>동두천 JS한창건설</t>
  </si>
  <si>
    <t>영등포 포엠씨앤디</t>
  </si>
  <si>
    <t>하남 에덴종합건설</t>
    <phoneticPr fontId="2" type="noConversion"/>
  </si>
  <si>
    <t>서울대 HK안전시스템</t>
  </si>
  <si>
    <t>영등포-여주</t>
  </si>
  <si>
    <t>영등포-여주 운송료</t>
  </si>
  <si>
    <t>광명-안성</t>
  </si>
  <si>
    <t>광명-&gt;안성 운송료</t>
  </si>
  <si>
    <t>우리산업안전물산</t>
  </si>
  <si>
    <t>조준수</t>
  </si>
  <si>
    <t>안전용품</t>
  </si>
  <si>
    <t>부평-구리</t>
  </si>
  <si>
    <t>현진씨엔에스</t>
  </si>
  <si>
    <t>디에스커미티</t>
  </si>
  <si>
    <t xml:space="preserve">인천 우호산업개발 </t>
  </si>
  <si>
    <t xml:space="preserve">연천 색채산업개발 </t>
  </si>
  <si>
    <t xml:space="preserve">암사동 대성종합건설 </t>
  </si>
  <si>
    <t xml:space="preserve">안산 경인건설 </t>
  </si>
  <si>
    <t xml:space="preserve">고양 한창종합건설 </t>
  </si>
  <si>
    <t xml:space="preserve">속초 현진건설 </t>
  </si>
  <si>
    <t xml:space="preserve">SK당산V1 장평건설 </t>
  </si>
  <si>
    <t xml:space="preserve">부평 정도건설 </t>
  </si>
  <si>
    <t xml:space="preserve">인천공항 성지건설산업 </t>
  </si>
  <si>
    <t xml:space="preserve">동두천 시온건영 </t>
  </si>
  <si>
    <t xml:space="preserve">파주 두송건설 </t>
  </si>
  <si>
    <t xml:space="preserve">둔촌초 오원건설 </t>
  </si>
  <si>
    <t xml:space="preserve">동대문 아성KB건설 </t>
  </si>
  <si>
    <t>화곡동 김명식팀지원</t>
  </si>
  <si>
    <t xml:space="preserve">상일동, 고색동 </t>
  </si>
  <si>
    <t>인천 DS커미티</t>
  </si>
  <si>
    <t>대림동 740-2,779-19번지</t>
  </si>
  <si>
    <t>추가 임대료</t>
  </si>
  <si>
    <t>입금 (10월분)</t>
  </si>
  <si>
    <t>시스템 비계 (10월분)</t>
  </si>
  <si>
    <t>시스템 (11월분)</t>
  </si>
  <si>
    <t>김세년팀</t>
    <phoneticPr fontId="2" type="noConversion"/>
  </si>
  <si>
    <t>12/1 -102,793,608원 발행</t>
    <phoneticPr fontId="2" type="noConversion"/>
  </si>
  <si>
    <t>인천 열린건축</t>
  </si>
  <si>
    <t>안전장화 구입(김세년팀)</t>
  </si>
  <si>
    <t>시스템(천호동)</t>
    <phoneticPr fontId="2" type="noConversion"/>
  </si>
  <si>
    <t>시스템(11월분)</t>
    <phoneticPr fontId="2" type="noConversion"/>
  </si>
  <si>
    <t>춘천 탑엔지니어링</t>
    <phoneticPr fontId="2" type="noConversion"/>
  </si>
  <si>
    <t>청정제주흑돼지</t>
  </si>
  <si>
    <t>김현석</t>
  </si>
  <si>
    <t>인천 DS커미티 중식</t>
  </si>
  <si>
    <t>명가한식</t>
  </si>
  <si>
    <t>평택 탑엔지니어링 식대</t>
  </si>
  <si>
    <t>행복을주는밥상</t>
  </si>
  <si>
    <t>박서규</t>
  </si>
  <si>
    <t>식대(김세흔팀)</t>
  </si>
  <si>
    <t>김명식팀에 1500D 판매</t>
  </si>
  <si>
    <t>진성건설기계</t>
  </si>
  <si>
    <t>오산 HK안전시스템</t>
  </si>
  <si>
    <t>나라로지스</t>
    <phoneticPr fontId="2" type="noConversion"/>
  </si>
  <si>
    <t>시스템 서포트 자재비</t>
  </si>
  <si>
    <t>진아푸드</t>
  </si>
  <si>
    <t>아르니식당</t>
  </si>
  <si>
    <t>보령 탑엔지니어링</t>
  </si>
  <si>
    <t>11월 식대</t>
  </si>
  <si>
    <t>하이랜더장비사용료(손명훈팀)</t>
  </si>
  <si>
    <t>광명-&gt;음성,안성</t>
  </si>
  <si>
    <t>운송료 광명동 6건</t>
  </si>
  <si>
    <t>부평-&gt;구리</t>
  </si>
  <si>
    <t>운송료 부평동-&gt;구리토평동</t>
  </si>
  <si>
    <t>관악구성심지게차(성심중기)</t>
  </si>
  <si>
    <t>조이건설</t>
  </si>
  <si>
    <t xml:space="preserve">오산 세교 HK안전시스템 </t>
  </si>
  <si>
    <t xml:space="preserve">서울대 HK안전시스템 </t>
  </si>
  <si>
    <t xml:space="preserve">동두천 PK건설 </t>
  </si>
  <si>
    <t>가산 고이건설  인건비</t>
  </si>
  <si>
    <t xml:space="preserve">안양 관양동 더블유건설 </t>
  </si>
  <si>
    <t>파주 우남건설</t>
  </si>
  <si>
    <t xml:space="preserve">강동 대성종합건설 </t>
  </si>
  <si>
    <t xml:space="preserve">오산,안동 성우이엔씨 </t>
  </si>
  <si>
    <t xml:space="preserve">이태원 창크건설 </t>
  </si>
  <si>
    <t xml:space="preserve">강원 라스코종합건설 </t>
  </si>
  <si>
    <t xml:space="preserve">양평 선일종합건설 </t>
  </si>
  <si>
    <t xml:space="preserve">아산 조이건설 </t>
  </si>
  <si>
    <t>동대문 금아건설</t>
  </si>
  <si>
    <t>시스템(12월분)</t>
  </si>
  <si>
    <t>시스템(10월분)</t>
  </si>
  <si>
    <t>열린건축</t>
  </si>
  <si>
    <t>한은이엔씨</t>
  </si>
  <si>
    <t>일우텍</t>
  </si>
  <si>
    <t>마곡현장</t>
  </si>
  <si>
    <t>마곡 한은이엔씨</t>
  </si>
  <si>
    <t>시스템비계 설치,해체</t>
  </si>
  <si>
    <t>56,578,610원 입금</t>
    <phoneticPr fontId="2" type="noConversion"/>
  </si>
  <si>
    <t>광명 고이건설-임대료</t>
    <phoneticPr fontId="2" type="noConversion"/>
  </si>
  <si>
    <t>예성비계</t>
  </si>
  <si>
    <t>비계공사</t>
  </si>
  <si>
    <t>HK안전시스템</t>
    <phoneticPr fontId="2" type="noConversion"/>
  </si>
  <si>
    <t>김명식팀에 판매</t>
    <phoneticPr fontId="2" type="noConversion"/>
  </si>
  <si>
    <t>집밥사장님소개</t>
  </si>
  <si>
    <t>1500D수직보호망</t>
  </si>
  <si>
    <t>별내 고이건설 임대료</t>
    <phoneticPr fontId="2" type="noConversion"/>
  </si>
  <si>
    <t>시스템(11월분)</t>
  </si>
  <si>
    <t>자안종합건설</t>
  </si>
  <si>
    <t>신영산업안전</t>
  </si>
  <si>
    <t>동대문 퇴계로 331-1</t>
  </si>
  <si>
    <t>평택 탑엔지니어링-11월분</t>
  </si>
  <si>
    <t>평택 탑엔지니어링-12월분</t>
  </si>
  <si>
    <t>왜관 탑엔지니어링</t>
  </si>
  <si>
    <t>김승진팀</t>
  </si>
  <si>
    <t>보령 탑엔지니어링-12월분</t>
  </si>
  <si>
    <t xml:space="preserve">12/29 1억 입금분중66,189,750원 </t>
    <phoneticPr fontId="2" type="noConversion"/>
  </si>
  <si>
    <t>12/29 1억 입금분중 33,81,250원</t>
    <phoneticPr fontId="2" type="noConversion"/>
  </si>
  <si>
    <t>1/26-2.5억 입금분중 30,929,150원</t>
    <phoneticPr fontId="2" type="noConversion"/>
  </si>
  <si>
    <t>1/26-2.5억 입금분중 25,228,280원</t>
    <phoneticPr fontId="2" type="noConversion"/>
  </si>
  <si>
    <t>1/26-2.5억 입금분중 6,105,000원</t>
    <phoneticPr fontId="2" type="noConversion"/>
  </si>
  <si>
    <t>1/26-2.5억 입금분중 825,000원</t>
    <phoneticPr fontId="2" type="noConversion"/>
  </si>
  <si>
    <t>1/26 2.5억 입금분중 48,843,100원</t>
    <phoneticPr fontId="2" type="noConversion"/>
  </si>
  <si>
    <t>1/26-2.5억 입금분중 72,559,520원</t>
    <phoneticPr fontId="2" type="noConversion"/>
  </si>
  <si>
    <t>1/26-2.5억 입금분중 4,329,600원</t>
    <phoneticPr fontId="2" type="noConversion"/>
  </si>
  <si>
    <t>1/26 2.5억 입금분중 24,790,920원</t>
    <phoneticPr fontId="2" type="noConversion"/>
  </si>
  <si>
    <t>1/26 2.5억 입금분중 36,389,430원</t>
    <phoneticPr fontId="2" type="noConversion"/>
  </si>
  <si>
    <t>용인HK안전시스템</t>
  </si>
  <si>
    <t>한빛중기</t>
  </si>
  <si>
    <t>옥천 HK안전시스템</t>
  </si>
  <si>
    <t>DS커미티(나재학)</t>
  </si>
  <si>
    <t>평택 탑엔지니어링</t>
    <phoneticPr fontId="2" type="noConversion"/>
  </si>
  <si>
    <t>탑(나재학)</t>
    <phoneticPr fontId="2" type="noConversion"/>
  </si>
  <si>
    <t>더좋은식당</t>
  </si>
  <si>
    <t>용마산건설중기(용인건기)</t>
  </si>
  <si>
    <t>의왕 HK안전시스템</t>
  </si>
  <si>
    <t>1월 시스템</t>
  </si>
  <si>
    <t xml:space="preserve">서울대 HK안전 </t>
    <phoneticPr fontId="2" type="noConversion"/>
  </si>
  <si>
    <t>시스템서포트 자재비</t>
  </si>
  <si>
    <t>서정건설기계</t>
  </si>
  <si>
    <t>에이치큐구조엔지니어링</t>
  </si>
  <si>
    <t>주한미군 캠프험프리스 인공위성중계소 비계 구조검토</t>
  </si>
  <si>
    <t>광명-&gt;안성</t>
  </si>
  <si>
    <t>은평 원진건설산업</t>
  </si>
  <si>
    <t>상봉동 탑엔지니어링-12월분</t>
    <phoneticPr fontId="2" type="noConversion"/>
  </si>
  <si>
    <t>왜관 탑엔지니어링-12월분</t>
    <phoneticPr fontId="2" type="noConversion"/>
  </si>
  <si>
    <t>23/12/29일 입금됨</t>
    <phoneticPr fontId="2" type="noConversion"/>
  </si>
  <si>
    <t>신성건영티에스씨</t>
  </si>
  <si>
    <t>견진종합건설</t>
  </si>
  <si>
    <t>건승시스템</t>
  </si>
  <si>
    <t>안산 양지고 PVC망 판매</t>
  </si>
  <si>
    <t xml:space="preserve">둔촌초 오원건설-12월분 </t>
  </si>
  <si>
    <t>구리 씨즌텍</t>
  </si>
  <si>
    <t xml:space="preserve">둔촌초 오원건설-1월분 </t>
  </si>
  <si>
    <t>보령 탑엔지니어링-1월분</t>
  </si>
  <si>
    <t xml:space="preserve">이태원 탑엔지니어링 </t>
  </si>
  <si>
    <t>평택 탑엔지니어링 01월분</t>
  </si>
  <si>
    <t>고양 탑엔지니어링 01월분</t>
  </si>
  <si>
    <t>상봉동 탑엔지니어링 01월분</t>
  </si>
  <si>
    <t>왜관 탑엔지니어링 01월분</t>
  </si>
  <si>
    <t>인천 DS커미티 01월분</t>
  </si>
  <si>
    <t>부개서초등학교 PVC망</t>
  </si>
  <si>
    <t xml:space="preserve">평택,수원 </t>
  </si>
  <si>
    <t xml:space="preserve">은평 원진건설산업 </t>
  </si>
  <si>
    <t xml:space="preserve">동대문 금아건설 </t>
  </si>
  <si>
    <t>PVC망 판매</t>
  </si>
  <si>
    <t>1/31 발행분 2/1 수정발행함.</t>
    <phoneticPr fontId="2" type="noConversion"/>
  </si>
  <si>
    <t>용인 HK안전시스템</t>
    <phoneticPr fontId="2" type="noConversion"/>
  </si>
  <si>
    <t>입금(매출과 상계처리함)</t>
  </si>
  <si>
    <t>밀워키 M18FIW12-502</t>
  </si>
  <si>
    <t>입</t>
  </si>
  <si>
    <t>건설가설자재 비계 임대료</t>
  </si>
  <si>
    <t>시스템 동바리 자재임대</t>
  </si>
  <si>
    <t xml:space="preserve">6월 매출과 상계처리 </t>
  </si>
  <si>
    <t>김상동팀</t>
    <phoneticPr fontId="2" type="noConversion"/>
  </si>
  <si>
    <t>박강근팀</t>
    <phoneticPr fontId="2" type="noConversion"/>
  </si>
  <si>
    <t>서대문 삼광토건</t>
    <phoneticPr fontId="2" type="noConversion"/>
  </si>
  <si>
    <t>이영진팀</t>
    <phoneticPr fontId="2" type="noConversion"/>
  </si>
  <si>
    <t>성수동 장학건설</t>
    <phoneticPr fontId="2" type="noConversion"/>
  </si>
  <si>
    <t>김영팀</t>
    <phoneticPr fontId="2" type="noConversion"/>
  </si>
  <si>
    <t>배철준</t>
    <phoneticPr fontId="2" type="noConversion"/>
  </si>
  <si>
    <t>서초동 고이건설</t>
    <phoneticPr fontId="2" type="noConversion"/>
  </si>
  <si>
    <t>김진민팀</t>
    <phoneticPr fontId="2" type="noConversion"/>
  </si>
  <si>
    <t>부천 두리시스템</t>
    <phoneticPr fontId="2" type="noConversion"/>
  </si>
  <si>
    <t>제이에스한창건설</t>
    <phoneticPr fontId="2" type="noConversion"/>
  </si>
  <si>
    <t>이종민팀</t>
    <phoneticPr fontId="2" type="noConversion"/>
  </si>
  <si>
    <t>간석동 경유산업개발</t>
    <phoneticPr fontId="2" type="noConversion"/>
  </si>
  <si>
    <t>동두천 상패동 155</t>
    <phoneticPr fontId="2" type="noConversion"/>
  </si>
  <si>
    <t>조혜준팀</t>
    <phoneticPr fontId="2" type="noConversion"/>
  </si>
  <si>
    <t>김주송</t>
    <phoneticPr fontId="2" type="noConversion"/>
  </si>
  <si>
    <t>김기영</t>
    <phoneticPr fontId="2" type="noConversion"/>
  </si>
  <si>
    <t>박상근팀</t>
    <phoneticPr fontId="2" type="noConversion"/>
  </si>
  <si>
    <t>남양주 동아비엔에이치</t>
    <phoneticPr fontId="2" type="noConversion"/>
  </si>
  <si>
    <t>윤영우팀</t>
    <phoneticPr fontId="2" type="noConversion"/>
  </si>
  <si>
    <t>대림동 포엠씨엔디</t>
    <phoneticPr fontId="2" type="noConversion"/>
  </si>
  <si>
    <t>광명 고이건설</t>
    <phoneticPr fontId="2" type="noConversion"/>
  </si>
  <si>
    <t>구로 중선아이티</t>
    <phoneticPr fontId="2" type="noConversion"/>
  </si>
  <si>
    <t>대림동 포엠씨엠디(740-2)</t>
    <phoneticPr fontId="2" type="noConversion"/>
  </si>
  <si>
    <t>대림동 포엠씨엠디</t>
    <phoneticPr fontId="2" type="noConversion"/>
  </si>
  <si>
    <t>대림동 포엠씨엠디(779-19)</t>
    <phoneticPr fontId="2" type="noConversion"/>
  </si>
  <si>
    <t>김포 리움건설</t>
    <phoneticPr fontId="2" type="noConversion"/>
  </si>
  <si>
    <t>이천 고이건설</t>
    <phoneticPr fontId="2" type="noConversion"/>
  </si>
  <si>
    <t>별내 고이건설</t>
    <phoneticPr fontId="2" type="noConversion"/>
  </si>
  <si>
    <t>서울대 HK안전시스템</t>
    <phoneticPr fontId="2" type="noConversion"/>
  </si>
  <si>
    <t>양주 준우건설</t>
    <phoneticPr fontId="2" type="noConversion"/>
  </si>
  <si>
    <t>송도-안성</t>
    <phoneticPr fontId="2" type="noConversion"/>
  </si>
  <si>
    <t>동두천 시온건영</t>
    <phoneticPr fontId="2" type="noConversion"/>
  </si>
  <si>
    <t>용인 HK안전시스템</t>
  </si>
  <si>
    <t>1500D 수직보호망외</t>
  </si>
  <si>
    <t>2/28 1.8억 입금분중 20,019,320원</t>
    <phoneticPr fontId="2" type="noConversion"/>
  </si>
  <si>
    <t>2/28 1.8억 입금분중 81,770,700원</t>
    <phoneticPr fontId="2" type="noConversion"/>
  </si>
  <si>
    <t>2/28 1.8억 입금분중 17,453,020원</t>
    <phoneticPr fontId="2" type="noConversion"/>
  </si>
  <si>
    <t>2/28 1.8억 입금분중 19,333,380원</t>
    <phoneticPr fontId="2" type="noConversion"/>
  </si>
  <si>
    <t>2/28 1.8억 입금분중 26,451,040원</t>
    <phoneticPr fontId="2" type="noConversion"/>
  </si>
  <si>
    <t>2/28 1.8억 입금분중 8,363,740원</t>
    <phoneticPr fontId="2" type="noConversion"/>
  </si>
  <si>
    <t>이천 고이건설 인건비</t>
    <phoneticPr fontId="2" type="noConversion"/>
  </si>
  <si>
    <t>2/28 1.8억 입금분중 6,608,800원</t>
    <phoneticPr fontId="2" type="noConversion"/>
  </si>
  <si>
    <t>고령 탑엔지니어링</t>
  </si>
  <si>
    <t>인덕원 HK안전시스템</t>
  </si>
  <si>
    <t>태산건설</t>
  </si>
  <si>
    <t>삼이시스템</t>
  </si>
  <si>
    <t>광주제네시스 전시관</t>
  </si>
  <si>
    <t>서포트 구조검토비</t>
  </si>
  <si>
    <t>아르센한식부페</t>
  </si>
  <si>
    <t>1월,2월 식대</t>
  </si>
  <si>
    <t>시스템동바리 자재비</t>
  </si>
  <si>
    <t>동대문 HK안전시스템</t>
  </si>
  <si>
    <t>인천 천운이엔씨</t>
  </si>
  <si>
    <t>가산-안성</t>
  </si>
  <si>
    <t>초은건설</t>
  </si>
  <si>
    <t>다원</t>
  </si>
  <si>
    <t>하남 감일동 초은건설</t>
  </si>
  <si>
    <t>인덕원 HK안전시스템-인건비</t>
  </si>
  <si>
    <t>인덕원 HK안전시스템-임대료</t>
  </si>
  <si>
    <t xml:space="preserve">용인수지 HK안전인건비-인건비 </t>
  </si>
  <si>
    <t xml:space="preserve">동대문 HK안전시스템-임대료 </t>
  </si>
  <si>
    <t>고양 한창건설</t>
  </si>
  <si>
    <t>고령 탑엔지니어링 1월분</t>
  </si>
  <si>
    <t>가산 고이건설  임대료</t>
  </si>
  <si>
    <t>송도동 205번지 01월분</t>
  </si>
  <si>
    <t>송도동 205번지 02월분</t>
  </si>
  <si>
    <t xml:space="preserve">가좌동 태인건설 </t>
  </si>
  <si>
    <t>인천공항 DS커미티</t>
  </si>
  <si>
    <t xml:space="preserve">창원 수지씨앤에스 </t>
  </si>
  <si>
    <t xml:space="preserve">평택 성우이엔씨 </t>
  </si>
  <si>
    <t>이주경팀</t>
  </si>
  <si>
    <t>인천공항 성지건설산업</t>
  </si>
  <si>
    <t>청연이엔지</t>
  </si>
  <si>
    <t>매입과 상계처리함</t>
    <phoneticPr fontId="2" type="noConversion"/>
  </si>
  <si>
    <t>별내 고이건설 인건비</t>
    <phoneticPr fontId="2" type="noConversion"/>
  </si>
  <si>
    <t>모두크레인</t>
  </si>
  <si>
    <t>김포 플러스건설</t>
  </si>
  <si>
    <t>크레인사용대금</t>
  </si>
  <si>
    <t>김포에있는지게차</t>
  </si>
  <si>
    <t>단관파이프외</t>
  </si>
  <si>
    <t>4/1 1억 입금분중 43,785,190원</t>
    <phoneticPr fontId="2" type="noConversion"/>
  </si>
  <si>
    <t>4/1-1억 입금분중 22,827,310원</t>
    <phoneticPr fontId="2" type="noConversion"/>
  </si>
  <si>
    <t>4/1-1억 입금분중 2,338,490원</t>
    <phoneticPr fontId="2" type="noConversion"/>
  </si>
  <si>
    <t>시스템(마이나스 발행)</t>
    <phoneticPr fontId="2" type="noConversion"/>
  </si>
  <si>
    <t>둥지한식부페</t>
  </si>
  <si>
    <t>45,100,000원 입금함</t>
    <phoneticPr fontId="2" type="noConversion"/>
  </si>
  <si>
    <t>3월분식대</t>
  </si>
  <si>
    <t>용인현장</t>
  </si>
  <si>
    <t>지게차 사용료외 16건</t>
  </si>
  <si>
    <t>화성푸드</t>
  </si>
  <si>
    <t>로얄시스템</t>
  </si>
  <si>
    <t>계단발판외</t>
  </si>
  <si>
    <t>시스템 동바리 임대</t>
  </si>
  <si>
    <t>㈜다원통장</t>
  </si>
  <si>
    <t>광명 고이건설 반출 운송료</t>
  </si>
  <si>
    <t>가산 고이건설 반출 운송료</t>
  </si>
  <si>
    <t>인천공항 신성건영</t>
  </si>
  <si>
    <t>덕신하우징</t>
  </si>
  <si>
    <t>천연기업</t>
  </si>
  <si>
    <t>담을건설</t>
  </si>
  <si>
    <t>삼성크린시스템</t>
  </si>
  <si>
    <t>부연건설</t>
  </si>
  <si>
    <t>수지씨앤에스</t>
  </si>
  <si>
    <t>인천공항 성지건설산업 1월분</t>
  </si>
  <si>
    <t>별내 고이건설  인건비</t>
  </si>
  <si>
    <t>의왕 HK안전시스템  인건비</t>
  </si>
  <si>
    <t>의왕 HK안전시스템 임대료</t>
  </si>
  <si>
    <t xml:space="preserve">용인 HK안전시스템 </t>
  </si>
  <si>
    <t xml:space="preserve">옥천 HK안전시스템 </t>
  </si>
  <si>
    <t xml:space="preserve">오산 HK안전시스템 </t>
  </si>
  <si>
    <t>동대문 HK안전시스템 인건비</t>
  </si>
  <si>
    <t>동대문 HK안전시스템 임대료</t>
  </si>
  <si>
    <t xml:space="preserve">부천 탑엔지니어링 </t>
  </si>
  <si>
    <t xml:space="preserve">충북대 탑엔지니어링 </t>
  </si>
  <si>
    <t>김포 동아BNH(구래동)</t>
  </si>
  <si>
    <t xml:space="preserve">김포 플러스 건설 </t>
  </si>
  <si>
    <t xml:space="preserve">동탄 담을건설 </t>
  </si>
  <si>
    <t xml:space="preserve">마곡 일우텍 </t>
  </si>
  <si>
    <t xml:space="preserve">강남 우리경안건설 </t>
  </si>
  <si>
    <t>강동 큰빛종합건설</t>
  </si>
  <si>
    <t>인천공항 성지건설산업 2월분</t>
  </si>
  <si>
    <t>동두천 PK건설</t>
  </si>
  <si>
    <t xml:space="preserve">김포 솔터고등학교 </t>
  </si>
  <si>
    <t xml:space="preserve">평택 위성통신 부연건설 </t>
  </si>
  <si>
    <t>송도동 205번지 경유산업개발</t>
  </si>
  <si>
    <t>신동아건설-육군파주</t>
  </si>
  <si>
    <t>시스템비계 인건비</t>
  </si>
  <si>
    <t>동탄 담을건설</t>
  </si>
  <si>
    <t>hk영업사원</t>
  </si>
  <si>
    <t>비계</t>
  </si>
  <si>
    <t>비계설치</t>
  </si>
  <si>
    <t>크레인사용대</t>
  </si>
  <si>
    <t>청운이엔씨(평택 부연)</t>
    <phoneticPr fontId="2" type="noConversion"/>
  </si>
  <si>
    <t>U헤드 멍에 센터유지구외 1건</t>
  </si>
  <si>
    <t>3,000만원 입금분중 마이나스 발행으로 5,678,720원이월</t>
    <phoneticPr fontId="2" type="noConversion"/>
  </si>
  <si>
    <t>3/29 3,000만원 입금분중 이월분 입금잡음</t>
    <phoneticPr fontId="2" type="noConversion"/>
  </si>
  <si>
    <t>인천공항 신성건영 인건비</t>
    <phoneticPr fontId="2" type="noConversion"/>
  </si>
  <si>
    <t>인천공항 신성건영 임대료</t>
    <phoneticPr fontId="2" type="noConversion"/>
  </si>
  <si>
    <t xml:space="preserve">포천 탑엔지니어링 </t>
    <phoneticPr fontId="2" type="noConversion"/>
  </si>
  <si>
    <t>임대료 입금</t>
    <phoneticPr fontId="2" type="noConversion"/>
  </si>
  <si>
    <t>인건비 입금</t>
    <phoneticPr fontId="2" type="noConversion"/>
  </si>
  <si>
    <t>4/29-188,060,444원 입금분중 일부</t>
    <phoneticPr fontId="2" type="noConversion"/>
  </si>
  <si>
    <t>이천 고이건설 임대료</t>
    <phoneticPr fontId="2" type="noConversion"/>
  </si>
  <si>
    <t>4/29 188,060,444원 입금분중 일부</t>
    <phoneticPr fontId="2" type="noConversion"/>
  </si>
  <si>
    <t>4/1-1억 입금분중 일부</t>
    <phoneticPr fontId="2" type="noConversion"/>
  </si>
  <si>
    <t xml:space="preserve">성남 인화건설 </t>
  </si>
  <si>
    <t>이우용으로 입금</t>
    <phoneticPr fontId="2" type="noConversion"/>
  </si>
  <si>
    <t>4/30-200만원 입금됨</t>
    <phoneticPr fontId="2" type="noConversion"/>
  </si>
  <si>
    <t>하나푸드</t>
  </si>
  <si>
    <t>식대 1월~4월</t>
  </si>
  <si>
    <t>5/3-103,649,853원 입금분중 일부</t>
    <phoneticPr fontId="2" type="noConversion"/>
  </si>
  <si>
    <t>1월 노무처리분 계산서 발행으로 변경</t>
  </si>
  <si>
    <t>2월 노무처리분 계산서 발행으로 변경</t>
    <phoneticPr fontId="2" type="noConversion"/>
  </si>
  <si>
    <t>인덕원외3곳</t>
  </si>
  <si>
    <t>본팀 식대</t>
  </si>
  <si>
    <t>김정화푸드</t>
  </si>
  <si>
    <t>영등포 새재건설</t>
  </si>
  <si>
    <t>김동혁팀 식대</t>
  </si>
  <si>
    <t>이종찬팀 식대</t>
  </si>
  <si>
    <t>시스템동바리(별내 하남)</t>
  </si>
  <si>
    <t>이영진팀-다원발행</t>
  </si>
  <si>
    <t>엠제이건기</t>
  </si>
  <si>
    <t>지게차 사용료외 19건</t>
  </si>
  <si>
    <t>한울산업</t>
  </si>
  <si>
    <t>u헤드 멍에 센터유지구외 2건</t>
  </si>
  <si>
    <t>인천국제공항 제2여객터미널</t>
  </si>
  <si>
    <t>대진솔루션</t>
  </si>
  <si>
    <t>조은석재</t>
  </si>
  <si>
    <t>디앤시건설</t>
  </si>
  <si>
    <t>김포 솔터고등학교</t>
  </si>
  <si>
    <t xml:space="preserve">왜관 탑엔지니어링 </t>
  </si>
  <si>
    <t xml:space="preserve">춘천 탑엔지니어링 </t>
  </si>
  <si>
    <t xml:space="preserve">안산 초지동 </t>
  </si>
  <si>
    <t xml:space="preserve">동대문 HK안전시스템 임대료 </t>
  </si>
  <si>
    <t xml:space="preserve">동대문 HK안전시스템 </t>
  </si>
  <si>
    <t xml:space="preserve">강북 경창산업개발 </t>
  </si>
  <si>
    <t xml:space="preserve">강동 큰빛종합건설 </t>
  </si>
  <si>
    <t xml:space="preserve">평택, 과천 성우이엔씨 </t>
  </si>
  <si>
    <t>양주 옥정 아이테크엠</t>
  </si>
  <si>
    <t xml:space="preserve">창원 수지씨엔에스 </t>
  </si>
  <si>
    <t xml:space="preserve">서초 방배동 pk건설 </t>
  </si>
  <si>
    <t>시스템임대료</t>
  </si>
  <si>
    <t>다원발행</t>
  </si>
  <si>
    <t>김상동팀(다원발행)</t>
  </si>
  <si>
    <t>김경복</t>
  </si>
  <si>
    <t>창원 수지씨앤에스</t>
    <phoneticPr fontId="2" type="noConversion"/>
  </si>
  <si>
    <t>구리별내 씨즌텍</t>
  </si>
  <si>
    <t>인천 성지건설산업</t>
    <phoneticPr fontId="2" type="noConversion"/>
  </si>
  <si>
    <t>입금</t>
    <phoneticPr fontId="2" type="noConversion"/>
  </si>
  <si>
    <t>5/29- 80,574,046원 입금분중 일부</t>
    <phoneticPr fontId="2" type="noConversion"/>
  </si>
  <si>
    <t>토탈지게차나라</t>
  </si>
  <si>
    <t>전동핸드카 2개월 렌탈료</t>
  </si>
  <si>
    <t>서창.만수지게차</t>
  </si>
  <si>
    <t>인천 보브종합건설</t>
  </si>
  <si>
    <t>80% 입금됨</t>
    <phoneticPr fontId="2" type="noConversion"/>
  </si>
  <si>
    <t>동바리 임대료</t>
  </si>
  <si>
    <t>김동혁팀 5월 식대</t>
  </si>
  <si>
    <t>왜관 탑엔지니어링 04월분</t>
    <phoneticPr fontId="2" type="noConversion"/>
  </si>
  <si>
    <t>부가세 일부 입금</t>
    <phoneticPr fontId="2" type="noConversion"/>
  </si>
  <si>
    <t>창원 수지씨앤에스</t>
  </si>
  <si>
    <t>탑엔지니어링 4월분(나재학)</t>
  </si>
  <si>
    <t>인천공항 신성건영 인건비</t>
  </si>
  <si>
    <t>강성복팀 식대</t>
  </si>
  <si>
    <t>평택 부연건설</t>
  </si>
  <si>
    <t>6,017,000원 입금</t>
    <phoneticPr fontId="2" type="noConversion"/>
  </si>
  <si>
    <t>길복건설</t>
  </si>
  <si>
    <t>대도엔지니어링</t>
  </si>
  <si>
    <t>거정건설</t>
  </si>
  <si>
    <t>진성건설</t>
  </si>
  <si>
    <t>우주건설</t>
  </si>
  <si>
    <t>이천 고이건설  임대료</t>
  </si>
  <si>
    <t xml:space="preserve">천안 현송건설 </t>
  </si>
  <si>
    <t xml:space="preserve">하남 길복건설 </t>
  </si>
  <si>
    <t xml:space="preserve">여수 대도엔지니어링 </t>
  </si>
  <si>
    <t xml:space="preserve">가좌 태인건설 </t>
  </si>
  <si>
    <t>강남 우리경안건설</t>
  </si>
  <si>
    <t xml:space="preserve">과천 엠디디자인 </t>
  </si>
  <si>
    <t>강북 경창산업개발</t>
  </si>
  <si>
    <t>오산PK</t>
  </si>
  <si>
    <t xml:space="preserve">부천 거정건설 </t>
  </si>
  <si>
    <t xml:space="preserve">인천 보브종합건설 </t>
  </si>
  <si>
    <t xml:space="preserve">비봉 진성건설 </t>
  </si>
  <si>
    <t xml:space="preserve">대전,과천,상일동 성우이엔씨 </t>
  </si>
  <si>
    <t xml:space="preserve">파주 우주건설 </t>
  </si>
  <si>
    <t>하남 PK건설</t>
  </si>
  <si>
    <t>김포 운일고</t>
  </si>
  <si>
    <t>인천 두산산업차량 임대료</t>
  </si>
  <si>
    <t>씨에스시스템</t>
  </si>
  <si>
    <t>단관파이트외 임대료</t>
  </si>
  <si>
    <t>부천 거정건설</t>
  </si>
  <si>
    <t>금천-안성 외</t>
  </si>
  <si>
    <t xml:space="preserve">시스템비계 </t>
  </si>
  <si>
    <t>승범시스템</t>
  </si>
  <si>
    <t>김상동팀(다원입금)</t>
  </si>
  <si>
    <t>안산 견진종합건설</t>
  </si>
  <si>
    <t>44,757,900원 입금</t>
    <phoneticPr fontId="2" type="noConversion"/>
  </si>
  <si>
    <t>20% 입금됨</t>
    <phoneticPr fontId="2" type="noConversion"/>
  </si>
  <si>
    <t>40% 입금됨</t>
    <phoneticPr fontId="2" type="noConversion"/>
  </si>
  <si>
    <t>㈜태주이엔지로 입금됨</t>
    <phoneticPr fontId="2" type="noConversion"/>
  </si>
  <si>
    <t>나재학-탑5월분</t>
  </si>
  <si>
    <t>이종찬팀 6월 식대</t>
  </si>
  <si>
    <t>김세흔팀 6월 식대</t>
  </si>
  <si>
    <t>DS커미티 23/12월분</t>
  </si>
  <si>
    <t>운반비(나재학)</t>
  </si>
  <si>
    <t>DS커미티 2월분</t>
  </si>
  <si>
    <t>DS커미티 3월분</t>
  </si>
  <si>
    <t>의왕 hk안전시스템</t>
  </si>
  <si>
    <t>계단발판외 임대료</t>
  </si>
  <si>
    <t>동대문 hk안전시스템</t>
  </si>
  <si>
    <t>인천 신성건영</t>
  </si>
  <si>
    <t>선한시스템</t>
  </si>
  <si>
    <t>양노리 정보가설</t>
  </si>
  <si>
    <t>동대문 휘경동외</t>
  </si>
  <si>
    <t>6월 운송료</t>
  </si>
  <si>
    <t>충북대 탑엔지니어링</t>
  </si>
  <si>
    <t xml:space="preserve">평택 탑엔지니어링 </t>
  </si>
  <si>
    <t>비봉 진성건설</t>
  </si>
  <si>
    <t xml:space="preserve">김포 구래동 동아BNH </t>
  </si>
  <si>
    <t xml:space="preserve">용인 인화건설 </t>
  </si>
  <si>
    <t xml:space="preserve">군포,과천 성우이엔씨 </t>
  </si>
  <si>
    <t xml:space="preserve">평택 선구건설 </t>
  </si>
  <si>
    <t>단관파이프외 임대료</t>
  </si>
  <si>
    <t>퀀텀시스템</t>
  </si>
  <si>
    <t>임대료(5월)</t>
  </si>
  <si>
    <t>이종훈차장님(5월)</t>
  </si>
  <si>
    <t>임대료(6월)</t>
  </si>
  <si>
    <t>이종훈차장님(6월)</t>
  </si>
  <si>
    <t>받을어음 입금(10/12)</t>
    <phoneticPr fontId="2" type="noConversion"/>
  </si>
  <si>
    <t>받을어음 : 50,000,000원(10/12)</t>
    <phoneticPr fontId="2" type="noConversion"/>
  </si>
  <si>
    <t>받을어음 : 20,000,000원(10/12)</t>
    <phoneticPr fontId="2" type="noConversion"/>
  </si>
  <si>
    <t>60% 입금됨</t>
    <phoneticPr fontId="2" type="noConversion"/>
  </si>
  <si>
    <t>입금(최희규로 입금)</t>
    <phoneticPr fontId="2" type="noConversion"/>
  </si>
  <si>
    <t>최희규로 입금</t>
    <phoneticPr fontId="2" type="noConversion"/>
  </si>
  <si>
    <t>시스템비계</t>
    <phoneticPr fontId="2" type="noConversion"/>
  </si>
  <si>
    <t>창원 수지씨엔에스</t>
    <phoneticPr fontId="2" type="noConversion"/>
  </si>
  <si>
    <t>이종찬팀 7월 식대</t>
  </si>
  <si>
    <t>부천 탑엔지니어링</t>
  </si>
  <si>
    <t>u헤드 멍에 센터유지구외 1건</t>
  </si>
  <si>
    <t>공급가액 기준 50% 입금</t>
    <phoneticPr fontId="2" type="noConversion"/>
  </si>
  <si>
    <t xml:space="preserve"> </t>
    <phoneticPr fontId="2" type="noConversion"/>
  </si>
  <si>
    <t>B/T일체형 계단외</t>
  </si>
  <si>
    <t>비계해체 장비임대료</t>
  </si>
  <si>
    <t>7/1 임대료</t>
  </si>
  <si>
    <t>7/20 임대료</t>
  </si>
  <si>
    <t>7/31 임대료</t>
  </si>
  <si>
    <t>아라종합건설</t>
  </si>
  <si>
    <t>서림에이엔씨</t>
  </si>
  <si>
    <t>은성산업</t>
  </si>
  <si>
    <t>여수 대도엔지니어링</t>
  </si>
  <si>
    <t>안산 아라종합건설</t>
  </si>
  <si>
    <t>일신여중,잠실여고 이음학교 도서관 증축공사</t>
  </si>
  <si>
    <t xml:space="preserve">양평 개군초 </t>
  </si>
  <si>
    <t xml:space="preserve">오산 PK건설 </t>
  </si>
  <si>
    <t xml:space="preserve">군포, 이천성우이엔씨 </t>
  </si>
  <si>
    <t>평택 은성산업</t>
  </si>
  <si>
    <t>전동핸드카 렌탈</t>
  </si>
  <si>
    <t>22,654,451원 입금분 중 일부</t>
    <phoneticPr fontId="2" type="noConversion"/>
  </si>
  <si>
    <t>가설재 임대료(발판)</t>
    <phoneticPr fontId="2" type="noConversion"/>
  </si>
  <si>
    <t>가설재 임대료(시스템)</t>
    <phoneticPr fontId="2" type="noConversion"/>
  </si>
  <si>
    <t>가설재 임대료</t>
    <phoneticPr fontId="2" type="noConversion"/>
  </si>
  <si>
    <t>이종훈차장님</t>
  </si>
  <si>
    <t>8월 임대료</t>
  </si>
  <si>
    <t>8월분 입금</t>
  </si>
  <si>
    <t>김승진팀 지원</t>
    <phoneticPr fontId="2" type="noConversion"/>
  </si>
  <si>
    <t>8월 이종찬팀 식대</t>
  </si>
  <si>
    <t>강원 정선 두기토건</t>
    <phoneticPr fontId="2" type="noConversion"/>
  </si>
  <si>
    <t>수직보호망(임효재팀)</t>
    <phoneticPr fontId="2" type="noConversion"/>
  </si>
  <si>
    <t>화성-&gt;안성외</t>
  </si>
  <si>
    <t>송파 훈훈한종합건설</t>
  </si>
  <si>
    <t>B/T 일체형 계단 임대료</t>
  </si>
  <si>
    <t>파주 PK건설</t>
  </si>
  <si>
    <t>신림동 우연건설</t>
    <phoneticPr fontId="2" type="noConversion"/>
  </si>
  <si>
    <t>강원정선 두기토건</t>
  </si>
  <si>
    <t>가설재임대료</t>
  </si>
  <si>
    <t>임대료(1)</t>
  </si>
  <si>
    <t>임대료(2)</t>
  </si>
  <si>
    <t>임대료(3)</t>
  </si>
  <si>
    <t>두기토건</t>
  </si>
  <si>
    <t>건원종합개발</t>
  </si>
  <si>
    <t>가리왕산 자연휴양림 숲속의집</t>
  </si>
  <si>
    <t xml:space="preserve">청주 탑엔지니어링 </t>
  </si>
  <si>
    <t xml:space="preserve">김포 양산고 동아BNH </t>
  </si>
  <si>
    <t xml:space="preserve">수원 건원종합개발 </t>
  </si>
  <si>
    <t>파주 PK건설 인건비</t>
  </si>
  <si>
    <t>파주 PK건설 임대료</t>
  </si>
  <si>
    <t xml:space="preserve">역삼동 아성KB건설 </t>
  </si>
  <si>
    <t xml:space="preserve">화성 신아종합건설 </t>
  </si>
  <si>
    <t xml:space="preserve">수원 에스원종합건설 </t>
  </si>
  <si>
    <t xml:space="preserve">성남 형주종합건설 </t>
  </si>
  <si>
    <t>인천 우호산업개발</t>
  </si>
  <si>
    <t xml:space="preserve">남양주 아주건설 </t>
  </si>
  <si>
    <t xml:space="preserve">송파 유건씨엔디 </t>
  </si>
  <si>
    <t xml:space="preserve">평택 은성산업 </t>
  </si>
  <si>
    <t xml:space="preserve">송파 원진건설산업 </t>
  </si>
  <si>
    <t xml:space="preserve">이천,대전,천안 성우이엔씨 </t>
  </si>
  <si>
    <t>7월 신사삼광, 8월 강남 우리경안 입금</t>
    <phoneticPr fontId="2" type="noConversion"/>
  </si>
  <si>
    <t>8월 신당 큰빛종합건설 입금</t>
    <phoneticPr fontId="2" type="noConversion"/>
  </si>
  <si>
    <t>8월 의왕 에이스가설 입금</t>
    <phoneticPr fontId="2" type="noConversion"/>
  </si>
  <si>
    <t xml:space="preserve">8월 의왕 에이스가설 입금분중 일부 </t>
    <phoneticPr fontId="2" type="noConversion"/>
  </si>
  <si>
    <t>1,782,000원 중 일부</t>
    <phoneticPr fontId="2" type="noConversion"/>
  </si>
  <si>
    <t>39,899,530원 입금분중 일부</t>
    <phoneticPr fontId="2" type="noConversion"/>
  </si>
  <si>
    <t>하남 초은건설</t>
  </si>
  <si>
    <t>김덕기팀 장비사용료</t>
  </si>
  <si>
    <t>인천공항 신성건영 임대료</t>
  </si>
  <si>
    <t>임대료(4월분)</t>
    <phoneticPr fontId="2" type="noConversion"/>
  </si>
  <si>
    <t>임대료(5월분)</t>
    <phoneticPr fontId="2" type="noConversion"/>
  </si>
  <si>
    <t>7월,8월,9월분</t>
  </si>
  <si>
    <t>61,634,628원 입금분 중 일부</t>
    <phoneticPr fontId="2" type="noConversion"/>
  </si>
  <si>
    <t>8월 가산 고이 임대료 입금</t>
    <phoneticPr fontId="2" type="noConversion"/>
  </si>
  <si>
    <t>8월 가산 고이 인건비 입금</t>
    <phoneticPr fontId="2" type="noConversion"/>
  </si>
  <si>
    <t>8월 이천 고이 인건비 입금</t>
    <phoneticPr fontId="2" type="noConversion"/>
  </si>
  <si>
    <t>8월 광명 고이 인건비 입금</t>
    <phoneticPr fontId="2" type="noConversion"/>
  </si>
  <si>
    <t>운반비(사업자 바뀜)</t>
    <phoneticPr fontId="2" type="noConversion"/>
  </si>
  <si>
    <t>8월분 입금</t>
    <phoneticPr fontId="2" type="noConversion"/>
  </si>
  <si>
    <t>8월분 일부 입금</t>
    <phoneticPr fontId="2" type="noConversion"/>
  </si>
  <si>
    <t>8월 송파 훈훈한종합건설 현장 입금</t>
    <phoneticPr fontId="2" type="noConversion"/>
  </si>
  <si>
    <t>7월 가산 고이건현장 입금</t>
    <phoneticPr fontId="2" type="noConversion"/>
  </si>
  <si>
    <t>7월 평택 부연건설 현장 입금</t>
    <phoneticPr fontId="2" type="noConversion"/>
  </si>
  <si>
    <t>8월 정선 두기토건현장 입금</t>
    <phoneticPr fontId="2" type="noConversion"/>
  </si>
  <si>
    <t>8월 평택 부연건설현장 입금</t>
    <phoneticPr fontId="2" type="noConversion"/>
  </si>
  <si>
    <t>하남 초은건설 입금</t>
    <phoneticPr fontId="2" type="noConversion"/>
  </si>
  <si>
    <t>가족식당</t>
  </si>
  <si>
    <t>6~7월 합친 금액으로 마이나스 발행</t>
    <phoneticPr fontId="2" type="noConversion"/>
  </si>
  <si>
    <t>신림동 우연건설</t>
  </si>
  <si>
    <t>B/T일체형 계단 임대료</t>
  </si>
  <si>
    <t>파주 PK건설</t>
    <phoneticPr fontId="2" type="noConversion"/>
  </si>
  <si>
    <t>백승주팀</t>
  </si>
  <si>
    <t>383부7568차량매각</t>
  </si>
  <si>
    <t>차량매각대금 입금</t>
  </si>
  <si>
    <t>티케이종합건설</t>
  </si>
  <si>
    <t>태산이앤씨</t>
  </si>
  <si>
    <t>마곡 일우텍 (8월분)</t>
  </si>
  <si>
    <t>이천 고이건설  인건비</t>
  </si>
  <si>
    <t>천안 티케이종합건설</t>
  </si>
  <si>
    <t xml:space="preserve">이천,대전,봉천동 성우이엔씨 </t>
  </si>
  <si>
    <t xml:space="preserve">화성 영도건설 </t>
  </si>
  <si>
    <t xml:space="preserve">파주 PK건설 </t>
  </si>
  <si>
    <t xml:space="preserve">서초 PK건설 </t>
  </si>
  <si>
    <t>용인 태산이앤씨</t>
  </si>
  <si>
    <t>9월 가산 고이 인건비 입금</t>
    <phoneticPr fontId="2" type="noConversion"/>
  </si>
  <si>
    <t>9월 성남 형주종합건설 현장 입금</t>
    <phoneticPr fontId="2" type="noConversion"/>
  </si>
  <si>
    <t>9월 화성 영도건설현장 입금</t>
    <phoneticPr fontId="2" type="noConversion"/>
  </si>
  <si>
    <t>9월 화성 신아종합건설 현장 입금</t>
    <phoneticPr fontId="2" type="noConversion"/>
  </si>
  <si>
    <t>9월 옥천 현장 입금</t>
    <phoneticPr fontId="2" type="noConversion"/>
  </si>
  <si>
    <t>23년 12월 인천 우호산업현장 입금</t>
    <phoneticPr fontId="2" type="noConversion"/>
  </si>
  <si>
    <t>6,879,840원 중 5,389,450원 입금잡음</t>
    <phoneticPr fontId="2" type="noConversion"/>
  </si>
  <si>
    <t>8월 화성 신아종합건설 현장 입금</t>
    <phoneticPr fontId="2" type="noConversion"/>
  </si>
  <si>
    <t>전자어음 입금(25.4.18. 만기)</t>
    <phoneticPr fontId="2" type="noConversion"/>
  </si>
  <si>
    <t>9월 파주 현장 입금</t>
    <phoneticPr fontId="2" type="noConversion"/>
  </si>
  <si>
    <t>5월분 입금</t>
    <phoneticPr fontId="2" type="noConversion"/>
  </si>
  <si>
    <t>6월분 입금</t>
    <phoneticPr fontId="2" type="noConversion"/>
  </si>
  <si>
    <t>7월분 입금</t>
    <phoneticPr fontId="2" type="noConversion"/>
  </si>
  <si>
    <t>4월분 입금</t>
    <phoneticPr fontId="2" type="noConversion"/>
  </si>
  <si>
    <t>3월분 입금</t>
    <phoneticPr fontId="2" type="noConversion"/>
  </si>
  <si>
    <t>2월분 입금</t>
    <phoneticPr fontId="2" type="noConversion"/>
  </si>
  <si>
    <t>9월 이천 고이 인건비 입금</t>
    <phoneticPr fontId="2" type="noConversion"/>
  </si>
  <si>
    <t>9월 서초 현장 입금</t>
    <phoneticPr fontId="2" type="noConversion"/>
  </si>
  <si>
    <t>9월 광명 고이 인건비 입금</t>
    <phoneticPr fontId="2" type="noConversion"/>
  </si>
  <si>
    <t>15,198,480원 입금분 중 일부</t>
    <phoneticPr fontId="2" type="noConversion"/>
  </si>
  <si>
    <t>9월 가산 고이 임대료 입금</t>
    <phoneticPr fontId="2" type="noConversion"/>
  </si>
  <si>
    <t>6,879,840원 중 1,490,390원 입금잡음</t>
    <phoneticPr fontId="2" type="noConversion"/>
  </si>
  <si>
    <t>9월분 입금</t>
    <phoneticPr fontId="2" type="noConversion"/>
  </si>
  <si>
    <t>8월 가산 고이임대료 입금</t>
    <phoneticPr fontId="2" type="noConversion"/>
  </si>
  <si>
    <t>9월 강원정선 두기토건 입금</t>
    <phoneticPr fontId="2" type="noConversion"/>
  </si>
  <si>
    <t>9월 이태원 탑 입금</t>
    <phoneticPr fontId="2" type="noConversion"/>
  </si>
  <si>
    <t>10월 김진민팀 식대</t>
  </si>
  <si>
    <t>10월 이종찬팀 식대</t>
  </si>
  <si>
    <t>함바식당</t>
  </si>
  <si>
    <t>수원 한창실업</t>
  </si>
  <si>
    <t>김승진팀 식대</t>
  </si>
  <si>
    <t>강성복팀 10월 식대</t>
  </si>
  <si>
    <t>11/7-9,675,600원 입금분중 일부</t>
    <phoneticPr fontId="2" type="noConversion"/>
  </si>
  <si>
    <t>8월 수원 에스원종합건설분 입금</t>
    <phoneticPr fontId="2" type="noConversion"/>
  </si>
  <si>
    <t>9월 수원 에스원종합건설분 입금</t>
    <phoneticPr fontId="2" type="noConversion"/>
  </si>
  <si>
    <t>매입과 상계처리함(파주 은성개발)</t>
    <phoneticPr fontId="2" type="noConversion"/>
  </si>
  <si>
    <t>매입과 상계처리함(안산 경인건설)</t>
    <phoneticPr fontId="2" type="noConversion"/>
  </si>
  <si>
    <t>매입과 상계처리함(강동 대성종합건설 일부)</t>
    <phoneticPr fontId="2" type="noConversion"/>
  </si>
  <si>
    <t>6월 매입분(인천 천운이엔씨)상계</t>
    <phoneticPr fontId="2" type="noConversion"/>
  </si>
  <si>
    <t>6월 매입분(동대문 HK안전)상계</t>
    <phoneticPr fontId="2" type="noConversion"/>
  </si>
  <si>
    <t>4월 인천 천운이엔씨 입금</t>
    <phoneticPr fontId="2" type="noConversion"/>
  </si>
  <si>
    <t>6월 의왕 hk안전시스템 입금</t>
    <phoneticPr fontId="2" type="noConversion"/>
  </si>
  <si>
    <t>3월 인천 천운이엔씨 입금</t>
    <phoneticPr fontId="2" type="noConversion"/>
  </si>
  <si>
    <t>6월 이천 고이건설 임대료 입금</t>
    <phoneticPr fontId="2" type="noConversion"/>
  </si>
  <si>
    <t>6월 인천 천운이엔씨-매출과 상계처리</t>
    <phoneticPr fontId="2" type="noConversion"/>
  </si>
  <si>
    <t>6월 동대문 hk안전시스템-매출과 상계처리</t>
    <phoneticPr fontId="2" type="noConversion"/>
  </si>
  <si>
    <t>매출-매입 상계처리</t>
    <phoneticPr fontId="2" type="noConversion"/>
  </si>
  <si>
    <t>강동 대성종합건설 잔액 입금</t>
    <phoneticPr fontId="2" type="noConversion"/>
  </si>
  <si>
    <t>6월 매입분에서 상계후 1,502,930원입금</t>
    <phoneticPr fontId="2" type="noConversion"/>
  </si>
  <si>
    <t>6월 매입분에서 7,763,470원 상계처리함</t>
    <phoneticPr fontId="2" type="noConversion"/>
  </si>
  <si>
    <t>세방테크</t>
  </si>
  <si>
    <t>유호산업개발</t>
  </si>
  <si>
    <t>우연건설</t>
  </si>
  <si>
    <t>성광렌텍산업</t>
  </si>
  <si>
    <t>정동산업개발</t>
  </si>
  <si>
    <t>한창실업</t>
  </si>
  <si>
    <t>마곡 일우텍</t>
  </si>
  <si>
    <t>이태원 탑엔지니어링</t>
  </si>
  <si>
    <t xml:space="preserve">마곡 세방테크 </t>
  </si>
  <si>
    <t xml:space="preserve">송파 유건씨앤디 </t>
  </si>
  <si>
    <t xml:space="preserve">강남 아성KB건설 </t>
  </si>
  <si>
    <t xml:space="preserve">신림 차량기지-수직망 </t>
  </si>
  <si>
    <t xml:space="preserve">의왕 HK안전시스템 </t>
  </si>
  <si>
    <t>신당동 큰빛종합건설</t>
  </si>
  <si>
    <t xml:space="preserve">신림 우연건설 </t>
  </si>
  <si>
    <t xml:space="preserve">용인 태산이앤씨 </t>
  </si>
  <si>
    <t xml:space="preserve">천안 성광렌텍산업 </t>
  </si>
  <si>
    <t xml:space="preserve">서울대 정동산업개발 </t>
  </si>
  <si>
    <t xml:space="preserve">이천,천안,봉천동,대전 성우이엔씨 </t>
  </si>
  <si>
    <t>수직망</t>
  </si>
  <si>
    <t>파주 PK 건설 동바리임대료</t>
  </si>
  <si>
    <t>파주 PK 건설 비계임대료</t>
  </si>
  <si>
    <t>8월분 계산서 차액 발행분 입금</t>
  </si>
  <si>
    <t>9월분 일부 발행분 입금</t>
  </si>
  <si>
    <t>10월 가산 고이 입금</t>
  </si>
  <si>
    <t>10월 천안 현송건설 입금</t>
  </si>
  <si>
    <t>천안 성광렌텍산업 입금</t>
  </si>
  <si>
    <t>세교지게차</t>
  </si>
  <si>
    <t>수원 한창실업(김승진팀)</t>
  </si>
  <si>
    <t xml:space="preserve">가설재 임대료 </t>
  </si>
  <si>
    <t>B/T 일체형 계단</t>
  </si>
  <si>
    <t>시스템동바리(망실)</t>
  </si>
  <si>
    <t>8월 평택탑 공급가액 입금</t>
    <phoneticPr fontId="2" type="noConversion"/>
  </si>
  <si>
    <t>10월 별내 고이 임대료 입금</t>
    <phoneticPr fontId="2" type="noConversion"/>
  </si>
  <si>
    <t>보령 12월분 잔액 입금 잡음</t>
    <phoneticPr fontId="2" type="noConversion"/>
  </si>
  <si>
    <t>11/15-9,000만원중 12월 잔액 입금잡음</t>
    <phoneticPr fontId="2" type="noConversion"/>
  </si>
  <si>
    <t>보령 1월분 입금 잡음</t>
    <phoneticPr fontId="2" type="noConversion"/>
  </si>
  <si>
    <t>11/15-9,000만원중 1월분 입금잡음</t>
    <phoneticPr fontId="2" type="noConversion"/>
  </si>
  <si>
    <t>보령 7월분 일부 입금 잡음</t>
    <phoneticPr fontId="2" type="noConversion"/>
  </si>
  <si>
    <t>송파 훈훈한 종합건설</t>
  </si>
  <si>
    <t>일신영중 장비사용료(김세흔팀)</t>
  </si>
  <si>
    <t>9월 송파 훈훈한종합건설 입금</t>
    <phoneticPr fontId="2" type="noConversion"/>
  </si>
  <si>
    <t>10월 송파 훈훈한종합건설 입금</t>
    <phoneticPr fontId="2" type="noConversion"/>
  </si>
  <si>
    <t>10월분 입금</t>
    <phoneticPr fontId="2" type="noConversion"/>
  </si>
  <si>
    <t>에이치케이안전시스템</t>
    <phoneticPr fontId="2" type="noConversion"/>
  </si>
  <si>
    <t>10월 광명 고이 인건비 입금</t>
    <phoneticPr fontId="2" type="noConversion"/>
  </si>
  <si>
    <t>10월 광명 고이 임대료 입금</t>
    <phoneticPr fontId="2" type="noConversion"/>
  </si>
  <si>
    <t>10월 가산 고이 임대료 입금</t>
    <phoneticPr fontId="2" type="noConversion"/>
  </si>
  <si>
    <t>10월 이천 고이 인건비 입금</t>
    <phoneticPr fontId="2" type="noConversion"/>
  </si>
  <si>
    <t>10월 이천 고이 임대료 입금</t>
    <phoneticPr fontId="2" type="noConversion"/>
  </si>
  <si>
    <t>54,316,344원 입금</t>
    <phoneticPr fontId="2" type="noConversion"/>
  </si>
  <si>
    <t>10월 이태원 탑 입금</t>
    <phoneticPr fontId="2" type="noConversion"/>
  </si>
  <si>
    <t>10월 평택 부연건설 임대료 입금</t>
    <phoneticPr fontId="2" type="noConversion"/>
  </si>
  <si>
    <t>하남 에덴건설</t>
  </si>
  <si>
    <t>대치</t>
    <phoneticPr fontId="2" type="noConversion"/>
  </si>
  <si>
    <t>11월 이종찬팀 식대</t>
  </si>
  <si>
    <t>상봉동 탑 12월분 부가세 입금</t>
    <phoneticPr fontId="2" type="noConversion"/>
  </si>
  <si>
    <t>3,500만원 입금분</t>
    <phoneticPr fontId="2" type="noConversion"/>
  </si>
  <si>
    <t>상봉동 탑 01월분 부가세 입금</t>
    <phoneticPr fontId="2" type="noConversion"/>
  </si>
  <si>
    <t>평택 탑 12월분 일부 입금</t>
    <phoneticPr fontId="2" type="noConversion"/>
  </si>
  <si>
    <t>왜관 탑 1월분 잔액 입금</t>
    <phoneticPr fontId="2" type="noConversion"/>
  </si>
  <si>
    <t>왜관 탑 4월 부가세 입금</t>
    <phoneticPr fontId="2" type="noConversion"/>
  </si>
  <si>
    <t>왜관 탑 8월분 입금</t>
    <phoneticPr fontId="2" type="noConversion"/>
  </si>
  <si>
    <t>충북대 탑 9월분 입금</t>
    <phoneticPr fontId="2" type="noConversion"/>
  </si>
  <si>
    <t>12/4-103,815,284원 입금분</t>
    <phoneticPr fontId="2" type="noConversion"/>
  </si>
  <si>
    <t>보령 8월분 입금</t>
    <phoneticPr fontId="2" type="noConversion"/>
  </si>
  <si>
    <t>보령 9월분 입금</t>
    <phoneticPr fontId="2" type="noConversion"/>
  </si>
  <si>
    <t>보령 10월분 입금</t>
    <phoneticPr fontId="2" type="noConversion"/>
  </si>
  <si>
    <t>김진민팀 식대</t>
  </si>
  <si>
    <t>낙하물방호선반</t>
  </si>
  <si>
    <t>김동혁팀 11월 식대</t>
  </si>
  <si>
    <t>B/T 일체형계단 임대료</t>
  </si>
  <si>
    <t>10월 강원정선 두기토건 입금</t>
    <phoneticPr fontId="2" type="noConversion"/>
  </si>
  <si>
    <t>김승진팀 지게차 사용료</t>
  </si>
  <si>
    <t>부천 영신종합건설</t>
  </si>
  <si>
    <t>시스템 동바리 임대료</t>
  </si>
  <si>
    <t>서울대 정동산업개발</t>
  </si>
  <si>
    <t>임대료(20)</t>
  </si>
  <si>
    <t>임대료(30)</t>
  </si>
  <si>
    <t>부현전기</t>
  </si>
  <si>
    <t>퍼스트이엔씨</t>
  </si>
  <si>
    <t>이천 부현전기</t>
  </si>
  <si>
    <t xml:space="preserve">고양 퍼스트이엔씨 </t>
  </si>
  <si>
    <t>일신여중,잠실여고 이음학교도서관 층축공사</t>
  </si>
  <si>
    <t>에스원종합건설</t>
  </si>
  <si>
    <t>성창씨엔씨</t>
  </si>
  <si>
    <t>화유건설</t>
  </si>
  <si>
    <t>바로종합건설</t>
  </si>
  <si>
    <t>성문건설</t>
  </si>
  <si>
    <t>은성개발</t>
  </si>
  <si>
    <t>송도 경유산업개발 바이오 현장</t>
  </si>
  <si>
    <t>봉천동 성창씨엔씨 현장</t>
  </si>
  <si>
    <t>김포 화유건설 10월분</t>
  </si>
  <si>
    <t>신림 우연건설</t>
  </si>
  <si>
    <t>충주 혜원건설</t>
  </si>
  <si>
    <t>용산 바로종합건설</t>
  </si>
  <si>
    <t>송파 유건씨앤디</t>
  </si>
  <si>
    <t>김포시 풍무체육문화센터 건립사업</t>
  </si>
  <si>
    <t>이천.천안.봉천동.대전 성우이엔씨</t>
  </si>
  <si>
    <t>인천-낙하물방호선반</t>
  </si>
  <si>
    <t>남양주 아주건설</t>
  </si>
  <si>
    <t>천안 현송건설</t>
  </si>
  <si>
    <t>10,853,700원 입금</t>
  </si>
  <si>
    <t>시스템비</t>
  </si>
  <si>
    <t>이천 고이건설 임대료</t>
  </si>
  <si>
    <t>충주 혜원건설 11월분 입금</t>
    <phoneticPr fontId="2" type="noConversion"/>
  </si>
  <si>
    <t>11월 가산 고이 인건비 입금</t>
    <phoneticPr fontId="2" type="noConversion"/>
  </si>
  <si>
    <t>입금</t>
    <phoneticPr fontId="2" type="noConversion"/>
  </si>
  <si>
    <t>여수 대도엔지니어링</t>
    <phoneticPr fontId="2" type="noConversion"/>
  </si>
  <si>
    <t>수원 건원종합개발</t>
    <phoneticPr fontId="2" type="noConversion"/>
  </si>
  <si>
    <t>입금</t>
    <phoneticPr fontId="2" type="noConversion"/>
  </si>
  <si>
    <t>12,320,000원 입금</t>
    <phoneticPr fontId="2" type="noConversion"/>
  </si>
  <si>
    <t>삼광토건 부도처리</t>
    <phoneticPr fontId="2" type="noConversion"/>
  </si>
  <si>
    <t>부도처리됨</t>
    <phoneticPr fontId="2" type="noConversion"/>
  </si>
  <si>
    <t>입금</t>
    <phoneticPr fontId="2" type="noConversion"/>
  </si>
  <si>
    <t>파주 PK건설 11월분 입금</t>
    <phoneticPr fontId="2" type="noConversion"/>
  </si>
  <si>
    <t>11월 송파 훈훈한종합건설 건 입금</t>
    <phoneticPr fontId="2" type="noConversion"/>
  </si>
  <si>
    <t>송파 유건씨앤디 입금</t>
    <phoneticPr fontId="2" type="noConversion"/>
  </si>
  <si>
    <t>입금</t>
    <phoneticPr fontId="2" type="noConversion"/>
  </si>
  <si>
    <t>10월 이천 고이 인건비 중복 입금분으로 입금잡음</t>
    <phoneticPr fontId="2" type="noConversion"/>
  </si>
  <si>
    <t>11월 광명 고이 인건비 입금</t>
    <phoneticPr fontId="2" type="noConversion"/>
  </si>
  <si>
    <t>11월 광명 고이 임대료 입금</t>
    <phoneticPr fontId="2" type="noConversion"/>
  </si>
  <si>
    <t>11월 이천 고이 인건비 입금</t>
    <phoneticPr fontId="2" type="noConversion"/>
  </si>
  <si>
    <t>11월 이천 고이 임대료 입금</t>
    <phoneticPr fontId="2" type="noConversion"/>
  </si>
  <si>
    <t>11월 가산 고이 임대료 입금</t>
    <phoneticPr fontId="2" type="noConversion"/>
  </si>
  <si>
    <t xml:space="preserve">성북 와이제이건설 </t>
  </si>
  <si>
    <t>성남 형주종합건설 입금</t>
    <phoneticPr fontId="2" type="noConversion"/>
  </si>
  <si>
    <t>강남 우리경안건설 입금</t>
    <phoneticPr fontId="2" type="noConversion"/>
  </si>
  <si>
    <t>평택 선구건설 입금</t>
    <phoneticPr fontId="2" type="noConversion"/>
  </si>
  <si>
    <t>성북 와이제이건설 입금</t>
    <phoneticPr fontId="2" type="noConversion"/>
  </si>
  <si>
    <t>화성 신아종합건설 입금</t>
    <phoneticPr fontId="2" type="noConversion"/>
  </si>
  <si>
    <t>입금</t>
    <phoneticPr fontId="2" type="noConversion"/>
  </si>
  <si>
    <t>남양주 아주건설 입금</t>
    <phoneticPr fontId="2" type="noConversion"/>
  </si>
  <si>
    <t>10월 가산 고이건설 입금</t>
    <phoneticPr fontId="2" type="noConversion"/>
  </si>
  <si>
    <t>하남 에덴건설 입금</t>
    <phoneticPr fontId="2" type="noConversion"/>
  </si>
  <si>
    <t>11월분 입금</t>
    <phoneticPr fontId="2" type="noConversion"/>
  </si>
  <si>
    <t>12월 별내 고이건설 입금</t>
    <phoneticPr fontId="2" type="noConversion"/>
  </si>
  <si>
    <t>입금</t>
    <phoneticPr fontId="2" type="noConversion"/>
  </si>
  <si>
    <t>송파 훈훈한종합건설 입금</t>
    <phoneticPr fontId="2" type="noConversion"/>
  </si>
  <si>
    <t>부천 영신종합건설 입금</t>
    <phoneticPr fontId="2" type="noConversion"/>
  </si>
  <si>
    <t>서울대 정동산업개발 입금</t>
    <phoneticPr fontId="2" type="noConversion"/>
  </si>
  <si>
    <t>입금</t>
    <phoneticPr fontId="2" type="noConversion"/>
  </si>
  <si>
    <t>입금</t>
    <phoneticPr fontId="2" type="noConversion"/>
  </si>
  <si>
    <t>인천 우호산업개발 8월분 입금</t>
    <phoneticPr fontId="2" type="noConversion"/>
  </si>
  <si>
    <t>시스템 멸실료</t>
  </si>
  <si>
    <t>입금</t>
    <phoneticPr fontId="2" type="noConversion"/>
  </si>
  <si>
    <t>일광F&amp;B</t>
  </si>
  <si>
    <t>김승진팀 참대</t>
  </si>
  <si>
    <t>음료수및 참대</t>
  </si>
  <si>
    <t>김동혁팀식대</t>
  </si>
  <si>
    <t>대보현장식당</t>
  </si>
  <si>
    <t>부천대 탑엔지니어링</t>
  </si>
  <si>
    <t>삼광건설</t>
  </si>
  <si>
    <t>더원시스템산업</t>
  </si>
  <si>
    <t>에이치에스시스템</t>
  </si>
  <si>
    <t>경도종합건설</t>
  </si>
  <si>
    <t>난컴퍼니</t>
  </si>
  <si>
    <t>차량매각(701로3712)</t>
  </si>
  <si>
    <t>시스템 비계 해체</t>
  </si>
  <si>
    <t>수원 한창실업 자재정리</t>
  </si>
  <si>
    <t>가산 고이건설 임대료</t>
  </si>
  <si>
    <t>이천 고이건설 인건비</t>
  </si>
  <si>
    <t>DS커미티 울산</t>
  </si>
  <si>
    <t>역삼동 아성KB건설</t>
  </si>
  <si>
    <t>과천 SNB건설</t>
  </si>
  <si>
    <t>이천,봉천동,대전 성우이엔씨</t>
  </si>
  <si>
    <t>인천 부평초등학교 공간재구조화 리모델링공사</t>
  </si>
  <si>
    <t>남양주 스타벅스 DT점</t>
  </si>
  <si>
    <t>성남 제이비디엠씨</t>
  </si>
  <si>
    <t>의왕 에이스가설</t>
  </si>
  <si>
    <t>광명 도모플러스</t>
  </si>
  <si>
    <t>천안 태산CM 현장</t>
  </si>
  <si>
    <t>선수금</t>
  </si>
  <si>
    <t>파주 PK건설 운임료</t>
  </si>
  <si>
    <t>운임료</t>
  </si>
  <si>
    <t>입금</t>
    <phoneticPr fontId="2" type="noConversion"/>
  </si>
  <si>
    <t>임대료 입금</t>
    <phoneticPr fontId="2" type="noConversion"/>
  </si>
  <si>
    <t>입금</t>
    <phoneticPr fontId="2" type="noConversion"/>
  </si>
  <si>
    <t>운임료 입금</t>
    <phoneticPr fontId="2" type="noConversion"/>
  </si>
  <si>
    <t>12월 가산 고이 인건비 입금</t>
    <phoneticPr fontId="2" type="noConversion"/>
  </si>
  <si>
    <t>입금</t>
    <phoneticPr fontId="2" type="noConversion"/>
  </si>
  <si>
    <t>한국종합물류</t>
  </si>
  <si>
    <t>Y&amp;S건설</t>
  </si>
  <si>
    <t>김포 화유건설 11월분</t>
  </si>
  <si>
    <t>이태원 탑엔지니어링 11월분</t>
  </si>
  <si>
    <t>이태원 탑엔지니어링 12월분</t>
  </si>
  <si>
    <t>보령 탑엔지니어링 11월분</t>
  </si>
  <si>
    <t>부천대 탑엔지니어링 12월분</t>
  </si>
  <si>
    <t>인천공항</t>
  </si>
  <si>
    <t>수원 건원종합개발</t>
  </si>
  <si>
    <t>부천 소새울유치원(영신종합건설)</t>
  </si>
  <si>
    <t>부평 경도종합건설</t>
  </si>
  <si>
    <t>이태원 탑 11월분 입금</t>
  </si>
  <si>
    <t>11월분 입금</t>
  </si>
  <si>
    <t>보령 탑 11월분 입금</t>
  </si>
  <si>
    <t>2023~2025년</t>
    <phoneticPr fontId="2" type="noConversion"/>
  </si>
  <si>
    <t>주식회사 청연이엔지(미수금)</t>
    <phoneticPr fontId="2" type="noConversion"/>
  </si>
  <si>
    <t>대운푸드빌</t>
  </si>
  <si>
    <t>성남 탑엔지니어링</t>
  </si>
  <si>
    <t>부평 갑진종합건설</t>
  </si>
  <si>
    <t>부평 산곡남초등학교 장비사용료(김세흔팀)</t>
  </si>
  <si>
    <t>입금</t>
    <phoneticPr fontId="2" type="noConversion"/>
  </si>
  <si>
    <t>입금</t>
    <phoneticPr fontId="2" type="noConversion"/>
  </si>
  <si>
    <t>6월 인건비 입금</t>
    <phoneticPr fontId="2" type="noConversion"/>
  </si>
  <si>
    <t>7월 인거비 입금</t>
    <phoneticPr fontId="2" type="noConversion"/>
  </si>
  <si>
    <t>82,165,600원 입금</t>
    <phoneticPr fontId="2" type="noConversion"/>
  </si>
  <si>
    <t>4월분 임대료 일부 입금</t>
    <phoneticPr fontId="2" type="noConversion"/>
  </si>
  <si>
    <t>DS커미티 울산건 입금</t>
    <phoneticPr fontId="2" type="noConversion"/>
  </si>
  <si>
    <t>입금</t>
    <phoneticPr fontId="2" type="noConversion"/>
  </si>
  <si>
    <t>용인 인화건설 입금</t>
    <phoneticPr fontId="2" type="noConversion"/>
  </si>
  <si>
    <t>입금</t>
    <phoneticPr fontId="2" type="noConversion"/>
  </si>
  <si>
    <t>수원 한창실업 입금</t>
    <phoneticPr fontId="2" type="noConversion"/>
  </si>
  <si>
    <t>파주 PK건설 12월분 입금</t>
    <phoneticPr fontId="2" type="noConversion"/>
  </si>
  <si>
    <t>12월분 입금</t>
    <phoneticPr fontId="2" type="noConversion"/>
  </si>
  <si>
    <t>별내 고이건설 입금</t>
    <phoneticPr fontId="2" type="noConversion"/>
  </si>
  <si>
    <t>이천 고이건설 입금</t>
    <phoneticPr fontId="2" type="noConversion"/>
  </si>
  <si>
    <t>광명 고이건설 입금</t>
    <phoneticPr fontId="2" type="noConversion"/>
  </si>
  <si>
    <t>가산 고이건설 11월분 임대료 입금</t>
    <phoneticPr fontId="2" type="noConversion"/>
  </si>
  <si>
    <t>인천 신성건영 7월분 입금</t>
    <phoneticPr fontId="2" type="noConversion"/>
  </si>
  <si>
    <t>부평 갑진종합건설 입금</t>
    <phoneticPr fontId="2" type="noConversion"/>
  </si>
  <si>
    <t>입금</t>
    <phoneticPr fontId="2" type="noConversion"/>
  </si>
  <si>
    <t>12월 광명 고이건설 인건비 입금</t>
    <phoneticPr fontId="2" type="noConversion"/>
  </si>
  <si>
    <t>12월 가산 고이건설 임대료 입금</t>
    <phoneticPr fontId="2" type="noConversion"/>
  </si>
  <si>
    <t>12월 이천 고이건설 인건비 입금</t>
    <phoneticPr fontId="2" type="noConversion"/>
  </si>
  <si>
    <t>1/24-68,924,312원</t>
  </si>
  <si>
    <t>부천대 탑엔지니어링 12월분 입금</t>
    <phoneticPr fontId="2" type="noConversion"/>
  </si>
  <si>
    <t>수원 씨즌텍</t>
  </si>
  <si>
    <t>자재임대료</t>
  </si>
  <si>
    <t>중화동 포엠씨엔디</t>
  </si>
  <si>
    <t>동작구 훈훈한종합건설</t>
  </si>
  <si>
    <t>일체형계단 임대료</t>
  </si>
  <si>
    <t>임대료(10)</t>
  </si>
  <si>
    <t>임대료(31)</t>
  </si>
  <si>
    <t>다원</t>
    <phoneticPr fontId="2" type="noConversion"/>
  </si>
  <si>
    <t>김승진팀 지게차사용료</t>
  </si>
  <si>
    <t>신림 우연건설 PVC망</t>
  </si>
  <si>
    <t>테크윈</t>
  </si>
  <si>
    <t>갑진종합건설</t>
  </si>
  <si>
    <t>세양건설산업</t>
  </si>
  <si>
    <t>도모플러스</t>
  </si>
  <si>
    <t>성남 탑엔지니어링 25년 01월</t>
  </si>
  <si>
    <t>성남 탑엔지니어링 발판자재비</t>
  </si>
  <si>
    <t>보령 탑엔지니어링 25년 01월분</t>
  </si>
  <si>
    <t>이태원 탑엔지니어링 25년 01월분</t>
  </si>
  <si>
    <t>부천대 탑엔지니어링 25년 01월</t>
  </si>
  <si>
    <t>부천대 탑엔지니어링 발판자재비</t>
  </si>
  <si>
    <t>음성 대소공공하수처리시설</t>
  </si>
  <si>
    <t>가산 고이건설 인건비</t>
  </si>
  <si>
    <t>강남 아성KB건설</t>
  </si>
  <si>
    <t>송정역 청년주택 및 근린생활시설 신축공사</t>
  </si>
  <si>
    <t>수원 한창실업 01월분</t>
  </si>
  <si>
    <t>용인 인화건설 현장</t>
  </si>
  <si>
    <t>광명 도모플러스 현장</t>
  </si>
  <si>
    <t>수원 씨즌텍 현장</t>
  </si>
  <si>
    <t>동작중학교 현장</t>
  </si>
  <si>
    <t>오창,봉천동,대전 성우이엔씨 현장</t>
  </si>
  <si>
    <t>부평 갑진종합건설 현장</t>
  </si>
  <si>
    <t>가산 고이건설 인건비 입금</t>
  </si>
  <si>
    <t>발판자재비</t>
  </si>
  <si>
    <t>pvc망</t>
  </si>
  <si>
    <t>발판 자재비 마이나스 발행</t>
  </si>
  <si>
    <t>69,478,068원 입금</t>
    <phoneticPr fontId="2" type="noConversion"/>
  </si>
  <si>
    <t>역삼동 아성KB건설 입금</t>
    <phoneticPr fontId="2" type="noConversion"/>
  </si>
  <si>
    <t>코리아신탁㈜로 입금</t>
    <phoneticPr fontId="2" type="noConversion"/>
  </si>
  <si>
    <t>광명 도모플러스 입금</t>
    <phoneticPr fontId="2" type="noConversion"/>
  </si>
  <si>
    <t>가산 고이건설 임대료 입금</t>
    <phoneticPr fontId="2" type="noConversion"/>
  </si>
  <si>
    <t>이재욱</t>
    <phoneticPr fontId="2" type="noConversion"/>
  </si>
  <si>
    <t>에이스시스템비계</t>
    <phoneticPr fontId="2" type="noConversion"/>
  </si>
  <si>
    <t xml:space="preserve">오산 도담건설산업 </t>
    <phoneticPr fontId="2" type="noConversion"/>
  </si>
  <si>
    <t xml:space="preserve">연천 색채산업개발 </t>
    <phoneticPr fontId="2" type="noConversion"/>
  </si>
  <si>
    <t>2/27 입금분 중 입금 잡음</t>
    <phoneticPr fontId="2" type="noConversion"/>
  </si>
  <si>
    <t>부천대 탑엔지니어링 25년 01월분 입금</t>
    <phoneticPr fontId="2" type="noConversion"/>
  </si>
  <si>
    <t>성남 탑엔지니어링 25년 01월분 입금</t>
    <phoneticPr fontId="2" type="noConversion"/>
  </si>
  <si>
    <t>평택 탑엔지니어링 01월분 입금</t>
    <phoneticPr fontId="2" type="noConversion"/>
  </si>
  <si>
    <t>충주 혜원건설 12월분 입금</t>
    <phoneticPr fontId="2" type="noConversion"/>
  </si>
  <si>
    <t>천안 태산CM 현장 12월분 입금</t>
    <phoneticPr fontId="2" type="noConversion"/>
  </si>
  <si>
    <t>천안 태산CM 현장 1월분 입금</t>
    <phoneticPr fontId="2" type="noConversion"/>
  </si>
  <si>
    <t>강남 아성KB건설 입금</t>
    <phoneticPr fontId="2" type="noConversion"/>
  </si>
  <si>
    <t>U헤드 멍에 센터유지구외 2건</t>
  </si>
  <si>
    <t>아산 라온건영 현장 입금</t>
    <phoneticPr fontId="2" type="noConversion"/>
  </si>
  <si>
    <t>제일아시트</t>
  </si>
  <si>
    <t>조은건설</t>
  </si>
  <si>
    <t>동양알루미늄</t>
  </si>
  <si>
    <t>부건건설</t>
  </si>
  <si>
    <t>태건건설</t>
  </si>
  <si>
    <t>청담동 제일아시트</t>
  </si>
  <si>
    <t>성남 탑엔지니어링 25년 02월</t>
  </si>
  <si>
    <t>가락동 129-14 포엠씨앤디</t>
  </si>
  <si>
    <t>문정동45-8 포엠씨앤디</t>
  </si>
  <si>
    <t>중화동 307-48 포엠씨앤디</t>
  </si>
  <si>
    <t>면목동 191-124 포엠씨앤디</t>
  </si>
  <si>
    <t>중화동 279-30 포엠씨앤디</t>
  </si>
  <si>
    <t>아산 라온건영</t>
  </si>
  <si>
    <t>부평 온누리 교회 유성이엔지</t>
  </si>
  <si>
    <t>동탄현장</t>
  </si>
  <si>
    <t>수원현장</t>
  </si>
  <si>
    <t>남양주 어린이집 부건건설</t>
  </si>
  <si>
    <t>홍익동 태건건설</t>
  </si>
  <si>
    <t>오창, 동탄 성우이엔씨</t>
  </si>
  <si>
    <t>국민 666201-01-767628</t>
  </si>
  <si>
    <t>수원영통 푸르지오현장</t>
  </si>
  <si>
    <t>수원 에이스시스템비계 현장</t>
  </si>
  <si>
    <t>문정동45-8 포엠씨앤디 입금</t>
  </si>
  <si>
    <t>open구간 자재 임대료</t>
    <phoneticPr fontId="2" type="noConversion"/>
  </si>
  <si>
    <t>발판 자재비</t>
    <phoneticPr fontId="2" type="noConversion"/>
  </si>
  <si>
    <t>시스템비계구조계산비</t>
  </si>
  <si>
    <t>대한시스템비계공사</t>
    <phoneticPr fontId="2" type="noConversion"/>
  </si>
  <si>
    <t>성남 탑엔지니어링</t>
    <phoneticPr fontId="2" type="noConversion"/>
  </si>
  <si>
    <t>일광 F&amp;B</t>
  </si>
  <si>
    <t>음료수외</t>
  </si>
  <si>
    <t>가락동 포엠씨엔디</t>
  </si>
  <si>
    <t>자재비 임대료</t>
  </si>
  <si>
    <t>문정동 포엠씨엔디</t>
  </si>
  <si>
    <t>B/T 일체영계단 임대료</t>
  </si>
  <si>
    <t>대성지게차</t>
  </si>
  <si>
    <t>가락동 129-14 포엠씨앤디 입금</t>
    <phoneticPr fontId="2" type="noConversion"/>
  </si>
  <si>
    <t>중화동 307-48 포엠씨앤디 입금</t>
    <phoneticPr fontId="2" type="noConversion"/>
  </si>
  <si>
    <t>면목동 191-124 포엠씨앤디 입금</t>
    <phoneticPr fontId="2" type="noConversion"/>
  </si>
  <si>
    <t>시스템 인건비 입금</t>
    <phoneticPr fontId="2" type="noConversion"/>
  </si>
  <si>
    <t>임대료(1일)</t>
  </si>
  <si>
    <t>임대료(15일)</t>
  </si>
  <si>
    <t>임대료(28일)</t>
  </si>
  <si>
    <t>임대료(1일) 일부 입금</t>
  </si>
  <si>
    <t>리수산업</t>
  </si>
  <si>
    <t>낙방평판3000d(와이어형)외</t>
  </si>
  <si>
    <t>(144,504,140원 입금분중 일부)</t>
    <phoneticPr fontId="2" type="noConversion"/>
  </si>
  <si>
    <t>2월 서울대 현장</t>
  </si>
  <si>
    <t>수원 씨즌텍 1월분 입금</t>
    <phoneticPr fontId="2" type="noConversion"/>
  </si>
  <si>
    <t>중화동 포엠씨엔디 1월분 입금</t>
    <phoneticPr fontId="2" type="noConversion"/>
  </si>
  <si>
    <t>문정동 포엠씨앤디</t>
  </si>
  <si>
    <t>가락동 포엠씨앤디</t>
  </si>
  <si>
    <t>송파 유건씨앤디 현장 입금</t>
    <phoneticPr fontId="2" type="noConversion"/>
  </si>
  <si>
    <t>송파 유건씨앤디</t>
    <phoneticPr fontId="2" type="noConversion"/>
  </si>
  <si>
    <t>아산 라온건영</t>
    <phoneticPr fontId="2" type="noConversion"/>
  </si>
  <si>
    <t>동작중학교 현장 입금</t>
    <phoneticPr fontId="2" type="noConversion"/>
  </si>
  <si>
    <t>중화동 279-30 포엠씨앤디</t>
    <phoneticPr fontId="2" type="noConversion"/>
  </si>
  <si>
    <t>낙방평판3000d(와이어형)</t>
  </si>
  <si>
    <t>중화동 307-48 포엠씨앤디 입금</t>
  </si>
  <si>
    <t>신영이엔씨</t>
  </si>
  <si>
    <t>면목동 포엠씨앤디</t>
  </si>
  <si>
    <t xml:space="preserve">시스템비계외 </t>
  </si>
  <si>
    <t>면목동 포엠씨앤디 입금</t>
  </si>
  <si>
    <t>잡손실 처리함</t>
    <phoneticPr fontId="2" type="noConversion"/>
  </si>
  <si>
    <t>부천대 탑엔지니어링 입금</t>
    <phoneticPr fontId="2" type="noConversion"/>
  </si>
  <si>
    <t>성남 탑엔지니어링 25년 02월분 입금</t>
    <phoneticPr fontId="2" type="noConversion"/>
  </si>
  <si>
    <t>3/28 입금분 중 입금 잡음</t>
    <phoneticPr fontId="2" type="noConversion"/>
  </si>
  <si>
    <t>발판 자재비 마이나스 발행</t>
    <phoneticPr fontId="2" type="noConversion"/>
  </si>
  <si>
    <t>동작구 훈훈한종합건설 입금</t>
    <phoneticPr fontId="2" type="noConversion"/>
  </si>
  <si>
    <t>작방평판3000d(와이어형)</t>
  </si>
  <si>
    <t>가락동 포엠씨엔디 입금</t>
    <phoneticPr fontId="2" type="noConversion"/>
  </si>
  <si>
    <t>문정동 포엠씨엔디 입금</t>
    <phoneticPr fontId="2" type="noConversion"/>
  </si>
  <si>
    <t>인천 부평 유성이엔지 입금</t>
    <phoneticPr fontId="2" type="noConversion"/>
  </si>
  <si>
    <t>인천 부평 조은건설 입금</t>
    <phoneticPr fontId="2" type="noConversion"/>
  </si>
  <si>
    <t>임대료(15일) 입금</t>
    <phoneticPr fontId="2" type="noConversion"/>
  </si>
  <si>
    <t>임대료(28일) 입금</t>
    <phoneticPr fontId="2" type="noConversion"/>
  </si>
  <si>
    <t>대한마대종합상사</t>
  </si>
  <si>
    <t>남양주 부건건설</t>
  </si>
  <si>
    <t>수직보호망외(김세흔팀현장)</t>
  </si>
  <si>
    <t>아산 라온건영 입금</t>
    <phoneticPr fontId="2" type="noConversion"/>
  </si>
  <si>
    <t>수원 한창실업(김승진팀)</t>
    <phoneticPr fontId="2" type="noConversion"/>
  </si>
  <si>
    <t>구인컴퍼니</t>
  </si>
  <si>
    <t>김봉수팀 현장 운송비</t>
  </si>
  <si>
    <t>충남서부권광역상수도사업공사</t>
  </si>
  <si>
    <t>김승진팀 지게차</t>
  </si>
  <si>
    <t>강원 정선 두기토건 입금</t>
    <phoneticPr fontId="2" type="noConversion"/>
  </si>
  <si>
    <t>인천 유성이엔지(비계)</t>
  </si>
  <si>
    <t>인천 유성이엔지(비계)</t>
    <phoneticPr fontId="2" type="noConversion"/>
  </si>
  <si>
    <t>인천 조은건설(동바리)</t>
  </si>
  <si>
    <t>인천 조은건설(동바리)</t>
    <phoneticPr fontId="2" type="noConversion"/>
  </si>
  <si>
    <t>시스템동바리,비계 임대료</t>
  </si>
  <si>
    <t>파이프외</t>
  </si>
  <si>
    <t>자재비</t>
  </si>
  <si>
    <t>경기도광주 도척 현건설</t>
  </si>
  <si>
    <t>오창 혜움건설</t>
  </si>
  <si>
    <t>정찬희 반장 실수로 인한 반출 운임료</t>
  </si>
  <si>
    <t>서울대 정동산업개발(2월)</t>
    <phoneticPr fontId="2" type="noConversion"/>
  </si>
  <si>
    <t>오에스시스템</t>
  </si>
  <si>
    <t>대윤기술공영</t>
  </si>
  <si>
    <t>담나가설산업</t>
  </si>
  <si>
    <t>봉천동 복지타운 현장</t>
  </si>
  <si>
    <t>성남 탑엔지니어링 25년 03월</t>
  </si>
  <si>
    <t>부천대 탑엔지니어링 25년 03월</t>
  </si>
  <si>
    <t>제주시스템산업</t>
  </si>
  <si>
    <t>정민이앤씨</t>
  </si>
  <si>
    <t>반석건설</t>
  </si>
  <si>
    <t>대호시스템</t>
  </si>
  <si>
    <t>강남 아성KB건설 현장</t>
  </si>
  <si>
    <t>과천 SNB건설 현장(2월분)</t>
  </si>
  <si>
    <t>대성건설 현장</t>
  </si>
  <si>
    <t>영등포 당산서중 드라이비트구간</t>
  </si>
  <si>
    <t>서초동 남부순환로 2385</t>
  </si>
  <si>
    <t xml:space="preserve">인천 이화교 대호시스템-2월분 </t>
  </si>
  <si>
    <t>오산,여주,동탄,봉천동 성우이엔씨</t>
  </si>
  <si>
    <t>광주 도척 현건설</t>
  </si>
  <si>
    <t>인천 송도 반석건설</t>
  </si>
  <si>
    <t>문정동45-8 포엠씨앤디 입금</t>
    <phoneticPr fontId="2" type="noConversion"/>
  </si>
  <si>
    <t>가산 고이건설 인건비 입금</t>
    <phoneticPr fontId="2" type="noConversion"/>
  </si>
  <si>
    <t>영등포 당산서중 입금</t>
    <phoneticPr fontId="2" type="noConversion"/>
  </si>
  <si>
    <t>서초동 남부순환로 2385 입금</t>
    <phoneticPr fontId="2" type="noConversion"/>
  </si>
  <si>
    <t>보령 탑 1월분 일부 입금</t>
    <phoneticPr fontId="2" type="noConversion"/>
  </si>
  <si>
    <t>중화동 279-30 포엠씨앤디 입금</t>
    <phoneticPr fontId="2" type="noConversion"/>
  </si>
  <si>
    <t>과천 SNB건설 현장(2월분) 입금</t>
    <phoneticPr fontId="2" type="noConversion"/>
  </si>
  <si>
    <t>대성건설 현장 입금</t>
    <phoneticPr fontId="2" type="noConversion"/>
  </si>
  <si>
    <t>개별화물(이영균)</t>
  </si>
  <si>
    <t>에프알특송</t>
  </si>
  <si>
    <t>부천대 탑엔지니어링 25년 03월분 입금</t>
    <phoneticPr fontId="2" type="noConversion"/>
  </si>
  <si>
    <t>82,857,940원 입금</t>
    <phoneticPr fontId="2" type="noConversion"/>
  </si>
  <si>
    <t>이천 고이건설 인건비 입금</t>
    <phoneticPr fontId="2" type="noConversion"/>
  </si>
  <si>
    <t>성남 탑엔지니어링 25년 03월 입금</t>
    <phoneticPr fontId="2" type="noConversion"/>
  </si>
  <si>
    <t>고양 탑엔지니어링 01월분 일부 입금</t>
    <phoneticPr fontId="2" type="noConversion"/>
  </si>
  <si>
    <t>이태원 탑엔지니어링 12월분 입금</t>
    <phoneticPr fontId="2" type="noConversion"/>
  </si>
  <si>
    <t>이천 고이건설 임대료 입금</t>
    <phoneticPr fontId="2" type="noConversion"/>
  </si>
  <si>
    <t>5/2-12,503,480원 입금분(잘못입금됨)</t>
    <phoneticPr fontId="2" type="noConversion"/>
  </si>
  <si>
    <t>아름다운한식뷔폐</t>
    <phoneticPr fontId="2" type="noConversion"/>
  </si>
  <si>
    <t>3월 입금</t>
    <phoneticPr fontId="2" type="noConversion"/>
  </si>
  <si>
    <t>가산 고이건설 2월 임대료 입금</t>
    <phoneticPr fontId="2" type="noConversion"/>
  </si>
  <si>
    <t>파주 PK건설 입금</t>
    <phoneticPr fontId="2" type="noConversion"/>
  </si>
  <si>
    <t>경기도광주 도척 현건설 입금</t>
    <phoneticPr fontId="2" type="noConversion"/>
  </si>
  <si>
    <t>개별화물(정진옥)</t>
    <phoneticPr fontId="2" type="noConversion"/>
  </si>
  <si>
    <t>문정동 포엠씨앤디 입금</t>
    <phoneticPr fontId="2" type="noConversion"/>
  </si>
  <si>
    <t>가락동 초엠씨앤디 입금</t>
    <phoneticPr fontId="2" type="noConversion"/>
  </si>
  <si>
    <t>용가네밥상</t>
  </si>
  <si>
    <t>광명 건웅건업 입금</t>
    <phoneticPr fontId="2" type="noConversion"/>
  </si>
  <si>
    <t>4/30-2,200만원 입금</t>
    <phoneticPr fontId="2" type="noConversion"/>
  </si>
  <si>
    <t>비계 자재비</t>
  </si>
  <si>
    <t>시스템 동바리외</t>
  </si>
  <si>
    <t>수원 한창건설</t>
  </si>
  <si>
    <t>김승진팀 운송료</t>
  </si>
  <si>
    <t>아름다운 한식뷔폐</t>
  </si>
  <si>
    <t>김세흔팀 장비사용료</t>
  </si>
  <si>
    <t>임대료(01)</t>
  </si>
  <si>
    <t>임대료(21)</t>
  </si>
  <si>
    <t>가경코스모</t>
  </si>
  <si>
    <t>흥화</t>
  </si>
  <si>
    <t>성호에스씨</t>
  </si>
  <si>
    <t>더블유아이케이</t>
  </si>
  <si>
    <t>부천대 탑엔지니어링 25년 04월</t>
  </si>
  <si>
    <t>매일건설 철원현장</t>
  </si>
  <si>
    <t>안산현장</t>
  </si>
  <si>
    <t>서울대 정동산업개발현장</t>
  </si>
  <si>
    <t>홍성 가압장-5월</t>
  </si>
  <si>
    <t>부평 갑진종합건설-5월분 선발행</t>
  </si>
  <si>
    <t>북변4구역 주택재개발 정비사업 성호SC현장</t>
  </si>
  <si>
    <t>서울대 WIK현장</t>
  </si>
  <si>
    <t>인천 송도 반석건설 3월 이월금</t>
  </si>
  <si>
    <t xml:space="preserve">인천 송도 반석건설 </t>
  </si>
  <si>
    <t>한양대 서울캠퍼스 길복건설</t>
  </si>
  <si>
    <t>오창,봉천동,동탄 성우이엔씨</t>
  </si>
  <si>
    <t>발판 자재비</t>
  </si>
  <si>
    <t>2,200만원 입금(24/7월분 같이 입금됨)</t>
    <phoneticPr fontId="2" type="noConversion"/>
  </si>
  <si>
    <t>송파동 110-12번지 포엠씨엔디 입금</t>
    <phoneticPr fontId="2" type="noConversion"/>
  </si>
  <si>
    <t>4/30 입금분 중 입금 잡음(30,598,656원)</t>
    <phoneticPr fontId="2" type="noConversion"/>
  </si>
  <si>
    <t>4월 임대료</t>
  </si>
  <si>
    <t>5/29 입금분 중 입금 잡음(47,307,590원)</t>
    <phoneticPr fontId="2" type="noConversion"/>
  </si>
  <si>
    <t>성남 탑엔지니어링 입금</t>
    <phoneticPr fontId="2" type="noConversion"/>
  </si>
  <si>
    <t>평택 탑엔지니어링 24년 9월분 입금</t>
    <phoneticPr fontId="2" type="noConversion"/>
  </si>
  <si>
    <t>부천대 탑엔지니어링 25년 04월분 입금</t>
    <phoneticPr fontId="2" type="noConversion"/>
  </si>
  <si>
    <t>가산 고이건설 입금</t>
    <phoneticPr fontId="2" type="noConversion"/>
  </si>
  <si>
    <t>가락동 포엠씨앤디 입금</t>
    <phoneticPr fontId="2" type="noConversion"/>
  </si>
  <si>
    <t>운송료 입금</t>
    <phoneticPr fontId="2" type="noConversion"/>
  </si>
  <si>
    <t>임대료(21) 입금</t>
    <phoneticPr fontId="2" type="noConversion"/>
  </si>
  <si>
    <t>임대료(30) 입금</t>
    <phoneticPr fontId="2" type="noConversion"/>
  </si>
  <si>
    <t>4/30 500만원 입금</t>
    <phoneticPr fontId="2" type="noConversion"/>
  </si>
  <si>
    <t>송파 포엠씨앤디(110-12번지) 입금</t>
    <phoneticPr fontId="2" type="noConversion"/>
  </si>
  <si>
    <t>홍천 강린종합건설</t>
  </si>
  <si>
    <t>김세흔팀 지게차대금</t>
  </si>
  <si>
    <t>에스에이치가설</t>
  </si>
  <si>
    <t>이종찬팀 클램프자재 손망실</t>
  </si>
  <si>
    <t>개성운수</t>
  </si>
  <si>
    <t>파주 PK</t>
  </si>
  <si>
    <t>경기도 광주 도척 현건설</t>
  </si>
  <si>
    <t>시스템동바리,비계외</t>
  </si>
  <si>
    <t>자재 임대료</t>
  </si>
  <si>
    <t>신현대</t>
  </si>
  <si>
    <t>본팀현장 지게차비</t>
  </si>
  <si>
    <t>임대료(10일)</t>
  </si>
  <si>
    <t>임대료(20일)</t>
  </si>
  <si>
    <t>임대료(31일)</t>
  </si>
  <si>
    <t>혜움건설</t>
  </si>
  <si>
    <t>담원이앤씨</t>
  </si>
  <si>
    <t>건희건설</t>
  </si>
  <si>
    <t>진영기업</t>
  </si>
  <si>
    <t>이엉건설</t>
  </si>
  <si>
    <t>창희씨앤에스</t>
  </si>
  <si>
    <t>효민아이시티</t>
  </si>
  <si>
    <t>오창 미래코브 혜움건설</t>
  </si>
  <si>
    <t>태산건설현장</t>
  </si>
  <si>
    <t>중화동 279-30 포엠씨앤디-4월</t>
  </si>
  <si>
    <t>중화동 279-31 포엠씨앤디-3월</t>
  </si>
  <si>
    <t>방배동 PK건설현장</t>
  </si>
  <si>
    <t>신림 공영차고지</t>
  </si>
  <si>
    <t>파주 운정 탑엔지니어링</t>
  </si>
  <si>
    <t>여수 화치동 46-38</t>
  </si>
  <si>
    <t>성남 탑엔지니어링 25년 05월</t>
  </si>
  <si>
    <t>부천대 탑엔지니어링 25년 05월</t>
  </si>
  <si>
    <t>서울과학기술대학교 도서관 및 학생회관 개축 이엉건설</t>
  </si>
  <si>
    <t>인천 에이스가설 직영</t>
  </si>
  <si>
    <t>화성 신아종합건설</t>
  </si>
  <si>
    <t>수원현장/국민666201-01-767628</t>
  </si>
  <si>
    <t>용인 공간이엔씨</t>
  </si>
  <si>
    <t>용산 오에스시스템 현장</t>
  </si>
  <si>
    <t>강동 빌드종합건설 현장</t>
  </si>
  <si>
    <t>과천 중앙동 SNB현장</t>
  </si>
  <si>
    <t>오창,봉천동,일산,대전 성우이엔씨 현장</t>
  </si>
  <si>
    <t>파주 PK건설 입금</t>
  </si>
  <si>
    <t>수원 한창실업(3월분)</t>
    <phoneticPr fontId="2" type="noConversion"/>
  </si>
  <si>
    <t>다담아한식뷔페</t>
  </si>
  <si>
    <t>중화동 279-30 포엠씨앤디-4월분 입금</t>
    <phoneticPr fontId="2" type="noConversion"/>
  </si>
  <si>
    <t>면목동 191-124 입금</t>
    <phoneticPr fontId="2" type="noConversion"/>
  </si>
  <si>
    <t>중화동 307-48 입금</t>
    <phoneticPr fontId="2" type="noConversion"/>
  </si>
  <si>
    <t>충주 혜원건설 입금</t>
    <phoneticPr fontId="2" type="noConversion"/>
  </si>
  <si>
    <t>서울대 정동산업개발 임대료 입금</t>
    <phoneticPr fontId="2" type="noConversion"/>
  </si>
  <si>
    <t>중화동 279-31 포엠씨앤디-3월 입금</t>
    <phoneticPr fontId="2" type="noConversion"/>
  </si>
  <si>
    <t>가락동 129-14번지 포엠씨앤디 입금</t>
    <phoneticPr fontId="2" type="noConversion"/>
  </si>
  <si>
    <t>의왕 에이스가설 입금</t>
    <phoneticPr fontId="2" type="noConversion"/>
  </si>
  <si>
    <t>홍성 신동방건설</t>
    <phoneticPr fontId="2" type="noConversion"/>
  </si>
  <si>
    <t>강동 빌드종합건설 현장 입금</t>
    <phoneticPr fontId="2" type="noConversion"/>
  </si>
  <si>
    <t>과천 중앙동 SNB현장 입금</t>
    <phoneticPr fontId="2" type="noConversion"/>
  </si>
  <si>
    <t>청담동 지게차 월 렌탈료</t>
    <phoneticPr fontId="2" type="noConversion"/>
  </si>
  <si>
    <t>6/16-16,300,000원 입금</t>
    <phoneticPr fontId="2" type="noConversion"/>
  </si>
  <si>
    <t>인천 에이스가설 직영 입금</t>
    <phoneticPr fontId="2" type="noConversion"/>
  </si>
  <si>
    <t>부천대 탑엔지니어링 25년 05월분 입금</t>
    <phoneticPr fontId="2" type="noConversion"/>
  </si>
  <si>
    <t>6/26 입금분 중 입금 잡음(58,678,026원)</t>
    <phoneticPr fontId="2" type="noConversion"/>
  </si>
  <si>
    <t>평택 탑엔지니어링 2월분 부가세 입금</t>
    <phoneticPr fontId="2" type="noConversion"/>
  </si>
  <si>
    <t>평택 탑엔지니어링 3월 부가세 일부 입금</t>
    <phoneticPr fontId="2" type="noConversion"/>
  </si>
  <si>
    <t>청담동 지게차 월 렌탈료</t>
  </si>
  <si>
    <t>가산 고이건설건 입금</t>
    <phoneticPr fontId="2" type="noConversion"/>
  </si>
  <si>
    <t>파주 PK건설건 입금</t>
    <phoneticPr fontId="2" type="noConversion"/>
  </si>
  <si>
    <t>임대료(31일)건 입금</t>
    <phoneticPr fontId="2" type="noConversion"/>
  </si>
  <si>
    <t>경기도 광주 도척 현건설 입금</t>
    <phoneticPr fontId="2" type="noConversion"/>
  </si>
  <si>
    <t>청담동 지게차 월 렌탈료 입금</t>
    <phoneticPr fontId="2" type="noConversion"/>
  </si>
  <si>
    <t>임대료(20일) 입금</t>
    <phoneticPr fontId="2" type="noConversion"/>
  </si>
  <si>
    <t>성남 탑엔지니어링 25년 05월 입금</t>
    <phoneticPr fontId="2" type="noConversion"/>
  </si>
  <si>
    <t>20,666,514원 입금</t>
    <phoneticPr fontId="2" type="noConversion"/>
  </si>
  <si>
    <t>인천 남동 탑엔지니어링 입금</t>
    <phoneticPr fontId="2" type="noConversion"/>
  </si>
  <si>
    <t>매일건설 철원현장 입금</t>
    <phoneticPr fontId="2" type="noConversion"/>
  </si>
  <si>
    <t>파주 운정 탑엔지니어링 입금</t>
    <phoneticPr fontId="2" type="noConversion"/>
  </si>
  <si>
    <t>삼진크레인</t>
  </si>
  <si>
    <t>가락동127-16 포엠씨앤디</t>
  </si>
  <si>
    <t>방배동 PK건설현장 입금</t>
    <phoneticPr fontId="2" type="noConversion"/>
  </si>
  <si>
    <t>용인 공간이엔씨 입금</t>
    <phoneticPr fontId="2" type="noConversion"/>
  </si>
  <si>
    <t>강남 성진시앤디 식대</t>
  </si>
  <si>
    <t>마고꼬로</t>
  </si>
  <si>
    <t>강남 성진시앤디 운반비</t>
  </si>
  <si>
    <t>재원중기(양형진)</t>
  </si>
  <si>
    <t>홍천 강린종합건설 5월분 입금</t>
    <phoneticPr fontId="2" type="noConversion"/>
  </si>
  <si>
    <t>가락동 127-16 포엠씨앤디</t>
  </si>
  <si>
    <t>홍성 신동방건설</t>
  </si>
  <si>
    <t>홍천지게차(가온건기)</t>
  </si>
  <si>
    <t>김세흔팀 지게차대금</t>
    <phoneticPr fontId="2" type="noConversion"/>
  </si>
  <si>
    <t>수하건설</t>
  </si>
  <si>
    <t>영신종합건설</t>
  </si>
  <si>
    <t>김동혁팀 6월 식대</t>
  </si>
  <si>
    <t>효자건설</t>
  </si>
  <si>
    <t>성보디엔씨건설</t>
  </si>
  <si>
    <t>이룸산업</t>
  </si>
  <si>
    <t>새재건설 바이백</t>
  </si>
  <si>
    <t>HK안전 미수금정리</t>
  </si>
  <si>
    <t>708도5720 차량매각</t>
  </si>
  <si>
    <t>한양대 서울캠퍼스 길복건설  5월분</t>
  </si>
  <si>
    <t>706모5371 차량매각</t>
  </si>
  <si>
    <t>이천 성보디엔씨</t>
  </si>
  <si>
    <t>부천 소새울유치원</t>
  </si>
  <si>
    <t>가락동 127-16번지 포엠씨앤디2</t>
  </si>
  <si>
    <t>송파동 110-12번지 포엠씨앤디</t>
  </si>
  <si>
    <t>용인 태성종합건설</t>
  </si>
  <si>
    <t>별내동 바이빔사옥 및 공장신축현장 시스템</t>
  </si>
  <si>
    <t>시스템 동바리 및 비계 임대의 건</t>
  </si>
  <si>
    <t>17,600,000원 입금</t>
  </si>
  <si>
    <t>확인필요 입시 잡아 놓음</t>
    <phoneticPr fontId="2" type="noConversion"/>
  </si>
  <si>
    <t>한양대 서울캠퍼스 길복건설  5월분 입금</t>
    <phoneticPr fontId="2" type="noConversion"/>
  </si>
  <si>
    <t>의왕 명현종합건설 입금</t>
    <phoneticPr fontId="2" type="noConversion"/>
  </si>
  <si>
    <t>부평 온누리 교회 유성이앤지</t>
  </si>
  <si>
    <t>인천 유성이엔지(비계) 입금</t>
    <phoneticPr fontId="2" type="noConversion"/>
  </si>
  <si>
    <t>가락동127-16 포엠씨앤디 입금</t>
    <phoneticPr fontId="2" type="noConversion"/>
  </si>
  <si>
    <t>임대료(10) 입금</t>
    <phoneticPr fontId="2" type="noConversion"/>
  </si>
  <si>
    <t>피케이건설</t>
    <phoneticPr fontId="2" type="noConversion"/>
  </si>
  <si>
    <t>김진민팀 PP안전망외</t>
  </si>
  <si>
    <t>인천 태려종합건설-망</t>
    <phoneticPr fontId="2" type="noConversion"/>
  </si>
  <si>
    <t>43,167,300원 입금</t>
    <phoneticPr fontId="2" type="noConversion"/>
  </si>
  <si>
    <t>평택 탑엔지니어링 4월 부가세 일부 입금</t>
    <phoneticPr fontId="2" type="noConversion"/>
  </si>
  <si>
    <t>한양대 서울캠퍼스 길복건설 6월분 입금</t>
    <phoneticPr fontId="2" type="noConversion"/>
  </si>
  <si>
    <t>청담동 성진시앤디</t>
  </si>
  <si>
    <t>청담동 6월 장비사용료</t>
  </si>
  <si>
    <t>가락동 127-16번지 포엠씨앤디2 입금</t>
    <phoneticPr fontId="2" type="noConversion"/>
  </si>
  <si>
    <t>송파동 110-12번지 포엠씨앤디 입금</t>
    <phoneticPr fontId="2" type="noConversion"/>
  </si>
  <si>
    <t>12,045,000원 입금분</t>
    <phoneticPr fontId="2" type="noConversion"/>
  </si>
  <si>
    <t>가락동 127-16 포엠씨앤디 입금</t>
    <phoneticPr fontId="2" type="noConversion"/>
  </si>
  <si>
    <t>송파 110-12 포엠씨앤디 입금</t>
    <phoneticPr fontId="2" type="noConversion"/>
  </si>
  <si>
    <t>홍천 강린종합건설 입금</t>
    <phoneticPr fontId="2" type="noConversion"/>
  </si>
  <si>
    <t>인천항만 태려종합건설</t>
  </si>
  <si>
    <t>시스템하차외</t>
  </si>
  <si>
    <t>가락동 129-16 반출</t>
  </si>
  <si>
    <t>동일중기</t>
  </si>
  <si>
    <t>김진민팀 지게차 사용료</t>
  </si>
  <si>
    <t>돼지종합중기</t>
  </si>
  <si>
    <t>김진민팀 크레인 사용료</t>
  </si>
  <si>
    <t>인천 태려종합건설 지게차</t>
  </si>
  <si>
    <t>인천 태려종합건설 크레인</t>
  </si>
  <si>
    <t>관악운수</t>
  </si>
  <si>
    <t>서울대 WIK</t>
  </si>
  <si>
    <t>김진민팀 화물운송비</t>
  </si>
  <si>
    <t>임대료(20) 입금</t>
    <phoneticPr fontId="2" type="noConversion"/>
  </si>
  <si>
    <t>경기도 광주도척 현건설</t>
  </si>
  <si>
    <t>가설재 외</t>
  </si>
  <si>
    <t>옥수식당</t>
  </si>
  <si>
    <t>인천 태려종합건설</t>
  </si>
  <si>
    <t>버섯마당</t>
  </si>
  <si>
    <t>가평 보천토건</t>
  </si>
  <si>
    <t>수기 세금계산서</t>
    <phoneticPr fontId="2" type="noConversion"/>
  </si>
  <si>
    <t>임대료(15)</t>
  </si>
  <si>
    <t>청담동 성진시앤디 입금</t>
    <phoneticPr fontId="2" type="noConversion"/>
  </si>
  <si>
    <t>에스지이앤씨</t>
  </si>
  <si>
    <t>중동상회</t>
  </si>
  <si>
    <t>대광중공업</t>
  </si>
  <si>
    <t>수건설</t>
  </si>
  <si>
    <t>부평 온누리 교회</t>
  </si>
  <si>
    <t>인천 부평초 리모델링공사</t>
  </si>
  <si>
    <t>성남 돌마고등학교</t>
  </si>
  <si>
    <t>의왕HK안전 미수금 일부정리</t>
  </si>
  <si>
    <t>김포 화유건설</t>
  </si>
  <si>
    <t>서울역 고이건설 인건비</t>
  </si>
  <si>
    <t>연천 아람건설</t>
  </si>
  <si>
    <t>인천항</t>
  </si>
  <si>
    <t>강천면 복합공공청사</t>
  </si>
  <si>
    <t>봉천동. 고양 성우이엔씨</t>
  </si>
  <si>
    <t>부평 온누리 교회현장</t>
  </si>
  <si>
    <t>진접차량기지</t>
  </si>
  <si>
    <t>파주 운정 탑엔지니어링 7월분</t>
  </si>
  <si>
    <t>국제테마파크역 승강장 EV실</t>
  </si>
  <si>
    <t>본관동 비계설치.해체</t>
  </si>
  <si>
    <t>20,355,550원 입금</t>
    <phoneticPr fontId="2" type="noConversion"/>
  </si>
  <si>
    <t>평택 탑엔지니어링 7월분 부가세 일부 입금</t>
    <phoneticPr fontId="2" type="noConversion"/>
  </si>
  <si>
    <t>인천 태려종합건설-망</t>
  </si>
  <si>
    <t>송파110-12 포엠씨앤디 입금</t>
    <phoneticPr fontId="2" type="noConversion"/>
  </si>
  <si>
    <t>인천항만 태려종합건설 입금</t>
    <phoneticPr fontId="2" type="noConversion"/>
  </si>
  <si>
    <t>용인 태성종합건설 입금</t>
    <phoneticPr fontId="2" type="noConversion"/>
  </si>
  <si>
    <t>서울역 고이건설 인건비 입금</t>
    <phoneticPr fontId="2" type="noConversion"/>
  </si>
  <si>
    <t>보령 탑엔지니어링 입금</t>
    <phoneticPr fontId="2" type="noConversion"/>
  </si>
  <si>
    <t>24,818,304원 입금</t>
    <phoneticPr fontId="2" type="noConversion"/>
  </si>
  <si>
    <t>60,280,000원 입금</t>
    <phoneticPr fontId="2" type="noConversion"/>
  </si>
  <si>
    <t>파주 운정 탑엔지니어링 7월분 입금</t>
    <phoneticPr fontId="2" type="noConversion"/>
  </si>
  <si>
    <t>경기도 광주도척 현건설 입금</t>
    <phoneticPr fontId="2" type="noConversion"/>
  </si>
  <si>
    <t>영등포 새재건설 입금</t>
    <phoneticPr fontId="2" type="noConversion"/>
  </si>
  <si>
    <t>임대료(15) 입금</t>
    <phoneticPr fontId="2" type="noConversion"/>
  </si>
  <si>
    <t>임대료(31) 입금</t>
    <phoneticPr fontId="2" type="noConversion"/>
  </si>
  <si>
    <t>이천 고이건설 5월임대료 입금</t>
    <phoneticPr fontId="2" type="noConversion"/>
  </si>
  <si>
    <t>이천 고이건설 6월임대료 입금</t>
    <phoneticPr fontId="2" type="noConversion"/>
  </si>
  <si>
    <t>입금</t>
    <phoneticPr fontId="2" type="noConversion"/>
  </si>
  <si>
    <t>12,045,000원 입금분(1,023,000원 더입금됨)</t>
    <phoneticPr fontId="2" type="noConversion"/>
  </si>
  <si>
    <t>이천 고이건설 4월분 입금</t>
    <phoneticPr fontId="2" type="noConversion"/>
  </si>
  <si>
    <t>이천 고이건설 6월분 입금</t>
    <phoneticPr fontId="2" type="noConversion"/>
  </si>
  <si>
    <t>보령 탑엔지니어링 2월분 입금</t>
    <phoneticPr fontId="2" type="noConversion"/>
  </si>
  <si>
    <t>보령 탑엔지니어링 3월분 입금</t>
    <phoneticPr fontId="2" type="noConversion"/>
  </si>
  <si>
    <t>보령 탑엔지니어링 4월분 입금</t>
    <phoneticPr fontId="2" type="noConversion"/>
  </si>
  <si>
    <t>보령 탑엔지니어링</t>
    <phoneticPr fontId="2" type="noConversion"/>
  </si>
  <si>
    <t>보령 탑엔지니어링 6월분 입금</t>
    <phoneticPr fontId="2" type="noConversion"/>
  </si>
  <si>
    <t>이태원 탑엔지니어링</t>
    <phoneticPr fontId="2" type="noConversion"/>
  </si>
  <si>
    <t>방배동 PK건설현장 5월분 부가세 입금</t>
    <phoneticPr fontId="2" type="noConversion"/>
  </si>
  <si>
    <t>연천 아람건설 입금</t>
    <phoneticPr fontId="2" type="noConversion"/>
  </si>
  <si>
    <t>9/5-957,000원 입금</t>
    <phoneticPr fontId="2" type="noConversion"/>
  </si>
  <si>
    <t>크레인 사용료</t>
  </si>
  <si>
    <t>인천 항만 태려종합건설</t>
  </si>
  <si>
    <t>다담아한식부페</t>
  </si>
  <si>
    <t>홍천 강린종합건설 입금</t>
    <phoneticPr fontId="2" type="noConversion"/>
  </si>
  <si>
    <t>입금</t>
    <phoneticPr fontId="2" type="noConversion"/>
  </si>
  <si>
    <t>11,000,000원 입금</t>
    <phoneticPr fontId="2" type="noConversion"/>
  </si>
  <si>
    <t>한결시스템</t>
  </si>
  <si>
    <t>가설재임대</t>
  </si>
  <si>
    <t>시스템 하차외</t>
  </si>
  <si>
    <t>당근마켓</t>
  </si>
  <si>
    <t>글기간권</t>
  </si>
  <si>
    <t>우성종합건설</t>
  </si>
  <si>
    <t>무산산업개발</t>
  </si>
  <si>
    <t>대전 탑엔지니어링</t>
  </si>
  <si>
    <t>파주 운정 탑엔지니어링 8월분</t>
  </si>
  <si>
    <t>인천 우송종합건설 임대료</t>
  </si>
  <si>
    <t>강서 선구건설</t>
  </si>
  <si>
    <t>남양주 큰빛종합건설</t>
  </si>
  <si>
    <t>서울대 무산산업개발</t>
  </si>
  <si>
    <t>고양 성우이엔씨</t>
  </si>
  <si>
    <t>송도동 11-1 일해건설</t>
  </si>
  <si>
    <t xml:space="preserve">가산 W몰 PK건설 </t>
  </si>
  <si>
    <t>홍천 강린종합건설 입금</t>
  </si>
  <si>
    <t>시스템비계 장비외</t>
  </si>
  <si>
    <t>입금</t>
    <phoneticPr fontId="2" type="noConversion"/>
  </si>
  <si>
    <t>남양주 어린이집 부건건설 입금</t>
    <phoneticPr fontId="2" type="noConversion"/>
  </si>
  <si>
    <t>입금</t>
    <phoneticPr fontId="2" type="noConversion"/>
  </si>
  <si>
    <t>입금</t>
    <phoneticPr fontId="2" type="noConversion"/>
  </si>
  <si>
    <t>가락동 127-16번지 포엠씨앤디2 입금</t>
    <phoneticPr fontId="2" type="noConversion"/>
  </si>
  <si>
    <t>입금</t>
    <phoneticPr fontId="2" type="noConversion"/>
  </si>
  <si>
    <t>청담동 성진시앤디</t>
    <phoneticPr fontId="2" type="noConversion"/>
  </si>
  <si>
    <t>엠에스사다리</t>
  </si>
  <si>
    <t>7월 장비사용료</t>
  </si>
  <si>
    <t>강서 선구건설 입금</t>
    <phoneticPr fontId="2" type="noConversion"/>
  </si>
  <si>
    <t>입금</t>
    <phoneticPr fontId="2" type="noConversion"/>
  </si>
  <si>
    <t>남양주 큰빛종합건설 입금</t>
    <phoneticPr fontId="2" type="noConversion"/>
  </si>
  <si>
    <t>입금</t>
    <phoneticPr fontId="2" type="noConversion"/>
  </si>
  <si>
    <t>한양대 서울캠퍼스 길복건설 7월분 입금</t>
    <phoneticPr fontId="2" type="noConversion"/>
  </si>
  <si>
    <t>CPP교보㈜로 입금됨</t>
    <phoneticPr fontId="2" type="noConversion"/>
  </si>
  <si>
    <t>임대료(15) 입금</t>
    <phoneticPr fontId="2" type="noConversion"/>
  </si>
  <si>
    <t>청담동 성진시앤디 입금</t>
    <phoneticPr fontId="2" type="noConversion"/>
  </si>
  <si>
    <t>입금</t>
    <phoneticPr fontId="2" type="noConversion"/>
  </si>
  <si>
    <t>40,161,748원 입금</t>
    <phoneticPr fontId="2" type="noConversion"/>
  </si>
  <si>
    <t>성남 탑엔지니어링 입금 8월분 입금</t>
    <phoneticPr fontId="2" type="noConversion"/>
  </si>
  <si>
    <t>성남 탑엔지니어링 입금 7월분 입금</t>
    <phoneticPr fontId="2" type="noConversion"/>
  </si>
  <si>
    <t>파주 운정 탑엔지니어링 입금</t>
    <phoneticPr fontId="2" type="noConversion"/>
  </si>
  <si>
    <t>부천대 탑엔지니어링 입금</t>
    <phoneticPr fontId="2" type="noConversion"/>
  </si>
  <si>
    <t>태건건설</t>
    <phoneticPr fontId="2" type="noConversion"/>
  </si>
  <si>
    <t>홍익동 태건건설</t>
    <phoneticPr fontId="2" type="noConversion"/>
  </si>
  <si>
    <t>입금</t>
    <phoneticPr fontId="2" type="noConversion"/>
  </si>
  <si>
    <t>가평 보천토건 입금</t>
    <phoneticPr fontId="2" type="noConversion"/>
  </si>
  <si>
    <t>가락동 127-16 포엠씨앤디 입금</t>
    <phoneticPr fontId="2" type="noConversion"/>
  </si>
  <si>
    <t>인천 항만 태려종합건설 입금</t>
    <phoneticPr fontId="2" type="noConversion"/>
  </si>
  <si>
    <t>성남 탑엔지니어링 입금</t>
    <phoneticPr fontId="2" type="noConversion"/>
  </si>
  <si>
    <t>임대료(30) 입금</t>
    <phoneticPr fontId="2" type="noConversion"/>
  </si>
  <si>
    <t>매입</t>
    <phoneticPr fontId="2" type="noConversion"/>
  </si>
  <si>
    <t>풍무현장 정산금</t>
  </si>
  <si>
    <t>풍무현장 비계설치해체 정산금</t>
  </si>
  <si>
    <t>입금</t>
    <phoneticPr fontId="2" type="noConversion"/>
  </si>
  <si>
    <t>서울대지게차</t>
  </si>
  <si>
    <t>송파동 110-12 포엠씨앤디</t>
  </si>
  <si>
    <t>시스템비계임대료</t>
  </si>
  <si>
    <t>경기도 광주 도척 현건설 입금</t>
    <phoneticPr fontId="2" type="noConversion"/>
  </si>
  <si>
    <t>입금</t>
    <phoneticPr fontId="2" type="noConversion"/>
  </si>
  <si>
    <t>당산 시스템비계 임대료</t>
    <phoneticPr fontId="2" type="noConversion"/>
  </si>
  <si>
    <t>입금</t>
    <phoneticPr fontId="2" type="noConversion"/>
  </si>
  <si>
    <t>입금</t>
    <phoneticPr fontId="2" type="noConversion"/>
  </si>
  <si>
    <t>풍무현장 정산금 입금</t>
    <phoneticPr fontId="2" type="noConversion"/>
  </si>
  <si>
    <t>중앙쉬트해운항공</t>
  </si>
  <si>
    <t>관악-여주 운송비</t>
  </si>
  <si>
    <t>가락동 127-16 포엠씨앤디 7월분 입금</t>
    <phoneticPr fontId="2" type="noConversion"/>
  </si>
  <si>
    <t>입금</t>
    <phoneticPr fontId="2" type="noConversion"/>
  </si>
  <si>
    <t>안양 금호건설</t>
  </si>
  <si>
    <t>파주 운정 탑엔지니어링 8월분 입금</t>
    <phoneticPr fontId="2" type="noConversion"/>
  </si>
  <si>
    <t>글기간권 14일</t>
  </si>
  <si>
    <t xml:space="preserve">오창 혜움건설 </t>
  </si>
  <si>
    <t>동대문 엠투케이건설</t>
  </si>
  <si>
    <t>어떤게 입금된건지 모름</t>
    <phoneticPr fontId="2" type="noConversion"/>
  </si>
  <si>
    <t>클램프</t>
  </si>
  <si>
    <t>부평 대원종합건설</t>
  </si>
  <si>
    <t>송파동 110-12 포엠씨앤디(클램프)</t>
    <phoneticPr fontId="2" type="noConversion"/>
  </si>
  <si>
    <t>강남 성진시앤디</t>
  </si>
  <si>
    <t>자재이동외 1건</t>
  </si>
  <si>
    <t>아산석재</t>
  </si>
  <si>
    <t>비엔비건설</t>
  </si>
  <si>
    <t>디엘종합건설</t>
  </si>
  <si>
    <t>대한시스템비계공사</t>
  </si>
  <si>
    <t>일해</t>
  </si>
  <si>
    <t>엠투케이건설</t>
  </si>
  <si>
    <t>수암천 하천정비 및 주차장</t>
  </si>
  <si>
    <t>인천 고잔동 자동차관련시설 신축공사</t>
  </si>
  <si>
    <t>인천항(국민666201-01-767628)</t>
  </si>
  <si>
    <t>영동대로2공구</t>
  </si>
  <si>
    <t>가산 W몰 PK건설</t>
  </si>
  <si>
    <t>별양동 44-6번지 SNB건설</t>
  </si>
  <si>
    <t>20-국-00부대 양주8사단 차기다련장 9차시설 사업공사</t>
  </si>
  <si>
    <t>파주 운정 탑엔지니어링 9월분</t>
  </si>
  <si>
    <t>화성 디엘종합건설현장</t>
  </si>
  <si>
    <t>성우이엔씨 고양현장</t>
  </si>
  <si>
    <t>한양대 서울캠퍼스 길복건설 현장</t>
  </si>
  <si>
    <t>가락동 127-16번지 08월분</t>
  </si>
  <si>
    <t>가락동 127-16번지 09월분</t>
  </si>
  <si>
    <t>송파동 110-12번지 08월분</t>
  </si>
  <si>
    <t>송파동 110-12번지 09월분</t>
  </si>
  <si>
    <t>김포 대한가설산업</t>
  </si>
  <si>
    <t>포천 대한가설산업</t>
  </si>
  <si>
    <t>성남 승주건설</t>
  </si>
  <si>
    <t>동대문 MTK건설</t>
  </si>
  <si>
    <t xml:space="preserve">부평 북초등학교 대원종합건설 </t>
  </si>
  <si>
    <t>한양대 서울캠퍼스 길복건설 8월분 입금</t>
    <phoneticPr fontId="2" type="noConversion"/>
  </si>
  <si>
    <t>의왕HK안전 미수금 입금</t>
    <phoneticPr fontId="2" type="noConversion"/>
  </si>
  <si>
    <t>송파동 110-12 포엠씨앤디(클램프)</t>
  </si>
  <si>
    <t>동대문 엠투케이건설 입금</t>
    <phoneticPr fontId="2" type="noConversion"/>
  </si>
  <si>
    <t>송파동 110-12 포엠씨앤디(클램프) 입금</t>
    <phoneticPr fontId="2" type="noConversion"/>
  </si>
  <si>
    <t>입금</t>
    <phoneticPr fontId="2" type="noConversion"/>
  </si>
  <si>
    <t>유현목으로 입금</t>
    <phoneticPr fontId="2" type="noConversion"/>
  </si>
  <si>
    <t>별양동 44-6번지 SNB건설 입금</t>
    <phoneticPr fontId="2" type="noConversion"/>
  </si>
  <si>
    <t>대전 탑엔지니어링 입금</t>
    <phoneticPr fontId="2" type="noConversion"/>
  </si>
  <si>
    <t>성남 탑엔지니어링 입금</t>
    <phoneticPr fontId="2" type="noConversion"/>
  </si>
  <si>
    <t>발판자재비 입금</t>
    <phoneticPr fontId="2" type="noConversion"/>
  </si>
  <si>
    <t>18,602,496원 입금</t>
    <phoneticPr fontId="2" type="noConversion"/>
  </si>
  <si>
    <t>서울한양대 길복건설</t>
  </si>
  <si>
    <t>김세흔팀 한양대 장비사용료</t>
  </si>
  <si>
    <t>광주 수호건축</t>
  </si>
  <si>
    <t>광주 송정동 장비사용료</t>
  </si>
  <si>
    <t>시스템비계외 임대료</t>
  </si>
  <si>
    <t>인천항 태려종합건설</t>
  </si>
  <si>
    <t>김진민팀 운송료</t>
  </si>
  <si>
    <t>입금</t>
    <phoneticPr fontId="2" type="noConversion"/>
  </si>
  <si>
    <t>가락동 127-16 포엠씨앤디 8월분 입금</t>
    <phoneticPr fontId="2" type="noConversion"/>
  </si>
  <si>
    <t>가락동 127-16 포엠씨앤디 9월분 입금</t>
    <phoneticPr fontId="2" type="noConversion"/>
  </si>
  <si>
    <t>단관파이프외 임대</t>
  </si>
  <si>
    <t>다담아한식뷔폐</t>
  </si>
  <si>
    <t>나로로지스</t>
  </si>
  <si>
    <t>송파가락동외</t>
  </si>
  <si>
    <t>가락동127-16 포엠씨엔디</t>
  </si>
  <si>
    <t>송파동110-12 포엠씨엔디</t>
  </si>
  <si>
    <t>안양 금호건설 입금</t>
    <phoneticPr fontId="2" type="noConversion"/>
  </si>
  <si>
    <t>아산 보브종합건설</t>
  </si>
  <si>
    <t>마포 준성산업</t>
  </si>
  <si>
    <t>당인리 문하공간 자재비</t>
  </si>
  <si>
    <t>아산 광일공장 자재비</t>
  </si>
  <si>
    <t>부평북초 자재비</t>
  </si>
  <si>
    <t>방음벽상차외 3건</t>
  </si>
  <si>
    <t>광산이앤씨</t>
  </si>
  <si>
    <t xml:space="preserve">피케이건설 </t>
  </si>
  <si>
    <t xml:space="preserve">혜움건설 </t>
  </si>
  <si>
    <t>파주 PK건설 시스템 동바리 임대료 09월분</t>
  </si>
  <si>
    <t>파주 PK건설 시스템 비계 임대료 09월분</t>
  </si>
  <si>
    <t>가락동 127-16번지 10월분</t>
  </si>
  <si>
    <t>마포현장</t>
  </si>
  <si>
    <t>방배동 PK건설</t>
  </si>
  <si>
    <t>양주 탑엔지니어링</t>
  </si>
  <si>
    <t>부평 북초등학교 대원종합건설</t>
  </si>
  <si>
    <t>양천구 대한가설산업</t>
  </si>
  <si>
    <t>아산 광산이앤씨</t>
  </si>
  <si>
    <t>인천 송도동 태산건설</t>
  </si>
  <si>
    <t>금천 PK건설</t>
  </si>
  <si>
    <t>성호에스씨</t>
    <phoneticPr fontId="2" type="noConversion"/>
  </si>
  <si>
    <t>코어엘리베이터</t>
  </si>
  <si>
    <t>코어엘리베이터</t>
    <phoneticPr fontId="2" type="noConversion"/>
  </si>
  <si>
    <t>수호건축</t>
  </si>
  <si>
    <t>아주가설</t>
  </si>
  <si>
    <t>현금입금(김진민팀장님-&gt;알바공고)</t>
    <phoneticPr fontId="2" type="noConversion"/>
  </si>
  <si>
    <t>입금</t>
    <phoneticPr fontId="2" type="noConversion"/>
  </si>
  <si>
    <t>양주8사단 차기다련장 9차시설 사업공사</t>
    <phoneticPr fontId="2" type="noConversion"/>
  </si>
  <si>
    <t>김진민팀 갑문현장 지게차</t>
  </si>
  <si>
    <t>남양주 큰빛종합건설 입금</t>
    <phoneticPr fontId="2" type="noConversion"/>
  </si>
  <si>
    <t>성남 승주건설 입금</t>
    <phoneticPr fontId="2" type="noConversion"/>
  </si>
  <si>
    <t>매입금액</t>
    <phoneticPr fontId="2" type="noConversion"/>
  </si>
  <si>
    <t>지급금액</t>
    <phoneticPr fontId="2" type="noConversion"/>
  </si>
  <si>
    <t xml:space="preserve">구분을 누르시면 매출,매입,미수금,미지급금 선택 할 수 있어요. </t>
    <phoneticPr fontId="2" type="noConversion"/>
  </si>
  <si>
    <t>ㅡㅡ&gt;시작년도~종료년도로 조회 할수 있게 해주세요</t>
    <phoneticPr fontId="2" type="noConversion"/>
  </si>
  <si>
    <t>고이건설</t>
    <phoneticPr fontId="2" type="noConversion"/>
  </si>
  <si>
    <t>ㅡㅡ&gt; 여기에 검색하고 싶은 거래처 입력하고 조회 누르면 해당 거래처만 조회가 됩니다</t>
    <phoneticPr fontId="2" type="noConversion"/>
  </si>
  <si>
    <t>지금은 누구팀 현장인지 구분을 안해 놔서 사용 안하는데 팀현장을 자동으로 끌고 올수 있으면 팀명도 넣어주세요</t>
  </si>
  <si>
    <t>입력폼에서 입력을 하고 DB등록을 누르면 입력한 내용이 DB시트로 넘어갑니다. 그리고 전체조회 하면에서 매입,매출,미수금,미지급금을 조회 할수 있습니다. 조회(매출,매입거래장은 쌤플 보내 드리겠습니다.)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</si>
</sst>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76" formatCode="yy&quot;-&quot;m&quot;-&quot;d;@"/>
    <numFmt numFmtId="177" formatCode="0_);[Red]\(0\)"/>
    <numFmt numFmtId="178" formatCode="#,##0_ "/>
    <numFmt numFmtId="179" formatCode="#,##0_);[Red]\(#,##0\)"/>
    <numFmt numFmtId="180" formatCode="0.0_);[Red]\(0.0\)"/>
    <numFmt numFmtId="181" formatCode="mm&quot;월&quot;\ dd&quot;일&quot;"/>
    <numFmt numFmtId="182" formatCode="yyyy/mm/dd;@"/>
  </numFmts>
  <fonts count="42">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4"/>
      <color theme="1"/>
      <name val="맑은 고딕"/>
      <family val="3"/>
      <charset val="129"/>
      <scheme val="minor"/>
    </font>
    <font>
      <sz val="11"/>
      <color theme="1"/>
      <name val="맑은 고딕"/>
      <family val="3"/>
      <charset val="129"/>
      <scheme val="minor"/>
    </font>
    <font>
      <sz val="11"/>
      <color theme="1"/>
      <name val="08서울남산체 M"/>
      <family val="1"/>
      <charset val="129"/>
    </font>
    <font>
      <sz val="10"/>
      <color theme="1"/>
      <name val="08서울남산체 M"/>
      <family val="1"/>
      <charset val="129"/>
    </font>
    <font>
      <sz val="14"/>
      <color theme="1"/>
      <name val="08서울남산체 M"/>
      <family val="1"/>
      <charset val="129"/>
    </font>
    <font>
      <b/>
      <u/>
      <sz val="20"/>
      <color theme="1"/>
      <name val="맑은 고딕"/>
      <family val="3"/>
      <charset val="129"/>
      <scheme val="minor"/>
    </font>
    <font>
      <b/>
      <sz val="12"/>
      <color theme="1"/>
      <name val="맑은 고딕"/>
      <family val="3"/>
      <charset val="129"/>
      <scheme val="minor"/>
    </font>
    <font>
      <sz val="11"/>
      <color rgb="FFFF0000"/>
      <name val="맑은 고딕"/>
      <family val="3"/>
      <charset val="129"/>
      <scheme val="minor"/>
    </font>
    <font>
      <sz val="11"/>
      <color rgb="FFFF0000"/>
      <name val="맑은 고딕"/>
      <family val="2"/>
      <charset val="129"/>
      <scheme val="minor"/>
    </font>
    <font>
      <sz val="10"/>
      <color rgb="FFFF0000"/>
      <name val="08서울남산체 M"/>
      <family val="1"/>
      <charset val="129"/>
    </font>
    <font>
      <b/>
      <sz val="12"/>
      <color rgb="FFFF0000"/>
      <name val="맑은 고딕"/>
      <family val="3"/>
      <charset val="129"/>
      <scheme val="minor"/>
    </font>
    <font>
      <b/>
      <sz val="11"/>
      <name val="맑은 고딕"/>
      <family val="3"/>
      <charset val="129"/>
      <scheme val="minor"/>
    </font>
    <font>
      <sz val="11"/>
      <name val="맑은 고딕"/>
      <family val="3"/>
      <charset val="129"/>
      <scheme val="minor"/>
    </font>
    <font>
      <b/>
      <sz val="12"/>
      <color theme="0"/>
      <name val="맑은 고딕"/>
      <family val="3"/>
      <charset val="129"/>
      <scheme val="minor"/>
    </font>
    <font>
      <b/>
      <sz val="11"/>
      <color theme="0"/>
      <name val="맑은 고딕"/>
      <family val="3"/>
      <charset val="129"/>
      <scheme val="minor"/>
    </font>
    <font>
      <sz val="11"/>
      <color theme="0"/>
      <name val="맑은 고딕"/>
      <family val="2"/>
      <charset val="129"/>
      <scheme val="minor"/>
    </font>
    <font>
      <sz val="11"/>
      <color theme="0"/>
      <name val="맑은 고딕"/>
      <family val="3"/>
      <charset val="129"/>
      <scheme val="minor"/>
    </font>
    <font>
      <sz val="10"/>
      <color theme="1"/>
      <name val="맑은 고딕"/>
      <family val="3"/>
      <charset val="129"/>
      <scheme val="minor"/>
    </font>
    <font>
      <sz val="10"/>
      <name val="맑은 고딕"/>
      <family val="3"/>
      <charset val="129"/>
      <scheme val="minor"/>
    </font>
    <font>
      <b/>
      <i/>
      <sz val="22"/>
      <color theme="1"/>
      <name val="휴먼명조"/>
      <family val="3"/>
      <charset val="129"/>
    </font>
    <font>
      <b/>
      <i/>
      <sz val="24"/>
      <color theme="1"/>
      <name val="휴먼명조"/>
      <family val="3"/>
      <charset val="129"/>
    </font>
    <font>
      <sz val="10"/>
      <color rgb="FFFF0000"/>
      <name val="맑은 고딕"/>
      <family val="3"/>
      <charset val="129"/>
      <scheme val="minor"/>
    </font>
    <font>
      <sz val="11"/>
      <color rgb="FF0070C0"/>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0"/>
      <color rgb="FFFF0000"/>
      <name val="맑은 고딕"/>
      <family val="3"/>
      <charset val="129"/>
      <scheme val="minor"/>
    </font>
    <font>
      <b/>
      <sz val="9"/>
      <color indexed="81"/>
      <name val="Tahoma"/>
      <family val="2"/>
    </font>
    <font>
      <b/>
      <sz val="9"/>
      <color indexed="81"/>
      <name val="돋움"/>
      <family val="3"/>
      <charset val="129"/>
    </font>
    <font>
      <sz val="11"/>
      <color rgb="FFFF0000"/>
      <name val="08서울남산체 M"/>
      <family val="1"/>
      <charset val="129"/>
    </font>
    <font>
      <b/>
      <i/>
      <sz val="18"/>
      <color theme="1"/>
      <name val="맑은 고딕"/>
      <family val="3"/>
      <charset val="129"/>
      <scheme val="minor"/>
    </font>
    <font>
      <sz val="10"/>
      <color rgb="FF000000"/>
      <name val="바탕"/>
      <family val="1"/>
      <charset val="129"/>
    </font>
    <font>
      <sz val="8"/>
      <color theme="1"/>
      <name val="맑은 고딕"/>
      <family val="3"/>
      <charset val="129"/>
      <scheme val="minor"/>
    </font>
    <font>
      <sz val="9"/>
      <color rgb="FFFF0000"/>
      <name val="맑은 고딕"/>
      <family val="3"/>
      <charset val="129"/>
      <scheme val="minor"/>
    </font>
    <font>
      <sz val="11"/>
      <color rgb="FF000000"/>
      <name val="맑은 고딕"/>
      <family val="3"/>
      <charset val="129"/>
    </font>
    <font>
      <sz val="8"/>
      <color theme="1"/>
      <name val="맑은 고딕"/>
      <family val="2"/>
      <charset val="129"/>
      <scheme val="minor"/>
    </font>
    <font>
      <sz val="11"/>
      <color theme="8"/>
      <name val="맑은 고딕"/>
      <family val="3"/>
      <charset val="129"/>
      <scheme val="minor"/>
    </font>
    <font>
      <sz val="11"/>
      <color rgb="FFFFC000"/>
      <name val="맑은 고딕"/>
      <family val="3"/>
      <charset val="129"/>
      <scheme val="minor"/>
    </font>
    <font>
      <sz val="11"/>
      <color rgb="FF00B0F0"/>
      <name val="맑은 고딕"/>
      <family val="3"/>
      <charset val="129"/>
      <scheme val="minor"/>
    </font>
    <font>
      <sz val="9"/>
      <color theme="1"/>
      <name val="맑은 고딕"/>
      <family val="3"/>
      <charset val="129"/>
      <scheme val="minor"/>
    </font>
  </fonts>
  <fills count="26">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70C0"/>
        <bgColor indexed="64"/>
      </patternFill>
    </fill>
    <fill>
      <patternFill patternType="solid">
        <fgColor theme="7" tint="0.39997558519241921"/>
        <bgColor indexed="64"/>
      </patternFill>
    </fill>
    <fill>
      <patternFill patternType="solid">
        <fgColor theme="3" tint="-0.499984740745262"/>
        <bgColor indexed="64"/>
      </patternFill>
    </fill>
    <fill>
      <patternFill patternType="solid">
        <fgColor rgb="FFFFFF66"/>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8"/>
        <bgColor indexed="64"/>
      </patternFill>
    </fill>
    <fill>
      <patternFill patternType="solid">
        <fgColor theme="9"/>
        <bgColor indexed="64"/>
      </patternFill>
    </fill>
    <fill>
      <patternFill patternType="solid">
        <fgColor theme="8" tint="-0.249977111117893"/>
        <bgColor indexed="64"/>
      </patternFill>
    </fill>
    <fill>
      <patternFill patternType="solid">
        <fgColor theme="7"/>
        <bgColor indexed="64"/>
      </patternFill>
    </fill>
    <fill>
      <patternFill patternType="solid">
        <fgColor rgb="FFFF0000"/>
        <bgColor indexed="64"/>
      </patternFill>
    </fill>
    <fill>
      <patternFill patternType="solid">
        <fgColor theme="3"/>
        <bgColor indexed="64"/>
      </patternFill>
    </fill>
    <fill>
      <patternFill patternType="solid">
        <fgColor rgb="FFFFFFFF"/>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theme="3" tint="0.79998168889431442"/>
        <bgColor indexed="64"/>
      </patternFill>
    </fill>
    <fill>
      <patternFill patternType="solid">
        <fgColor rgb="FF00B050"/>
        <bgColor indexed="64"/>
      </patternFill>
    </fill>
  </fills>
  <borders count="25">
    <border>
      <left/>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thin">
        <color auto="1"/>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style="thin">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s>
  <cellStyleXfs count="6">
    <xf numFmtId="0" fontId="0" fillId="0" borderId="0">
      <alignment vertical="center"/>
    </xf>
    <xf numFmtId="41" fontId="1" fillId="0" borderId="0" applyFont="0" applyFill="0" applyBorder="0" applyAlignment="0" applyProtection="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36" fillId="0" borderId="0">
      <alignment vertical="center"/>
    </xf>
    <xf numFmtId="41" fontId="36" fillId="0" borderId="0">
      <alignment vertical="center"/>
    </xf>
  </cellStyleXfs>
  <cellXfs count="330">
    <xf numFmtId="0" fontId="0" fillId="0" borderId="0" xfId="0">
      <alignment vertical="center"/>
    </xf>
    <xf numFmtId="0" fontId="0" fillId="0" borderId="0" xfId="0" applyAlignment="1">
      <alignment horizontal="center" vertical="center"/>
    </xf>
    <xf numFmtId="41" fontId="0" fillId="0" borderId="2" xfId="1" applyFont="1" applyBorder="1" applyAlignment="1">
      <alignment horizontal="center" vertical="center"/>
    </xf>
    <xf numFmtId="41" fontId="0" fillId="4" borderId="2" xfId="1" applyFont="1" applyFill="1" applyBorder="1" applyAlignment="1">
      <alignment horizontal="center" vertical="center"/>
    </xf>
    <xf numFmtId="0" fontId="0" fillId="0" borderId="2" xfId="0" applyBorder="1" applyAlignment="1">
      <alignment horizontal="center" vertical="center"/>
    </xf>
    <xf numFmtId="41" fontId="0" fillId="0" borderId="2" xfId="1" applyFont="1" applyFill="1" applyBorder="1" applyAlignment="1">
      <alignment horizontal="center" vertical="center"/>
    </xf>
    <xf numFmtId="0" fontId="0" fillId="0" borderId="3" xfId="0" applyBorder="1" applyAlignment="1">
      <alignment horizontal="center" vertical="center" shrinkToFit="1"/>
    </xf>
    <xf numFmtId="0" fontId="0" fillId="0" borderId="3" xfId="0" applyBorder="1" applyAlignment="1">
      <alignment horizontal="center" vertical="center"/>
    </xf>
    <xf numFmtId="0" fontId="0" fillId="5" borderId="5" xfId="0" applyFill="1" applyBorder="1" applyAlignment="1">
      <alignment horizontal="center" vertical="center"/>
    </xf>
    <xf numFmtId="41" fontId="0" fillId="5" borderId="5" xfId="2" applyFont="1" applyFill="1" applyBorder="1" applyAlignment="1">
      <alignment horizontal="center" vertical="center"/>
    </xf>
    <xf numFmtId="41" fontId="0" fillId="5" borderId="6" xfId="2" applyFont="1" applyFill="1" applyBorder="1" applyAlignment="1">
      <alignment horizontal="center"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14" fontId="9" fillId="0" borderId="0" xfId="0" applyNumberFormat="1" applyFont="1" applyAlignment="1">
      <alignment horizontal="center" vertical="center"/>
    </xf>
    <xf numFmtId="0" fontId="9" fillId="0" borderId="0" xfId="0" applyFont="1">
      <alignment vertical="center"/>
    </xf>
    <xf numFmtId="41" fontId="0" fillId="0" borderId="0" xfId="1" applyFont="1">
      <alignment vertical="center"/>
    </xf>
    <xf numFmtId="0" fontId="11" fillId="0" borderId="0" xfId="0" applyFont="1">
      <alignment vertical="center"/>
    </xf>
    <xf numFmtId="0" fontId="10" fillId="0" borderId="0" xfId="0" applyFont="1">
      <alignment vertical="center"/>
    </xf>
    <xf numFmtId="41" fontId="0" fillId="4" borderId="8" xfId="1" applyFont="1" applyFill="1" applyBorder="1" applyAlignment="1">
      <alignment horizontal="center" vertical="center"/>
    </xf>
    <xf numFmtId="41" fontId="0" fillId="0" borderId="8" xfId="1" applyFont="1" applyFill="1" applyBorder="1" applyAlignment="1">
      <alignment horizontal="center" vertical="center"/>
    </xf>
    <xf numFmtId="41" fontId="0" fillId="3" borderId="2" xfId="1" applyFont="1" applyFill="1" applyBorder="1" applyAlignment="1">
      <alignment horizontal="center" vertical="center"/>
    </xf>
    <xf numFmtId="41" fontId="0" fillId="7" borderId="2" xfId="1" applyFont="1" applyFill="1" applyBorder="1" applyAlignment="1">
      <alignment horizontal="center" vertical="center"/>
    </xf>
    <xf numFmtId="41" fontId="10" fillId="6" borderId="5" xfId="0" applyNumberFormat="1" applyFont="1" applyFill="1" applyBorder="1">
      <alignment vertical="center"/>
    </xf>
    <xf numFmtId="41" fontId="10" fillId="7" borderId="5" xfId="0" applyNumberFormat="1" applyFont="1" applyFill="1" applyBorder="1" applyAlignment="1">
      <alignment horizontal="center" vertical="center"/>
    </xf>
    <xf numFmtId="41" fontId="10" fillId="0" borderId="6" xfId="1" applyFont="1" applyBorder="1" applyAlignment="1">
      <alignment vertical="center"/>
    </xf>
    <xf numFmtId="41" fontId="4" fillId="4" borderId="6" xfId="0" applyNumberFormat="1" applyFont="1" applyFill="1" applyBorder="1">
      <alignment vertical="center"/>
    </xf>
    <xf numFmtId="41" fontId="0" fillId="2" borderId="2" xfId="1" applyFont="1" applyFill="1" applyBorder="1" applyAlignment="1">
      <alignment horizontal="center" vertical="center"/>
    </xf>
    <xf numFmtId="0" fontId="12" fillId="0" borderId="0" xfId="0" applyFont="1">
      <alignment vertical="center"/>
    </xf>
    <xf numFmtId="14" fontId="16" fillId="10" borderId="2" xfId="1" applyNumberFormat="1" applyFont="1" applyFill="1" applyBorder="1" applyAlignment="1">
      <alignment horizontal="center" vertical="center"/>
    </xf>
    <xf numFmtId="14" fontId="17" fillId="10" borderId="2" xfId="0" applyNumberFormat="1" applyFont="1" applyFill="1" applyBorder="1" applyAlignment="1">
      <alignment horizontal="center" vertical="center"/>
    </xf>
    <xf numFmtId="0" fontId="17" fillId="10" borderId="2" xfId="0" applyFont="1" applyFill="1" applyBorder="1" applyAlignment="1">
      <alignment horizontal="center" vertical="center"/>
    </xf>
    <xf numFmtId="41" fontId="17" fillId="10" borderId="2" xfId="1" applyFont="1" applyFill="1" applyBorder="1" applyAlignment="1">
      <alignment horizontal="center" vertical="center"/>
    </xf>
    <xf numFmtId="177" fontId="17" fillId="10" borderId="2" xfId="0" applyNumberFormat="1" applyFont="1" applyFill="1" applyBorder="1" applyAlignment="1">
      <alignment horizontal="center" vertical="center"/>
    </xf>
    <xf numFmtId="177" fontId="17" fillId="10" borderId="2" xfId="1" applyNumberFormat="1" applyFont="1" applyFill="1" applyBorder="1" applyAlignment="1">
      <alignment horizontal="center" vertical="center"/>
    </xf>
    <xf numFmtId="14" fontId="17" fillId="10" borderId="2" xfId="1" applyNumberFormat="1" applyFont="1" applyFill="1" applyBorder="1" applyAlignment="1">
      <alignment horizontal="center" vertical="center"/>
    </xf>
    <xf numFmtId="0" fontId="4" fillId="0" borderId="0" xfId="0" applyFont="1">
      <alignment vertical="center"/>
    </xf>
    <xf numFmtId="14" fontId="4" fillId="0" borderId="0" xfId="0" applyNumberFormat="1" applyFont="1" applyAlignment="1">
      <alignment horizontal="center" vertical="center"/>
    </xf>
    <xf numFmtId="41" fontId="4" fillId="0" borderId="0" xfId="1" applyFont="1">
      <alignment vertical="center"/>
    </xf>
    <xf numFmtId="178" fontId="18" fillId="8" borderId="7" xfId="0" applyNumberFormat="1" applyFont="1" applyFill="1" applyBorder="1" applyAlignment="1">
      <alignment horizontal="center" vertical="center"/>
    </xf>
    <xf numFmtId="178" fontId="19" fillId="8" borderId="1" xfId="0" applyNumberFormat="1" applyFont="1" applyFill="1" applyBorder="1" applyAlignment="1">
      <alignment horizontal="center" vertical="center"/>
    </xf>
    <xf numFmtId="0" fontId="0" fillId="12" borderId="1" xfId="0" applyFill="1" applyBorder="1" applyAlignment="1">
      <alignment horizontal="center" vertical="center"/>
    </xf>
    <xf numFmtId="0" fontId="0" fillId="12" borderId="15" xfId="0" applyFill="1" applyBorder="1" applyAlignment="1">
      <alignment horizontal="center" vertical="center"/>
    </xf>
    <xf numFmtId="0" fontId="0" fillId="0" borderId="0" xfId="0" applyAlignment="1">
      <alignment vertical="center" shrinkToFit="1"/>
    </xf>
    <xf numFmtId="14" fontId="0" fillId="11" borderId="9" xfId="0" applyNumberFormat="1" applyFill="1" applyBorder="1" applyAlignment="1">
      <alignment horizontal="left" vertical="center" shrinkToFit="1"/>
    </xf>
    <xf numFmtId="14" fontId="0" fillId="11" borderId="3" xfId="0" applyNumberFormat="1" applyFill="1" applyBorder="1" applyAlignment="1">
      <alignment horizontal="left" vertical="center" shrinkToFit="1"/>
    </xf>
    <xf numFmtId="0" fontId="0" fillId="7" borderId="3" xfId="0" applyFill="1" applyBorder="1" applyAlignment="1">
      <alignment horizontal="left" vertical="center" shrinkToFit="1"/>
    </xf>
    <xf numFmtId="14" fontId="4" fillId="11" borderId="9" xfId="0" applyNumberFormat="1" applyFont="1" applyFill="1" applyBorder="1" applyAlignment="1">
      <alignment horizontal="left" vertical="center" shrinkToFit="1"/>
    </xf>
    <xf numFmtId="14" fontId="4" fillId="11" borderId="3" xfId="0" applyNumberFormat="1" applyFont="1" applyFill="1" applyBorder="1" applyAlignment="1">
      <alignment horizontal="left" vertical="center" shrinkToFit="1"/>
    </xf>
    <xf numFmtId="0" fontId="4" fillId="7" borderId="3" xfId="0" applyFont="1" applyFill="1" applyBorder="1" applyAlignment="1">
      <alignment horizontal="left" vertical="center" shrinkToFit="1"/>
    </xf>
    <xf numFmtId="0" fontId="4" fillId="7" borderId="17" xfId="0" applyFont="1" applyFill="1" applyBorder="1" applyAlignment="1">
      <alignment horizontal="left" vertical="center" shrinkToFit="1"/>
    </xf>
    <xf numFmtId="179" fontId="0" fillId="6" borderId="2" xfId="1" applyNumberFormat="1" applyFont="1" applyFill="1" applyBorder="1" applyAlignment="1">
      <alignment horizontal="center" vertical="center"/>
    </xf>
    <xf numFmtId="0" fontId="0" fillId="0" borderId="16" xfId="0" applyBorder="1" applyAlignment="1">
      <alignment horizontal="center" vertical="center"/>
    </xf>
    <xf numFmtId="41" fontId="0" fillId="0" borderId="16" xfId="1" applyFont="1" applyBorder="1" applyAlignment="1">
      <alignment horizontal="center" vertical="center"/>
    </xf>
    <xf numFmtId="0" fontId="0" fillId="0" borderId="17" xfId="0" applyBorder="1" applyAlignment="1">
      <alignment horizontal="center" vertical="center"/>
    </xf>
    <xf numFmtId="0" fontId="0" fillId="0" borderId="0" xfId="0" applyProtection="1">
      <alignment vertical="center"/>
      <protection locked="0"/>
    </xf>
    <xf numFmtId="0" fontId="14" fillId="0" borderId="14" xfId="0" applyFont="1" applyBorder="1" applyProtection="1">
      <alignment vertical="center"/>
      <protection locked="0"/>
    </xf>
    <xf numFmtId="0" fontId="14" fillId="0" borderId="0" xfId="0" applyFont="1" applyProtection="1">
      <alignment vertical="center"/>
      <protection locked="0"/>
    </xf>
    <xf numFmtId="0" fontId="11" fillId="0" borderId="0" xfId="0" applyFont="1" applyProtection="1">
      <alignment vertical="center"/>
      <protection locked="0"/>
    </xf>
    <xf numFmtId="0" fontId="10" fillId="0" borderId="0" xfId="0" applyFont="1" applyAlignment="1" applyProtection="1">
      <alignment horizontal="center" vertical="center"/>
      <protection locked="0"/>
    </xf>
    <xf numFmtId="0" fontId="10" fillId="0" borderId="0" xfId="0" applyFont="1" applyProtection="1">
      <alignment vertical="center"/>
      <protection locked="0"/>
    </xf>
    <xf numFmtId="41" fontId="10" fillId="0" borderId="0" xfId="1" applyFont="1" applyProtection="1">
      <alignment vertical="center"/>
      <protection locked="0"/>
    </xf>
    <xf numFmtId="0" fontId="15" fillId="0" borderId="0" xfId="0" applyFont="1" applyAlignment="1" applyProtection="1">
      <alignment horizontal="center" vertical="center"/>
      <protection locked="0"/>
    </xf>
    <xf numFmtId="177" fontId="0" fillId="0" borderId="0" xfId="0" applyNumberFormat="1" applyAlignment="1" applyProtection="1">
      <alignment horizontal="center" vertical="center"/>
      <protection locked="0"/>
    </xf>
    <xf numFmtId="41" fontId="0" fillId="0" borderId="0" xfId="1" applyFont="1" applyProtection="1">
      <alignment vertical="center"/>
      <protection locked="0"/>
    </xf>
    <xf numFmtId="0" fontId="14" fillId="0" borderId="0" xfId="0" applyFont="1" applyAlignment="1" applyProtection="1">
      <alignment horizontal="center" vertical="center"/>
      <protection locked="0"/>
    </xf>
    <xf numFmtId="177" fontId="11" fillId="0" borderId="0" xfId="0" applyNumberFormat="1" applyFont="1" applyAlignment="1" applyProtection="1">
      <alignment horizontal="center" vertical="center"/>
      <protection locked="0"/>
    </xf>
    <xf numFmtId="0" fontId="0" fillId="0" borderId="0" xfId="0"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41" fontId="0" fillId="0" borderId="2" xfId="1" applyFont="1" applyBorder="1" applyProtection="1">
      <alignment vertical="center"/>
      <protection locked="0"/>
    </xf>
    <xf numFmtId="177" fontId="0" fillId="0" borderId="2" xfId="0" applyNumberFormat="1" applyBorder="1" applyAlignment="1" applyProtection="1">
      <alignment horizontal="center" vertical="center"/>
      <protection locked="0"/>
    </xf>
    <xf numFmtId="41" fontId="0" fillId="2" borderId="2" xfId="1" applyFont="1" applyFill="1" applyBorder="1" applyProtection="1">
      <alignment vertical="center"/>
      <protection hidden="1"/>
    </xf>
    <xf numFmtId="177" fontId="0" fillId="2" borderId="2" xfId="1" applyNumberFormat="1" applyFont="1" applyFill="1" applyBorder="1" applyAlignment="1" applyProtection="1">
      <alignment horizontal="center" vertical="center"/>
      <protection hidden="1"/>
    </xf>
    <xf numFmtId="14" fontId="16" fillId="10" borderId="2" xfId="0" applyNumberFormat="1" applyFont="1" applyFill="1" applyBorder="1" applyAlignment="1" applyProtection="1">
      <alignment horizontal="center" vertical="center"/>
      <protection hidden="1"/>
    </xf>
    <xf numFmtId="0" fontId="16" fillId="10" borderId="2" xfId="0" applyFont="1" applyFill="1" applyBorder="1" applyAlignment="1" applyProtection="1">
      <alignment horizontal="center" vertical="center"/>
      <protection hidden="1"/>
    </xf>
    <xf numFmtId="41" fontId="16" fillId="10" borderId="2" xfId="1" applyFont="1" applyFill="1" applyBorder="1" applyAlignment="1" applyProtection="1">
      <alignment horizontal="center" vertical="center"/>
      <protection hidden="1"/>
    </xf>
    <xf numFmtId="177" fontId="16" fillId="10" borderId="2" xfId="0" applyNumberFormat="1" applyFont="1" applyFill="1" applyBorder="1" applyAlignment="1" applyProtection="1">
      <alignment horizontal="center" vertical="center"/>
      <protection hidden="1"/>
    </xf>
    <xf numFmtId="177" fontId="16" fillId="10" borderId="2" xfId="1" applyNumberFormat="1" applyFont="1" applyFill="1" applyBorder="1" applyAlignment="1" applyProtection="1">
      <alignment horizontal="center" vertical="center"/>
      <protection hidden="1"/>
    </xf>
    <xf numFmtId="14" fontId="16" fillId="10" borderId="2" xfId="1" applyNumberFormat="1" applyFont="1" applyFill="1" applyBorder="1" applyAlignment="1" applyProtection="1">
      <alignment horizontal="center" vertical="center"/>
      <protection hidden="1"/>
    </xf>
    <xf numFmtId="0" fontId="14" fillId="9" borderId="2" xfId="0" applyFont="1" applyFill="1" applyBorder="1" applyAlignment="1" applyProtection="1">
      <alignment horizontal="center" vertical="center"/>
      <protection hidden="1"/>
    </xf>
    <xf numFmtId="14" fontId="0" fillId="2" borderId="2" xfId="0" applyNumberFormat="1" applyFill="1" applyBorder="1" applyAlignment="1" applyProtection="1">
      <alignment horizontal="center" vertical="center"/>
      <protection hidden="1"/>
    </xf>
    <xf numFmtId="0" fontId="0" fillId="6" borderId="2" xfId="0" applyFill="1" applyBorder="1" applyAlignment="1" applyProtection="1">
      <alignment horizontal="center" vertical="center"/>
      <protection locked="0"/>
    </xf>
    <xf numFmtId="14" fontId="0" fillId="0" borderId="0" xfId="0" applyNumberFormat="1">
      <alignment vertical="center"/>
    </xf>
    <xf numFmtId="177" fontId="4" fillId="0" borderId="0" xfId="1" applyNumberFormat="1" applyFont="1" applyAlignment="1">
      <alignment horizontal="center" vertical="center"/>
    </xf>
    <xf numFmtId="177" fontId="4" fillId="0" borderId="0" xfId="0" applyNumberFormat="1" applyFont="1" applyAlignment="1">
      <alignment horizontal="center" vertical="center"/>
    </xf>
    <xf numFmtId="178" fontId="17" fillId="10" borderId="2" xfId="1" applyNumberFormat="1" applyFont="1" applyFill="1" applyBorder="1" applyAlignment="1">
      <alignment horizontal="center" vertical="center"/>
    </xf>
    <xf numFmtId="178" fontId="4" fillId="0" borderId="0" xfId="1" applyNumberFormat="1" applyFont="1">
      <alignment vertical="center"/>
    </xf>
    <xf numFmtId="180" fontId="17" fillId="10" borderId="2" xfId="1" applyNumberFormat="1" applyFont="1" applyFill="1" applyBorder="1" applyAlignment="1">
      <alignment horizontal="center" vertical="center"/>
    </xf>
    <xf numFmtId="180" fontId="4" fillId="0" borderId="0" xfId="1" applyNumberFormat="1" applyFont="1" applyAlignment="1">
      <alignment horizontal="center" vertical="center"/>
    </xf>
    <xf numFmtId="0" fontId="9" fillId="15" borderId="10" xfId="0" applyFont="1" applyFill="1" applyBorder="1" applyAlignment="1">
      <alignment horizontal="center" vertical="center"/>
    </xf>
    <xf numFmtId="41" fontId="9" fillId="15" borderId="2" xfId="1" applyFont="1" applyFill="1" applyBorder="1" applyAlignment="1">
      <alignment horizontal="center" vertical="center"/>
    </xf>
    <xf numFmtId="14" fontId="9" fillId="14" borderId="10" xfId="0" applyNumberFormat="1" applyFont="1" applyFill="1" applyBorder="1" applyAlignment="1">
      <alignment horizontal="center" vertical="center"/>
    </xf>
    <xf numFmtId="0" fontId="9" fillId="14" borderId="18" xfId="0" applyFont="1" applyFill="1" applyBorder="1" applyAlignment="1">
      <alignment horizontal="center" vertical="center" shrinkToFit="1"/>
    </xf>
    <xf numFmtId="178" fontId="9" fillId="14" borderId="10" xfId="1" applyNumberFormat="1" applyFont="1" applyFill="1" applyBorder="1" applyAlignment="1">
      <alignment horizontal="center" vertical="center"/>
    </xf>
    <xf numFmtId="41" fontId="0" fillId="0" borderId="0" xfId="1" applyFont="1" applyAlignment="1">
      <alignment horizontal="right" vertical="center"/>
    </xf>
    <xf numFmtId="41" fontId="10" fillId="0" borderId="0" xfId="1" applyFont="1" applyAlignment="1">
      <alignment horizontal="right" vertical="center"/>
    </xf>
    <xf numFmtId="0" fontId="9" fillId="0" borderId="0" xfId="0" applyFont="1" applyAlignment="1">
      <alignment horizontal="center" vertical="center"/>
    </xf>
    <xf numFmtId="14" fontId="0" fillId="0" borderId="0" xfId="0" applyNumberFormat="1" applyAlignment="1">
      <alignment horizontal="center" vertical="center"/>
    </xf>
    <xf numFmtId="14" fontId="16" fillId="16" borderId="10" xfId="0" applyNumberFormat="1" applyFont="1" applyFill="1" applyBorder="1" applyAlignment="1">
      <alignment horizontal="center" vertical="center"/>
    </xf>
    <xf numFmtId="0" fontId="16" fillId="16" borderId="18" xfId="0" applyFont="1" applyFill="1" applyBorder="1" applyAlignment="1">
      <alignment horizontal="center" vertical="center" shrinkToFit="1"/>
    </xf>
    <xf numFmtId="41" fontId="16" fillId="16" borderId="10" xfId="1" applyFont="1" applyFill="1" applyBorder="1" applyAlignment="1">
      <alignment horizontal="center" vertical="center"/>
    </xf>
    <xf numFmtId="0" fontId="16" fillId="16" borderId="10" xfId="0" applyFont="1" applyFill="1" applyBorder="1" applyAlignment="1">
      <alignment horizontal="center" vertical="center"/>
    </xf>
    <xf numFmtId="41" fontId="26" fillId="17" borderId="0" xfId="1" applyFont="1" applyFill="1" applyBorder="1" applyAlignment="1">
      <alignment horizontal="center" vertical="center"/>
    </xf>
    <xf numFmtId="41" fontId="26" fillId="9" borderId="2" xfId="1" applyFont="1" applyFill="1" applyBorder="1" applyAlignment="1">
      <alignment horizontal="center" vertical="center"/>
    </xf>
    <xf numFmtId="14" fontId="26" fillId="9" borderId="2" xfId="0" applyNumberFormat="1" applyFont="1" applyFill="1" applyBorder="1" applyAlignment="1">
      <alignment horizontal="center" vertical="center" wrapText="1"/>
    </xf>
    <xf numFmtId="0" fontId="26" fillId="17" borderId="0" xfId="0" applyFont="1" applyFill="1" applyAlignment="1">
      <alignment horizontal="center" vertical="center"/>
    </xf>
    <xf numFmtId="41" fontId="0" fillId="0" borderId="0" xfId="0" applyNumberFormat="1">
      <alignment vertical="center"/>
    </xf>
    <xf numFmtId="177" fontId="19" fillId="8" borderId="7" xfId="0" applyNumberFormat="1" applyFont="1" applyFill="1" applyBorder="1" applyAlignment="1">
      <alignment horizontal="center" vertical="center"/>
    </xf>
    <xf numFmtId="177" fontId="19" fillId="8" borderId="1" xfId="0" applyNumberFormat="1" applyFont="1" applyFill="1" applyBorder="1" applyAlignment="1">
      <alignment horizontal="center" vertical="center"/>
    </xf>
    <xf numFmtId="177" fontId="4" fillId="12" borderId="1" xfId="0" applyNumberFormat="1" applyFont="1" applyFill="1" applyBorder="1" applyAlignment="1">
      <alignment horizontal="center" vertical="center"/>
    </xf>
    <xf numFmtId="177" fontId="4" fillId="12" borderId="15" xfId="0" applyNumberFormat="1" applyFont="1" applyFill="1" applyBorder="1" applyAlignment="1">
      <alignment horizontal="center" vertical="center"/>
    </xf>
    <xf numFmtId="14" fontId="20" fillId="0" borderId="0" xfId="0" applyNumberFormat="1" applyFont="1" applyAlignment="1">
      <alignment horizontal="left" vertical="center" shrinkToFit="1"/>
    </xf>
    <xf numFmtId="0" fontId="20" fillId="0" borderId="0" xfId="0" applyFont="1" applyAlignment="1">
      <alignment horizontal="left" vertical="center" wrapText="1"/>
    </xf>
    <xf numFmtId="14" fontId="20" fillId="0" borderId="0" xfId="0" applyNumberFormat="1" applyFont="1" applyAlignment="1">
      <alignment horizontal="center" vertical="center"/>
    </xf>
    <xf numFmtId="0" fontId="20" fillId="0" borderId="0" xfId="0" applyFont="1" applyAlignment="1">
      <alignment horizontal="center" vertical="center"/>
    </xf>
    <xf numFmtId="177" fontId="20" fillId="0" borderId="0" xfId="0" applyNumberFormat="1" applyFont="1" applyAlignment="1">
      <alignment horizontal="center" vertical="center"/>
    </xf>
    <xf numFmtId="14" fontId="20" fillId="0" borderId="0" xfId="0" applyNumberFormat="1" applyFont="1" applyAlignment="1">
      <alignment horizontal="left" vertical="center"/>
    </xf>
    <xf numFmtId="0" fontId="20" fillId="0" borderId="0" xfId="0" applyFont="1" applyAlignment="1">
      <alignment horizontal="center" vertical="center" wrapText="1"/>
    </xf>
    <xf numFmtId="0" fontId="20" fillId="0" borderId="0" xfId="0" applyFont="1" applyAlignment="1">
      <alignment horizontal="left" vertical="center" shrinkToFit="1"/>
    </xf>
    <xf numFmtId="0" fontId="20" fillId="0" borderId="0" xfId="0" applyFont="1" applyAlignment="1">
      <alignment horizontal="left" vertical="center"/>
    </xf>
    <xf numFmtId="177" fontId="20" fillId="0" borderId="0" xfId="0" applyNumberFormat="1" applyFont="1" applyAlignment="1">
      <alignment horizontal="center" vertical="center" wrapText="1"/>
    </xf>
    <xf numFmtId="14" fontId="10" fillId="0" borderId="0" xfId="0" applyNumberFormat="1" applyFont="1" applyAlignment="1">
      <alignment horizontal="center" vertical="center"/>
    </xf>
    <xf numFmtId="180" fontId="10" fillId="0" borderId="0" xfId="1" applyNumberFormat="1" applyFont="1" applyAlignment="1">
      <alignment horizontal="center" vertical="center"/>
    </xf>
    <xf numFmtId="178" fontId="10" fillId="0" borderId="0" xfId="1" applyNumberFormat="1" applyFont="1">
      <alignment vertical="center"/>
    </xf>
    <xf numFmtId="41" fontId="10" fillId="0" borderId="0" xfId="1" applyFont="1">
      <alignment vertical="center"/>
    </xf>
    <xf numFmtId="177" fontId="10" fillId="0" borderId="0" xfId="1" applyNumberFormat="1" applyFont="1" applyAlignment="1">
      <alignment horizontal="center" vertical="center"/>
    </xf>
    <xf numFmtId="177" fontId="10" fillId="0" borderId="0" xfId="0" applyNumberFormat="1" applyFont="1" applyAlignment="1">
      <alignment horizontal="center" vertical="center"/>
    </xf>
    <xf numFmtId="0" fontId="25" fillId="0" borderId="0" xfId="0" applyFont="1">
      <alignment vertical="center"/>
    </xf>
    <xf numFmtId="14" fontId="25" fillId="0" borderId="0" xfId="0" applyNumberFormat="1" applyFont="1" applyAlignment="1">
      <alignment horizontal="center" vertical="center"/>
    </xf>
    <xf numFmtId="0" fontId="18" fillId="18" borderId="0" xfId="0" applyFont="1" applyFill="1" applyAlignment="1">
      <alignment horizontal="center" vertical="center"/>
    </xf>
    <xf numFmtId="0" fontId="19" fillId="18" borderId="0" xfId="0" applyFont="1" applyFill="1" applyAlignment="1">
      <alignment horizontal="center" vertical="center"/>
    </xf>
    <xf numFmtId="14" fontId="17" fillId="10" borderId="19" xfId="0" applyNumberFormat="1" applyFont="1" applyFill="1" applyBorder="1" applyAlignment="1">
      <alignment horizontal="center" vertical="center"/>
    </xf>
    <xf numFmtId="0" fontId="4" fillId="12" borderId="2" xfId="0" applyFont="1" applyFill="1" applyBorder="1" applyAlignment="1">
      <alignment horizontal="center" vertical="center"/>
    </xf>
    <xf numFmtId="178" fontId="19" fillId="8" borderId="2" xfId="0" applyNumberFormat="1" applyFont="1" applyFill="1" applyBorder="1" applyAlignment="1">
      <alignment horizontal="center" vertical="center"/>
    </xf>
    <xf numFmtId="0" fontId="0" fillId="17" borderId="0" xfId="0" applyFill="1">
      <alignment vertical="center"/>
    </xf>
    <xf numFmtId="41" fontId="0" fillId="17" borderId="0" xfId="1" applyFont="1" applyFill="1">
      <alignment vertical="center"/>
    </xf>
    <xf numFmtId="0" fontId="0" fillId="0" borderId="20" xfId="0" applyBorder="1" applyAlignment="1">
      <alignment horizontal="center" vertical="center"/>
    </xf>
    <xf numFmtId="0" fontId="4" fillId="12" borderId="20" xfId="0" applyFont="1" applyFill="1" applyBorder="1" applyAlignment="1">
      <alignment horizontal="center" vertical="center"/>
    </xf>
    <xf numFmtId="178" fontId="19" fillId="8" borderId="20" xfId="0" applyNumberFormat="1" applyFont="1" applyFill="1" applyBorder="1" applyAlignment="1">
      <alignment horizontal="center" vertical="center"/>
    </xf>
    <xf numFmtId="41" fontId="0" fillId="2" borderId="9" xfId="1" applyFont="1" applyFill="1" applyBorder="1" applyAlignment="1">
      <alignment horizontal="center" vertical="center"/>
    </xf>
    <xf numFmtId="41" fontId="0" fillId="2" borderId="3" xfId="1" applyFont="1" applyFill="1" applyBorder="1" applyAlignment="1">
      <alignment horizontal="center" vertical="center"/>
    </xf>
    <xf numFmtId="41" fontId="0" fillId="2" borderId="17" xfId="1" applyFont="1" applyFill="1" applyBorder="1" applyAlignment="1">
      <alignment horizontal="center" vertical="center"/>
    </xf>
    <xf numFmtId="14" fontId="20" fillId="0" borderId="0" xfId="1" applyNumberFormat="1" applyFont="1" applyFill="1" applyBorder="1" applyAlignment="1">
      <alignment horizontal="center" vertical="center"/>
    </xf>
    <xf numFmtId="41" fontId="0" fillId="0" borderId="0" xfId="1" applyFont="1" applyFill="1">
      <alignment vertical="center"/>
    </xf>
    <xf numFmtId="9" fontId="20" fillId="0" borderId="0" xfId="3" applyFont="1" applyFill="1" applyBorder="1" applyAlignment="1">
      <alignment horizontal="left" vertical="center" shrinkToFit="1"/>
    </xf>
    <xf numFmtId="0" fontId="4" fillId="0" borderId="0" xfId="0" applyFont="1" applyAlignment="1">
      <alignment vertical="center" wrapText="1"/>
    </xf>
    <xf numFmtId="177" fontId="20" fillId="0" borderId="0" xfId="0" applyNumberFormat="1" applyFont="1" applyAlignment="1">
      <alignment horizontal="center" vertical="center" shrinkToFit="1"/>
    </xf>
    <xf numFmtId="41" fontId="14" fillId="0" borderId="0" xfId="1" applyFont="1" applyFill="1" applyBorder="1" applyAlignment="1" applyProtection="1">
      <alignment vertical="center"/>
      <protection locked="0"/>
    </xf>
    <xf numFmtId="41" fontId="11" fillId="0" borderId="0" xfId="1" applyFont="1" applyProtection="1">
      <alignment vertical="center"/>
      <protection locked="0"/>
    </xf>
    <xf numFmtId="41" fontId="15" fillId="0" borderId="0" xfId="1" applyFont="1" applyProtection="1">
      <alignment vertical="center"/>
      <protection locked="0"/>
    </xf>
    <xf numFmtId="14" fontId="15" fillId="0" borderId="2" xfId="0" applyNumberFormat="1" applyFont="1" applyBorder="1" applyAlignment="1" applyProtection="1">
      <alignment horizontal="center" vertical="center"/>
      <protection locked="0"/>
    </xf>
    <xf numFmtId="177" fontId="15" fillId="0" borderId="2" xfId="0" applyNumberFormat="1" applyFont="1" applyBorder="1" applyAlignment="1" applyProtection="1">
      <alignment horizontal="center" vertical="center"/>
      <protection locked="0"/>
    </xf>
    <xf numFmtId="41" fontId="0" fillId="0" borderId="0" xfId="1" applyFont="1" applyAlignment="1">
      <alignment horizontal="center" vertical="center"/>
    </xf>
    <xf numFmtId="177" fontId="27" fillId="9" borderId="10" xfId="0" applyNumberFormat="1" applyFont="1" applyFill="1" applyBorder="1" applyAlignment="1">
      <alignment horizontal="center" vertical="center"/>
    </xf>
    <xf numFmtId="0" fontId="27" fillId="9" borderId="10" xfId="0" applyFont="1" applyFill="1" applyBorder="1" applyAlignment="1">
      <alignment horizontal="center" vertical="center"/>
    </xf>
    <xf numFmtId="14" fontId="27" fillId="9" borderId="10" xfId="0" applyNumberFormat="1" applyFont="1" applyFill="1" applyBorder="1" applyAlignment="1">
      <alignment horizontal="center" vertical="center"/>
    </xf>
    <xf numFmtId="0" fontId="20" fillId="0" borderId="0" xfId="0" applyFont="1">
      <alignment vertical="center"/>
    </xf>
    <xf numFmtId="0" fontId="28" fillId="0" borderId="0" xfId="0" applyFont="1" applyAlignment="1">
      <alignment horizontal="center" vertical="center"/>
    </xf>
    <xf numFmtId="14" fontId="27" fillId="9" borderId="10" xfId="1" applyNumberFormat="1" applyFont="1" applyFill="1" applyBorder="1" applyAlignment="1">
      <alignment horizontal="center" vertical="center" wrapText="1"/>
    </xf>
    <xf numFmtId="14" fontId="20" fillId="0" borderId="0" xfId="1" applyNumberFormat="1" applyFont="1" applyAlignment="1">
      <alignment horizontal="center" vertical="center"/>
    </xf>
    <xf numFmtId="14" fontId="24" fillId="0" borderId="0" xfId="1" applyNumberFormat="1" applyFont="1" applyAlignment="1">
      <alignment horizontal="center" vertical="center"/>
    </xf>
    <xf numFmtId="14" fontId="0" fillId="0" borderId="0" xfId="1" applyNumberFormat="1" applyFont="1">
      <alignment vertical="center"/>
    </xf>
    <xf numFmtId="14" fontId="26" fillId="17" borderId="0" xfId="0" applyNumberFormat="1" applyFont="1" applyFill="1" applyAlignment="1">
      <alignment horizontal="center" vertical="center"/>
    </xf>
    <xf numFmtId="178" fontId="27" fillId="9" borderId="10" xfId="1" applyNumberFormat="1" applyFont="1" applyFill="1" applyBorder="1" applyAlignment="1">
      <alignment horizontal="center" vertical="center"/>
    </xf>
    <xf numFmtId="178" fontId="20" fillId="0" borderId="0" xfId="1" applyNumberFormat="1" applyFont="1" applyAlignment="1">
      <alignment horizontal="right" vertical="center"/>
    </xf>
    <xf numFmtId="178" fontId="24" fillId="0" borderId="0" xfId="1" applyNumberFormat="1" applyFont="1" applyAlignment="1">
      <alignment horizontal="right" vertical="center"/>
    </xf>
    <xf numFmtId="178" fontId="20" fillId="0" borderId="0" xfId="1" applyNumberFormat="1" applyFont="1" applyFill="1" applyBorder="1" applyAlignment="1">
      <alignment horizontal="right" vertical="center"/>
    </xf>
    <xf numFmtId="178" fontId="21" fillId="0" borderId="0" xfId="1" applyNumberFormat="1" applyFont="1" applyFill="1" applyBorder="1" applyAlignment="1">
      <alignment horizontal="right" vertical="center"/>
    </xf>
    <xf numFmtId="14" fontId="0" fillId="0" borderId="7" xfId="0" applyNumberFormat="1" applyBorder="1" applyAlignment="1">
      <alignment horizontal="center" vertical="center"/>
    </xf>
    <xf numFmtId="14" fontId="0" fillId="0" borderId="8" xfId="0" applyNumberFormat="1" applyBorder="1" applyAlignment="1">
      <alignment horizontal="center" vertical="center"/>
    </xf>
    <xf numFmtId="14" fontId="0" fillId="0" borderId="9" xfId="0" applyNumberFormat="1" applyBorder="1" applyAlignment="1">
      <alignment horizontal="center" vertical="center"/>
    </xf>
    <xf numFmtId="14" fontId="0" fillId="5" borderId="4" xfId="0" applyNumberFormat="1" applyFill="1" applyBorder="1" applyAlignment="1">
      <alignment horizontal="center" vertical="center"/>
    </xf>
    <xf numFmtId="14" fontId="0" fillId="0" borderId="1" xfId="0" applyNumberFormat="1" applyBorder="1" applyAlignment="1">
      <alignment horizontal="center" vertical="center"/>
    </xf>
    <xf numFmtId="14" fontId="0" fillId="0" borderId="15" xfId="0" applyNumberFormat="1" applyBorder="1" applyAlignment="1">
      <alignment horizontal="center" vertical="center"/>
    </xf>
    <xf numFmtId="14" fontId="19" fillId="8" borderId="7" xfId="0" applyNumberFormat="1" applyFont="1" applyFill="1" applyBorder="1" applyAlignment="1">
      <alignment horizontal="center" vertical="center"/>
    </xf>
    <xf numFmtId="14" fontId="19" fillId="8" borderId="1" xfId="0" applyNumberFormat="1" applyFont="1" applyFill="1" applyBorder="1" applyAlignment="1">
      <alignment horizontal="center" vertical="center"/>
    </xf>
    <xf numFmtId="14" fontId="4" fillId="12" borderId="1" xfId="0" applyNumberFormat="1" applyFont="1" applyFill="1" applyBorder="1" applyAlignment="1">
      <alignment horizontal="center" vertical="center"/>
    </xf>
    <xf numFmtId="14" fontId="4" fillId="12" borderId="15" xfId="0" applyNumberFormat="1" applyFont="1" applyFill="1" applyBorder="1" applyAlignment="1">
      <alignment horizontal="center" vertical="center"/>
    </xf>
    <xf numFmtId="41" fontId="10" fillId="2" borderId="5" xfId="1" applyFont="1" applyFill="1" applyBorder="1" applyAlignment="1">
      <alignment vertical="center"/>
    </xf>
    <xf numFmtId="41" fontId="0" fillId="5" borderId="5" xfId="1" applyFont="1" applyFill="1" applyBorder="1" applyAlignment="1">
      <alignment horizontal="center" vertical="center"/>
    </xf>
    <xf numFmtId="41" fontId="15" fillId="0" borderId="0" xfId="1" applyFont="1" applyAlignment="1">
      <alignment horizontal="right" vertical="center"/>
    </xf>
    <xf numFmtId="41" fontId="15" fillId="0" borderId="0" xfId="1" applyFont="1" applyBorder="1" applyAlignment="1">
      <alignment horizontal="right" vertical="center"/>
    </xf>
    <xf numFmtId="41" fontId="26" fillId="18" borderId="2" xfId="1" applyFont="1" applyFill="1" applyBorder="1" applyAlignment="1">
      <alignment horizontal="center" vertical="center"/>
    </xf>
    <xf numFmtId="177" fontId="19" fillId="19" borderId="7" xfId="0" applyNumberFormat="1" applyFont="1" applyFill="1" applyBorder="1" applyAlignment="1">
      <alignment horizontal="center" vertical="center"/>
    </xf>
    <xf numFmtId="177" fontId="4" fillId="11" borderId="9" xfId="0" applyNumberFormat="1" applyFont="1" applyFill="1" applyBorder="1" applyAlignment="1">
      <alignment horizontal="left" vertical="center" shrinkToFit="1"/>
    </xf>
    <xf numFmtId="177" fontId="4" fillId="11" borderId="3" xfId="0" applyNumberFormat="1" applyFont="1" applyFill="1" applyBorder="1" applyAlignment="1">
      <alignment horizontal="left" vertical="center" shrinkToFit="1"/>
    </xf>
    <xf numFmtId="0" fontId="31" fillId="0" borderId="0" xfId="0" applyFont="1">
      <alignment vertical="center"/>
    </xf>
    <xf numFmtId="177" fontId="4" fillId="0" borderId="0" xfId="1" applyNumberFormat="1" applyFont="1" applyFill="1" applyAlignment="1">
      <alignment horizontal="center" vertical="center"/>
    </xf>
    <xf numFmtId="0" fontId="21" fillId="0" borderId="0" xfId="0" applyFont="1" applyAlignment="1">
      <alignment horizontal="left" vertical="center"/>
    </xf>
    <xf numFmtId="178" fontId="20" fillId="0" borderId="0" xfId="1" applyNumberFormat="1" applyFont="1" applyFill="1" applyAlignment="1">
      <alignment horizontal="right" vertical="center"/>
    </xf>
    <xf numFmtId="14" fontId="20" fillId="0" borderId="0" xfId="1" applyNumberFormat="1" applyFont="1" applyFill="1" applyAlignment="1">
      <alignment horizontal="center" vertical="center"/>
    </xf>
    <xf numFmtId="14" fontId="14" fillId="0" borderId="0" xfId="0" applyNumberFormat="1" applyFont="1" applyAlignment="1" applyProtection="1">
      <alignment horizontal="center" vertical="center"/>
      <protection locked="0"/>
    </xf>
    <xf numFmtId="14" fontId="15" fillId="0" borderId="0" xfId="0" applyNumberFormat="1" applyFont="1" applyAlignment="1" applyProtection="1">
      <alignment horizontal="center" vertical="center"/>
      <protection locked="0"/>
    </xf>
    <xf numFmtId="14" fontId="0" fillId="0" borderId="0" xfId="0" applyNumberFormat="1" applyAlignment="1" applyProtection="1">
      <alignment horizontal="center" vertical="center"/>
      <protection locked="0"/>
    </xf>
    <xf numFmtId="14" fontId="10" fillId="0" borderId="0" xfId="0" applyNumberFormat="1" applyFont="1">
      <alignment vertical="center"/>
    </xf>
    <xf numFmtId="14" fontId="24" fillId="0" borderId="0" xfId="0" applyNumberFormat="1" applyFont="1" applyAlignment="1">
      <alignment horizontal="left" vertical="center"/>
    </xf>
    <xf numFmtId="14" fontId="24" fillId="0" borderId="0" xfId="0" applyNumberFormat="1" applyFont="1" applyAlignment="1">
      <alignment horizontal="center" vertical="center"/>
    </xf>
    <xf numFmtId="0" fontId="5" fillId="0" borderId="0" xfId="0" applyFont="1" applyAlignment="1">
      <alignment horizontal="center" vertical="center"/>
    </xf>
    <xf numFmtId="0" fontId="31" fillId="0" borderId="0" xfId="0" applyFont="1" applyAlignment="1">
      <alignment horizontal="center" vertical="center"/>
    </xf>
    <xf numFmtId="0" fontId="4" fillId="0" borderId="8" xfId="0" applyFont="1" applyBorder="1" applyAlignment="1">
      <alignment horizontal="center" vertical="center"/>
    </xf>
    <xf numFmtId="0" fontId="4" fillId="0" borderId="2" xfId="0" applyFont="1" applyBorder="1" applyAlignment="1">
      <alignment horizontal="center" vertical="center"/>
    </xf>
    <xf numFmtId="41" fontId="10" fillId="0" borderId="14" xfId="1" applyFont="1" applyBorder="1" applyAlignment="1">
      <alignment vertical="center"/>
    </xf>
    <xf numFmtId="41" fontId="10" fillId="0" borderId="0" xfId="1" applyFont="1" applyAlignment="1">
      <alignment vertical="center"/>
    </xf>
    <xf numFmtId="41" fontId="0" fillId="0" borderId="0" xfId="1" applyFont="1" applyFill="1" applyAlignment="1">
      <alignment horizontal="right" vertical="center"/>
    </xf>
    <xf numFmtId="41" fontId="11" fillId="0" borderId="0" xfId="1" applyFont="1" applyAlignment="1">
      <alignment horizontal="left" vertical="center"/>
    </xf>
    <xf numFmtId="0" fontId="31" fillId="0" borderId="0" xfId="0" applyFont="1" applyAlignment="1">
      <alignment horizontal="left" vertical="center"/>
    </xf>
    <xf numFmtId="178" fontId="24" fillId="0" borderId="0" xfId="1" applyNumberFormat="1" applyFont="1" applyAlignment="1">
      <alignment vertical="center"/>
    </xf>
    <xf numFmtId="0" fontId="4" fillId="0" borderId="0" xfId="0" applyFont="1" applyAlignment="1">
      <alignment horizontal="center" vertical="center"/>
    </xf>
    <xf numFmtId="14" fontId="16" fillId="10" borderId="2" xfId="0" applyNumberFormat="1" applyFont="1" applyFill="1" applyBorder="1" applyAlignment="1" applyProtection="1">
      <alignment horizontal="center" vertical="top"/>
      <protection hidden="1"/>
    </xf>
    <xf numFmtId="14" fontId="0" fillId="0" borderId="2" xfId="0" applyNumberFormat="1" applyBorder="1" applyAlignment="1" applyProtection="1">
      <alignment horizontal="center" vertical="top"/>
      <protection locked="0"/>
    </xf>
    <xf numFmtId="0" fontId="14" fillId="0" borderId="0" xfId="0" applyFont="1" applyAlignment="1" applyProtection="1">
      <alignment horizontal="center" vertical="top"/>
      <protection locked="0"/>
    </xf>
    <xf numFmtId="0" fontId="15" fillId="0" borderId="0" xfId="0" applyFont="1" applyAlignment="1" applyProtection="1">
      <alignment horizontal="center" vertical="top"/>
      <protection locked="0"/>
    </xf>
    <xf numFmtId="0" fontId="0" fillId="0" borderId="2" xfId="0" applyBorder="1" applyAlignment="1" applyProtection="1">
      <alignment horizontal="center" vertical="top"/>
      <protection locked="0"/>
    </xf>
    <xf numFmtId="0" fontId="0" fillId="0" borderId="0" xfId="0" applyAlignment="1" applyProtection="1">
      <alignment horizontal="center" vertical="top"/>
      <protection locked="0"/>
    </xf>
    <xf numFmtId="41" fontId="33" fillId="0" borderId="20" xfId="1" applyFont="1" applyFill="1" applyBorder="1" applyAlignment="1">
      <alignment horizontal="center" vertical="center"/>
    </xf>
    <xf numFmtId="14" fontId="17" fillId="10" borderId="21" xfId="0" applyNumberFormat="1" applyFont="1" applyFill="1" applyBorder="1" applyAlignment="1">
      <alignment horizontal="center" vertical="center"/>
    </xf>
    <xf numFmtId="0" fontId="17" fillId="10" borderId="21" xfId="0" applyFont="1" applyFill="1" applyBorder="1" applyAlignment="1">
      <alignment horizontal="center" vertical="center"/>
    </xf>
    <xf numFmtId="180" fontId="17" fillId="10" borderId="21" xfId="1" applyNumberFormat="1" applyFont="1" applyFill="1" applyBorder="1" applyAlignment="1">
      <alignment horizontal="center" vertical="center"/>
    </xf>
    <xf numFmtId="178" fontId="17" fillId="10" borderId="21" xfId="1" applyNumberFormat="1" applyFont="1" applyFill="1" applyBorder="1" applyAlignment="1">
      <alignment horizontal="center" vertical="center"/>
    </xf>
    <xf numFmtId="41" fontId="17" fillId="10" borderId="21" xfId="1" applyFont="1" applyFill="1" applyBorder="1" applyAlignment="1">
      <alignment horizontal="center" vertical="center"/>
    </xf>
    <xf numFmtId="177" fontId="17" fillId="10" borderId="21" xfId="0" applyNumberFormat="1" applyFont="1" applyFill="1" applyBorder="1" applyAlignment="1">
      <alignment horizontal="center" vertical="center"/>
    </xf>
    <xf numFmtId="177" fontId="17" fillId="10" borderId="21" xfId="1" applyNumberFormat="1" applyFont="1" applyFill="1" applyBorder="1" applyAlignment="1">
      <alignment horizontal="center" vertical="center"/>
    </xf>
    <xf numFmtId="14" fontId="17" fillId="10" borderId="21" xfId="1" applyNumberFormat="1" applyFont="1" applyFill="1" applyBorder="1" applyAlignment="1">
      <alignment horizontal="center" vertical="center"/>
    </xf>
    <xf numFmtId="14" fontId="16" fillId="10" borderId="21" xfId="1" applyNumberFormat="1" applyFont="1" applyFill="1" applyBorder="1" applyAlignment="1">
      <alignment horizontal="center" vertical="center"/>
    </xf>
    <xf numFmtId="181" fontId="0" fillId="6" borderId="2" xfId="0" applyNumberFormat="1" applyFill="1" applyBorder="1" applyAlignment="1" applyProtection="1">
      <alignment horizontal="center" vertical="center"/>
      <protection locked="0"/>
    </xf>
    <xf numFmtId="0" fontId="33" fillId="20" borderId="23" xfId="0" applyFont="1" applyFill="1" applyBorder="1" applyAlignment="1">
      <alignment horizontal="center" vertical="center"/>
    </xf>
    <xf numFmtId="41" fontId="33" fillId="0" borderId="21" xfId="0" applyNumberFormat="1" applyFont="1" applyBorder="1" applyAlignment="1">
      <alignment horizontal="center" vertical="center"/>
    </xf>
    <xf numFmtId="41" fontId="20" fillId="0" borderId="0" xfId="1" applyFont="1">
      <alignment vertical="center"/>
    </xf>
    <xf numFmtId="0" fontId="11" fillId="0" borderId="0" xfId="0" applyFont="1" applyAlignment="1">
      <alignment horizontal="center" vertical="center"/>
    </xf>
    <xf numFmtId="178" fontId="4" fillId="0" borderId="0" xfId="1" applyNumberFormat="1" applyFont="1" applyFill="1">
      <alignment vertical="center"/>
    </xf>
    <xf numFmtId="0" fontId="10" fillId="0" borderId="0" xfId="0" applyFont="1" applyAlignment="1">
      <alignment horizontal="center" vertical="center"/>
    </xf>
    <xf numFmtId="0" fontId="0" fillId="22" borderId="0" xfId="0" applyFill="1" applyAlignment="1">
      <alignment horizontal="center" vertical="center"/>
    </xf>
    <xf numFmtId="0" fontId="20" fillId="4" borderId="0" xfId="0" applyFont="1" applyFill="1">
      <alignment vertical="center"/>
    </xf>
    <xf numFmtId="0" fontId="4" fillId="0" borderId="21" xfId="0" applyFont="1" applyBorder="1">
      <alignment vertical="center"/>
    </xf>
    <xf numFmtId="181" fontId="4" fillId="0" borderId="0" xfId="0" applyNumberFormat="1" applyFont="1">
      <alignment vertical="center"/>
    </xf>
    <xf numFmtId="178" fontId="4" fillId="0" borderId="0" xfId="1" applyNumberFormat="1" applyFont="1" applyAlignment="1">
      <alignment horizontal="center" vertical="center"/>
    </xf>
    <xf numFmtId="14" fontId="0" fillId="0" borderId="0" xfId="0" applyNumberFormat="1" applyAlignment="1">
      <alignment vertical="center" shrinkToFit="1"/>
    </xf>
    <xf numFmtId="179" fontId="0" fillId="0" borderId="0" xfId="1" applyNumberFormat="1" applyFont="1" applyFill="1" applyAlignment="1">
      <alignment horizontal="right" vertical="center"/>
    </xf>
    <xf numFmtId="0" fontId="34" fillId="0" borderId="0" xfId="0" applyFont="1">
      <alignment vertical="center"/>
    </xf>
    <xf numFmtId="179" fontId="0" fillId="0" borderId="0" xfId="1" applyNumberFormat="1" applyFont="1" applyFill="1">
      <alignment vertical="center"/>
    </xf>
    <xf numFmtId="179" fontId="0" fillId="0" borderId="0" xfId="1" applyNumberFormat="1" applyFont="1" applyAlignment="1">
      <alignment horizontal="right" vertical="center"/>
    </xf>
    <xf numFmtId="179" fontId="0" fillId="0" borderId="0" xfId="1" applyNumberFormat="1" applyFont="1">
      <alignment vertical="center"/>
    </xf>
    <xf numFmtId="182" fontId="0" fillId="0" borderId="2" xfId="0" applyNumberFormat="1" applyBorder="1" applyAlignment="1" applyProtection="1">
      <alignment horizontal="center" vertical="center"/>
      <protection locked="0"/>
    </xf>
    <xf numFmtId="0" fontId="33" fillId="0" borderId="21" xfId="4" applyFont="1" applyBorder="1" applyAlignment="1">
      <alignment horizontal="center" vertical="center" wrapText="1"/>
    </xf>
    <xf numFmtId="0" fontId="33" fillId="0" borderId="20" xfId="4" applyFont="1" applyBorder="1" applyAlignment="1">
      <alignment horizontal="center" vertical="center" wrapText="1"/>
    </xf>
    <xf numFmtId="181" fontId="33" fillId="0" borderId="21" xfId="4" applyNumberFormat="1" applyFont="1" applyBorder="1" applyAlignment="1">
      <alignment horizontal="center" vertical="center" wrapText="1"/>
    </xf>
    <xf numFmtId="0" fontId="33" fillId="0" borderId="10" xfId="4" applyFont="1" applyBorder="1" applyAlignment="1">
      <alignment horizontal="center" vertical="center" wrapText="1"/>
    </xf>
    <xf numFmtId="41" fontId="33" fillId="0" borderId="21" xfId="5" applyFont="1" applyBorder="1" applyAlignment="1">
      <alignment horizontal="center" vertical="center"/>
    </xf>
    <xf numFmtId="41" fontId="33" fillId="0" borderId="21" xfId="4" applyNumberFormat="1" applyFont="1" applyBorder="1" applyAlignment="1">
      <alignment horizontal="center" vertical="center"/>
    </xf>
    <xf numFmtId="41" fontId="20" fillId="0" borderId="21" xfId="5" applyFont="1" applyBorder="1">
      <alignment vertical="center"/>
    </xf>
    <xf numFmtId="41" fontId="33" fillId="0" borderId="20" xfId="5" applyFont="1" applyBorder="1" applyAlignment="1">
      <alignment horizontal="center" vertical="center"/>
    </xf>
    <xf numFmtId="182" fontId="33" fillId="0" borderId="21" xfId="4" applyNumberFormat="1" applyFont="1" applyBorder="1" applyAlignment="1">
      <alignment horizontal="center" vertical="center"/>
    </xf>
    <xf numFmtId="0" fontId="37" fillId="0" borderId="0" xfId="0" applyFont="1" applyAlignment="1">
      <alignment horizontal="center" vertical="center"/>
    </xf>
    <xf numFmtId="0" fontId="33" fillId="0" borderId="0" xfId="4" applyFont="1" applyAlignment="1">
      <alignment horizontal="center" vertical="center"/>
    </xf>
    <xf numFmtId="41" fontId="20" fillId="4" borderId="21" xfId="1" applyFont="1" applyFill="1" applyBorder="1">
      <alignment vertical="center"/>
    </xf>
    <xf numFmtId="0" fontId="20" fillId="0" borderId="24" xfId="0" applyFont="1" applyBorder="1" applyAlignment="1">
      <alignment horizontal="center" vertical="center"/>
    </xf>
    <xf numFmtId="0" fontId="4" fillId="4" borderId="0" xfId="0" applyFont="1" applyFill="1">
      <alignment vertical="center"/>
    </xf>
    <xf numFmtId="41" fontId="4" fillId="0" borderId="0" xfId="1" applyFont="1" applyFill="1">
      <alignment vertical="center"/>
    </xf>
    <xf numFmtId="0" fontId="20" fillId="0" borderId="24" xfId="0" applyFont="1" applyBorder="1" applyAlignment="1">
      <alignment horizontal="left" vertical="center"/>
    </xf>
    <xf numFmtId="14" fontId="20" fillId="0" borderId="24" xfId="0" applyNumberFormat="1" applyFont="1" applyBorder="1" applyAlignment="1">
      <alignment horizontal="center" vertical="center"/>
    </xf>
    <xf numFmtId="178" fontId="20" fillId="0" borderId="24" xfId="1" applyNumberFormat="1" applyFont="1" applyFill="1" applyBorder="1" applyAlignment="1">
      <alignment horizontal="right" vertical="center"/>
    </xf>
    <xf numFmtId="14" fontId="20" fillId="0" borderId="24" xfId="1" applyNumberFormat="1" applyFont="1" applyFill="1" applyBorder="1" applyAlignment="1">
      <alignment horizontal="center" vertical="center"/>
    </xf>
    <xf numFmtId="0" fontId="20" fillId="0" borderId="24" xfId="0" applyFont="1" applyBorder="1">
      <alignment vertical="center"/>
    </xf>
    <xf numFmtId="178" fontId="38" fillId="0" borderId="0" xfId="1" applyNumberFormat="1" applyFont="1">
      <alignment vertical="center"/>
    </xf>
    <xf numFmtId="41" fontId="38" fillId="0" borderId="0" xfId="1" applyFont="1">
      <alignment vertical="center"/>
    </xf>
    <xf numFmtId="178" fontId="39" fillId="0" borderId="0" xfId="1" applyNumberFormat="1" applyFont="1">
      <alignment vertical="center"/>
    </xf>
    <xf numFmtId="41" fontId="39" fillId="0" borderId="0" xfId="1" applyFont="1">
      <alignment vertical="center"/>
    </xf>
    <xf numFmtId="0" fontId="39" fillId="0" borderId="0" xfId="0" applyFont="1">
      <alignment vertical="center"/>
    </xf>
    <xf numFmtId="0" fontId="40" fillId="0" borderId="0" xfId="0" applyFont="1">
      <alignment vertical="center"/>
    </xf>
    <xf numFmtId="0" fontId="20" fillId="0" borderId="24" xfId="0" applyFont="1" applyBorder="1" applyAlignment="1">
      <alignment horizontal="left" vertical="center" wrapText="1"/>
    </xf>
    <xf numFmtId="178" fontId="21" fillId="0" borderId="24" xfId="1" applyNumberFormat="1" applyFont="1" applyFill="1" applyBorder="1" applyAlignment="1">
      <alignment horizontal="right" vertical="center"/>
    </xf>
    <xf numFmtId="0" fontId="14" fillId="0" borderId="0" xfId="0" applyFont="1" applyAlignment="1" applyProtection="1">
      <alignment horizontal="left" vertical="center"/>
      <protection locked="0"/>
    </xf>
    <xf numFmtId="0" fontId="15" fillId="0" borderId="0" xfId="0" applyFont="1" applyAlignment="1" applyProtection="1">
      <alignment horizontal="left" vertical="center"/>
      <protection locked="0"/>
    </xf>
    <xf numFmtId="0" fontId="11" fillId="0" borderId="0" xfId="0" applyFont="1" applyAlignment="1" applyProtection="1">
      <alignment horizontal="left" vertical="center"/>
      <protection locked="0"/>
    </xf>
    <xf numFmtId="14" fontId="0" fillId="0" borderId="2" xfId="0" applyNumberFormat="1" applyBorder="1" applyAlignment="1" applyProtection="1">
      <alignment horizontal="left" vertical="top"/>
      <protection locked="0"/>
    </xf>
    <xf numFmtId="14" fontId="0" fillId="0" borderId="2" xfId="0" applyNumberFormat="1"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0" xfId="0" applyAlignment="1" applyProtection="1">
      <alignment horizontal="left" vertical="center"/>
      <protection locked="0"/>
    </xf>
    <xf numFmtId="177" fontId="20" fillId="0" borderId="24" xfId="0" applyNumberFormat="1" applyFont="1" applyBorder="1" applyAlignment="1">
      <alignment horizontal="center" vertical="center" shrinkToFit="1"/>
    </xf>
    <xf numFmtId="14" fontId="20" fillId="0" borderId="24" xfId="0" applyNumberFormat="1" applyFont="1" applyBorder="1" applyAlignment="1">
      <alignment horizontal="left" vertical="center" shrinkToFit="1"/>
    </xf>
    <xf numFmtId="180" fontId="4" fillId="0" borderId="0" xfId="1" applyNumberFormat="1" applyFont="1" applyFill="1" applyAlignment="1">
      <alignment horizontal="center" vertical="center"/>
    </xf>
    <xf numFmtId="0" fontId="41" fillId="0" borderId="0" xfId="0" applyFont="1">
      <alignment vertical="center"/>
    </xf>
    <xf numFmtId="178" fontId="4" fillId="3" borderId="0" xfId="1" applyNumberFormat="1" applyFont="1" applyFill="1">
      <alignment vertical="center"/>
    </xf>
    <xf numFmtId="41" fontId="4" fillId="3" borderId="0" xfId="1" applyFont="1" applyFill="1">
      <alignment vertical="center"/>
    </xf>
    <xf numFmtId="177" fontId="20" fillId="0" borderId="24" xfId="0" applyNumberFormat="1" applyFont="1" applyBorder="1" applyAlignment="1">
      <alignment horizontal="center" vertical="center"/>
    </xf>
    <xf numFmtId="14" fontId="20" fillId="0" borderId="24" xfId="0" applyNumberFormat="1" applyFont="1" applyBorder="1" applyAlignment="1">
      <alignment horizontal="left" vertical="center"/>
    </xf>
    <xf numFmtId="178" fontId="20" fillId="4" borderId="24" xfId="1" applyNumberFormat="1" applyFont="1" applyFill="1" applyBorder="1" applyAlignment="1">
      <alignment horizontal="right" vertical="center"/>
    </xf>
    <xf numFmtId="0" fontId="35" fillId="0" borderId="24" xfId="0" applyFont="1" applyBorder="1" applyAlignment="1">
      <alignment horizontal="center" vertical="center"/>
    </xf>
    <xf numFmtId="178" fontId="20" fillId="0" borderId="24" xfId="1" applyNumberFormat="1" applyFont="1" applyBorder="1" applyAlignment="1">
      <alignment horizontal="right" vertical="center"/>
    </xf>
    <xf numFmtId="14" fontId="20" fillId="0" borderId="24" xfId="1" applyNumberFormat="1" applyFont="1" applyBorder="1" applyAlignment="1">
      <alignment horizontal="center" vertical="center"/>
    </xf>
    <xf numFmtId="177" fontId="20" fillId="0" borderId="20" xfId="0" applyNumberFormat="1" applyFont="1" applyBorder="1" applyAlignment="1">
      <alignment horizontal="center" vertical="center"/>
    </xf>
    <xf numFmtId="41" fontId="4" fillId="21" borderId="0" xfId="1" applyFont="1" applyFill="1">
      <alignment vertical="center"/>
    </xf>
    <xf numFmtId="0" fontId="4" fillId="21" borderId="0" xfId="0" applyFont="1" applyFill="1">
      <alignment vertical="center"/>
    </xf>
    <xf numFmtId="178" fontId="4" fillId="21" borderId="0" xfId="1" applyNumberFormat="1" applyFont="1" applyFill="1">
      <alignment vertical="center"/>
    </xf>
    <xf numFmtId="0" fontId="4" fillId="3" borderId="0" xfId="0" applyFont="1" applyFill="1">
      <alignment vertical="center"/>
    </xf>
    <xf numFmtId="178" fontId="4" fillId="23" borderId="0" xfId="1" applyNumberFormat="1" applyFont="1" applyFill="1">
      <alignment vertical="center"/>
    </xf>
    <xf numFmtId="41" fontId="4" fillId="23" borderId="0" xfId="1" applyFont="1" applyFill="1">
      <alignment vertical="center"/>
    </xf>
    <xf numFmtId="0" fontId="4" fillId="23" borderId="0" xfId="0" applyFont="1" applyFill="1">
      <alignment vertical="center"/>
    </xf>
    <xf numFmtId="181" fontId="4" fillId="23" borderId="0" xfId="0" applyNumberFormat="1" applyFont="1" applyFill="1">
      <alignment vertical="center"/>
    </xf>
    <xf numFmtId="177" fontId="20" fillId="0" borderId="10" xfId="0" applyNumberFormat="1" applyFont="1" applyBorder="1" applyAlignment="1">
      <alignment horizontal="center" vertical="center"/>
    </xf>
    <xf numFmtId="41" fontId="20" fillId="0" borderId="0" xfId="1" applyFont="1" applyFill="1">
      <alignment vertical="center"/>
    </xf>
    <xf numFmtId="178" fontId="4" fillId="22" borderId="0" xfId="1" applyNumberFormat="1" applyFont="1" applyFill="1">
      <alignment vertical="center"/>
    </xf>
    <xf numFmtId="177" fontId="4" fillId="22" borderId="0" xfId="0" applyNumberFormat="1" applyFont="1" applyFill="1" applyAlignment="1">
      <alignment horizontal="center" vertical="center"/>
    </xf>
    <xf numFmtId="0" fontId="4" fillId="22" borderId="0" xfId="0" applyFont="1" applyFill="1">
      <alignment vertical="center"/>
    </xf>
    <xf numFmtId="41" fontId="4" fillId="24" borderId="0" xfId="1" applyFont="1" applyFill="1">
      <alignment vertical="center"/>
    </xf>
    <xf numFmtId="178" fontId="4" fillId="25" borderId="0" xfId="1" applyNumberFormat="1" applyFont="1" applyFill="1">
      <alignment vertical="center"/>
    </xf>
    <xf numFmtId="0" fontId="4" fillId="25" borderId="0" xfId="0" applyFont="1" applyFill="1">
      <alignment vertical="center"/>
    </xf>
    <xf numFmtId="41" fontId="4" fillId="25" borderId="0" xfId="1" applyFont="1" applyFill="1">
      <alignment vertical="center"/>
    </xf>
    <xf numFmtId="14" fontId="4" fillId="22" borderId="0" xfId="0" applyNumberFormat="1" applyFont="1" applyFill="1" applyAlignment="1">
      <alignment horizontal="center" vertical="center"/>
    </xf>
    <xf numFmtId="41" fontId="4" fillId="22" borderId="0" xfId="1" applyFont="1" applyFill="1">
      <alignment vertical="center"/>
    </xf>
    <xf numFmtId="0" fontId="24" fillId="0" borderId="0" xfId="0" applyFont="1" applyAlignment="1">
      <alignment horizontal="left" vertical="center"/>
    </xf>
    <xf numFmtId="0" fontId="32" fillId="13" borderId="0" xfId="0" applyFont="1" applyFill="1" applyAlignment="1">
      <alignment horizontal="center" vertical="center"/>
    </xf>
    <xf numFmtId="0" fontId="22" fillId="13" borderId="0" xfId="0" applyFont="1" applyFill="1" applyAlignment="1" applyProtection="1">
      <alignment horizontal="left" vertical="center"/>
      <protection locked="0"/>
    </xf>
    <xf numFmtId="176" fontId="8" fillId="0" borderId="0" xfId="0" applyNumberFormat="1" applyFont="1" applyAlignment="1">
      <alignment horizontal="center" vertical="center"/>
    </xf>
    <xf numFmtId="0" fontId="23" fillId="13" borderId="0" xfId="0" applyFont="1" applyFill="1" applyAlignment="1">
      <alignment horizontal="center" vertical="center"/>
    </xf>
    <xf numFmtId="0" fontId="13" fillId="0" borderId="22" xfId="0" applyFont="1" applyBorder="1" applyAlignment="1">
      <alignment horizontal="center" vertical="center" shrinkToFit="1"/>
    </xf>
    <xf numFmtId="41" fontId="0" fillId="7" borderId="2" xfId="1" applyFont="1" applyFill="1" applyBorder="1" applyAlignment="1">
      <alignment horizontal="center" vertical="center"/>
    </xf>
    <xf numFmtId="41" fontId="0" fillId="2" borderId="2" xfId="1" applyFont="1" applyFill="1" applyBorder="1" applyAlignment="1">
      <alignment horizontal="center" vertical="center"/>
    </xf>
    <xf numFmtId="41" fontId="0" fillId="0" borderId="2" xfId="1" applyFont="1" applyBorder="1" applyAlignment="1">
      <alignment horizontal="center" vertical="center"/>
    </xf>
    <xf numFmtId="41" fontId="0" fillId="6" borderId="2" xfId="1" applyFont="1" applyFill="1" applyBorder="1" applyAlignment="1">
      <alignment horizontal="center" vertical="center"/>
    </xf>
    <xf numFmtId="41" fontId="0" fillId="3" borderId="2" xfId="1" applyFont="1" applyFill="1" applyBorder="1" applyAlignment="1">
      <alignment horizontal="center" vertical="center"/>
    </xf>
    <xf numFmtId="14" fontId="22" fillId="13" borderId="0" xfId="0" applyNumberFormat="1" applyFont="1" applyFill="1" applyAlignment="1">
      <alignment horizontal="center" vertical="center"/>
    </xf>
    <xf numFmtId="0" fontId="22" fillId="13" borderId="0" xfId="0" applyFont="1" applyFill="1" applyAlignment="1">
      <alignment horizontal="center" vertical="center"/>
    </xf>
    <xf numFmtId="14" fontId="3" fillId="0" borderId="11" xfId="0" applyNumberFormat="1"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14" fontId="0" fillId="0" borderId="4" xfId="0" applyNumberFormat="1" applyBorder="1" applyAlignment="1">
      <alignment horizontal="center" vertical="center"/>
    </xf>
    <xf numFmtId="0" fontId="0" fillId="0" borderId="5" xfId="0" applyBorder="1" applyAlignment="1">
      <alignment horizontal="center" vertical="center"/>
    </xf>
    <xf numFmtId="19" fontId="20" fillId="0" borderId="0" xfId="1" applyNumberFormat="1" applyFont="1" applyFill="1" applyBorder="1" applyAlignment="1">
      <alignment horizontal="center" vertical="center"/>
    </xf>
  </cellXfs>
  <cellStyles count="6">
    <cellStyle name="백분율" xfId="3" builtinId="5"/>
    <cellStyle name="쉼표 [0]" xfId="1" builtinId="6"/>
    <cellStyle name="쉼표 [0] 2" xfId="2" xr:uid="{00000000-0005-0000-0000-000002000000}"/>
    <cellStyle name="쉼표 [0] 21" xfId="5" xr:uid="{8B624500-FA09-49D3-85E2-99BD8E099638}"/>
    <cellStyle name="표준" xfId="0" builtinId="0"/>
    <cellStyle name="표준 2 2" xfId="4" xr:uid="{B5F70094-B075-453D-8FA2-305DB341F115}"/>
  </cellStyles>
  <dxfs count="59">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fill>
        <patternFill>
          <bgColor theme="8" tint="0.39994506668294322"/>
        </patternFill>
      </fill>
    </dxf>
    <dxf>
      <fill>
        <patternFill>
          <bgColor theme="7" tint="0.39994506668294322"/>
        </patternFill>
      </fill>
    </dxf>
    <dxf>
      <fill>
        <patternFill>
          <bgColor theme="7" tint="0.39994506668294322"/>
        </patternFill>
      </fill>
    </dxf>
    <dxf>
      <fill>
        <patternFill>
          <bgColor theme="8" tint="0.3999450666829432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39994506668294322"/>
        </patternFill>
      </fill>
    </dxf>
    <dxf>
      <fill>
        <patternFill>
          <bgColor theme="8" tint="0.39994506668294322"/>
        </patternFill>
      </fill>
    </dxf>
    <dxf>
      <fill>
        <patternFill>
          <bgColor theme="7" tint="0.39994506668294322"/>
        </patternFill>
      </fill>
    </dxf>
    <dxf>
      <fill>
        <patternFill>
          <bgColor theme="8" tint="0.39994506668294322"/>
        </patternFill>
      </fill>
    </dxf>
    <dxf>
      <fill>
        <patternFill>
          <bgColor theme="8" tint="0.39994506668294322"/>
        </patternFill>
      </fill>
    </dxf>
    <dxf>
      <fill>
        <patternFill>
          <bgColor theme="7" tint="0.39994506668294322"/>
        </patternFill>
      </fill>
    </dxf>
    <dxf>
      <fill>
        <patternFill>
          <bgColor theme="8" tint="0.39994506668294322"/>
        </patternFill>
      </fill>
    </dxf>
    <dxf>
      <fill>
        <patternFill>
          <bgColor theme="7" tint="0.3999450666829432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7" tint="0.79998168889431442"/>
        </patternFill>
      </fill>
    </dxf>
  </dxfs>
  <tableStyles count="0" defaultTableStyle="TableStyleMedium2" defaultPivotStyle="PivotStyleLight16"/>
  <colors>
    <mruColors>
      <color rgb="FFFFFF66"/>
      <color rgb="FF92D050"/>
      <color rgb="FF00B0F0"/>
      <color rgb="FFFFFFFF"/>
      <color rgb="FFFFD3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2</xdr:col>
      <xdr:colOff>85725</xdr:colOff>
      <xdr:row>2</xdr:row>
      <xdr:rowOff>123825</xdr:rowOff>
    </xdr:from>
    <xdr:to>
      <xdr:col>2</xdr:col>
      <xdr:colOff>1163955</xdr:colOff>
      <xdr:row>4</xdr:row>
      <xdr:rowOff>28575</xdr:rowOff>
    </xdr:to>
    <xdr:sp macro="[0]!DB등록" textlink="">
      <xdr:nvSpPr>
        <xdr:cNvPr id="2" name="빗면 1">
          <a:extLst>
            <a:ext uri="{FF2B5EF4-FFF2-40B4-BE49-F238E27FC236}">
              <a16:creationId xmlns:a16="http://schemas.microsoft.com/office/drawing/2014/main" id="{00000000-0008-0000-0000-000002000000}"/>
            </a:ext>
          </a:extLst>
        </xdr:cNvPr>
        <xdr:cNvSpPr/>
      </xdr:nvSpPr>
      <xdr:spPr>
        <a:xfrm>
          <a:off x="1933575" y="533400"/>
          <a:ext cx="1076325" cy="333375"/>
        </a:xfrm>
        <a:prstGeom prst="bevel">
          <a:avLst/>
        </a:prstGeom>
        <a:solidFill>
          <a:schemeClr val="accent6">
            <a:lumMod val="50000"/>
          </a:schemeClr>
        </a:solidFill>
        <a:ln>
          <a:solidFill>
            <a:schemeClr val="bg1"/>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US" altLang="ko-KR" sz="1400"/>
            <a:t>DB</a:t>
          </a:r>
          <a:r>
            <a:rPr lang="en-US" altLang="ko-KR" sz="1100"/>
            <a:t> </a:t>
          </a:r>
          <a:r>
            <a:rPr lang="ko-KR" altLang="en-US" sz="1100"/>
            <a:t>등록</a:t>
          </a:r>
        </a:p>
      </xdr:txBody>
    </xdr:sp>
    <xdr:clientData/>
  </xdr:twoCellAnchor>
  <xdr:twoCellAnchor editAs="oneCell">
    <xdr:from>
      <xdr:col>12</xdr:col>
      <xdr:colOff>1181100</xdr:colOff>
      <xdr:row>2</xdr:row>
      <xdr:rowOff>142875</xdr:rowOff>
    </xdr:from>
    <xdr:to>
      <xdr:col>14</xdr:col>
      <xdr:colOff>19050</xdr:colOff>
      <xdr:row>4</xdr:row>
      <xdr:rowOff>47625</xdr:rowOff>
    </xdr:to>
    <xdr:sp macro="[0]!입력폼_RESET" textlink="">
      <xdr:nvSpPr>
        <xdr:cNvPr id="3" name="빗면 2">
          <a:extLst>
            <a:ext uri="{FF2B5EF4-FFF2-40B4-BE49-F238E27FC236}">
              <a16:creationId xmlns:a16="http://schemas.microsoft.com/office/drawing/2014/main" id="{00000000-0008-0000-0000-000003000000}"/>
            </a:ext>
          </a:extLst>
        </xdr:cNvPr>
        <xdr:cNvSpPr/>
      </xdr:nvSpPr>
      <xdr:spPr>
        <a:xfrm>
          <a:off x="13439775" y="809625"/>
          <a:ext cx="1076325" cy="333375"/>
        </a:xfrm>
        <a:prstGeom prst="bevel">
          <a:avLst/>
        </a:prstGeom>
        <a:solidFill>
          <a:schemeClr val="accent1">
            <a:lumMod val="50000"/>
          </a:schemeClr>
        </a:solidFill>
        <a:ln>
          <a:solidFill>
            <a:schemeClr val="bg1"/>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ko-KR" altLang="en-US" sz="1100"/>
            <a:t>리셋</a:t>
          </a:r>
          <a:r>
            <a:rPr lang="en-US" altLang="ko-KR" sz="1200"/>
            <a:t>(RESET)</a:t>
          </a:r>
          <a:endParaRPr lang="ko-KR"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257175</xdr:colOff>
      <xdr:row>9</xdr:row>
      <xdr:rowOff>238125</xdr:rowOff>
    </xdr:from>
    <xdr:to>
      <xdr:col>7</xdr:col>
      <xdr:colOff>1381125</xdr:colOff>
      <xdr:row>10</xdr:row>
      <xdr:rowOff>171450</xdr:rowOff>
    </xdr:to>
    <xdr:sp macro="[0]!매출매입_거래조회" textlink="">
      <xdr:nvSpPr>
        <xdr:cNvPr id="2" name="빗면 1">
          <a:extLst>
            <a:ext uri="{FF2B5EF4-FFF2-40B4-BE49-F238E27FC236}">
              <a16:creationId xmlns:a16="http://schemas.microsoft.com/office/drawing/2014/main" id="{00000000-0008-0000-0100-000002000000}"/>
            </a:ext>
          </a:extLst>
        </xdr:cNvPr>
        <xdr:cNvSpPr/>
      </xdr:nvSpPr>
      <xdr:spPr>
        <a:xfrm>
          <a:off x="9801225" y="2286000"/>
          <a:ext cx="1123950" cy="333375"/>
        </a:xfrm>
        <a:prstGeom prst="bevel">
          <a:avLst/>
        </a:prstGeom>
        <a:solidFill>
          <a:schemeClr val="accent6">
            <a:lumMod val="50000"/>
          </a:schemeClr>
        </a:solidFill>
        <a:ln>
          <a:solidFill>
            <a:schemeClr val="bg1"/>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ko-KR" altLang="en-US" sz="1200"/>
            <a:t>조회</a:t>
          </a:r>
          <a:endParaRPr lang="ko-KR" altLang="en-US" sz="105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257175</xdr:colOff>
      <xdr:row>1</xdr:row>
      <xdr:rowOff>190500</xdr:rowOff>
    </xdr:from>
    <xdr:to>
      <xdr:col>2</xdr:col>
      <xdr:colOff>1333500</xdr:colOff>
      <xdr:row>3</xdr:row>
      <xdr:rowOff>85725</xdr:rowOff>
    </xdr:to>
    <xdr:sp macro="[0]!전체조회" textlink="">
      <xdr:nvSpPr>
        <xdr:cNvPr id="2" name="빗면 1">
          <a:extLst>
            <a:ext uri="{FF2B5EF4-FFF2-40B4-BE49-F238E27FC236}">
              <a16:creationId xmlns:a16="http://schemas.microsoft.com/office/drawing/2014/main" id="{00000000-0008-0000-0200-000002000000}"/>
            </a:ext>
          </a:extLst>
        </xdr:cNvPr>
        <xdr:cNvSpPr/>
      </xdr:nvSpPr>
      <xdr:spPr>
        <a:xfrm>
          <a:off x="2600325" y="533400"/>
          <a:ext cx="1076325" cy="333375"/>
        </a:xfrm>
        <a:prstGeom prst="bevel">
          <a:avLst/>
        </a:prstGeom>
        <a:solidFill>
          <a:schemeClr val="accent6">
            <a:lumMod val="50000"/>
          </a:schemeClr>
        </a:solidFill>
        <a:ln>
          <a:solidFill>
            <a:schemeClr val="bg1"/>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ko-KR" altLang="en-US" sz="1200"/>
            <a:t>조회</a:t>
          </a:r>
          <a:endParaRPr lang="ko-KR" altLang="en-US" sz="105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350520</xdr:colOff>
          <xdr:row>4</xdr:row>
          <xdr:rowOff>15240</xdr:rowOff>
        </xdr:from>
        <xdr:to>
          <xdr:col>11</xdr:col>
          <xdr:colOff>15240</xdr:colOff>
          <xdr:row>7</xdr:row>
          <xdr:rowOff>15240</xdr:rowOff>
        </xdr:to>
        <xdr:pic>
          <xdr:nvPicPr>
            <xdr:cNvPr id="4" name="그림 3">
              <a:extLst>
                <a:ext uri="{FF2B5EF4-FFF2-40B4-BE49-F238E27FC236}">
                  <a16:creationId xmlns:a16="http://schemas.microsoft.com/office/drawing/2014/main" id="{00000000-0008-0000-0300-000004000000}"/>
                </a:ext>
              </a:extLst>
            </xdr:cNvPr>
            <xdr:cNvPicPr>
              <a:picLocks noChangeAspect="1" noChangeArrowheads="1"/>
              <a:extLst>
                <a:ext uri="{84589F7E-364E-4C9E-8A38-B11213B215E9}">
                  <a14:cameraTool cellRange="$M$5:$Q$7" spid="_x0000_s117856"/>
                </a:ext>
              </a:extLst>
            </xdr:cNvPicPr>
          </xdr:nvPicPr>
          <xdr:blipFill>
            <a:blip xmlns:r="http://schemas.openxmlformats.org/officeDocument/2006/relationships" r:embed="rId1"/>
            <a:srcRect/>
            <a:stretch>
              <a:fillRect/>
            </a:stretch>
          </xdr:blipFill>
          <xdr:spPr bwMode="auto">
            <a:xfrm>
              <a:off x="6865620" y="1074420"/>
              <a:ext cx="4610100" cy="6705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4</xdr:col>
      <xdr:colOff>466725</xdr:colOff>
      <xdr:row>5</xdr:row>
      <xdr:rowOff>133350</xdr:rowOff>
    </xdr:from>
    <xdr:to>
      <xdr:col>6</xdr:col>
      <xdr:colOff>19050</xdr:colOff>
      <xdr:row>7</xdr:row>
      <xdr:rowOff>38100</xdr:rowOff>
    </xdr:to>
    <xdr:sp macro="[0]!현방별원가계산_조회" textlink="">
      <xdr:nvSpPr>
        <xdr:cNvPr id="5" name="빗면 4">
          <a:extLst>
            <a:ext uri="{FF2B5EF4-FFF2-40B4-BE49-F238E27FC236}">
              <a16:creationId xmlns:a16="http://schemas.microsoft.com/office/drawing/2014/main" id="{00000000-0008-0000-0300-000005000000}"/>
            </a:ext>
          </a:extLst>
        </xdr:cNvPr>
        <xdr:cNvSpPr/>
      </xdr:nvSpPr>
      <xdr:spPr>
        <a:xfrm>
          <a:off x="4391025" y="1371600"/>
          <a:ext cx="1076325" cy="333375"/>
        </a:xfrm>
        <a:prstGeom prst="bevel">
          <a:avLst/>
        </a:prstGeom>
        <a:solidFill>
          <a:schemeClr val="accent6">
            <a:lumMod val="50000"/>
          </a:schemeClr>
        </a:solidFill>
        <a:ln>
          <a:solidFill>
            <a:schemeClr val="bg1"/>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ko-KR" altLang="en-US" sz="1200"/>
            <a:t>조회</a:t>
          </a:r>
          <a:endParaRPr lang="ko-KR" altLang="en-US" sz="105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257175</xdr:colOff>
      <xdr:row>1</xdr:row>
      <xdr:rowOff>190500</xdr:rowOff>
    </xdr:from>
    <xdr:to>
      <xdr:col>2</xdr:col>
      <xdr:colOff>1333500</xdr:colOff>
      <xdr:row>3</xdr:row>
      <xdr:rowOff>85725</xdr:rowOff>
    </xdr:to>
    <xdr:sp macro="[0]!전체조회" textlink="">
      <xdr:nvSpPr>
        <xdr:cNvPr id="2" name="빗면 1">
          <a:extLst>
            <a:ext uri="{FF2B5EF4-FFF2-40B4-BE49-F238E27FC236}">
              <a16:creationId xmlns:a16="http://schemas.microsoft.com/office/drawing/2014/main" id="{AC27F678-437B-4781-BB3F-C79625B401E7}"/>
            </a:ext>
          </a:extLst>
        </xdr:cNvPr>
        <xdr:cNvSpPr/>
      </xdr:nvSpPr>
      <xdr:spPr>
        <a:xfrm>
          <a:off x="2600325" y="533400"/>
          <a:ext cx="1076325" cy="333375"/>
        </a:xfrm>
        <a:prstGeom prst="bevel">
          <a:avLst/>
        </a:prstGeom>
        <a:solidFill>
          <a:schemeClr val="accent6">
            <a:lumMod val="50000"/>
          </a:schemeClr>
        </a:solidFill>
        <a:ln>
          <a:solidFill>
            <a:schemeClr val="bg1"/>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ko-KR" altLang="en-US" sz="1200"/>
            <a:t>조회</a:t>
          </a:r>
          <a:endParaRPr lang="ko-KR" altLang="en-US" sz="1050"/>
        </a:p>
      </xdr:txBody>
    </xdr:sp>
    <xdr:clientData/>
  </xdr:twoCellAnchor>
</xdr:wsDr>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W100"/>
  <sheetViews>
    <sheetView showGridLines="0" workbookViewId="0">
      <pane ySplit="6" topLeftCell="A7" activePane="bottomLeft" state="frozen"/>
      <selection pane="bottomLeft" activeCell="C17" sqref="C17"/>
    </sheetView>
  </sheetViews>
  <sheetFormatPr defaultColWidth="9" defaultRowHeight="16.5"/>
  <cols>
    <col min="1" max="1" width="11.875" style="67" customWidth="1"/>
    <col min="2" max="2" width="13.75" style="194" customWidth="1"/>
    <col min="3" max="3" width="25.625" style="67" customWidth="1"/>
    <col min="4" max="4" width="26.25" style="214" bestFit="1" customWidth="1"/>
    <col min="5" max="5" width="32.375" style="278" customWidth="1"/>
    <col min="6" max="6" width="10.75" style="67" customWidth="1"/>
    <col min="7" max="10" width="12.125" style="64" customWidth="1"/>
    <col min="11" max="11" width="8.5" style="63" customWidth="1"/>
    <col min="12" max="12" width="7.75" style="63" bestFit="1" customWidth="1"/>
    <col min="13" max="13" width="15.75" style="63" customWidth="1"/>
    <col min="14" max="14" width="13.625" style="55" customWidth="1"/>
    <col min="15" max="15" width="11" style="55" bestFit="1" customWidth="1"/>
    <col min="16" max="17" width="9" style="55"/>
    <col min="18" max="18" width="11" style="55" bestFit="1" customWidth="1"/>
    <col min="19" max="19" width="10.875" style="55" bestFit="1" customWidth="1"/>
    <col min="20" max="20" width="10.5" style="55" bestFit="1" customWidth="1"/>
    <col min="21" max="21" width="10.875" style="55" bestFit="1" customWidth="1"/>
    <col min="22" max="22" width="10.5" style="55" bestFit="1" customWidth="1"/>
    <col min="23" max="16384" width="9" style="55"/>
  </cols>
  <sheetData>
    <row r="1" spans="1:23" ht="34.5" customHeight="1">
      <c r="A1" s="313" t="s">
        <v>43</v>
      </c>
      <c r="B1" s="313"/>
      <c r="C1" s="313"/>
      <c r="D1" s="313"/>
      <c r="E1" s="313"/>
      <c r="F1" s="313"/>
      <c r="G1" s="313"/>
      <c r="H1" s="313"/>
      <c r="I1" s="313"/>
      <c r="J1" s="313"/>
      <c r="K1" s="313"/>
      <c r="L1" s="313"/>
      <c r="M1" s="313"/>
      <c r="N1" s="313"/>
    </row>
    <row r="2" spans="1:23" ht="18" customHeight="1">
      <c r="A2" s="56"/>
      <c r="B2" s="192"/>
      <c r="C2" s="65"/>
      <c r="D2" s="211"/>
      <c r="E2" s="272"/>
      <c r="F2" s="57"/>
      <c r="G2" s="148"/>
      <c r="H2" s="148"/>
      <c r="I2" s="148"/>
      <c r="J2" s="148"/>
      <c r="K2" s="57"/>
      <c r="L2" s="57"/>
      <c r="M2" s="57"/>
      <c r="N2" s="57"/>
      <c r="O2" s="17"/>
      <c r="P2" s="59"/>
      <c r="Q2" s="60"/>
      <c r="R2" s="61"/>
      <c r="S2" s="61"/>
      <c r="T2" s="61"/>
      <c r="U2" s="61"/>
      <c r="V2" s="61"/>
      <c r="W2" s="61"/>
    </row>
    <row r="3" spans="1:23" ht="16.5" customHeight="1">
      <c r="A3" s="80" t="s">
        <v>37</v>
      </c>
      <c r="B3" s="151" t="s">
        <v>84</v>
      </c>
      <c r="C3" s="65"/>
      <c r="D3" s="212"/>
      <c r="E3" s="273"/>
      <c r="F3" s="62"/>
      <c r="G3" s="150"/>
      <c r="O3" s="58"/>
      <c r="P3" s="60"/>
      <c r="Q3" s="59"/>
      <c r="R3" s="60"/>
      <c r="S3" s="61"/>
      <c r="T3" s="61"/>
      <c r="U3" s="61"/>
      <c r="V3" s="64"/>
    </row>
    <row r="4" spans="1:23" ht="17.25" customHeight="1">
      <c r="A4" s="80" t="s">
        <v>31</v>
      </c>
      <c r="B4" s="152">
        <v>2025</v>
      </c>
      <c r="C4" s="65"/>
      <c r="D4" s="212"/>
      <c r="E4" s="274"/>
      <c r="F4" s="62"/>
      <c r="G4" s="150"/>
      <c r="H4" s="149"/>
      <c r="S4" s="64"/>
      <c r="T4" s="64"/>
      <c r="U4" s="64"/>
      <c r="V4" s="64"/>
    </row>
    <row r="5" spans="1:23" ht="9" customHeight="1">
      <c r="A5" s="62"/>
      <c r="B5" s="193"/>
      <c r="C5" s="62"/>
      <c r="D5" s="212"/>
      <c r="E5" s="273"/>
      <c r="F5" s="62"/>
      <c r="G5" s="150"/>
      <c r="J5" s="149"/>
      <c r="K5" s="66"/>
    </row>
    <row r="6" spans="1:23" ht="17.25" customHeight="1">
      <c r="A6" s="74" t="s">
        <v>12</v>
      </c>
      <c r="B6" s="74" t="s">
        <v>0</v>
      </c>
      <c r="C6" s="74" t="s">
        <v>25</v>
      </c>
      <c r="D6" s="209" t="s">
        <v>26</v>
      </c>
      <c r="E6" s="75" t="s">
        <v>7</v>
      </c>
      <c r="F6" s="75" t="s">
        <v>27</v>
      </c>
      <c r="G6" s="76" t="s">
        <v>3</v>
      </c>
      <c r="H6" s="76" t="s">
        <v>15</v>
      </c>
      <c r="I6" s="76" t="s">
        <v>16</v>
      </c>
      <c r="J6" s="76" t="s">
        <v>14</v>
      </c>
      <c r="K6" s="77" t="s">
        <v>28</v>
      </c>
      <c r="L6" s="78" t="s">
        <v>29</v>
      </c>
      <c r="M6" s="79" t="s">
        <v>30</v>
      </c>
      <c r="N6" s="79" t="s">
        <v>38</v>
      </c>
      <c r="Q6" s="67"/>
      <c r="S6" s="64"/>
      <c r="T6" s="64"/>
      <c r="U6" s="64"/>
      <c r="V6" s="64"/>
    </row>
    <row r="7" spans="1:23">
      <c r="A7" s="225"/>
      <c r="B7" s="252"/>
      <c r="C7" s="244"/>
      <c r="D7" s="247"/>
      <c r="E7" s="247"/>
      <c r="F7" s="69"/>
      <c r="G7" s="249"/>
      <c r="H7" s="72" t="str">
        <f t="shared" ref="H7:H8" si="0">IF($G7="","",G7*0.1)</f>
        <v/>
      </c>
      <c r="I7" s="72" t="str">
        <f t="shared" ref="I7:I8" si="1">IF($G7="","",G7+H7)</f>
        <v/>
      </c>
      <c r="J7" s="70"/>
      <c r="K7" s="73" t="str">
        <f>IF($B7="","",$B$4)</f>
        <v/>
      </c>
      <c r="L7" s="71"/>
      <c r="M7" s="71"/>
      <c r="N7" s="81" t="str">
        <f>IF($B7="","",$B$3)</f>
        <v/>
      </c>
      <c r="Q7" s="67"/>
      <c r="S7" s="64"/>
      <c r="T7" s="64"/>
      <c r="U7" s="64"/>
      <c r="V7" s="64"/>
    </row>
    <row r="8" spans="1:23">
      <c r="A8" s="225"/>
      <c r="B8" s="252"/>
      <c r="C8" s="244"/>
      <c r="D8" s="247"/>
      <c r="E8" s="247"/>
      <c r="F8" s="69"/>
      <c r="G8" s="249"/>
      <c r="H8" s="72" t="str">
        <f t="shared" si="0"/>
        <v/>
      </c>
      <c r="I8" s="72" t="str">
        <f t="shared" si="1"/>
        <v/>
      </c>
      <c r="J8" s="70"/>
      <c r="K8" s="73" t="str">
        <f>IF($B8="","",$B$4)</f>
        <v/>
      </c>
      <c r="L8" s="71"/>
      <c r="M8" s="71"/>
      <c r="N8" s="81" t="str">
        <f>IF($B8="","",$B$3)</f>
        <v/>
      </c>
      <c r="V8" s="61"/>
      <c r="W8" s="60"/>
    </row>
    <row r="9" spans="1:23">
      <c r="A9" s="225"/>
      <c r="B9" s="252"/>
      <c r="C9" s="244"/>
      <c r="D9" s="247"/>
      <c r="E9" s="247"/>
      <c r="F9" s="69"/>
      <c r="G9" s="248"/>
      <c r="H9" s="72" t="str">
        <f t="shared" ref="H9:H17" si="2">IF($G9="","",G9*0.1)</f>
        <v/>
      </c>
      <c r="I9" s="72" t="str">
        <f t="shared" ref="I9:I17" si="3">IF($G9="","",G9+H9)</f>
        <v/>
      </c>
      <c r="J9" s="70"/>
      <c r="K9" s="73" t="str">
        <f t="shared" ref="K9:K71" si="4">IF($B9="","",$B$4)</f>
        <v/>
      </c>
      <c r="L9" s="71"/>
      <c r="M9" s="71"/>
      <c r="N9" s="81" t="str">
        <f t="shared" ref="N9:N71" si="5">IF($B9="","",$B$3)</f>
        <v/>
      </c>
      <c r="Q9" s="67"/>
      <c r="S9" s="64"/>
      <c r="T9" s="64"/>
      <c r="U9" s="64"/>
      <c r="V9" s="64"/>
    </row>
    <row r="10" spans="1:23">
      <c r="A10" s="225"/>
      <c r="B10" s="252"/>
      <c r="C10" s="244"/>
      <c r="D10" s="247"/>
      <c r="E10" s="247"/>
      <c r="F10" s="69"/>
      <c r="G10" s="248"/>
      <c r="H10" s="72" t="str">
        <f t="shared" si="2"/>
        <v/>
      </c>
      <c r="I10" s="72" t="str">
        <f t="shared" si="3"/>
        <v/>
      </c>
      <c r="J10" s="70"/>
      <c r="K10" s="73" t="str">
        <f t="shared" si="4"/>
        <v/>
      </c>
      <c r="L10" s="71"/>
      <c r="M10" s="71"/>
      <c r="N10" s="81" t="str">
        <f t="shared" si="5"/>
        <v/>
      </c>
      <c r="Q10" s="67"/>
      <c r="S10" s="64"/>
      <c r="T10" s="64"/>
      <c r="U10" s="64"/>
      <c r="V10" s="64"/>
    </row>
    <row r="11" spans="1:23">
      <c r="A11" s="225"/>
      <c r="B11" s="252"/>
      <c r="C11" s="244"/>
      <c r="D11" s="247"/>
      <c r="E11" s="247"/>
      <c r="F11" s="69"/>
      <c r="G11" s="248"/>
      <c r="H11" s="72" t="str">
        <f t="shared" si="2"/>
        <v/>
      </c>
      <c r="I11" s="72" t="str">
        <f t="shared" si="3"/>
        <v/>
      </c>
      <c r="J11" s="70"/>
      <c r="K11" s="73" t="str">
        <f t="shared" si="4"/>
        <v/>
      </c>
      <c r="L11" s="71"/>
      <c r="M11" s="71"/>
      <c r="N11" s="81" t="str">
        <f t="shared" si="5"/>
        <v/>
      </c>
      <c r="Q11" s="67"/>
      <c r="S11" s="64"/>
      <c r="T11" s="64"/>
      <c r="U11" s="64"/>
      <c r="V11" s="64"/>
    </row>
    <row r="12" spans="1:23">
      <c r="A12" s="225"/>
      <c r="B12" s="252"/>
      <c r="C12" s="244"/>
      <c r="D12" s="247"/>
      <c r="E12" s="247"/>
      <c r="F12" s="69"/>
      <c r="G12" s="249"/>
      <c r="H12" s="72" t="str">
        <f t="shared" si="2"/>
        <v/>
      </c>
      <c r="I12" s="72" t="str">
        <f t="shared" si="3"/>
        <v/>
      </c>
      <c r="J12" s="70"/>
      <c r="K12" s="73" t="str">
        <f t="shared" si="4"/>
        <v/>
      </c>
      <c r="L12" s="71"/>
      <c r="M12" s="71"/>
      <c r="N12" s="81" t="str">
        <f t="shared" si="5"/>
        <v/>
      </c>
      <c r="Q12" s="67"/>
      <c r="S12" s="64"/>
      <c r="T12" s="64"/>
      <c r="U12" s="64"/>
      <c r="V12" s="64"/>
    </row>
    <row r="13" spans="1:23">
      <c r="A13" s="225"/>
      <c r="B13" s="252"/>
      <c r="C13" s="244"/>
      <c r="D13" s="247"/>
      <c r="E13" s="247"/>
      <c r="F13" s="69"/>
      <c r="G13" s="249"/>
      <c r="H13" s="72" t="str">
        <f t="shared" si="2"/>
        <v/>
      </c>
      <c r="I13" s="72" t="str">
        <f t="shared" si="3"/>
        <v/>
      </c>
      <c r="J13" s="70"/>
      <c r="K13" s="73" t="str">
        <f t="shared" si="4"/>
        <v/>
      </c>
      <c r="L13" s="71"/>
      <c r="M13" s="71"/>
      <c r="N13" s="81" t="str">
        <f t="shared" si="5"/>
        <v/>
      </c>
      <c r="Q13" s="67"/>
      <c r="S13" s="64"/>
      <c r="T13" s="64"/>
      <c r="U13" s="64"/>
      <c r="V13" s="64"/>
    </row>
    <row r="14" spans="1:23">
      <c r="A14" s="225"/>
      <c r="B14" s="252"/>
      <c r="C14" s="244"/>
      <c r="D14" s="247"/>
      <c r="E14" s="247"/>
      <c r="F14" s="69"/>
      <c r="G14" s="249"/>
      <c r="H14" s="72" t="str">
        <f t="shared" si="2"/>
        <v/>
      </c>
      <c r="I14" s="72" t="str">
        <f t="shared" si="3"/>
        <v/>
      </c>
      <c r="J14" s="70"/>
      <c r="K14" s="73" t="str">
        <f t="shared" si="4"/>
        <v/>
      </c>
      <c r="L14" s="71"/>
      <c r="M14" s="71"/>
      <c r="N14" s="81" t="str">
        <f t="shared" si="5"/>
        <v/>
      </c>
      <c r="Q14" s="67"/>
      <c r="S14" s="64"/>
      <c r="T14" s="64"/>
      <c r="U14" s="64"/>
      <c r="V14" s="64"/>
    </row>
    <row r="15" spans="1:23">
      <c r="A15" s="225"/>
      <c r="B15" s="252"/>
      <c r="C15" s="244"/>
      <c r="D15" s="247"/>
      <c r="E15" s="247"/>
      <c r="F15" s="69"/>
      <c r="G15" s="249"/>
      <c r="H15" s="72" t="str">
        <f t="shared" si="2"/>
        <v/>
      </c>
      <c r="I15" s="72" t="str">
        <f t="shared" si="3"/>
        <v/>
      </c>
      <c r="J15" s="70"/>
      <c r="K15" s="73" t="str">
        <f t="shared" si="4"/>
        <v/>
      </c>
      <c r="L15" s="71"/>
      <c r="M15" s="71"/>
      <c r="N15" s="81" t="str">
        <f t="shared" si="5"/>
        <v/>
      </c>
      <c r="Q15" s="67"/>
      <c r="S15" s="64"/>
      <c r="T15" s="64"/>
      <c r="U15" s="64"/>
      <c r="V15" s="64"/>
    </row>
    <row r="16" spans="1:23">
      <c r="A16" s="225"/>
      <c r="B16" s="252"/>
      <c r="C16" s="244"/>
      <c r="D16" s="246"/>
      <c r="E16" s="247"/>
      <c r="F16" s="69"/>
      <c r="G16" s="248"/>
      <c r="H16" s="72" t="str">
        <f t="shared" si="2"/>
        <v/>
      </c>
      <c r="I16" s="72" t="str">
        <f t="shared" si="3"/>
        <v/>
      </c>
      <c r="J16" s="70"/>
      <c r="K16" s="73" t="str">
        <f t="shared" si="4"/>
        <v/>
      </c>
      <c r="L16" s="71"/>
      <c r="M16" s="71"/>
      <c r="N16" s="81" t="str">
        <f t="shared" si="5"/>
        <v/>
      </c>
      <c r="Q16" s="67"/>
      <c r="S16" s="64"/>
      <c r="T16" s="64"/>
      <c r="U16" s="64"/>
      <c r="V16" s="64"/>
    </row>
    <row r="17" spans="1:22">
      <c r="A17" s="225"/>
      <c r="B17" s="252"/>
      <c r="C17" s="244"/>
      <c r="D17" s="247"/>
      <c r="E17" s="247"/>
      <c r="F17" s="69"/>
      <c r="G17" s="255"/>
      <c r="H17" s="72" t="str">
        <f t="shared" si="2"/>
        <v/>
      </c>
      <c r="I17" s="72" t="str">
        <f t="shared" si="3"/>
        <v/>
      </c>
      <c r="J17" s="70"/>
      <c r="K17" s="73" t="str">
        <f t="shared" si="4"/>
        <v/>
      </c>
      <c r="L17" s="71"/>
      <c r="M17" s="71"/>
      <c r="N17" s="81" t="str">
        <f t="shared" si="5"/>
        <v/>
      </c>
      <c r="Q17" s="67"/>
      <c r="S17" s="64"/>
      <c r="T17" s="64"/>
      <c r="U17" s="64"/>
      <c r="V17" s="64"/>
    </row>
    <row r="18" spans="1:22">
      <c r="A18" s="225"/>
      <c r="B18" s="252"/>
      <c r="C18" s="244"/>
      <c r="D18" s="247"/>
      <c r="E18" s="247"/>
      <c r="F18" s="69"/>
      <c r="G18" s="248"/>
      <c r="H18" s="72" t="str">
        <f t="shared" ref="H18:H31" si="6">IF($G18="","",G18*0.1)</f>
        <v/>
      </c>
      <c r="I18" s="72" t="str">
        <f t="shared" ref="I18:I31" si="7">IF($G18="","",G18+H18)</f>
        <v/>
      </c>
      <c r="J18" s="70"/>
      <c r="K18" s="73" t="str">
        <f t="shared" si="4"/>
        <v/>
      </c>
      <c r="L18" s="71"/>
      <c r="M18" s="71"/>
      <c r="N18" s="81" t="str">
        <f t="shared" si="5"/>
        <v/>
      </c>
      <c r="Q18" s="67"/>
      <c r="S18" s="64"/>
      <c r="T18" s="64"/>
      <c r="U18" s="64"/>
      <c r="V18" s="64"/>
    </row>
    <row r="19" spans="1:22">
      <c r="A19" s="225"/>
      <c r="B19" s="252"/>
      <c r="C19" s="244"/>
      <c r="D19" s="247"/>
      <c r="E19" s="247"/>
      <c r="F19" s="69"/>
      <c r="G19" s="249"/>
      <c r="H19" s="72" t="str">
        <f t="shared" si="6"/>
        <v/>
      </c>
      <c r="I19" s="72" t="str">
        <f t="shared" si="7"/>
        <v/>
      </c>
      <c r="J19" s="70"/>
      <c r="K19" s="73" t="str">
        <f t="shared" si="4"/>
        <v/>
      </c>
      <c r="L19" s="71"/>
      <c r="M19" s="71"/>
      <c r="N19" s="81" t="str">
        <f t="shared" si="5"/>
        <v/>
      </c>
      <c r="Q19" s="67"/>
      <c r="S19" s="64"/>
      <c r="T19" s="64"/>
      <c r="U19" s="64"/>
      <c r="V19" s="64"/>
    </row>
    <row r="20" spans="1:22">
      <c r="A20" s="225"/>
      <c r="B20" s="252"/>
      <c r="C20" s="244"/>
      <c r="D20" s="244"/>
      <c r="E20" s="247"/>
      <c r="F20" s="69"/>
      <c r="G20" s="248"/>
      <c r="H20" s="72" t="str">
        <f t="shared" si="6"/>
        <v/>
      </c>
      <c r="I20" s="72" t="str">
        <f t="shared" si="7"/>
        <v/>
      </c>
      <c r="J20" s="70"/>
      <c r="K20" s="73" t="str">
        <f t="shared" si="4"/>
        <v/>
      </c>
      <c r="L20" s="71"/>
      <c r="M20" s="71"/>
      <c r="N20" s="81" t="str">
        <f t="shared" si="5"/>
        <v/>
      </c>
      <c r="Q20" s="67"/>
      <c r="S20" s="64"/>
      <c r="T20" s="64"/>
      <c r="U20" s="64"/>
      <c r="V20" s="64"/>
    </row>
    <row r="21" spans="1:22">
      <c r="A21" s="225"/>
      <c r="B21" s="252"/>
      <c r="C21" s="244"/>
      <c r="D21" s="244"/>
      <c r="E21" s="247"/>
      <c r="F21" s="69"/>
      <c r="G21" s="249"/>
      <c r="H21" s="72" t="str">
        <f t="shared" si="6"/>
        <v/>
      </c>
      <c r="I21" s="72" t="str">
        <f t="shared" si="7"/>
        <v/>
      </c>
      <c r="J21" s="70"/>
      <c r="K21" s="73" t="str">
        <f t="shared" si="4"/>
        <v/>
      </c>
      <c r="L21" s="71"/>
      <c r="M21" s="71"/>
      <c r="N21" s="81" t="str">
        <f t="shared" si="5"/>
        <v/>
      </c>
      <c r="Q21" s="67"/>
      <c r="S21" s="64"/>
      <c r="T21" s="64"/>
      <c r="U21" s="64"/>
      <c r="V21" s="64"/>
    </row>
    <row r="22" spans="1:22">
      <c r="A22" s="225"/>
      <c r="B22" s="252"/>
      <c r="C22" s="244"/>
      <c r="D22" s="244"/>
      <c r="E22" s="247"/>
      <c r="F22" s="69"/>
      <c r="G22" s="249"/>
      <c r="H22" s="72" t="str">
        <f t="shared" si="6"/>
        <v/>
      </c>
      <c r="I22" s="72" t="str">
        <f t="shared" si="7"/>
        <v/>
      </c>
      <c r="J22" s="70"/>
      <c r="K22" s="73" t="str">
        <f t="shared" si="4"/>
        <v/>
      </c>
      <c r="L22" s="71"/>
      <c r="M22" s="71"/>
      <c r="N22" s="81" t="str">
        <f t="shared" si="5"/>
        <v/>
      </c>
      <c r="T22" s="64"/>
      <c r="U22" s="64"/>
      <c r="V22" s="64"/>
    </row>
    <row r="23" spans="1:22">
      <c r="A23" s="225"/>
      <c r="B23" s="252"/>
      <c r="C23" s="244"/>
      <c r="D23" s="247"/>
      <c r="E23" s="247"/>
      <c r="F23" s="69"/>
      <c r="G23" s="248"/>
      <c r="H23" s="72" t="str">
        <f t="shared" si="6"/>
        <v/>
      </c>
      <c r="I23" s="72" t="str">
        <f t="shared" si="7"/>
        <v/>
      </c>
      <c r="J23" s="70"/>
      <c r="K23" s="73" t="str">
        <f t="shared" si="4"/>
        <v/>
      </c>
      <c r="L23" s="71"/>
      <c r="M23" s="71"/>
      <c r="N23" s="81" t="str">
        <f t="shared" si="5"/>
        <v/>
      </c>
    </row>
    <row r="24" spans="1:22">
      <c r="A24" s="225"/>
      <c r="B24" s="252"/>
      <c r="C24" s="244"/>
      <c r="D24" s="244"/>
      <c r="E24" s="247"/>
      <c r="F24" s="69"/>
      <c r="G24" s="248"/>
      <c r="H24" s="72" t="str">
        <f t="shared" si="6"/>
        <v/>
      </c>
      <c r="I24" s="72" t="str">
        <f t="shared" si="7"/>
        <v/>
      </c>
      <c r="J24" s="70"/>
      <c r="K24" s="73" t="str">
        <f t="shared" si="4"/>
        <v/>
      </c>
      <c r="L24" s="71"/>
      <c r="M24" s="71"/>
      <c r="N24" s="81" t="str">
        <f t="shared" si="5"/>
        <v/>
      </c>
    </row>
    <row r="25" spans="1:22">
      <c r="A25" s="225"/>
      <c r="B25" s="252"/>
      <c r="C25" s="244"/>
      <c r="D25" s="247"/>
      <c r="E25" s="247"/>
      <c r="F25" s="69"/>
      <c r="G25" s="249"/>
      <c r="H25" s="72" t="str">
        <f t="shared" si="6"/>
        <v/>
      </c>
      <c r="I25" s="72" t="str">
        <f t="shared" si="7"/>
        <v/>
      </c>
      <c r="J25" s="70"/>
      <c r="K25" s="73" t="str">
        <f t="shared" si="4"/>
        <v/>
      </c>
      <c r="L25" s="71"/>
      <c r="M25" s="71"/>
      <c r="N25" s="81" t="str">
        <f t="shared" si="5"/>
        <v/>
      </c>
    </row>
    <row r="26" spans="1:22">
      <c r="A26" s="225"/>
      <c r="B26" s="252"/>
      <c r="C26" s="244"/>
      <c r="D26" s="247"/>
      <c r="E26" s="247"/>
      <c r="F26" s="69"/>
      <c r="G26" s="249"/>
      <c r="H26" s="72" t="str">
        <f t="shared" si="6"/>
        <v/>
      </c>
      <c r="I26" s="72" t="str">
        <f t="shared" si="7"/>
        <v/>
      </c>
      <c r="J26" s="70"/>
      <c r="K26" s="73" t="str">
        <f t="shared" si="4"/>
        <v/>
      </c>
      <c r="L26" s="71"/>
      <c r="M26" s="71"/>
      <c r="N26" s="81" t="str">
        <f t="shared" si="5"/>
        <v/>
      </c>
    </row>
    <row r="27" spans="1:22">
      <c r="A27" s="225"/>
      <c r="B27" s="252"/>
      <c r="C27" s="244"/>
      <c r="D27" s="247"/>
      <c r="E27" s="247"/>
      <c r="F27" s="69"/>
      <c r="G27" s="249"/>
      <c r="H27" s="72" t="str">
        <f t="shared" si="6"/>
        <v/>
      </c>
      <c r="I27" s="72" t="str">
        <f t="shared" si="7"/>
        <v/>
      </c>
      <c r="J27" s="70"/>
      <c r="K27" s="73" t="str">
        <f t="shared" si="4"/>
        <v/>
      </c>
      <c r="L27" s="71"/>
      <c r="M27" s="71"/>
      <c r="N27" s="81" t="str">
        <f t="shared" si="5"/>
        <v/>
      </c>
    </row>
    <row r="28" spans="1:22">
      <c r="A28" s="225"/>
      <c r="B28" s="252"/>
      <c r="C28" s="244"/>
      <c r="D28" s="247"/>
      <c r="E28" s="247"/>
      <c r="F28" s="69"/>
      <c r="G28" s="249"/>
      <c r="H28" s="72" t="str">
        <f t="shared" si="6"/>
        <v/>
      </c>
      <c r="I28" s="72" t="str">
        <f t="shared" si="7"/>
        <v/>
      </c>
      <c r="J28" s="70"/>
      <c r="K28" s="73" t="str">
        <f t="shared" si="4"/>
        <v/>
      </c>
      <c r="L28" s="71"/>
      <c r="M28" s="71"/>
      <c r="N28" s="81" t="str">
        <f t="shared" si="5"/>
        <v/>
      </c>
    </row>
    <row r="29" spans="1:22">
      <c r="A29" s="225"/>
      <c r="B29" s="252"/>
      <c r="C29" s="244"/>
      <c r="D29" s="247"/>
      <c r="E29" s="247"/>
      <c r="F29" s="69"/>
      <c r="G29" s="248"/>
      <c r="H29" s="72" t="str">
        <f t="shared" si="6"/>
        <v/>
      </c>
      <c r="I29" s="72" t="str">
        <f t="shared" si="7"/>
        <v/>
      </c>
      <c r="J29" s="70"/>
      <c r="K29" s="73" t="str">
        <f t="shared" si="4"/>
        <v/>
      </c>
      <c r="L29" s="71"/>
      <c r="M29" s="71"/>
      <c r="N29" s="81" t="str">
        <f t="shared" si="5"/>
        <v/>
      </c>
    </row>
    <row r="30" spans="1:22">
      <c r="A30" s="225"/>
      <c r="B30" s="252"/>
      <c r="C30" s="245"/>
      <c r="D30" s="244"/>
      <c r="E30" s="247"/>
      <c r="F30" s="69"/>
      <c r="G30" s="248"/>
      <c r="H30" s="72" t="str">
        <f t="shared" si="6"/>
        <v/>
      </c>
      <c r="I30" s="72" t="str">
        <f t="shared" si="7"/>
        <v/>
      </c>
      <c r="J30" s="70"/>
      <c r="K30" s="73" t="str">
        <f t="shared" si="4"/>
        <v/>
      </c>
      <c r="L30" s="71"/>
      <c r="M30" s="71"/>
      <c r="N30" s="81" t="str">
        <f t="shared" si="5"/>
        <v/>
      </c>
    </row>
    <row r="31" spans="1:22">
      <c r="A31" s="225"/>
      <c r="B31" s="252"/>
      <c r="C31" s="245"/>
      <c r="D31" s="247"/>
      <c r="E31" s="247"/>
      <c r="F31" s="69"/>
      <c r="G31" s="250"/>
      <c r="H31" s="72" t="str">
        <f t="shared" si="6"/>
        <v/>
      </c>
      <c r="I31" s="72" t="str">
        <f t="shared" si="7"/>
        <v/>
      </c>
      <c r="J31" s="70"/>
      <c r="K31" s="73" t="str">
        <f t="shared" si="4"/>
        <v/>
      </c>
      <c r="L31" s="71"/>
      <c r="M31" s="71"/>
      <c r="N31" s="81" t="str">
        <f t="shared" si="5"/>
        <v/>
      </c>
    </row>
    <row r="32" spans="1:22">
      <c r="A32" s="225"/>
      <c r="B32" s="252"/>
      <c r="C32" s="244"/>
      <c r="D32" s="247"/>
      <c r="E32" s="247"/>
      <c r="F32" s="69"/>
      <c r="G32" s="248"/>
      <c r="H32" s="72" t="str">
        <f t="shared" ref="H32:H95" si="8">IF($G32="","",G32*0.1)</f>
        <v/>
      </c>
      <c r="I32" s="72" t="str">
        <f t="shared" ref="I32:I95" si="9">IF($G32="","",G32+H32)</f>
        <v/>
      </c>
      <c r="J32" s="70"/>
      <c r="K32" s="73" t="str">
        <f t="shared" si="4"/>
        <v/>
      </c>
      <c r="L32" s="71"/>
      <c r="M32" s="71"/>
      <c r="N32" s="81" t="str">
        <f t="shared" si="5"/>
        <v/>
      </c>
    </row>
    <row r="33" spans="1:14">
      <c r="A33" s="225"/>
      <c r="B33" s="252"/>
      <c r="C33" s="244"/>
      <c r="D33" s="247"/>
      <c r="E33" s="247"/>
      <c r="F33" s="69"/>
      <c r="G33" s="248"/>
      <c r="H33" s="72" t="str">
        <f t="shared" si="8"/>
        <v/>
      </c>
      <c r="I33" s="72" t="str">
        <f t="shared" si="9"/>
        <v/>
      </c>
      <c r="J33" s="70"/>
      <c r="K33" s="73" t="str">
        <f t="shared" si="4"/>
        <v/>
      </c>
      <c r="L33" s="71"/>
      <c r="M33" s="71"/>
      <c r="N33" s="81" t="str">
        <f t="shared" si="5"/>
        <v/>
      </c>
    </row>
    <row r="34" spans="1:14">
      <c r="A34" s="225"/>
      <c r="B34" s="252"/>
      <c r="C34" s="244"/>
      <c r="D34" s="247"/>
      <c r="E34" s="247"/>
      <c r="F34" s="69"/>
      <c r="G34" s="248"/>
      <c r="H34" s="72" t="str">
        <f t="shared" si="8"/>
        <v/>
      </c>
      <c r="I34" s="72" t="str">
        <f t="shared" si="9"/>
        <v/>
      </c>
      <c r="J34" s="70"/>
      <c r="K34" s="73" t="str">
        <f t="shared" si="4"/>
        <v/>
      </c>
      <c r="L34" s="71"/>
      <c r="M34" s="71"/>
      <c r="N34" s="81" t="str">
        <f t="shared" si="5"/>
        <v/>
      </c>
    </row>
    <row r="35" spans="1:14">
      <c r="A35" s="225"/>
      <c r="B35" s="252"/>
      <c r="C35" s="244"/>
      <c r="D35" s="247"/>
      <c r="E35" s="247"/>
      <c r="F35" s="69"/>
      <c r="G35" s="248"/>
      <c r="H35" s="72" t="str">
        <f t="shared" si="8"/>
        <v/>
      </c>
      <c r="I35" s="72" t="str">
        <f t="shared" si="9"/>
        <v/>
      </c>
      <c r="J35" s="70"/>
      <c r="K35" s="73" t="str">
        <f t="shared" si="4"/>
        <v/>
      </c>
      <c r="L35" s="71"/>
      <c r="M35" s="71"/>
      <c r="N35" s="81" t="str">
        <f t="shared" si="5"/>
        <v/>
      </c>
    </row>
    <row r="36" spans="1:14">
      <c r="A36" s="225"/>
      <c r="B36" s="252"/>
      <c r="C36" s="244"/>
      <c r="D36" s="247"/>
      <c r="E36" s="247"/>
      <c r="F36" s="69"/>
      <c r="G36" s="248"/>
      <c r="H36" s="72" t="str">
        <f t="shared" si="8"/>
        <v/>
      </c>
      <c r="I36" s="72" t="str">
        <f t="shared" si="9"/>
        <v/>
      </c>
      <c r="J36" s="70"/>
      <c r="K36" s="73" t="str">
        <f t="shared" si="4"/>
        <v/>
      </c>
      <c r="L36" s="71"/>
      <c r="M36" s="71"/>
      <c r="N36" s="81" t="str">
        <f t="shared" si="5"/>
        <v/>
      </c>
    </row>
    <row r="37" spans="1:14">
      <c r="A37" s="225"/>
      <c r="B37" s="252"/>
      <c r="C37" s="244"/>
      <c r="D37" s="247"/>
      <c r="E37" s="247"/>
      <c r="F37" s="69"/>
      <c r="G37" s="248"/>
      <c r="H37" s="72" t="str">
        <f t="shared" si="8"/>
        <v/>
      </c>
      <c r="I37" s="72" t="str">
        <f t="shared" si="9"/>
        <v/>
      </c>
      <c r="J37" s="70"/>
      <c r="K37" s="73" t="str">
        <f t="shared" si="4"/>
        <v/>
      </c>
      <c r="L37" s="71"/>
      <c r="M37" s="71"/>
      <c r="N37" s="81" t="str">
        <f t="shared" si="5"/>
        <v/>
      </c>
    </row>
    <row r="38" spans="1:14">
      <c r="A38" s="225"/>
      <c r="B38" s="252"/>
      <c r="C38" s="244"/>
      <c r="D38" s="247"/>
      <c r="E38" s="247"/>
      <c r="F38" s="69"/>
      <c r="G38" s="248"/>
      <c r="H38" s="72" t="str">
        <f t="shared" si="8"/>
        <v/>
      </c>
      <c r="I38" s="72" t="str">
        <f t="shared" si="9"/>
        <v/>
      </c>
      <c r="J38" s="70"/>
      <c r="K38" s="73" t="str">
        <f t="shared" si="4"/>
        <v/>
      </c>
      <c r="L38" s="71"/>
      <c r="M38" s="71"/>
      <c r="N38" s="81" t="str">
        <f t="shared" si="5"/>
        <v/>
      </c>
    </row>
    <row r="39" spans="1:14">
      <c r="A39" s="225"/>
      <c r="B39" s="252"/>
      <c r="C39" s="244"/>
      <c r="D39" s="247"/>
      <c r="E39" s="247"/>
      <c r="F39" s="69"/>
      <c r="G39" s="248"/>
      <c r="H39" s="72" t="str">
        <f t="shared" si="8"/>
        <v/>
      </c>
      <c r="I39" s="72" t="str">
        <f t="shared" si="9"/>
        <v/>
      </c>
      <c r="J39" s="70"/>
      <c r="K39" s="73" t="str">
        <f t="shared" si="4"/>
        <v/>
      </c>
      <c r="L39" s="71"/>
      <c r="M39" s="71"/>
      <c r="N39" s="81" t="str">
        <f t="shared" si="5"/>
        <v/>
      </c>
    </row>
    <row r="40" spans="1:14">
      <c r="A40" s="225"/>
      <c r="B40" s="252"/>
      <c r="C40" s="244"/>
      <c r="D40" s="247"/>
      <c r="E40" s="247"/>
      <c r="F40" s="69"/>
      <c r="G40" s="248"/>
      <c r="H40" s="72" t="str">
        <f t="shared" si="8"/>
        <v/>
      </c>
      <c r="I40" s="72" t="str">
        <f t="shared" si="9"/>
        <v/>
      </c>
      <c r="J40" s="70"/>
      <c r="K40" s="73" t="str">
        <f t="shared" si="4"/>
        <v/>
      </c>
      <c r="L40" s="71"/>
      <c r="M40" s="71"/>
      <c r="N40" s="81" t="str">
        <f t="shared" si="5"/>
        <v/>
      </c>
    </row>
    <row r="41" spans="1:14">
      <c r="A41" s="225"/>
      <c r="B41" s="252"/>
      <c r="C41" s="244"/>
      <c r="D41" s="244"/>
      <c r="E41" s="247"/>
      <c r="F41" s="69"/>
      <c r="G41" s="250"/>
      <c r="H41" s="72" t="str">
        <f t="shared" si="8"/>
        <v/>
      </c>
      <c r="I41" s="72" t="str">
        <f t="shared" si="9"/>
        <v/>
      </c>
      <c r="J41" s="70"/>
      <c r="K41" s="73" t="str">
        <f>IF($B41="","",$B$4)</f>
        <v/>
      </c>
      <c r="L41" s="71"/>
      <c r="M41" s="71"/>
      <c r="N41" s="81" t="str">
        <f t="shared" si="5"/>
        <v/>
      </c>
    </row>
    <row r="42" spans="1:14">
      <c r="A42" s="225"/>
      <c r="B42" s="252"/>
      <c r="C42" s="244"/>
      <c r="D42" s="244"/>
      <c r="E42" s="247"/>
      <c r="F42" s="69"/>
      <c r="G42" s="249"/>
      <c r="H42" s="72" t="str">
        <f t="shared" si="8"/>
        <v/>
      </c>
      <c r="I42" s="72" t="str">
        <f t="shared" si="9"/>
        <v/>
      </c>
      <c r="J42" s="70"/>
      <c r="K42" s="73" t="str">
        <f t="shared" si="4"/>
        <v/>
      </c>
      <c r="L42" s="71"/>
      <c r="M42" s="71"/>
      <c r="N42" s="81" t="str">
        <f t="shared" si="5"/>
        <v/>
      </c>
    </row>
    <row r="43" spans="1:14">
      <c r="A43" s="225"/>
      <c r="B43" s="252"/>
      <c r="C43" s="244"/>
      <c r="D43" s="247"/>
      <c r="E43" s="247"/>
      <c r="F43" s="69"/>
      <c r="G43" s="249"/>
      <c r="H43" s="72" t="str">
        <f t="shared" si="8"/>
        <v/>
      </c>
      <c r="I43" s="72" t="str">
        <f t="shared" si="9"/>
        <v/>
      </c>
      <c r="J43" s="70"/>
      <c r="K43" s="73" t="str">
        <f t="shared" si="4"/>
        <v/>
      </c>
      <c r="L43" s="71"/>
      <c r="M43" s="71"/>
      <c r="N43" s="81" t="str">
        <f t="shared" si="5"/>
        <v/>
      </c>
    </row>
    <row r="44" spans="1:14">
      <c r="A44" s="225"/>
      <c r="B44" s="252"/>
      <c r="C44" s="244"/>
      <c r="D44" s="247"/>
      <c r="E44" s="247"/>
      <c r="F44" s="69"/>
      <c r="G44" s="249"/>
      <c r="H44" s="72" t="str">
        <f t="shared" si="8"/>
        <v/>
      </c>
      <c r="I44" s="72" t="str">
        <f t="shared" si="9"/>
        <v/>
      </c>
      <c r="J44" s="70"/>
      <c r="K44" s="73" t="str">
        <f t="shared" si="4"/>
        <v/>
      </c>
      <c r="L44" s="71"/>
      <c r="M44" s="71"/>
      <c r="N44" s="81" t="str">
        <f t="shared" si="5"/>
        <v/>
      </c>
    </row>
    <row r="45" spans="1:14">
      <c r="A45" s="225"/>
      <c r="B45" s="252"/>
      <c r="C45" s="244"/>
      <c r="D45" s="247"/>
      <c r="E45" s="247"/>
      <c r="F45" s="69"/>
      <c r="G45" s="249"/>
      <c r="H45" s="72" t="str">
        <f t="shared" si="8"/>
        <v/>
      </c>
      <c r="I45" s="72" t="str">
        <f t="shared" si="9"/>
        <v/>
      </c>
      <c r="J45" s="70"/>
      <c r="K45" s="73" t="str">
        <f t="shared" si="4"/>
        <v/>
      </c>
      <c r="L45" s="71"/>
      <c r="M45" s="71"/>
      <c r="N45" s="81" t="str">
        <f t="shared" si="5"/>
        <v/>
      </c>
    </row>
    <row r="46" spans="1:14">
      <c r="A46" s="225"/>
      <c r="B46" s="252"/>
      <c r="C46" s="244"/>
      <c r="D46" s="244"/>
      <c r="E46" s="247"/>
      <c r="F46" s="69"/>
      <c r="G46" s="249"/>
      <c r="H46" s="72" t="str">
        <f t="shared" si="8"/>
        <v/>
      </c>
      <c r="I46" s="72" t="str">
        <f t="shared" si="9"/>
        <v/>
      </c>
      <c r="J46" s="70"/>
      <c r="K46" s="73" t="str">
        <f t="shared" si="4"/>
        <v/>
      </c>
      <c r="L46" s="71"/>
      <c r="M46" s="226"/>
      <c r="N46" s="81" t="str">
        <f t="shared" si="5"/>
        <v/>
      </c>
    </row>
    <row r="47" spans="1:14">
      <c r="A47" s="225"/>
      <c r="B47" s="252"/>
      <c r="C47" s="244"/>
      <c r="D47" s="244"/>
      <c r="E47" s="247"/>
      <c r="F47" s="69"/>
      <c r="G47" s="249"/>
      <c r="H47" s="72" t="str">
        <f t="shared" si="8"/>
        <v/>
      </c>
      <c r="I47" s="72" t="str">
        <f t="shared" si="9"/>
        <v/>
      </c>
      <c r="J47" s="70"/>
      <c r="K47" s="73" t="str">
        <f t="shared" si="4"/>
        <v/>
      </c>
      <c r="L47" s="71"/>
      <c r="M47" s="226"/>
      <c r="N47" s="81" t="str">
        <f t="shared" si="5"/>
        <v/>
      </c>
    </row>
    <row r="48" spans="1:14">
      <c r="A48" s="225"/>
      <c r="B48" s="252"/>
      <c r="C48" s="244"/>
      <c r="D48" s="247"/>
      <c r="E48" s="247"/>
      <c r="F48" s="69"/>
      <c r="G48" s="249"/>
      <c r="H48" s="72" t="str">
        <f t="shared" si="8"/>
        <v/>
      </c>
      <c r="I48" s="72" t="str">
        <f t="shared" si="9"/>
        <v/>
      </c>
      <c r="J48" s="70"/>
      <c r="K48" s="73" t="str">
        <f t="shared" si="4"/>
        <v/>
      </c>
      <c r="L48" s="71"/>
      <c r="M48" s="226"/>
      <c r="N48" s="81" t="str">
        <f t="shared" si="5"/>
        <v/>
      </c>
    </row>
    <row r="49" spans="1:14">
      <c r="A49" s="225"/>
      <c r="B49" s="252"/>
      <c r="C49" s="244"/>
      <c r="D49" s="247"/>
      <c r="E49" s="247"/>
      <c r="F49" s="69"/>
      <c r="G49" s="227"/>
      <c r="H49" s="72" t="str">
        <f t="shared" si="8"/>
        <v/>
      </c>
      <c r="I49" s="72" t="str">
        <f t="shared" si="9"/>
        <v/>
      </c>
      <c r="J49" s="70"/>
      <c r="K49" s="73" t="str">
        <f t="shared" si="4"/>
        <v/>
      </c>
      <c r="L49" s="71"/>
      <c r="M49" s="226"/>
      <c r="N49" s="81" t="str">
        <f t="shared" si="5"/>
        <v/>
      </c>
    </row>
    <row r="50" spans="1:14">
      <c r="A50" s="225"/>
      <c r="B50" s="252"/>
      <c r="C50" s="244"/>
      <c r="D50" s="247"/>
      <c r="E50" s="247"/>
      <c r="F50" s="69"/>
      <c r="G50" s="227"/>
      <c r="H50" s="72" t="str">
        <f t="shared" si="8"/>
        <v/>
      </c>
      <c r="I50" s="72" t="str">
        <f t="shared" si="9"/>
        <v/>
      </c>
      <c r="J50" s="70"/>
      <c r="K50" s="73" t="str">
        <f t="shared" si="4"/>
        <v/>
      </c>
      <c r="L50" s="71"/>
      <c r="M50" s="71"/>
      <c r="N50" s="81" t="str">
        <f t="shared" si="5"/>
        <v/>
      </c>
    </row>
    <row r="51" spans="1:14">
      <c r="A51" s="225"/>
      <c r="B51" s="243"/>
      <c r="C51" s="244"/>
      <c r="D51" s="244"/>
      <c r="E51" s="247"/>
      <c r="F51" s="69"/>
      <c r="G51" s="227"/>
      <c r="H51" s="72" t="str">
        <f t="shared" si="8"/>
        <v/>
      </c>
      <c r="I51" s="72" t="str">
        <f t="shared" si="9"/>
        <v/>
      </c>
      <c r="J51" s="251"/>
      <c r="K51" s="73" t="str">
        <f t="shared" si="4"/>
        <v/>
      </c>
      <c r="L51" s="71"/>
      <c r="M51" s="71"/>
      <c r="N51" s="81" t="str">
        <f t="shared" si="5"/>
        <v/>
      </c>
    </row>
    <row r="52" spans="1:14">
      <c r="A52" s="225"/>
      <c r="B52" s="243"/>
      <c r="C52" s="244"/>
      <c r="D52" s="247"/>
      <c r="E52" s="247"/>
      <c r="F52" s="69"/>
      <c r="G52" s="227"/>
      <c r="H52" s="72" t="str">
        <f t="shared" si="8"/>
        <v/>
      </c>
      <c r="I52" s="72" t="str">
        <f t="shared" si="9"/>
        <v/>
      </c>
      <c r="J52" s="70"/>
      <c r="K52" s="73" t="str">
        <f t="shared" si="4"/>
        <v/>
      </c>
      <c r="L52" s="71"/>
      <c r="M52" s="71"/>
      <c r="N52" s="81" t="str">
        <f t="shared" si="5"/>
        <v/>
      </c>
    </row>
    <row r="53" spans="1:14">
      <c r="A53" s="225"/>
      <c r="B53" s="243"/>
      <c r="C53" s="68"/>
      <c r="D53" s="210"/>
      <c r="E53" s="247"/>
      <c r="F53" s="69"/>
      <c r="G53" s="227"/>
      <c r="H53" s="72" t="str">
        <f t="shared" si="8"/>
        <v/>
      </c>
      <c r="I53" s="72" t="str">
        <f t="shared" si="9"/>
        <v/>
      </c>
      <c r="J53" s="215"/>
      <c r="K53" s="73" t="str">
        <f t="shared" si="4"/>
        <v/>
      </c>
      <c r="L53" s="71"/>
      <c r="M53" s="71"/>
      <c r="N53" s="81" t="str">
        <f t="shared" si="5"/>
        <v/>
      </c>
    </row>
    <row r="54" spans="1:14">
      <c r="A54" s="225"/>
      <c r="B54" s="243"/>
      <c r="C54" s="68"/>
      <c r="D54" s="210"/>
      <c r="E54" s="247"/>
      <c r="F54" s="69"/>
      <c r="G54" s="227"/>
      <c r="H54" s="72" t="str">
        <f t="shared" si="8"/>
        <v/>
      </c>
      <c r="I54" s="72" t="str">
        <f t="shared" si="9"/>
        <v/>
      </c>
      <c r="J54" s="70"/>
      <c r="K54" s="73" t="str">
        <f t="shared" si="4"/>
        <v/>
      </c>
      <c r="L54" s="71"/>
      <c r="M54" s="71"/>
      <c r="N54" s="81" t="str">
        <f t="shared" si="5"/>
        <v/>
      </c>
    </row>
    <row r="55" spans="1:14">
      <c r="A55" s="225"/>
      <c r="B55" s="243"/>
      <c r="C55" s="68"/>
      <c r="D55" s="210"/>
      <c r="E55" s="247"/>
      <c r="F55" s="69"/>
      <c r="G55" s="70"/>
      <c r="H55" s="72" t="str">
        <f t="shared" si="8"/>
        <v/>
      </c>
      <c r="I55" s="72" t="str">
        <f t="shared" si="9"/>
        <v/>
      </c>
      <c r="J55" s="70"/>
      <c r="K55" s="73" t="str">
        <f t="shared" si="4"/>
        <v/>
      </c>
      <c r="L55" s="71"/>
      <c r="M55" s="71"/>
      <c r="N55" s="81" t="str">
        <f t="shared" si="5"/>
        <v/>
      </c>
    </row>
    <row r="56" spans="1:14">
      <c r="A56" s="225"/>
      <c r="B56" s="243"/>
      <c r="C56" s="68"/>
      <c r="D56" s="210"/>
      <c r="E56" s="247"/>
      <c r="F56" s="69"/>
      <c r="G56" s="70"/>
      <c r="H56" s="72" t="str">
        <f t="shared" si="8"/>
        <v/>
      </c>
      <c r="I56" s="72" t="str">
        <f t="shared" si="9"/>
        <v/>
      </c>
      <c r="J56" s="70"/>
      <c r="K56" s="73" t="str">
        <f t="shared" si="4"/>
        <v/>
      </c>
      <c r="L56" s="71"/>
      <c r="M56" s="71"/>
      <c r="N56" s="81" t="str">
        <f t="shared" si="5"/>
        <v/>
      </c>
    </row>
    <row r="57" spans="1:14">
      <c r="A57" s="225"/>
      <c r="B57" s="252"/>
      <c r="C57" s="244"/>
      <c r="D57" s="247"/>
      <c r="E57" s="247"/>
      <c r="F57" s="69"/>
      <c r="G57" s="70"/>
      <c r="H57" s="72" t="str">
        <f t="shared" si="8"/>
        <v/>
      </c>
      <c r="I57" s="72" t="str">
        <f t="shared" si="9"/>
        <v/>
      </c>
      <c r="J57" s="70"/>
      <c r="K57" s="73" t="str">
        <f t="shared" si="4"/>
        <v/>
      </c>
      <c r="L57" s="71"/>
      <c r="M57" s="71"/>
      <c r="N57" s="81" t="str">
        <f t="shared" si="5"/>
        <v/>
      </c>
    </row>
    <row r="58" spans="1:14">
      <c r="A58" s="225"/>
      <c r="B58" s="243"/>
      <c r="C58" s="244"/>
      <c r="D58" s="247"/>
      <c r="E58" s="275"/>
      <c r="F58" s="69"/>
      <c r="G58" s="70"/>
      <c r="H58" s="72" t="str">
        <f t="shared" si="8"/>
        <v/>
      </c>
      <c r="I58" s="72" t="str">
        <f t="shared" si="9"/>
        <v/>
      </c>
      <c r="J58" s="70"/>
      <c r="K58" s="73" t="str">
        <f t="shared" si="4"/>
        <v/>
      </c>
      <c r="L58" s="71"/>
      <c r="M58" s="71"/>
      <c r="N58" s="81" t="str">
        <f t="shared" si="5"/>
        <v/>
      </c>
    </row>
    <row r="59" spans="1:14">
      <c r="A59" s="225"/>
      <c r="B59" s="243"/>
      <c r="C59" s="244"/>
      <c r="D59" s="247"/>
      <c r="E59" s="275"/>
      <c r="F59" s="69"/>
      <c r="G59" s="70"/>
      <c r="H59" s="72" t="str">
        <f t="shared" si="8"/>
        <v/>
      </c>
      <c r="I59" s="72" t="str">
        <f t="shared" si="9"/>
        <v/>
      </c>
      <c r="J59" s="70"/>
      <c r="K59" s="73" t="str">
        <f t="shared" si="4"/>
        <v/>
      </c>
      <c r="L59" s="71"/>
      <c r="M59" s="71"/>
      <c r="N59" s="81" t="str">
        <f t="shared" si="5"/>
        <v/>
      </c>
    </row>
    <row r="60" spans="1:14">
      <c r="A60" s="225"/>
      <c r="B60" s="243"/>
      <c r="C60" s="244"/>
      <c r="D60" s="247"/>
      <c r="E60" s="275"/>
      <c r="F60" s="69"/>
      <c r="G60" s="70"/>
      <c r="H60" s="72" t="str">
        <f t="shared" si="8"/>
        <v/>
      </c>
      <c r="I60" s="72" t="str">
        <f t="shared" si="9"/>
        <v/>
      </c>
      <c r="J60" s="70"/>
      <c r="K60" s="73" t="str">
        <f t="shared" si="4"/>
        <v/>
      </c>
      <c r="L60" s="71"/>
      <c r="M60" s="71"/>
      <c r="N60" s="81" t="str">
        <f t="shared" si="5"/>
        <v/>
      </c>
    </row>
    <row r="61" spans="1:14">
      <c r="A61" s="225"/>
      <c r="B61" s="243"/>
      <c r="C61" s="68"/>
      <c r="D61" s="210"/>
      <c r="E61" s="275"/>
      <c r="F61" s="69"/>
      <c r="G61" s="70"/>
      <c r="H61" s="72" t="str">
        <f t="shared" si="8"/>
        <v/>
      </c>
      <c r="I61" s="72" t="str">
        <f t="shared" si="9"/>
        <v/>
      </c>
      <c r="J61" s="70"/>
      <c r="K61" s="73" t="str">
        <f t="shared" si="4"/>
        <v/>
      </c>
      <c r="L61" s="71"/>
      <c r="M61" s="71"/>
      <c r="N61" s="81" t="str">
        <f t="shared" si="5"/>
        <v/>
      </c>
    </row>
    <row r="62" spans="1:14">
      <c r="A62" s="225"/>
      <c r="B62" s="243"/>
      <c r="C62" s="69"/>
      <c r="D62" s="213"/>
      <c r="E62" s="275"/>
      <c r="F62" s="69"/>
      <c r="G62" s="70"/>
      <c r="H62" s="72" t="str">
        <f t="shared" si="8"/>
        <v/>
      </c>
      <c r="I62" s="72" t="str">
        <f t="shared" si="9"/>
        <v/>
      </c>
      <c r="J62" s="70"/>
      <c r="K62" s="73" t="str">
        <f t="shared" si="4"/>
        <v/>
      </c>
      <c r="L62" s="71"/>
      <c r="M62" s="71"/>
      <c r="N62" s="81" t="str">
        <f t="shared" si="5"/>
        <v/>
      </c>
    </row>
    <row r="63" spans="1:14">
      <c r="A63" s="225"/>
      <c r="B63" s="243"/>
      <c r="C63" s="69"/>
      <c r="D63" s="213"/>
      <c r="E63" s="275"/>
      <c r="F63" s="69"/>
      <c r="G63" s="70"/>
      <c r="H63" s="72" t="str">
        <f t="shared" si="8"/>
        <v/>
      </c>
      <c r="I63" s="72" t="str">
        <f t="shared" si="9"/>
        <v/>
      </c>
      <c r="J63" s="70"/>
      <c r="K63" s="73" t="str">
        <f t="shared" si="4"/>
        <v/>
      </c>
      <c r="L63" s="71"/>
      <c r="M63" s="71"/>
      <c r="N63" s="81" t="str">
        <f t="shared" si="5"/>
        <v/>
      </c>
    </row>
    <row r="64" spans="1:14">
      <c r="A64" s="225"/>
      <c r="B64" s="243"/>
      <c r="C64" s="69"/>
      <c r="D64" s="213"/>
      <c r="E64" s="275"/>
      <c r="F64" s="69"/>
      <c r="G64" s="70"/>
      <c r="H64" s="72" t="str">
        <f t="shared" si="8"/>
        <v/>
      </c>
      <c r="I64" s="72" t="str">
        <f t="shared" si="9"/>
        <v/>
      </c>
      <c r="J64" s="70"/>
      <c r="K64" s="73" t="str">
        <f t="shared" si="4"/>
        <v/>
      </c>
      <c r="L64" s="71"/>
      <c r="M64" s="71"/>
      <c r="N64" s="81" t="str">
        <f t="shared" si="5"/>
        <v/>
      </c>
    </row>
    <row r="65" spans="1:14">
      <c r="A65" s="225"/>
      <c r="B65" s="68"/>
      <c r="C65" s="69"/>
      <c r="D65" s="213"/>
      <c r="E65" s="276"/>
      <c r="F65" s="69"/>
      <c r="G65" s="70"/>
      <c r="H65" s="72" t="str">
        <f t="shared" si="8"/>
        <v/>
      </c>
      <c r="I65" s="72" t="str">
        <f t="shared" si="9"/>
        <v/>
      </c>
      <c r="J65" s="70"/>
      <c r="K65" s="73" t="str">
        <f t="shared" si="4"/>
        <v/>
      </c>
      <c r="L65" s="71"/>
      <c r="M65" s="71"/>
      <c r="N65" s="81" t="str">
        <f t="shared" si="5"/>
        <v/>
      </c>
    </row>
    <row r="66" spans="1:14">
      <c r="A66" s="225"/>
      <c r="B66" s="68"/>
      <c r="C66" s="69"/>
      <c r="D66" s="213"/>
      <c r="E66" s="276"/>
      <c r="F66" s="69"/>
      <c r="G66" s="70"/>
      <c r="H66" s="72" t="str">
        <f t="shared" si="8"/>
        <v/>
      </c>
      <c r="I66" s="72" t="str">
        <f t="shared" si="9"/>
        <v/>
      </c>
      <c r="J66" s="70"/>
      <c r="K66" s="73" t="str">
        <f t="shared" si="4"/>
        <v/>
      </c>
      <c r="L66" s="71"/>
      <c r="M66" s="71"/>
      <c r="N66" s="81" t="str">
        <f t="shared" si="5"/>
        <v/>
      </c>
    </row>
    <row r="67" spans="1:14">
      <c r="A67" s="225"/>
      <c r="B67" s="68"/>
      <c r="C67" s="69"/>
      <c r="D67" s="213"/>
      <c r="E67" s="276"/>
      <c r="F67" s="69"/>
      <c r="G67" s="70"/>
      <c r="H67" s="72" t="str">
        <f t="shared" si="8"/>
        <v/>
      </c>
      <c r="I67" s="72" t="str">
        <f t="shared" si="9"/>
        <v/>
      </c>
      <c r="J67" s="70"/>
      <c r="K67" s="73" t="str">
        <f t="shared" si="4"/>
        <v/>
      </c>
      <c r="L67" s="71"/>
      <c r="M67" s="71"/>
      <c r="N67" s="81" t="str">
        <f t="shared" si="5"/>
        <v/>
      </c>
    </row>
    <row r="68" spans="1:14">
      <c r="A68" s="225"/>
      <c r="B68" s="68"/>
      <c r="C68" s="68"/>
      <c r="D68" s="210"/>
      <c r="E68" s="277"/>
      <c r="F68" s="69"/>
      <c r="G68" s="70"/>
      <c r="H68" s="72" t="str">
        <f t="shared" si="8"/>
        <v/>
      </c>
      <c r="I68" s="72" t="str">
        <f t="shared" si="9"/>
        <v/>
      </c>
      <c r="J68" s="70"/>
      <c r="K68" s="73" t="str">
        <f t="shared" si="4"/>
        <v/>
      </c>
      <c r="L68" s="71"/>
      <c r="M68" s="71"/>
      <c r="N68" s="81" t="str">
        <f t="shared" si="5"/>
        <v/>
      </c>
    </row>
    <row r="69" spans="1:14">
      <c r="A69" s="225"/>
      <c r="B69" s="68"/>
      <c r="C69" s="68"/>
      <c r="D69" s="210"/>
      <c r="E69" s="277"/>
      <c r="F69" s="69"/>
      <c r="G69" s="70"/>
      <c r="H69" s="72" t="str">
        <f t="shared" si="8"/>
        <v/>
      </c>
      <c r="I69" s="72" t="str">
        <f t="shared" si="9"/>
        <v/>
      </c>
      <c r="J69" s="70"/>
      <c r="K69" s="73" t="str">
        <f t="shared" si="4"/>
        <v/>
      </c>
      <c r="L69" s="71"/>
      <c r="M69" s="71"/>
      <c r="N69" s="81" t="str">
        <f t="shared" si="5"/>
        <v/>
      </c>
    </row>
    <row r="70" spans="1:14">
      <c r="A70" s="225"/>
      <c r="B70" s="68"/>
      <c r="C70" s="68"/>
      <c r="D70" s="210"/>
      <c r="E70" s="277"/>
      <c r="F70" s="69"/>
      <c r="G70" s="70"/>
      <c r="H70" s="72" t="str">
        <f t="shared" si="8"/>
        <v/>
      </c>
      <c r="I70" s="72" t="str">
        <f t="shared" si="9"/>
        <v/>
      </c>
      <c r="J70" s="70"/>
      <c r="K70" s="73" t="str">
        <f t="shared" si="4"/>
        <v/>
      </c>
      <c r="L70" s="71"/>
      <c r="M70" s="71"/>
      <c r="N70" s="81" t="str">
        <f t="shared" si="5"/>
        <v/>
      </c>
    </row>
    <row r="71" spans="1:14">
      <c r="A71" s="225"/>
      <c r="B71" s="68"/>
      <c r="C71" s="68"/>
      <c r="D71" s="210"/>
      <c r="E71" s="277"/>
      <c r="F71" s="69"/>
      <c r="G71" s="70"/>
      <c r="H71" s="72" t="str">
        <f t="shared" si="8"/>
        <v/>
      </c>
      <c r="I71" s="72" t="str">
        <f t="shared" si="9"/>
        <v/>
      </c>
      <c r="J71" s="70"/>
      <c r="K71" s="73" t="str">
        <f t="shared" si="4"/>
        <v/>
      </c>
      <c r="L71" s="71"/>
      <c r="M71" s="71"/>
      <c r="N71" s="81" t="str">
        <f t="shared" si="5"/>
        <v/>
      </c>
    </row>
    <row r="72" spans="1:14">
      <c r="A72" s="225"/>
      <c r="B72" s="68"/>
      <c r="C72" s="68"/>
      <c r="D72" s="210"/>
      <c r="E72" s="277"/>
      <c r="F72" s="69"/>
      <c r="G72" s="70"/>
      <c r="H72" s="72" t="str">
        <f t="shared" si="8"/>
        <v/>
      </c>
      <c r="I72" s="72" t="str">
        <f t="shared" si="9"/>
        <v/>
      </c>
      <c r="J72" s="70"/>
      <c r="K72" s="73" t="str">
        <f t="shared" ref="K72:K100" si="10">IF($B72="","",$B$4)</f>
        <v/>
      </c>
      <c r="L72" s="71"/>
      <c r="M72" s="71"/>
      <c r="N72" s="81" t="str">
        <f t="shared" ref="N72:N100" si="11">IF($B72="","",$B$3)</f>
        <v/>
      </c>
    </row>
    <row r="73" spans="1:14">
      <c r="A73" s="225"/>
      <c r="B73" s="68"/>
      <c r="C73" s="69"/>
      <c r="D73" s="213"/>
      <c r="E73" s="277"/>
      <c r="F73" s="69"/>
      <c r="G73" s="70"/>
      <c r="H73" s="72" t="str">
        <f t="shared" si="8"/>
        <v/>
      </c>
      <c r="I73" s="72" t="str">
        <f t="shared" si="9"/>
        <v/>
      </c>
      <c r="J73" s="70"/>
      <c r="K73" s="73" t="str">
        <f t="shared" si="10"/>
        <v/>
      </c>
      <c r="L73" s="71"/>
      <c r="M73" s="71"/>
      <c r="N73" s="81" t="str">
        <f t="shared" si="11"/>
        <v/>
      </c>
    </row>
    <row r="74" spans="1:14">
      <c r="A74" s="225"/>
      <c r="B74" s="68"/>
      <c r="C74" s="69"/>
      <c r="D74" s="213"/>
      <c r="E74" s="277"/>
      <c r="F74" s="69"/>
      <c r="G74" s="70"/>
      <c r="H74" s="72" t="str">
        <f t="shared" si="8"/>
        <v/>
      </c>
      <c r="I74" s="72" t="str">
        <f t="shared" si="9"/>
        <v/>
      </c>
      <c r="J74" s="70"/>
      <c r="K74" s="73" t="str">
        <f t="shared" si="10"/>
        <v/>
      </c>
      <c r="L74" s="71"/>
      <c r="M74" s="71"/>
      <c r="N74" s="81" t="str">
        <f t="shared" si="11"/>
        <v/>
      </c>
    </row>
    <row r="75" spans="1:14">
      <c r="A75" s="225"/>
      <c r="B75" s="68"/>
      <c r="C75" s="69"/>
      <c r="D75" s="213"/>
      <c r="E75" s="277"/>
      <c r="F75" s="69"/>
      <c r="G75" s="70"/>
      <c r="H75" s="72" t="str">
        <f t="shared" si="8"/>
        <v/>
      </c>
      <c r="I75" s="72" t="str">
        <f t="shared" si="9"/>
        <v/>
      </c>
      <c r="J75" s="70"/>
      <c r="K75" s="73" t="str">
        <f t="shared" si="10"/>
        <v/>
      </c>
      <c r="L75" s="71"/>
      <c r="M75" s="71"/>
      <c r="N75" s="81" t="str">
        <f t="shared" si="11"/>
        <v/>
      </c>
    </row>
    <row r="76" spans="1:14">
      <c r="A76" s="225"/>
      <c r="B76" s="68"/>
      <c r="C76" s="69"/>
      <c r="D76" s="213"/>
      <c r="E76" s="277"/>
      <c r="F76" s="69"/>
      <c r="G76" s="70"/>
      <c r="H76" s="72" t="str">
        <f t="shared" si="8"/>
        <v/>
      </c>
      <c r="I76" s="72" t="str">
        <f t="shared" si="9"/>
        <v/>
      </c>
      <c r="J76" s="70"/>
      <c r="K76" s="73" t="str">
        <f t="shared" si="10"/>
        <v/>
      </c>
      <c r="L76" s="71"/>
      <c r="M76" s="71"/>
      <c r="N76" s="81" t="str">
        <f t="shared" si="11"/>
        <v/>
      </c>
    </row>
    <row r="77" spans="1:14">
      <c r="A77" s="225"/>
      <c r="B77" s="68"/>
      <c r="C77" s="69"/>
      <c r="D77" s="213"/>
      <c r="E77" s="277"/>
      <c r="F77" s="69"/>
      <c r="G77" s="70"/>
      <c r="H77" s="72" t="str">
        <f t="shared" si="8"/>
        <v/>
      </c>
      <c r="I77" s="72" t="str">
        <f t="shared" si="9"/>
        <v/>
      </c>
      <c r="J77" s="70"/>
      <c r="K77" s="73" t="str">
        <f t="shared" si="10"/>
        <v/>
      </c>
      <c r="L77" s="71"/>
      <c r="M77" s="71"/>
      <c r="N77" s="81" t="str">
        <f t="shared" si="11"/>
        <v/>
      </c>
    </row>
    <row r="78" spans="1:14">
      <c r="A78" s="82"/>
      <c r="B78" s="68"/>
      <c r="C78" s="69"/>
      <c r="D78" s="213"/>
      <c r="E78" s="277"/>
      <c r="F78" s="69"/>
      <c r="G78" s="70"/>
      <c r="H78" s="72" t="str">
        <f t="shared" si="8"/>
        <v/>
      </c>
      <c r="I78" s="72" t="str">
        <f t="shared" si="9"/>
        <v/>
      </c>
      <c r="J78" s="70"/>
      <c r="K78" s="73" t="str">
        <f t="shared" si="10"/>
        <v/>
      </c>
      <c r="L78" s="71"/>
      <c r="M78" s="71"/>
      <c r="N78" s="81" t="str">
        <f t="shared" si="11"/>
        <v/>
      </c>
    </row>
    <row r="79" spans="1:14">
      <c r="A79" s="82"/>
      <c r="B79" s="68"/>
      <c r="C79" s="69"/>
      <c r="D79" s="213"/>
      <c r="E79" s="277"/>
      <c r="F79" s="69"/>
      <c r="G79" s="70"/>
      <c r="H79" s="72" t="str">
        <f t="shared" si="8"/>
        <v/>
      </c>
      <c r="I79" s="72" t="str">
        <f t="shared" si="9"/>
        <v/>
      </c>
      <c r="J79" s="70"/>
      <c r="K79" s="73" t="str">
        <f t="shared" si="10"/>
        <v/>
      </c>
      <c r="L79" s="71"/>
      <c r="M79" s="71"/>
      <c r="N79" s="81" t="str">
        <f t="shared" si="11"/>
        <v/>
      </c>
    </row>
    <row r="80" spans="1:14">
      <c r="A80" s="82"/>
      <c r="B80" s="68"/>
      <c r="C80" s="69"/>
      <c r="D80" s="213"/>
      <c r="E80" s="277"/>
      <c r="F80" s="69"/>
      <c r="G80" s="70"/>
      <c r="H80" s="72" t="str">
        <f t="shared" si="8"/>
        <v/>
      </c>
      <c r="I80" s="72" t="str">
        <f t="shared" si="9"/>
        <v/>
      </c>
      <c r="J80" s="70"/>
      <c r="K80" s="73" t="str">
        <f t="shared" si="10"/>
        <v/>
      </c>
      <c r="L80" s="71"/>
      <c r="M80" s="71"/>
      <c r="N80" s="81" t="str">
        <f t="shared" si="11"/>
        <v/>
      </c>
    </row>
    <row r="81" spans="1:14">
      <c r="A81" s="82"/>
      <c r="B81" s="68"/>
      <c r="C81" s="69"/>
      <c r="D81" s="213"/>
      <c r="E81" s="277"/>
      <c r="F81" s="69"/>
      <c r="G81" s="70"/>
      <c r="H81" s="72" t="str">
        <f t="shared" si="8"/>
        <v/>
      </c>
      <c r="I81" s="72" t="str">
        <f t="shared" si="9"/>
        <v/>
      </c>
      <c r="J81" s="70"/>
      <c r="K81" s="73" t="str">
        <f t="shared" si="10"/>
        <v/>
      </c>
      <c r="L81" s="71"/>
      <c r="M81" s="71"/>
      <c r="N81" s="81" t="str">
        <f t="shared" si="11"/>
        <v/>
      </c>
    </row>
    <row r="82" spans="1:14">
      <c r="A82" s="82"/>
      <c r="B82" s="68"/>
      <c r="C82" s="69"/>
      <c r="D82" s="213"/>
      <c r="E82" s="277"/>
      <c r="F82" s="69"/>
      <c r="G82" s="70"/>
      <c r="H82" s="72" t="str">
        <f t="shared" si="8"/>
        <v/>
      </c>
      <c r="I82" s="72" t="str">
        <f t="shared" si="9"/>
        <v/>
      </c>
      <c r="J82" s="70"/>
      <c r="K82" s="73" t="str">
        <f t="shared" si="10"/>
        <v/>
      </c>
      <c r="L82" s="71"/>
      <c r="M82" s="71"/>
      <c r="N82" s="81" t="str">
        <f t="shared" si="11"/>
        <v/>
      </c>
    </row>
    <row r="83" spans="1:14">
      <c r="A83" s="82"/>
      <c r="B83" s="68"/>
      <c r="C83" s="69"/>
      <c r="D83" s="213"/>
      <c r="E83" s="277"/>
      <c r="F83" s="69"/>
      <c r="G83" s="70"/>
      <c r="H83" s="72" t="str">
        <f t="shared" si="8"/>
        <v/>
      </c>
      <c r="I83" s="72" t="str">
        <f t="shared" si="9"/>
        <v/>
      </c>
      <c r="J83" s="70"/>
      <c r="K83" s="73" t="str">
        <f t="shared" si="10"/>
        <v/>
      </c>
      <c r="L83" s="71"/>
      <c r="M83" s="71"/>
      <c r="N83" s="81" t="str">
        <f t="shared" si="11"/>
        <v/>
      </c>
    </row>
    <row r="84" spans="1:14">
      <c r="A84" s="82"/>
      <c r="B84" s="68"/>
      <c r="C84" s="69"/>
      <c r="D84" s="213"/>
      <c r="E84" s="277"/>
      <c r="F84" s="69"/>
      <c r="G84" s="70"/>
      <c r="H84" s="72" t="str">
        <f t="shared" si="8"/>
        <v/>
      </c>
      <c r="I84" s="72" t="str">
        <f t="shared" si="9"/>
        <v/>
      </c>
      <c r="J84" s="70"/>
      <c r="K84" s="73" t="str">
        <f t="shared" si="10"/>
        <v/>
      </c>
      <c r="L84" s="71"/>
      <c r="M84" s="71"/>
      <c r="N84" s="81" t="str">
        <f t="shared" si="11"/>
        <v/>
      </c>
    </row>
    <row r="85" spans="1:14">
      <c r="A85" s="82"/>
      <c r="B85" s="68"/>
      <c r="C85" s="69"/>
      <c r="D85" s="213"/>
      <c r="E85" s="277"/>
      <c r="F85" s="69"/>
      <c r="G85" s="70"/>
      <c r="H85" s="72" t="str">
        <f t="shared" si="8"/>
        <v/>
      </c>
      <c r="I85" s="72" t="str">
        <f t="shared" si="9"/>
        <v/>
      </c>
      <c r="J85" s="70"/>
      <c r="K85" s="73" t="str">
        <f t="shared" si="10"/>
        <v/>
      </c>
      <c r="L85" s="71"/>
      <c r="M85" s="71"/>
      <c r="N85" s="81" t="str">
        <f t="shared" si="11"/>
        <v/>
      </c>
    </row>
    <row r="86" spans="1:14">
      <c r="A86" s="82"/>
      <c r="B86" s="68"/>
      <c r="C86" s="69"/>
      <c r="D86" s="213"/>
      <c r="E86" s="277"/>
      <c r="F86" s="69"/>
      <c r="G86" s="70"/>
      <c r="H86" s="72" t="str">
        <f t="shared" si="8"/>
        <v/>
      </c>
      <c r="I86" s="72" t="str">
        <f t="shared" si="9"/>
        <v/>
      </c>
      <c r="J86" s="70"/>
      <c r="K86" s="73" t="str">
        <f t="shared" si="10"/>
        <v/>
      </c>
      <c r="L86" s="71"/>
      <c r="M86" s="71"/>
      <c r="N86" s="81" t="str">
        <f t="shared" si="11"/>
        <v/>
      </c>
    </row>
    <row r="87" spans="1:14">
      <c r="A87" s="82"/>
      <c r="B87" s="68"/>
      <c r="C87" s="69"/>
      <c r="D87" s="213"/>
      <c r="E87" s="277"/>
      <c r="F87" s="69"/>
      <c r="G87" s="70"/>
      <c r="H87" s="72" t="str">
        <f t="shared" si="8"/>
        <v/>
      </c>
      <c r="I87" s="72" t="str">
        <f t="shared" si="9"/>
        <v/>
      </c>
      <c r="J87" s="70"/>
      <c r="K87" s="73" t="str">
        <f t="shared" si="10"/>
        <v/>
      </c>
      <c r="L87" s="71"/>
      <c r="M87" s="71"/>
      <c r="N87" s="81" t="str">
        <f t="shared" si="11"/>
        <v/>
      </c>
    </row>
    <row r="88" spans="1:14">
      <c r="A88" s="82"/>
      <c r="B88" s="68"/>
      <c r="C88" s="69"/>
      <c r="D88" s="213"/>
      <c r="E88" s="277"/>
      <c r="F88" s="69"/>
      <c r="G88" s="70"/>
      <c r="H88" s="72" t="str">
        <f t="shared" si="8"/>
        <v/>
      </c>
      <c r="I88" s="72" t="str">
        <f t="shared" si="9"/>
        <v/>
      </c>
      <c r="J88" s="70"/>
      <c r="K88" s="73" t="str">
        <f t="shared" si="10"/>
        <v/>
      </c>
      <c r="L88" s="71"/>
      <c r="M88" s="71"/>
      <c r="N88" s="81" t="str">
        <f t="shared" si="11"/>
        <v/>
      </c>
    </row>
    <row r="89" spans="1:14">
      <c r="A89" s="82"/>
      <c r="B89" s="68"/>
      <c r="C89" s="69"/>
      <c r="D89" s="213"/>
      <c r="E89" s="277"/>
      <c r="F89" s="69"/>
      <c r="G89" s="70"/>
      <c r="H89" s="72" t="str">
        <f t="shared" si="8"/>
        <v/>
      </c>
      <c r="I89" s="72" t="str">
        <f t="shared" si="9"/>
        <v/>
      </c>
      <c r="J89" s="70"/>
      <c r="K89" s="73" t="str">
        <f t="shared" si="10"/>
        <v/>
      </c>
      <c r="L89" s="71"/>
      <c r="M89" s="71"/>
      <c r="N89" s="81" t="str">
        <f t="shared" si="11"/>
        <v/>
      </c>
    </row>
    <row r="90" spans="1:14">
      <c r="A90" s="82"/>
      <c r="B90" s="68"/>
      <c r="C90" s="69"/>
      <c r="D90" s="213"/>
      <c r="E90" s="277"/>
      <c r="F90" s="69"/>
      <c r="G90" s="70"/>
      <c r="H90" s="72" t="str">
        <f t="shared" si="8"/>
        <v/>
      </c>
      <c r="I90" s="72" t="str">
        <f t="shared" si="9"/>
        <v/>
      </c>
      <c r="J90" s="70"/>
      <c r="K90" s="73" t="str">
        <f t="shared" si="10"/>
        <v/>
      </c>
      <c r="L90" s="71"/>
      <c r="M90" s="71"/>
      <c r="N90" s="81" t="str">
        <f t="shared" si="11"/>
        <v/>
      </c>
    </row>
    <row r="91" spans="1:14">
      <c r="A91" s="82"/>
      <c r="B91" s="68"/>
      <c r="C91" s="69"/>
      <c r="D91" s="213"/>
      <c r="E91" s="277"/>
      <c r="F91" s="69"/>
      <c r="G91" s="70"/>
      <c r="H91" s="72" t="str">
        <f t="shared" si="8"/>
        <v/>
      </c>
      <c r="I91" s="72" t="str">
        <f t="shared" si="9"/>
        <v/>
      </c>
      <c r="J91" s="70"/>
      <c r="K91" s="73" t="str">
        <f t="shared" si="10"/>
        <v/>
      </c>
      <c r="L91" s="71"/>
      <c r="M91" s="71"/>
      <c r="N91" s="81" t="str">
        <f t="shared" si="11"/>
        <v/>
      </c>
    </row>
    <row r="92" spans="1:14">
      <c r="A92" s="82"/>
      <c r="B92" s="68"/>
      <c r="C92" s="69"/>
      <c r="D92" s="213"/>
      <c r="E92" s="277"/>
      <c r="F92" s="69"/>
      <c r="G92" s="70"/>
      <c r="H92" s="72" t="str">
        <f t="shared" si="8"/>
        <v/>
      </c>
      <c r="I92" s="72" t="str">
        <f t="shared" si="9"/>
        <v/>
      </c>
      <c r="J92" s="70"/>
      <c r="K92" s="73" t="str">
        <f t="shared" si="10"/>
        <v/>
      </c>
      <c r="L92" s="71"/>
      <c r="M92" s="71"/>
      <c r="N92" s="81" t="str">
        <f t="shared" si="11"/>
        <v/>
      </c>
    </row>
    <row r="93" spans="1:14">
      <c r="A93" s="82"/>
      <c r="B93" s="68"/>
      <c r="C93" s="69"/>
      <c r="D93" s="213"/>
      <c r="E93" s="277"/>
      <c r="F93" s="69"/>
      <c r="G93" s="70"/>
      <c r="H93" s="72" t="str">
        <f t="shared" si="8"/>
        <v/>
      </c>
      <c r="I93" s="72" t="str">
        <f t="shared" si="9"/>
        <v/>
      </c>
      <c r="J93" s="70"/>
      <c r="K93" s="73" t="str">
        <f t="shared" si="10"/>
        <v/>
      </c>
      <c r="L93" s="71"/>
      <c r="M93" s="71"/>
      <c r="N93" s="81" t="str">
        <f t="shared" si="11"/>
        <v/>
      </c>
    </row>
    <row r="94" spans="1:14">
      <c r="A94" s="82"/>
      <c r="B94" s="68"/>
      <c r="C94" s="69"/>
      <c r="D94" s="213"/>
      <c r="E94" s="277"/>
      <c r="F94" s="69"/>
      <c r="G94" s="70"/>
      <c r="H94" s="72" t="str">
        <f t="shared" si="8"/>
        <v/>
      </c>
      <c r="I94" s="72" t="str">
        <f t="shared" si="9"/>
        <v/>
      </c>
      <c r="J94" s="70"/>
      <c r="K94" s="73" t="str">
        <f t="shared" si="10"/>
        <v/>
      </c>
      <c r="L94" s="71"/>
      <c r="M94" s="71"/>
      <c r="N94" s="81" t="str">
        <f t="shared" si="11"/>
        <v/>
      </c>
    </row>
    <row r="95" spans="1:14">
      <c r="A95" s="82"/>
      <c r="B95" s="68"/>
      <c r="C95" s="69"/>
      <c r="D95" s="213"/>
      <c r="E95" s="277"/>
      <c r="F95" s="69"/>
      <c r="G95" s="70"/>
      <c r="H95" s="72" t="str">
        <f t="shared" si="8"/>
        <v/>
      </c>
      <c r="I95" s="72" t="str">
        <f t="shared" si="9"/>
        <v/>
      </c>
      <c r="J95" s="70"/>
      <c r="K95" s="73" t="str">
        <f t="shared" si="10"/>
        <v/>
      </c>
      <c r="L95" s="71"/>
      <c r="M95" s="71"/>
      <c r="N95" s="81" t="str">
        <f t="shared" si="11"/>
        <v/>
      </c>
    </row>
    <row r="96" spans="1:14">
      <c r="A96" s="82"/>
      <c r="B96" s="68"/>
      <c r="C96" s="69"/>
      <c r="D96" s="213"/>
      <c r="E96" s="277"/>
      <c r="F96" s="69"/>
      <c r="G96" s="70"/>
      <c r="H96" s="72" t="str">
        <f t="shared" ref="H96:H100" si="12">IF($G96="","",G96*0.1)</f>
        <v/>
      </c>
      <c r="I96" s="72" t="str">
        <f t="shared" ref="I96:I100" si="13">IF($G96="","",G96+H96)</f>
        <v/>
      </c>
      <c r="J96" s="70"/>
      <c r="K96" s="73" t="str">
        <f t="shared" si="10"/>
        <v/>
      </c>
      <c r="L96" s="71"/>
      <c r="M96" s="71"/>
      <c r="N96" s="81" t="str">
        <f t="shared" si="11"/>
        <v/>
      </c>
    </row>
    <row r="97" spans="1:14">
      <c r="A97" s="82"/>
      <c r="B97" s="68"/>
      <c r="C97" s="69"/>
      <c r="D97" s="213"/>
      <c r="E97" s="277"/>
      <c r="F97" s="69"/>
      <c r="G97" s="70"/>
      <c r="H97" s="72" t="str">
        <f t="shared" si="12"/>
        <v/>
      </c>
      <c r="I97" s="72" t="str">
        <f t="shared" si="13"/>
        <v/>
      </c>
      <c r="J97" s="70"/>
      <c r="K97" s="73" t="str">
        <f t="shared" si="10"/>
        <v/>
      </c>
      <c r="L97" s="71"/>
      <c r="M97" s="71"/>
      <c r="N97" s="81" t="str">
        <f t="shared" si="11"/>
        <v/>
      </c>
    </row>
    <row r="98" spans="1:14">
      <c r="A98" s="82"/>
      <c r="B98" s="68"/>
      <c r="C98" s="69"/>
      <c r="D98" s="213"/>
      <c r="E98" s="277"/>
      <c r="F98" s="69"/>
      <c r="G98" s="70"/>
      <c r="H98" s="72" t="str">
        <f t="shared" si="12"/>
        <v/>
      </c>
      <c r="I98" s="72" t="str">
        <f t="shared" si="13"/>
        <v/>
      </c>
      <c r="J98" s="70"/>
      <c r="K98" s="73" t="str">
        <f t="shared" si="10"/>
        <v/>
      </c>
      <c r="L98" s="71"/>
      <c r="M98" s="71"/>
      <c r="N98" s="81" t="str">
        <f t="shared" si="11"/>
        <v/>
      </c>
    </row>
    <row r="99" spans="1:14">
      <c r="A99" s="82"/>
      <c r="B99" s="68"/>
      <c r="C99" s="69"/>
      <c r="D99" s="213"/>
      <c r="E99" s="277"/>
      <c r="F99" s="69"/>
      <c r="G99" s="70"/>
      <c r="H99" s="72" t="str">
        <f t="shared" si="12"/>
        <v/>
      </c>
      <c r="I99" s="72" t="str">
        <f t="shared" si="13"/>
        <v/>
      </c>
      <c r="J99" s="70"/>
      <c r="K99" s="73" t="str">
        <f t="shared" si="10"/>
        <v/>
      </c>
      <c r="L99" s="71"/>
      <c r="M99" s="71"/>
      <c r="N99" s="81" t="str">
        <f t="shared" si="11"/>
        <v/>
      </c>
    </row>
    <row r="100" spans="1:14">
      <c r="A100" s="82"/>
      <c r="B100" s="68"/>
      <c r="C100" s="69"/>
      <c r="D100" s="213"/>
      <c r="E100" s="277"/>
      <c r="F100" s="69"/>
      <c r="G100" s="70"/>
      <c r="H100" s="72" t="str">
        <f t="shared" si="12"/>
        <v/>
      </c>
      <c r="I100" s="72" t="str">
        <f t="shared" si="13"/>
        <v/>
      </c>
      <c r="J100" s="70"/>
      <c r="K100" s="73" t="str">
        <f t="shared" si="10"/>
        <v/>
      </c>
      <c r="L100" s="71"/>
      <c r="M100" s="71"/>
      <c r="N100" s="81" t="str">
        <f t="shared" si="11"/>
        <v/>
      </c>
    </row>
  </sheetData>
  <mergeCells count="1">
    <mergeCell ref="A1:N1"/>
  </mergeCells>
  <phoneticPr fontId="2" type="noConversion"/>
  <conditionalFormatting sqref="G17">
    <cfRule type="expression" dxfId="43" priority="3">
      <formula>FIND("대기",$O17,1)=1</formula>
    </cfRule>
    <cfRule type="expression" dxfId="42" priority="4">
      <formula>FIND("발행",$O17,1)=1</formula>
    </cfRule>
    <cfRule type="expression" dxfId="41" priority="5">
      <formula>FIND("대기",$O17,1)=1</formula>
    </cfRule>
    <cfRule type="expression" dxfId="40" priority="6">
      <formula>FIND("발행",$O17,1)=1</formula>
    </cfRule>
  </conditionalFormatting>
  <conditionalFormatting sqref="G31">
    <cfRule type="expression" dxfId="39" priority="9">
      <formula>FIND("발행",$N31,1)=1</formula>
    </cfRule>
    <cfRule type="expression" dxfId="38" priority="10">
      <formula>FIND("대기",$N31,1)=1</formula>
    </cfRule>
  </conditionalFormatting>
  <conditionalFormatting sqref="G41">
    <cfRule type="expression" dxfId="37" priority="7">
      <formula>FIND("발행",$N41,1)=1</formula>
    </cfRule>
    <cfRule type="expression" dxfId="36" priority="8">
      <formula>FIND("대기",$N41,1)=1</formula>
    </cfRule>
  </conditionalFormatting>
  <dataValidations count="1">
    <dataValidation type="list" allowBlank="1" showInputMessage="1" sqref="A7:A100" xr:uid="{00000000-0002-0000-0000-000000000000}">
      <formula1>"매입,매출"</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B050"/>
    <pageSetUpPr fitToPage="1"/>
  </sheetPr>
  <dimension ref="A1:S1225"/>
  <sheetViews>
    <sheetView showGridLines="0" workbookViewId="0">
      <pane ySplit="12" topLeftCell="A13" activePane="bottomLeft" state="frozen"/>
      <selection pane="bottomLeft" activeCell="D7" sqref="D7"/>
    </sheetView>
  </sheetViews>
  <sheetFormatPr defaultRowHeight="16.5"/>
  <cols>
    <col min="1" max="1" width="14" style="1" customWidth="1"/>
    <col min="2" max="2" width="24.875" style="43" customWidth="1"/>
    <col min="3" max="3" width="15.75" style="95" customWidth="1"/>
    <col min="4" max="4" width="16.5" style="95" customWidth="1"/>
    <col min="5" max="5" width="14.375" style="95" customWidth="1"/>
    <col min="6" max="6" width="24.625" customWidth="1"/>
    <col min="7" max="7" width="20.625" style="1" bestFit="1" customWidth="1"/>
    <col min="8" max="8" width="18.75" style="1" customWidth="1"/>
    <col min="9" max="9" width="42.5" bestFit="1" customWidth="1"/>
    <col min="10" max="10" width="14.25" customWidth="1"/>
    <col min="11" max="14" width="11.125" customWidth="1"/>
    <col min="15" max="15" width="10.875" bestFit="1" customWidth="1"/>
    <col min="16" max="17" width="11.875" bestFit="1" customWidth="1"/>
  </cols>
  <sheetData>
    <row r="1" spans="1:19" ht="27.75" customHeight="1">
      <c r="A1" s="315" t="s">
        <v>42</v>
      </c>
      <c r="B1" s="315"/>
      <c r="C1" s="315"/>
      <c r="D1" s="315"/>
      <c r="E1" s="315"/>
      <c r="F1" s="315"/>
      <c r="G1" s="315"/>
    </row>
    <row r="2" spans="1:19" ht="17.25" thickBot="1">
      <c r="E2" s="181"/>
      <c r="F2" s="181"/>
      <c r="G2" s="181"/>
      <c r="H2" s="181"/>
      <c r="I2" s="181"/>
      <c r="J2" s="181"/>
      <c r="K2" s="181"/>
      <c r="L2" s="181"/>
      <c r="M2" s="181"/>
      <c r="P2" s="16"/>
      <c r="Q2" s="16"/>
      <c r="R2" s="16"/>
      <c r="S2" s="16"/>
    </row>
    <row r="3" spans="1:19">
      <c r="A3" s="39" t="s">
        <v>34</v>
      </c>
      <c r="B3" s="44">
        <v>43466</v>
      </c>
      <c r="D3" s="96"/>
      <c r="E3" s="181"/>
      <c r="F3" s="181"/>
      <c r="G3" s="181"/>
      <c r="H3" s="181"/>
      <c r="I3" s="181"/>
      <c r="J3" s="181"/>
      <c r="K3" s="181"/>
      <c r="L3" s="181"/>
      <c r="M3" s="181"/>
      <c r="P3" s="16"/>
      <c r="Q3" s="16"/>
      <c r="R3" s="16"/>
      <c r="S3" s="16"/>
    </row>
    <row r="4" spans="1:19">
      <c r="A4" s="40" t="s">
        <v>35</v>
      </c>
      <c r="B4" s="45">
        <v>46022</v>
      </c>
      <c r="C4" s="181"/>
      <c r="D4" s="181"/>
      <c r="E4" s="181"/>
      <c r="F4" s="181"/>
      <c r="G4" s="181"/>
      <c r="H4" s="181"/>
      <c r="I4" s="181"/>
      <c r="J4" s="181"/>
      <c r="K4" s="181"/>
      <c r="L4" s="181"/>
      <c r="M4" s="181"/>
      <c r="P4" s="16"/>
      <c r="Q4" s="16"/>
      <c r="R4" s="16"/>
      <c r="S4" s="16"/>
    </row>
    <row r="5" spans="1:19">
      <c r="A5" s="41" t="s">
        <v>39</v>
      </c>
      <c r="B5" s="46"/>
      <c r="C5" s="181"/>
      <c r="D5" s="181"/>
      <c r="E5" s="181"/>
      <c r="F5" s="181"/>
      <c r="G5" s="181"/>
      <c r="H5" s="181"/>
      <c r="I5" s="181"/>
      <c r="J5" s="181"/>
      <c r="K5" s="181"/>
      <c r="L5" s="181"/>
      <c r="M5" s="181"/>
      <c r="P5" s="16"/>
      <c r="Q5" s="16"/>
      <c r="R5" s="16"/>
      <c r="S5" s="16"/>
    </row>
    <row r="6" spans="1:19">
      <c r="A6" s="41" t="s">
        <v>36</v>
      </c>
      <c r="B6" s="46" t="s">
        <v>32</v>
      </c>
      <c r="C6" s="182"/>
      <c r="D6" s="181"/>
      <c r="E6" s="181"/>
      <c r="F6" s="181"/>
      <c r="G6" s="181"/>
      <c r="H6" s="181"/>
      <c r="I6" s="181"/>
      <c r="J6" s="181"/>
      <c r="K6" s="181"/>
      <c r="L6" s="181"/>
      <c r="M6" s="181"/>
      <c r="P6" s="16"/>
      <c r="Q6" s="16"/>
      <c r="R6" s="16"/>
      <c r="S6" s="16"/>
    </row>
    <row r="7" spans="1:19">
      <c r="A7" s="41" t="s">
        <v>10</v>
      </c>
      <c r="B7" s="46" t="s">
        <v>3224</v>
      </c>
      <c r="C7" s="202"/>
      <c r="D7" s="203"/>
      <c r="E7" s="203"/>
      <c r="F7" s="203"/>
      <c r="G7" s="203"/>
      <c r="H7" s="203"/>
      <c r="J7" s="17"/>
      <c r="P7" s="16"/>
      <c r="Q7" s="16"/>
      <c r="R7" s="16"/>
      <c r="S7" s="16"/>
    </row>
    <row r="8" spans="1:19" ht="17.25" thickBot="1">
      <c r="A8" s="42" t="s">
        <v>9</v>
      </c>
      <c r="B8" s="46"/>
      <c r="C8" s="202"/>
      <c r="D8" s="203"/>
      <c r="E8" s="203"/>
      <c r="F8" s="203"/>
      <c r="G8" s="203"/>
      <c r="H8" s="203"/>
    </row>
    <row r="9" spans="1:19">
      <c r="C9" s="205"/>
    </row>
    <row r="10" spans="1:19" ht="31.5">
      <c r="A10" s="314" t="str">
        <f>B7</f>
        <v>고이건설</v>
      </c>
      <c r="B10" s="314"/>
      <c r="C10" s="314"/>
      <c r="D10" s="314"/>
      <c r="E10" s="314"/>
      <c r="F10" s="314"/>
      <c r="G10" s="314"/>
      <c r="H10" s="314"/>
    </row>
    <row r="11" spans="1:19" ht="17.25">
      <c r="A11" s="14"/>
      <c r="B11" s="316"/>
      <c r="C11" s="316"/>
      <c r="D11" s="316"/>
      <c r="E11" s="316"/>
      <c r="F11" s="15"/>
      <c r="G11" s="97"/>
    </row>
    <row r="12" spans="1:19" ht="17.25">
      <c r="A12" s="99" t="s">
        <v>2240</v>
      </c>
      <c r="B12" s="100" t="s">
        <v>62</v>
      </c>
      <c r="C12" s="101" t="s">
        <v>3220</v>
      </c>
      <c r="D12" s="101" t="s">
        <v>3221</v>
      </c>
      <c r="E12" s="101" t="s">
        <v>63</v>
      </c>
      <c r="F12" s="102" t="s">
        <v>8</v>
      </c>
      <c r="G12" s="102" t="s">
        <v>86</v>
      </c>
      <c r="H12" s="102" t="s">
        <v>38</v>
      </c>
    </row>
    <row r="13" spans="1:19">
      <c r="A13" s="98">
        <v>45869</v>
      </c>
      <c r="B13" s="43" t="s">
        <v>2986</v>
      </c>
      <c r="C13" s="240">
        <v>3740000</v>
      </c>
      <c r="D13" s="240"/>
      <c r="E13" s="95">
        <v>3740000</v>
      </c>
      <c r="F13" t="s">
        <v>2988</v>
      </c>
      <c r="G13" s="229"/>
      <c r="H13" s="1" t="s">
        <v>44</v>
      </c>
    </row>
    <row r="14" spans="1:19">
      <c r="A14" s="98">
        <v>45883</v>
      </c>
      <c r="B14" s="43" t="s">
        <v>77</v>
      </c>
      <c r="C14" s="238"/>
      <c r="D14" s="238">
        <v>3740000</v>
      </c>
      <c r="E14" s="95">
        <v>0</v>
      </c>
      <c r="F14" t="s">
        <v>2988</v>
      </c>
      <c r="H14" s="1" t="s">
        <v>44</v>
      </c>
    </row>
    <row r="15" spans="1:19">
      <c r="A15" s="98"/>
      <c r="B15" s="43" t="s">
        <v>22</v>
      </c>
      <c r="C15" s="238">
        <v>3740000</v>
      </c>
      <c r="D15" s="238">
        <v>3740000</v>
      </c>
      <c r="E15" s="95">
        <v>0</v>
      </c>
    </row>
    <row r="16" spans="1:19">
      <c r="A16" s="98"/>
      <c r="C16" s="238"/>
      <c r="D16" s="238"/>
    </row>
    <row r="17" spans="1:7">
      <c r="A17" s="98"/>
      <c r="C17" s="238"/>
      <c r="D17" s="238"/>
    </row>
    <row r="18" spans="1:7">
      <c r="A18" s="98"/>
      <c r="C18" s="238"/>
      <c r="D18" s="238"/>
    </row>
    <row r="19" spans="1:7">
      <c r="A19" s="98"/>
      <c r="C19" s="238"/>
      <c r="D19" s="238"/>
    </row>
    <row r="20" spans="1:7">
      <c r="A20" s="98"/>
      <c r="C20" s="238"/>
      <c r="D20" s="238"/>
    </row>
    <row r="21" spans="1:7">
      <c r="A21" s="98"/>
      <c r="C21" s="238"/>
      <c r="D21" s="238"/>
    </row>
    <row r="22" spans="1:7">
      <c r="A22" s="98"/>
      <c r="C22" s="238"/>
      <c r="D22" s="238"/>
    </row>
    <row r="23" spans="1:7">
      <c r="A23" s="98"/>
      <c r="C23" s="238"/>
      <c r="D23" s="238"/>
      <c r="G23" s="229"/>
    </row>
    <row r="24" spans="1:7">
      <c r="A24" s="98"/>
      <c r="C24" s="238"/>
      <c r="D24" s="238"/>
    </row>
    <row r="25" spans="1:7">
      <c r="A25" s="98"/>
      <c r="C25" s="238"/>
      <c r="D25" s="238"/>
    </row>
    <row r="26" spans="1:7">
      <c r="A26" s="98"/>
      <c r="C26" s="238"/>
      <c r="D26" s="238"/>
    </row>
    <row r="27" spans="1:7">
      <c r="A27" s="98"/>
      <c r="C27" s="238"/>
      <c r="D27" s="238"/>
    </row>
    <row r="28" spans="1:7">
      <c r="A28" s="98"/>
      <c r="C28" s="238"/>
      <c r="D28" s="238"/>
    </row>
    <row r="29" spans="1:7">
      <c r="A29" s="98"/>
      <c r="C29" s="238"/>
      <c r="D29" s="238"/>
    </row>
    <row r="30" spans="1:7">
      <c r="A30" s="98"/>
      <c r="C30" s="238"/>
      <c r="D30" s="238"/>
    </row>
    <row r="31" spans="1:7">
      <c r="A31" s="98"/>
      <c r="C31" s="238"/>
      <c r="D31" s="238"/>
    </row>
    <row r="32" spans="1:7">
      <c r="A32" s="98"/>
      <c r="C32" s="238"/>
      <c r="D32" s="238"/>
    </row>
    <row r="33" spans="1:7">
      <c r="A33" s="98"/>
      <c r="C33" s="240"/>
      <c r="D33" s="240"/>
    </row>
    <row r="34" spans="1:7">
      <c r="A34" s="98"/>
      <c r="C34" s="238"/>
      <c r="D34" s="238"/>
      <c r="G34" s="229"/>
    </row>
    <row r="35" spans="1:7">
      <c r="A35" s="98"/>
      <c r="C35" s="240"/>
      <c r="D35" s="240"/>
    </row>
    <row r="36" spans="1:7">
      <c r="A36" s="98"/>
      <c r="C36" s="238"/>
      <c r="D36" s="238"/>
    </row>
    <row r="37" spans="1:7">
      <c r="A37" s="98"/>
      <c r="C37" s="238"/>
      <c r="D37" s="238"/>
    </row>
    <row r="38" spans="1:7">
      <c r="A38" s="98"/>
      <c r="C38" s="238"/>
      <c r="D38" s="238"/>
    </row>
    <row r="39" spans="1:7">
      <c r="A39" s="98"/>
      <c r="C39" s="238"/>
      <c r="D39" s="238"/>
    </row>
    <row r="40" spans="1:7">
      <c r="A40" s="98"/>
      <c r="C40" s="238"/>
      <c r="D40" s="238"/>
    </row>
    <row r="41" spans="1:7">
      <c r="A41" s="98"/>
      <c r="C41" s="238"/>
      <c r="D41" s="238"/>
    </row>
    <row r="42" spans="1:7">
      <c r="A42" s="98"/>
      <c r="C42" s="238"/>
      <c r="D42" s="238"/>
    </row>
    <row r="43" spans="1:7">
      <c r="A43" s="98"/>
      <c r="C43" s="238"/>
      <c r="D43" s="238"/>
    </row>
    <row r="44" spans="1:7">
      <c r="A44" s="98"/>
      <c r="C44" s="238"/>
      <c r="D44" s="238"/>
    </row>
    <row r="45" spans="1:7">
      <c r="A45" s="98"/>
      <c r="C45" s="238"/>
      <c r="D45" s="238"/>
      <c r="G45" s="229"/>
    </row>
    <row r="46" spans="1:7">
      <c r="A46" s="98"/>
      <c r="C46" s="240"/>
      <c r="D46" s="240"/>
      <c r="G46" s="229"/>
    </row>
    <row r="47" spans="1:7">
      <c r="A47" s="98"/>
      <c r="C47" s="238"/>
      <c r="D47" s="238"/>
      <c r="G47" s="231"/>
    </row>
    <row r="48" spans="1:7">
      <c r="A48" s="98"/>
      <c r="C48" s="238"/>
      <c r="D48" s="238"/>
    </row>
    <row r="49" spans="1:7">
      <c r="A49" s="98"/>
      <c r="C49" s="238"/>
      <c r="D49" s="238"/>
      <c r="G49" s="229"/>
    </row>
    <row r="50" spans="1:7">
      <c r="A50" s="98"/>
      <c r="C50" s="238"/>
      <c r="D50" s="238"/>
    </row>
    <row r="51" spans="1:7">
      <c r="A51" s="98"/>
      <c r="C51" s="238"/>
      <c r="D51" s="238"/>
    </row>
    <row r="52" spans="1:7">
      <c r="A52" s="98"/>
      <c r="C52" s="238"/>
      <c r="D52" s="238"/>
    </row>
    <row r="53" spans="1:7">
      <c r="A53" s="98"/>
      <c r="C53" s="238"/>
      <c r="D53" s="238"/>
    </row>
    <row r="54" spans="1:7">
      <c r="A54" s="98"/>
      <c r="C54" s="238"/>
      <c r="D54" s="238"/>
    </row>
    <row r="55" spans="1:7">
      <c r="A55" s="98"/>
      <c r="C55" s="240"/>
      <c r="D55" s="240"/>
    </row>
    <row r="56" spans="1:7">
      <c r="A56" s="98"/>
      <c r="C56" s="238"/>
      <c r="D56" s="238"/>
    </row>
    <row r="57" spans="1:7">
      <c r="A57" s="98"/>
      <c r="C57" s="240"/>
      <c r="D57" s="240"/>
    </row>
    <row r="58" spans="1:7">
      <c r="A58" s="98"/>
      <c r="C58" s="238"/>
      <c r="D58" s="238"/>
    </row>
    <row r="59" spans="1:7">
      <c r="A59" s="98"/>
      <c r="C59" s="240"/>
      <c r="D59" s="240"/>
    </row>
    <row r="60" spans="1:7">
      <c r="A60" s="98"/>
      <c r="C60" s="238"/>
      <c r="D60" s="238"/>
    </row>
    <row r="61" spans="1:7">
      <c r="A61" s="98"/>
      <c r="C61" s="238"/>
      <c r="D61" s="238"/>
    </row>
    <row r="62" spans="1:7">
      <c r="A62" s="98"/>
      <c r="C62" s="238"/>
      <c r="D62" s="238"/>
    </row>
    <row r="63" spans="1:7">
      <c r="A63" s="98"/>
      <c r="C63" s="238"/>
      <c r="D63" s="238"/>
    </row>
    <row r="64" spans="1:7">
      <c r="A64" s="98"/>
      <c r="C64" s="240"/>
      <c r="D64" s="240"/>
      <c r="G64" s="229"/>
    </row>
    <row r="65" spans="1:4">
      <c r="A65" s="98"/>
      <c r="C65" s="240"/>
      <c r="D65" s="240"/>
    </row>
    <row r="66" spans="1:4">
      <c r="A66" s="98"/>
      <c r="C66" s="238"/>
      <c r="D66" s="238"/>
    </row>
    <row r="67" spans="1:4">
      <c r="A67" s="98"/>
      <c r="C67" s="238"/>
      <c r="D67" s="238"/>
    </row>
    <row r="68" spans="1:4">
      <c r="A68" s="98"/>
      <c r="C68" s="238"/>
      <c r="D68" s="238"/>
    </row>
    <row r="69" spans="1:4">
      <c r="A69" s="98"/>
      <c r="C69" s="240"/>
      <c r="D69" s="240"/>
    </row>
    <row r="70" spans="1:4">
      <c r="A70" s="98"/>
      <c r="C70" s="238"/>
      <c r="D70" s="238"/>
    </row>
    <row r="71" spans="1:4">
      <c r="A71" s="98"/>
      <c r="C71" s="238"/>
      <c r="D71" s="238"/>
    </row>
    <row r="72" spans="1:4">
      <c r="A72" s="98"/>
      <c r="C72" s="238"/>
      <c r="D72" s="238"/>
    </row>
    <row r="73" spans="1:4">
      <c r="A73" s="98"/>
      <c r="C73" s="238"/>
      <c r="D73" s="238"/>
    </row>
    <row r="74" spans="1:4">
      <c r="A74" s="98"/>
      <c r="C74" s="238"/>
      <c r="D74" s="238"/>
    </row>
    <row r="75" spans="1:4">
      <c r="A75" s="98"/>
      <c r="C75" s="238"/>
      <c r="D75" s="238"/>
    </row>
    <row r="76" spans="1:4">
      <c r="A76" s="98"/>
      <c r="C76" s="240"/>
      <c r="D76" s="240"/>
    </row>
    <row r="77" spans="1:4">
      <c r="A77" s="98"/>
      <c r="C77" s="240"/>
      <c r="D77" s="240"/>
    </row>
    <row r="78" spans="1:4">
      <c r="A78" s="98"/>
      <c r="C78" s="238"/>
      <c r="D78" s="238"/>
    </row>
    <row r="79" spans="1:4">
      <c r="A79" s="98"/>
      <c r="C79" s="238"/>
      <c r="D79" s="238"/>
    </row>
    <row r="80" spans="1:4">
      <c r="A80" s="98"/>
      <c r="C80" s="238"/>
      <c r="D80" s="238"/>
    </row>
    <row r="81" spans="1:4">
      <c r="A81" s="98"/>
      <c r="C81" s="238"/>
      <c r="D81" s="238"/>
    </row>
    <row r="82" spans="1:4">
      <c r="A82" s="98"/>
      <c r="C82" s="238"/>
      <c r="D82" s="238"/>
    </row>
    <row r="83" spans="1:4">
      <c r="A83" s="98"/>
      <c r="C83" s="238"/>
      <c r="D83" s="238"/>
    </row>
    <row r="84" spans="1:4">
      <c r="A84" s="98"/>
      <c r="C84" s="238"/>
      <c r="D84" s="238"/>
    </row>
    <row r="85" spans="1:4">
      <c r="A85" s="98"/>
      <c r="C85" s="240"/>
      <c r="D85" s="240"/>
    </row>
    <row r="86" spans="1:4">
      <c r="A86" s="98"/>
      <c r="C86" s="238"/>
      <c r="D86" s="238"/>
    </row>
    <row r="87" spans="1:4">
      <c r="A87" s="98"/>
      <c r="C87" s="238"/>
      <c r="D87" s="238"/>
    </row>
    <row r="88" spans="1:4">
      <c r="A88" s="98"/>
      <c r="C88" s="238"/>
      <c r="D88" s="238"/>
    </row>
    <row r="89" spans="1:4">
      <c r="A89" s="98"/>
      <c r="C89" s="238"/>
      <c r="D89" s="238"/>
    </row>
    <row r="90" spans="1:4">
      <c r="A90" s="98"/>
      <c r="C90" s="238"/>
      <c r="D90" s="238"/>
    </row>
    <row r="91" spans="1:4">
      <c r="A91" s="98"/>
      <c r="C91" s="238"/>
      <c r="D91" s="238"/>
    </row>
    <row r="92" spans="1:4">
      <c r="A92" s="98"/>
      <c r="C92" s="238"/>
      <c r="D92" s="238"/>
    </row>
    <row r="93" spans="1:4">
      <c r="A93" s="98"/>
      <c r="C93" s="238"/>
      <c r="D93" s="238"/>
    </row>
    <row r="94" spans="1:4">
      <c r="A94" s="98"/>
      <c r="C94" s="240"/>
      <c r="D94" s="240"/>
    </row>
    <row r="95" spans="1:4">
      <c r="A95" s="98"/>
      <c r="C95" s="240"/>
      <c r="D95" s="240"/>
    </row>
    <row r="96" spans="1:4">
      <c r="A96" s="98"/>
      <c r="C96" s="238"/>
      <c r="D96" s="238"/>
    </row>
    <row r="97" spans="1:4">
      <c r="A97" s="98"/>
      <c r="C97" s="238"/>
      <c r="D97" s="238"/>
    </row>
    <row r="98" spans="1:4">
      <c r="A98" s="98"/>
      <c r="C98" s="238"/>
      <c r="D98" s="238"/>
    </row>
    <row r="99" spans="1:4">
      <c r="A99" s="98"/>
      <c r="C99" s="238"/>
      <c r="D99" s="238"/>
    </row>
    <row r="100" spans="1:4">
      <c r="A100" s="98"/>
      <c r="C100" s="238"/>
      <c r="D100" s="238"/>
    </row>
    <row r="101" spans="1:4">
      <c r="A101" s="98"/>
      <c r="C101" s="238"/>
      <c r="D101" s="238"/>
    </row>
    <row r="102" spans="1:4">
      <c r="A102" s="98"/>
      <c r="C102" s="238"/>
      <c r="D102" s="238"/>
    </row>
    <row r="103" spans="1:4">
      <c r="A103" s="98"/>
      <c r="C103" s="238"/>
      <c r="D103" s="238"/>
    </row>
    <row r="104" spans="1:4">
      <c r="A104" s="98"/>
      <c r="C104" s="240"/>
      <c r="D104" s="240"/>
    </row>
    <row r="105" spans="1:4">
      <c r="A105" s="98"/>
      <c r="C105" s="238"/>
      <c r="D105" s="238"/>
    </row>
    <row r="106" spans="1:4">
      <c r="A106" s="98"/>
      <c r="C106" s="238"/>
      <c r="D106" s="238"/>
    </row>
    <row r="107" spans="1:4">
      <c r="A107" s="98"/>
      <c r="C107" s="238"/>
      <c r="D107" s="238"/>
    </row>
    <row r="108" spans="1:4">
      <c r="A108" s="98"/>
      <c r="C108" s="238"/>
      <c r="D108" s="238"/>
    </row>
    <row r="109" spans="1:4">
      <c r="A109" s="98"/>
      <c r="C109" s="238"/>
      <c r="D109" s="238"/>
    </row>
    <row r="110" spans="1:4">
      <c r="A110" s="98"/>
      <c r="C110" s="238"/>
      <c r="D110" s="238"/>
    </row>
    <row r="111" spans="1:4">
      <c r="A111" s="98"/>
      <c r="C111" s="241"/>
      <c r="D111" s="241"/>
    </row>
    <row r="112" spans="1:4">
      <c r="A112" s="98"/>
      <c r="C112" s="238"/>
      <c r="D112" s="238"/>
    </row>
    <row r="113" spans="1:4">
      <c r="A113" s="98"/>
      <c r="C113" s="238"/>
      <c r="D113" s="238"/>
    </row>
    <row r="114" spans="1:4">
      <c r="A114" s="98"/>
      <c r="C114" s="238"/>
      <c r="D114" s="238"/>
    </row>
    <row r="115" spans="1:4">
      <c r="A115" s="98"/>
      <c r="C115" s="238"/>
      <c r="D115" s="238"/>
    </row>
    <row r="116" spans="1:4">
      <c r="A116" s="98"/>
      <c r="C116" s="238"/>
      <c r="D116" s="238"/>
    </row>
    <row r="117" spans="1:4">
      <c r="A117" s="98"/>
      <c r="C117" s="238"/>
      <c r="D117" s="238"/>
    </row>
    <row r="118" spans="1:4">
      <c r="A118" s="98"/>
      <c r="C118" s="238"/>
      <c r="D118" s="238"/>
    </row>
    <row r="119" spans="1:4">
      <c r="A119" s="98"/>
      <c r="C119" s="238"/>
      <c r="D119" s="238"/>
    </row>
    <row r="120" spans="1:4">
      <c r="A120" s="98"/>
      <c r="C120" s="238"/>
      <c r="D120" s="238"/>
    </row>
    <row r="121" spans="1:4">
      <c r="A121" s="98"/>
      <c r="C121" s="238"/>
      <c r="D121" s="238"/>
    </row>
    <row r="122" spans="1:4">
      <c r="A122" s="98"/>
      <c r="C122" s="240"/>
      <c r="D122" s="240"/>
    </row>
    <row r="123" spans="1:4">
      <c r="A123" s="98"/>
      <c r="C123" s="238"/>
      <c r="D123" s="238"/>
    </row>
    <row r="124" spans="1:4">
      <c r="A124" s="98"/>
      <c r="C124" s="238"/>
      <c r="D124" s="238"/>
    </row>
    <row r="125" spans="1:4">
      <c r="A125" s="98"/>
      <c r="C125" s="238"/>
      <c r="D125" s="238"/>
    </row>
    <row r="126" spans="1:4">
      <c r="A126" s="98"/>
      <c r="C126" s="238"/>
      <c r="D126" s="238"/>
    </row>
    <row r="127" spans="1:4">
      <c r="A127" s="98"/>
      <c r="C127" s="238"/>
      <c r="D127" s="238"/>
    </row>
    <row r="128" spans="1:4">
      <c r="A128" s="98"/>
      <c r="C128" s="240"/>
      <c r="D128" s="240"/>
    </row>
    <row r="129" spans="1:7">
      <c r="A129" s="98"/>
      <c r="C129" s="238"/>
      <c r="D129" s="238"/>
    </row>
    <row r="130" spans="1:7">
      <c r="A130" s="98"/>
      <c r="C130" s="238"/>
      <c r="D130" s="238"/>
    </row>
    <row r="131" spans="1:7">
      <c r="A131" s="98"/>
      <c r="C131" s="238"/>
      <c r="D131" s="238"/>
    </row>
    <row r="132" spans="1:7">
      <c r="A132" s="98"/>
      <c r="C132" s="238"/>
      <c r="D132" s="238"/>
    </row>
    <row r="133" spans="1:7">
      <c r="A133" s="98"/>
      <c r="C133" s="240"/>
      <c r="D133" s="240"/>
    </row>
    <row r="134" spans="1:7">
      <c r="A134" s="98"/>
      <c r="C134" s="241"/>
      <c r="D134" s="238"/>
    </row>
    <row r="135" spans="1:7">
      <c r="A135" s="98"/>
      <c r="C135" s="240"/>
      <c r="D135" s="240"/>
    </row>
    <row r="136" spans="1:7">
      <c r="A136" s="98"/>
      <c r="C136" s="240"/>
      <c r="D136" s="240"/>
    </row>
    <row r="137" spans="1:7">
      <c r="A137" s="98"/>
      <c r="C137" s="238"/>
      <c r="D137" s="238"/>
      <c r="G137" s="253"/>
    </row>
    <row r="138" spans="1:7">
      <c r="A138" s="98"/>
      <c r="C138" s="238"/>
      <c r="D138" s="238"/>
    </row>
    <row r="139" spans="1:7">
      <c r="A139" s="98"/>
      <c r="C139" s="241"/>
      <c r="D139" s="241"/>
    </row>
    <row r="140" spans="1:7">
      <c r="A140" s="98"/>
      <c r="C140" s="238"/>
      <c r="D140" s="238"/>
    </row>
    <row r="141" spans="1:7">
      <c r="A141" s="98"/>
      <c r="C141" s="238"/>
      <c r="D141" s="238"/>
    </row>
    <row r="142" spans="1:7">
      <c r="A142" s="98"/>
      <c r="C142" s="238"/>
      <c r="D142" s="238"/>
    </row>
    <row r="143" spans="1:7">
      <c r="A143" s="98"/>
      <c r="B143" s="237"/>
      <c r="C143" s="238"/>
      <c r="D143" s="238"/>
    </row>
    <row r="144" spans="1:7">
      <c r="A144" s="98"/>
      <c r="C144" s="238"/>
      <c r="D144" s="238"/>
    </row>
    <row r="145" spans="1:4">
      <c r="A145" s="98"/>
      <c r="C145" s="241"/>
      <c r="D145" s="238"/>
    </row>
    <row r="146" spans="1:4">
      <c r="A146" s="98"/>
      <c r="C146" s="241"/>
      <c r="D146" s="238"/>
    </row>
    <row r="147" spans="1:4">
      <c r="A147" s="98"/>
      <c r="C147" s="241"/>
      <c r="D147" s="238"/>
    </row>
    <row r="148" spans="1:4">
      <c r="A148" s="98"/>
      <c r="C148" s="238"/>
      <c r="D148" s="238"/>
    </row>
    <row r="149" spans="1:4">
      <c r="A149" s="98"/>
      <c r="C149" s="238"/>
      <c r="D149" s="238"/>
    </row>
    <row r="150" spans="1:4">
      <c r="A150" s="98"/>
      <c r="C150" s="242"/>
      <c r="D150" s="240"/>
    </row>
    <row r="151" spans="1:4">
      <c r="A151" s="98"/>
      <c r="C151" s="238"/>
      <c r="D151" s="238"/>
    </row>
    <row r="152" spans="1:4">
      <c r="A152" s="98"/>
      <c r="C152" s="238"/>
      <c r="D152" s="238"/>
    </row>
    <row r="153" spans="1:4">
      <c r="A153" s="98"/>
      <c r="C153" s="238"/>
      <c r="D153" s="238"/>
    </row>
    <row r="154" spans="1:4">
      <c r="A154" s="98"/>
      <c r="C154" s="240"/>
      <c r="D154" s="240"/>
    </row>
    <row r="155" spans="1:4">
      <c r="A155" s="98"/>
      <c r="C155" s="238"/>
      <c r="D155" s="238"/>
    </row>
    <row r="156" spans="1:4">
      <c r="A156" s="98"/>
      <c r="C156" s="238"/>
      <c r="D156" s="238"/>
    </row>
    <row r="157" spans="1:4">
      <c r="A157" s="98"/>
      <c r="C157" s="238"/>
      <c r="D157" s="238"/>
    </row>
    <row r="158" spans="1:4">
      <c r="A158" s="98"/>
      <c r="C158" s="238"/>
      <c r="D158" s="238"/>
    </row>
    <row r="159" spans="1:4">
      <c r="A159" s="98"/>
      <c r="B159" s="237"/>
      <c r="C159" s="238"/>
      <c r="D159" s="238"/>
    </row>
    <row r="160" spans="1:4">
      <c r="A160" s="98"/>
      <c r="C160" s="238"/>
      <c r="D160" s="238"/>
    </row>
    <row r="161" spans="1:4">
      <c r="A161" s="98"/>
      <c r="C161" s="241"/>
      <c r="D161" s="241"/>
    </row>
    <row r="162" spans="1:4">
      <c r="A162" s="98"/>
      <c r="C162" s="238"/>
      <c r="D162" s="238"/>
    </row>
    <row r="163" spans="1:4">
      <c r="A163" s="98"/>
      <c r="C163" s="238"/>
      <c r="D163" s="238"/>
    </row>
    <row r="164" spans="1:4">
      <c r="A164" s="98"/>
      <c r="B164" s="237"/>
      <c r="C164" s="238"/>
      <c r="D164" s="238"/>
    </row>
    <row r="165" spans="1:4">
      <c r="A165" s="98"/>
      <c r="C165" s="238"/>
      <c r="D165" s="238"/>
    </row>
    <row r="166" spans="1:4">
      <c r="A166" s="98"/>
      <c r="C166" s="241"/>
      <c r="D166" s="241"/>
    </row>
    <row r="167" spans="1:4">
      <c r="A167" s="98"/>
      <c r="C167" s="241"/>
      <c r="D167" s="238"/>
    </row>
    <row r="168" spans="1:4">
      <c r="A168" s="98"/>
      <c r="C168" s="240"/>
      <c r="D168" s="240"/>
    </row>
    <row r="169" spans="1:4">
      <c r="A169" s="98"/>
      <c r="B169" s="237"/>
      <c r="C169" s="238"/>
      <c r="D169" s="238"/>
    </row>
    <row r="170" spans="1:4">
      <c r="A170" s="98"/>
      <c r="C170" s="204"/>
      <c r="D170" s="204"/>
    </row>
    <row r="171" spans="1:4">
      <c r="A171" s="98"/>
      <c r="C171" s="238"/>
      <c r="D171" s="238"/>
    </row>
    <row r="172" spans="1:4">
      <c r="A172" s="98"/>
      <c r="C172" s="238"/>
      <c r="D172" s="238"/>
    </row>
    <row r="173" spans="1:4">
      <c r="A173" s="98"/>
      <c r="C173" s="238"/>
      <c r="D173" s="238"/>
    </row>
    <row r="174" spans="1:4">
      <c r="A174" s="98"/>
      <c r="C174" s="238"/>
      <c r="D174" s="238"/>
    </row>
    <row r="175" spans="1:4">
      <c r="A175" s="98"/>
      <c r="C175" s="238"/>
      <c r="D175" s="238"/>
    </row>
    <row r="176" spans="1:4">
      <c r="A176" s="98"/>
      <c r="C176" s="238"/>
      <c r="D176" s="238"/>
    </row>
    <row r="177" spans="1:4">
      <c r="A177" s="98"/>
      <c r="C177" s="204"/>
      <c r="D177" s="204"/>
    </row>
    <row r="178" spans="1:4">
      <c r="A178" s="98"/>
      <c r="C178" s="242"/>
      <c r="D178" s="242"/>
    </row>
    <row r="179" spans="1:4">
      <c r="A179" s="98"/>
      <c r="C179" s="241"/>
      <c r="D179" s="241"/>
    </row>
    <row r="180" spans="1:4">
      <c r="A180" s="98"/>
      <c r="B180" s="237"/>
      <c r="C180" s="238"/>
      <c r="D180" s="238"/>
    </row>
    <row r="181" spans="1:4">
      <c r="A181" s="98"/>
      <c r="C181" s="204"/>
      <c r="D181" s="204"/>
    </row>
    <row r="182" spans="1:4">
      <c r="A182" s="98"/>
      <c r="C182" s="238"/>
      <c r="D182" s="238"/>
    </row>
    <row r="183" spans="1:4">
      <c r="A183" s="98"/>
      <c r="C183" s="238"/>
      <c r="D183" s="238"/>
    </row>
    <row r="184" spans="1:4">
      <c r="A184" s="98"/>
      <c r="C184" s="238"/>
      <c r="D184" s="238"/>
    </row>
    <row r="185" spans="1:4">
      <c r="A185" s="98"/>
      <c r="C185" s="144"/>
      <c r="D185" s="144"/>
    </row>
    <row r="186" spans="1:4">
      <c r="A186" s="98"/>
      <c r="C186" s="204"/>
      <c r="D186" s="204"/>
    </row>
    <row r="187" spans="1:4">
      <c r="A187" s="98"/>
      <c r="C187" s="241"/>
      <c r="D187" s="241"/>
    </row>
    <row r="188" spans="1:4">
      <c r="A188" s="98"/>
      <c r="C188" s="241"/>
      <c r="D188" s="241"/>
    </row>
    <row r="189" spans="1:4">
      <c r="A189" s="98"/>
      <c r="C189" s="238"/>
      <c r="D189" s="238"/>
    </row>
    <row r="190" spans="1:4">
      <c r="A190" s="98"/>
      <c r="B190" s="237"/>
      <c r="C190" s="238"/>
      <c r="D190" s="238"/>
    </row>
    <row r="191" spans="1:4">
      <c r="A191" s="98"/>
      <c r="C191" s="204"/>
      <c r="D191" s="204"/>
    </row>
    <row r="192" spans="1:4">
      <c r="A192" s="98"/>
      <c r="C192" s="240"/>
      <c r="D192" s="240"/>
    </row>
    <row r="193" spans="1:4">
      <c r="A193" s="98"/>
      <c r="C193" s="204"/>
      <c r="D193" s="204"/>
    </row>
    <row r="194" spans="1:4">
      <c r="A194" s="98"/>
      <c r="C194" s="238"/>
      <c r="D194" s="238"/>
    </row>
    <row r="195" spans="1:4">
      <c r="A195" s="98"/>
      <c r="B195" s="237"/>
      <c r="C195" s="238"/>
      <c r="D195" s="238"/>
    </row>
    <row r="196" spans="1:4">
      <c r="A196" s="98"/>
      <c r="C196" s="238"/>
      <c r="D196" s="238"/>
    </row>
    <row r="197" spans="1:4">
      <c r="A197" s="98"/>
      <c r="C197" s="238"/>
      <c r="D197" s="238"/>
    </row>
    <row r="198" spans="1:4">
      <c r="A198" s="98"/>
      <c r="C198" s="144"/>
      <c r="D198" s="144"/>
    </row>
    <row r="199" spans="1:4">
      <c r="A199" s="98"/>
      <c r="C199" s="238"/>
      <c r="D199" s="238"/>
    </row>
    <row r="200" spans="1:4">
      <c r="A200" s="98"/>
      <c r="C200" s="144"/>
      <c r="D200" s="144"/>
    </row>
    <row r="201" spans="1:4">
      <c r="A201" s="98"/>
      <c r="C201" s="204"/>
      <c r="D201" s="204"/>
    </row>
    <row r="202" spans="1:4">
      <c r="A202" s="98"/>
      <c r="C202" s="204"/>
      <c r="D202" s="204"/>
    </row>
    <row r="203" spans="1:4">
      <c r="A203" s="98"/>
      <c r="C203" s="204"/>
      <c r="D203" s="204"/>
    </row>
    <row r="204" spans="1:4">
      <c r="A204" s="98"/>
      <c r="C204" s="204"/>
      <c r="D204" s="204"/>
    </row>
    <row r="205" spans="1:4">
      <c r="A205" s="98"/>
      <c r="C205" s="144"/>
      <c r="D205" s="144"/>
    </row>
    <row r="206" spans="1:4">
      <c r="A206" s="98"/>
      <c r="C206" s="204"/>
      <c r="D206" s="204"/>
    </row>
    <row r="207" spans="1:4">
      <c r="A207" s="98"/>
      <c r="C207" s="204"/>
      <c r="D207" s="204"/>
    </row>
    <row r="208" spans="1:4">
      <c r="A208" s="98"/>
      <c r="C208" s="204"/>
      <c r="D208" s="204"/>
    </row>
    <row r="209" spans="1:4">
      <c r="A209" s="98"/>
      <c r="C209" s="144"/>
      <c r="D209" s="144"/>
    </row>
    <row r="210" spans="1:4">
      <c r="A210" s="98"/>
      <c r="C210" s="204"/>
      <c r="D210" s="204"/>
    </row>
    <row r="211" spans="1:4">
      <c r="A211" s="98"/>
      <c r="C211" s="144"/>
      <c r="D211" s="144"/>
    </row>
    <row r="212" spans="1:4">
      <c r="A212" s="98"/>
      <c r="C212" s="204"/>
      <c r="D212" s="204"/>
    </row>
    <row r="213" spans="1:4">
      <c r="A213" s="98"/>
      <c r="C213" s="204"/>
      <c r="D213" s="204"/>
    </row>
    <row r="214" spans="1:4">
      <c r="A214" s="98"/>
      <c r="C214" s="204"/>
      <c r="D214" s="204"/>
    </row>
    <row r="215" spans="1:4">
      <c r="A215" s="98"/>
      <c r="C215" s="204"/>
      <c r="D215" s="204"/>
    </row>
    <row r="216" spans="1:4">
      <c r="A216" s="98"/>
      <c r="C216" s="204"/>
      <c r="D216" s="204"/>
    </row>
    <row r="217" spans="1:4">
      <c r="A217" s="98"/>
      <c r="C217" s="204"/>
      <c r="D217" s="204"/>
    </row>
    <row r="218" spans="1:4">
      <c r="A218" s="98"/>
      <c r="C218" s="204"/>
      <c r="D218" s="204"/>
    </row>
    <row r="219" spans="1:4">
      <c r="A219" s="98"/>
      <c r="C219" s="204"/>
      <c r="D219" s="204"/>
    </row>
    <row r="220" spans="1:4">
      <c r="A220" s="98"/>
      <c r="C220" s="204"/>
      <c r="D220" s="204"/>
    </row>
    <row r="221" spans="1:4">
      <c r="A221" s="98"/>
      <c r="C221" s="204"/>
      <c r="D221" s="204"/>
    </row>
    <row r="222" spans="1:4">
      <c r="A222" s="98"/>
      <c r="C222" s="204"/>
      <c r="D222" s="204"/>
    </row>
    <row r="223" spans="1:4">
      <c r="A223" s="98"/>
      <c r="C223" s="204"/>
      <c r="D223" s="204"/>
    </row>
    <row r="224" spans="1:4">
      <c r="A224" s="98"/>
      <c r="C224" s="204"/>
      <c r="D224" s="204"/>
    </row>
    <row r="225" spans="1:4">
      <c r="A225" s="98"/>
      <c r="C225" s="204"/>
      <c r="D225" s="204"/>
    </row>
    <row r="226" spans="1:4">
      <c r="A226" s="98"/>
      <c r="C226" s="204"/>
      <c r="D226" s="204"/>
    </row>
    <row r="227" spans="1:4">
      <c r="A227" s="98"/>
      <c r="C227" s="204"/>
      <c r="D227" s="204"/>
    </row>
    <row r="228" spans="1:4">
      <c r="A228" s="98"/>
      <c r="C228" s="204"/>
      <c r="D228" s="204"/>
    </row>
    <row r="229" spans="1:4">
      <c r="A229" s="98"/>
      <c r="C229" s="204"/>
      <c r="D229" s="204"/>
    </row>
    <row r="230" spans="1:4">
      <c r="A230" s="98"/>
      <c r="C230" s="204"/>
      <c r="D230" s="204"/>
    </row>
    <row r="231" spans="1:4">
      <c r="A231" s="98"/>
      <c r="C231" s="204"/>
      <c r="D231" s="204"/>
    </row>
    <row r="232" spans="1:4">
      <c r="A232" s="98"/>
      <c r="C232" s="204"/>
      <c r="D232" s="204"/>
    </row>
    <row r="233" spans="1:4">
      <c r="A233" s="98"/>
      <c r="C233" s="204"/>
      <c r="D233" s="204"/>
    </row>
    <row r="234" spans="1:4">
      <c r="A234" s="98"/>
      <c r="C234" s="204"/>
      <c r="D234" s="204"/>
    </row>
    <row r="235" spans="1:4">
      <c r="A235" s="98"/>
      <c r="C235" s="204"/>
      <c r="D235" s="204"/>
    </row>
    <row r="236" spans="1:4">
      <c r="A236" s="98"/>
      <c r="C236" s="204"/>
      <c r="D236" s="204"/>
    </row>
    <row r="237" spans="1:4">
      <c r="A237" s="98"/>
      <c r="C237" s="144"/>
      <c r="D237" s="144"/>
    </row>
    <row r="238" spans="1:4">
      <c r="A238" s="98"/>
      <c r="C238" s="204"/>
      <c r="D238" s="204"/>
    </row>
    <row r="239" spans="1:4">
      <c r="A239" s="98"/>
      <c r="C239" s="204"/>
      <c r="D239" s="204"/>
    </row>
    <row r="240" spans="1:4">
      <c r="A240" s="98"/>
      <c r="C240" s="204"/>
      <c r="D240" s="204"/>
    </row>
    <row r="241" spans="1:4">
      <c r="A241" s="98"/>
      <c r="C241" s="204"/>
      <c r="D241" s="204"/>
    </row>
    <row r="242" spans="1:4">
      <c r="A242" s="98"/>
      <c r="C242" s="204"/>
      <c r="D242" s="204"/>
    </row>
    <row r="243" spans="1:4">
      <c r="A243" s="98"/>
      <c r="C243" s="204"/>
      <c r="D243" s="204"/>
    </row>
    <row r="244" spans="1:4">
      <c r="A244" s="98"/>
    </row>
    <row r="245" spans="1:4">
      <c r="A245" s="98"/>
    </row>
    <row r="246" spans="1:4">
      <c r="A246" s="98"/>
    </row>
    <row r="247" spans="1:4">
      <c r="A247" s="98"/>
      <c r="C247" s="204"/>
      <c r="D247" s="204"/>
    </row>
    <row r="248" spans="1:4">
      <c r="A248" s="98"/>
    </row>
    <row r="249" spans="1:4">
      <c r="A249" s="98"/>
    </row>
    <row r="250" spans="1:4">
      <c r="A250" s="98"/>
      <c r="C250" s="16"/>
      <c r="D250" s="16"/>
    </row>
    <row r="251" spans="1:4">
      <c r="A251" s="98"/>
      <c r="C251" s="16"/>
      <c r="D251" s="16"/>
    </row>
    <row r="252" spans="1:4">
      <c r="A252" s="98"/>
    </row>
    <row r="253" spans="1:4">
      <c r="A253" s="98"/>
      <c r="C253" s="16"/>
      <c r="D253" s="16"/>
    </row>
    <row r="254" spans="1:4">
      <c r="A254" s="98"/>
    </row>
    <row r="255" spans="1:4">
      <c r="A255" s="98"/>
    </row>
    <row r="256" spans="1:4">
      <c r="A256" s="98"/>
    </row>
    <row r="257" spans="1:4">
      <c r="A257" s="98"/>
    </row>
    <row r="258" spans="1:4">
      <c r="A258" s="98"/>
    </row>
    <row r="259" spans="1:4">
      <c r="A259" s="98"/>
    </row>
    <row r="260" spans="1:4">
      <c r="A260" s="98"/>
    </row>
    <row r="261" spans="1:4">
      <c r="A261" s="98"/>
    </row>
    <row r="262" spans="1:4">
      <c r="A262" s="98"/>
    </row>
    <row r="263" spans="1:4">
      <c r="A263" s="98"/>
      <c r="C263" s="16"/>
      <c r="D263" s="16"/>
    </row>
    <row r="264" spans="1:4">
      <c r="A264" s="98"/>
      <c r="C264" s="16"/>
      <c r="D264" s="16"/>
    </row>
    <row r="265" spans="1:4">
      <c r="A265" s="98"/>
    </row>
    <row r="266" spans="1:4">
      <c r="A266" s="98"/>
    </row>
    <row r="267" spans="1:4">
      <c r="A267" s="98"/>
    </row>
    <row r="268" spans="1:4">
      <c r="A268" s="98"/>
    </row>
    <row r="269" spans="1:4">
      <c r="A269" s="98"/>
    </row>
    <row r="270" spans="1:4">
      <c r="A270" s="98"/>
    </row>
    <row r="271" spans="1:4">
      <c r="A271" s="98"/>
    </row>
    <row r="272" spans="1:4">
      <c r="A272" s="98"/>
    </row>
    <row r="273" spans="1:4">
      <c r="A273" s="98"/>
      <c r="C273" s="16"/>
      <c r="D273" s="16"/>
    </row>
    <row r="274" spans="1:4">
      <c r="A274" s="98"/>
    </row>
    <row r="275" spans="1:4">
      <c r="A275" s="98"/>
    </row>
    <row r="276" spans="1:4">
      <c r="A276" s="98"/>
    </row>
    <row r="277" spans="1:4">
      <c r="A277" s="98"/>
    </row>
    <row r="278" spans="1:4">
      <c r="A278" s="98"/>
    </row>
    <row r="279" spans="1:4">
      <c r="A279" s="98"/>
    </row>
    <row r="280" spans="1:4">
      <c r="A280" s="98"/>
    </row>
    <row r="281" spans="1:4">
      <c r="A281" s="98"/>
    </row>
    <row r="282" spans="1:4">
      <c r="A282" s="98"/>
    </row>
    <row r="283" spans="1:4">
      <c r="A283" s="98"/>
    </row>
    <row r="284" spans="1:4">
      <c r="A284" s="98"/>
    </row>
    <row r="285" spans="1:4">
      <c r="A285" s="98"/>
    </row>
    <row r="286" spans="1:4">
      <c r="A286" s="98"/>
    </row>
    <row r="287" spans="1:4">
      <c r="A287" s="98"/>
    </row>
    <row r="288" spans="1:4">
      <c r="A288" s="98"/>
    </row>
    <row r="289" spans="1:4">
      <c r="A289" s="98"/>
    </row>
    <row r="290" spans="1:4">
      <c r="A290" s="98"/>
      <c r="C290" s="16"/>
      <c r="D290" s="16"/>
    </row>
    <row r="291" spans="1:4">
      <c r="A291" s="98"/>
    </row>
    <row r="292" spans="1:4">
      <c r="A292" s="98"/>
    </row>
    <row r="293" spans="1:4">
      <c r="A293" s="98"/>
    </row>
    <row r="294" spans="1:4">
      <c r="A294" s="98"/>
    </row>
    <row r="295" spans="1:4">
      <c r="A295" s="98"/>
    </row>
    <row r="296" spans="1:4">
      <c r="A296" s="98"/>
    </row>
    <row r="297" spans="1:4">
      <c r="A297" s="98"/>
    </row>
    <row r="298" spans="1:4">
      <c r="A298" s="98"/>
    </row>
    <row r="299" spans="1:4">
      <c r="A299" s="98"/>
    </row>
    <row r="300" spans="1:4">
      <c r="A300" s="98"/>
    </row>
    <row r="301" spans="1:4">
      <c r="A301" s="98"/>
    </row>
    <row r="302" spans="1:4">
      <c r="A302" s="98"/>
    </row>
    <row r="303" spans="1:4">
      <c r="A303" s="98"/>
    </row>
    <row r="304" spans="1:4">
      <c r="A304" s="98"/>
    </row>
    <row r="305" spans="1:4">
      <c r="A305" s="98"/>
    </row>
    <row r="306" spans="1:4">
      <c r="A306" s="98"/>
    </row>
    <row r="307" spans="1:4">
      <c r="A307" s="98"/>
    </row>
    <row r="308" spans="1:4">
      <c r="A308" s="98"/>
      <c r="C308" s="16"/>
      <c r="D308" s="144"/>
    </row>
    <row r="309" spans="1:4">
      <c r="A309" s="98"/>
    </row>
    <row r="310" spans="1:4">
      <c r="A310" s="98"/>
    </row>
    <row r="311" spans="1:4">
      <c r="A311" s="98"/>
    </row>
    <row r="312" spans="1:4">
      <c r="A312" s="98"/>
      <c r="C312" s="16"/>
      <c r="D312" s="16"/>
    </row>
    <row r="313" spans="1:4">
      <c r="A313" s="98"/>
    </row>
    <row r="314" spans="1:4">
      <c r="A314" s="98"/>
      <c r="D314" s="204"/>
    </row>
    <row r="315" spans="1:4">
      <c r="A315" s="98"/>
      <c r="D315" s="204"/>
    </row>
    <row r="316" spans="1:4">
      <c r="A316" s="98"/>
      <c r="C316" s="16"/>
      <c r="D316" s="16"/>
    </row>
    <row r="317" spans="1:4">
      <c r="A317" s="98"/>
      <c r="C317" s="16"/>
      <c r="D317" s="16"/>
    </row>
    <row r="318" spans="1:4">
      <c r="A318" s="98"/>
      <c r="D318" s="204"/>
    </row>
    <row r="319" spans="1:4">
      <c r="A319" s="98"/>
    </row>
    <row r="320" spans="1:4">
      <c r="A320" s="98"/>
    </row>
    <row r="321" spans="1:4">
      <c r="A321" s="98"/>
    </row>
    <row r="322" spans="1:4">
      <c r="A322" s="98"/>
    </row>
    <row r="323" spans="1:4">
      <c r="A323" s="98"/>
    </row>
    <row r="324" spans="1:4">
      <c r="A324" s="98"/>
    </row>
    <row r="325" spans="1:4">
      <c r="A325" s="98"/>
    </row>
    <row r="326" spans="1:4">
      <c r="A326" s="98"/>
    </row>
    <row r="327" spans="1:4">
      <c r="A327" s="98"/>
    </row>
    <row r="328" spans="1:4">
      <c r="A328" s="98"/>
      <c r="D328" s="204"/>
    </row>
    <row r="329" spans="1:4">
      <c r="A329" s="98"/>
    </row>
    <row r="330" spans="1:4">
      <c r="A330" s="98"/>
    </row>
    <row r="331" spans="1:4">
      <c r="A331" s="98"/>
      <c r="C331" s="16"/>
      <c r="D331" s="16"/>
    </row>
    <row r="332" spans="1:4">
      <c r="A332" s="98"/>
    </row>
    <row r="333" spans="1:4">
      <c r="A333" s="98"/>
    </row>
    <row r="334" spans="1:4">
      <c r="A334" s="98"/>
    </row>
    <row r="335" spans="1:4">
      <c r="A335" s="98"/>
    </row>
    <row r="336" spans="1:4">
      <c r="A336" s="98"/>
    </row>
    <row r="337" spans="1:1">
      <c r="A337" s="98"/>
    </row>
    <row r="338" spans="1:1">
      <c r="A338" s="98"/>
    </row>
    <row r="339" spans="1:1">
      <c r="A339" s="98"/>
    </row>
    <row r="340" spans="1:1">
      <c r="A340" s="98"/>
    </row>
    <row r="341" spans="1:1">
      <c r="A341" s="98"/>
    </row>
    <row r="342" spans="1:1">
      <c r="A342" s="98"/>
    </row>
    <row r="343" spans="1:1">
      <c r="A343" s="98"/>
    </row>
    <row r="344" spans="1:1">
      <c r="A344" s="98"/>
    </row>
    <row r="345" spans="1:1">
      <c r="A345" s="98"/>
    </row>
    <row r="346" spans="1:1">
      <c r="A346" s="98"/>
    </row>
    <row r="347" spans="1:1">
      <c r="A347" s="98"/>
    </row>
    <row r="348" spans="1:1">
      <c r="A348" s="98"/>
    </row>
    <row r="349" spans="1:1">
      <c r="A349" s="98"/>
    </row>
    <row r="350" spans="1:1">
      <c r="A350" s="98"/>
    </row>
    <row r="351" spans="1:1">
      <c r="A351" s="98"/>
    </row>
    <row r="352" spans="1:1">
      <c r="A352" s="98"/>
    </row>
    <row r="353" spans="1:4">
      <c r="A353" s="98"/>
    </row>
    <row r="354" spans="1:4">
      <c r="A354" s="98"/>
    </row>
    <row r="355" spans="1:4">
      <c r="A355" s="98"/>
    </row>
    <row r="356" spans="1:4">
      <c r="A356" s="98"/>
      <c r="C356" s="16"/>
      <c r="D356" s="16"/>
    </row>
    <row r="357" spans="1:4">
      <c r="A357" s="98"/>
    </row>
    <row r="358" spans="1:4">
      <c r="A358" s="98"/>
    </row>
    <row r="359" spans="1:4">
      <c r="A359" s="98"/>
    </row>
    <row r="360" spans="1:4">
      <c r="A360" s="98"/>
    </row>
    <row r="361" spans="1:4">
      <c r="A361" s="98"/>
    </row>
    <row r="362" spans="1:4">
      <c r="A362" s="98"/>
    </row>
    <row r="363" spans="1:4">
      <c r="A363" s="98"/>
    </row>
    <row r="364" spans="1:4">
      <c r="A364" s="98"/>
    </row>
    <row r="365" spans="1:4">
      <c r="A365" s="98"/>
    </row>
    <row r="366" spans="1:4">
      <c r="A366" s="98"/>
    </row>
    <row r="367" spans="1:4">
      <c r="A367" s="98"/>
    </row>
    <row r="368" spans="1:4">
      <c r="A368" s="98"/>
    </row>
    <row r="369" spans="1:1">
      <c r="A369" s="98"/>
    </row>
    <row r="370" spans="1:1">
      <c r="A370" s="98"/>
    </row>
    <row r="371" spans="1:1">
      <c r="A371" s="98"/>
    </row>
    <row r="372" spans="1:1">
      <c r="A372" s="98"/>
    </row>
    <row r="373" spans="1:1">
      <c r="A373" s="98"/>
    </row>
    <row r="374" spans="1:1">
      <c r="A374" s="98"/>
    </row>
    <row r="375" spans="1:1">
      <c r="A375" s="98"/>
    </row>
    <row r="376" spans="1:1">
      <c r="A376" s="98"/>
    </row>
    <row r="377" spans="1:1">
      <c r="A377" s="98"/>
    </row>
    <row r="378" spans="1:1">
      <c r="A378" s="98"/>
    </row>
    <row r="379" spans="1:1">
      <c r="A379" s="98"/>
    </row>
    <row r="380" spans="1:1">
      <c r="A380" s="98"/>
    </row>
    <row r="381" spans="1:1">
      <c r="A381" s="98"/>
    </row>
    <row r="382" spans="1:1">
      <c r="A382" s="98"/>
    </row>
    <row r="383" spans="1:1">
      <c r="A383" s="98"/>
    </row>
    <row r="384" spans="1:1">
      <c r="A384" s="98"/>
    </row>
    <row r="385" spans="1:1">
      <c r="A385" s="98"/>
    </row>
    <row r="386" spans="1:1">
      <c r="A386" s="98"/>
    </row>
    <row r="387" spans="1:1">
      <c r="A387" s="98"/>
    </row>
    <row r="388" spans="1:1">
      <c r="A388" s="98"/>
    </row>
    <row r="389" spans="1:1">
      <c r="A389" s="98"/>
    </row>
    <row r="390" spans="1:1">
      <c r="A390" s="98"/>
    </row>
    <row r="391" spans="1:1">
      <c r="A391" s="98"/>
    </row>
    <row r="392" spans="1:1">
      <c r="A392" s="98"/>
    </row>
    <row r="393" spans="1:1">
      <c r="A393" s="98"/>
    </row>
    <row r="394" spans="1:1">
      <c r="A394" s="98"/>
    </row>
    <row r="395" spans="1:1">
      <c r="A395" s="98"/>
    </row>
    <row r="396" spans="1:1">
      <c r="A396" s="98"/>
    </row>
    <row r="397" spans="1:1">
      <c r="A397" s="98"/>
    </row>
    <row r="398" spans="1:1">
      <c r="A398" s="98"/>
    </row>
    <row r="399" spans="1:1">
      <c r="A399" s="98"/>
    </row>
    <row r="400" spans="1:1">
      <c r="A400" s="98"/>
    </row>
    <row r="401" spans="1:1">
      <c r="A401" s="98"/>
    </row>
    <row r="402" spans="1:1">
      <c r="A402" s="98"/>
    </row>
    <row r="403" spans="1:1">
      <c r="A403" s="98"/>
    </row>
    <row r="404" spans="1:1">
      <c r="A404" s="98"/>
    </row>
    <row r="405" spans="1:1">
      <c r="A405" s="98"/>
    </row>
    <row r="406" spans="1:1">
      <c r="A406" s="98"/>
    </row>
    <row r="407" spans="1:1">
      <c r="A407" s="98"/>
    </row>
    <row r="408" spans="1:1">
      <c r="A408" s="98"/>
    </row>
    <row r="409" spans="1:1">
      <c r="A409" s="98"/>
    </row>
    <row r="410" spans="1:1">
      <c r="A410" s="98"/>
    </row>
    <row r="411" spans="1:1">
      <c r="A411" s="98"/>
    </row>
    <row r="412" spans="1:1">
      <c r="A412" s="98"/>
    </row>
    <row r="413" spans="1:1">
      <c r="A413" s="98"/>
    </row>
    <row r="414" spans="1:1">
      <c r="A414" s="98"/>
    </row>
    <row r="415" spans="1:1">
      <c r="A415" s="98"/>
    </row>
    <row r="416" spans="1:1">
      <c r="A416" s="98"/>
    </row>
    <row r="417" spans="1:1">
      <c r="A417" s="98"/>
    </row>
    <row r="418" spans="1:1">
      <c r="A418" s="98"/>
    </row>
    <row r="419" spans="1:1">
      <c r="A419" s="98"/>
    </row>
    <row r="420" spans="1:1">
      <c r="A420" s="98"/>
    </row>
    <row r="421" spans="1:1">
      <c r="A421" s="98"/>
    </row>
    <row r="422" spans="1:1">
      <c r="A422" s="98"/>
    </row>
    <row r="423" spans="1:1">
      <c r="A423" s="98"/>
    </row>
    <row r="424" spans="1:1">
      <c r="A424" s="98"/>
    </row>
    <row r="425" spans="1:1">
      <c r="A425" s="98"/>
    </row>
    <row r="426" spans="1:1">
      <c r="A426" s="98"/>
    </row>
    <row r="427" spans="1:1">
      <c r="A427" s="98"/>
    </row>
    <row r="428" spans="1:1">
      <c r="A428" s="98"/>
    </row>
    <row r="429" spans="1:1">
      <c r="A429" s="98"/>
    </row>
    <row r="430" spans="1:1">
      <c r="A430" s="98"/>
    </row>
    <row r="431" spans="1:1">
      <c r="A431" s="98"/>
    </row>
    <row r="432" spans="1:1">
      <c r="A432" s="98"/>
    </row>
    <row r="433" spans="1:1">
      <c r="A433" s="98"/>
    </row>
    <row r="434" spans="1:1">
      <c r="A434" s="98"/>
    </row>
    <row r="435" spans="1:1">
      <c r="A435" s="98"/>
    </row>
    <row r="436" spans="1:1">
      <c r="A436" s="98"/>
    </row>
    <row r="437" spans="1:1">
      <c r="A437" s="98"/>
    </row>
    <row r="438" spans="1:1">
      <c r="A438" s="98"/>
    </row>
    <row r="439" spans="1:1">
      <c r="A439" s="98"/>
    </row>
    <row r="440" spans="1:1">
      <c r="A440" s="98"/>
    </row>
    <row r="441" spans="1:1">
      <c r="A441" s="98"/>
    </row>
    <row r="442" spans="1:1">
      <c r="A442" s="98"/>
    </row>
    <row r="443" spans="1:1">
      <c r="A443" s="98"/>
    </row>
    <row r="444" spans="1:1">
      <c r="A444" s="98"/>
    </row>
    <row r="445" spans="1:1">
      <c r="A445" s="98"/>
    </row>
    <row r="446" spans="1:1">
      <c r="A446" s="98"/>
    </row>
    <row r="447" spans="1:1">
      <c r="A447" s="98"/>
    </row>
    <row r="448" spans="1:1">
      <c r="A448" s="98"/>
    </row>
    <row r="449" spans="1:1">
      <c r="A449" s="98"/>
    </row>
    <row r="450" spans="1:1">
      <c r="A450" s="98"/>
    </row>
    <row r="451" spans="1:1">
      <c r="A451" s="98"/>
    </row>
    <row r="452" spans="1:1">
      <c r="A452" s="98"/>
    </row>
    <row r="453" spans="1:1">
      <c r="A453" s="98"/>
    </row>
    <row r="454" spans="1:1">
      <c r="A454" s="98"/>
    </row>
    <row r="455" spans="1:1">
      <c r="A455" s="98"/>
    </row>
    <row r="456" spans="1:1">
      <c r="A456" s="98"/>
    </row>
    <row r="457" spans="1:1">
      <c r="A457" s="98"/>
    </row>
    <row r="458" spans="1:1">
      <c r="A458" s="98"/>
    </row>
    <row r="459" spans="1:1">
      <c r="A459" s="98"/>
    </row>
    <row r="460" spans="1:1">
      <c r="A460" s="98"/>
    </row>
    <row r="461" spans="1:1">
      <c r="A461" s="98"/>
    </row>
    <row r="462" spans="1:1">
      <c r="A462" s="98"/>
    </row>
    <row r="463" spans="1:1">
      <c r="A463" s="98"/>
    </row>
    <row r="464" spans="1:1">
      <c r="A464" s="98"/>
    </row>
    <row r="465" spans="1:1">
      <c r="A465" s="98"/>
    </row>
    <row r="466" spans="1:1">
      <c r="A466" s="98"/>
    </row>
    <row r="467" spans="1:1">
      <c r="A467" s="98"/>
    </row>
    <row r="468" spans="1:1">
      <c r="A468" s="98"/>
    </row>
    <row r="469" spans="1:1">
      <c r="A469" s="98"/>
    </row>
    <row r="470" spans="1:1">
      <c r="A470" s="98"/>
    </row>
    <row r="471" spans="1:1">
      <c r="A471" s="98"/>
    </row>
    <row r="472" spans="1:1">
      <c r="A472" s="98"/>
    </row>
    <row r="473" spans="1:1">
      <c r="A473" s="98"/>
    </row>
    <row r="474" spans="1:1">
      <c r="A474" s="98"/>
    </row>
    <row r="475" spans="1:1">
      <c r="A475" s="98"/>
    </row>
    <row r="476" spans="1:1">
      <c r="A476" s="98"/>
    </row>
    <row r="477" spans="1:1">
      <c r="A477" s="98"/>
    </row>
    <row r="478" spans="1:1">
      <c r="A478" s="98"/>
    </row>
    <row r="479" spans="1:1">
      <c r="A479" s="98"/>
    </row>
    <row r="480" spans="1:1">
      <c r="A480" s="98"/>
    </row>
    <row r="481" spans="1:1">
      <c r="A481" s="98"/>
    </row>
    <row r="482" spans="1:1">
      <c r="A482" s="98"/>
    </row>
    <row r="483" spans="1:1">
      <c r="A483" s="98"/>
    </row>
    <row r="484" spans="1:1">
      <c r="A484" s="98"/>
    </row>
    <row r="485" spans="1:1">
      <c r="A485" s="98"/>
    </row>
    <row r="486" spans="1:1">
      <c r="A486" s="98"/>
    </row>
    <row r="487" spans="1:1">
      <c r="A487" s="98"/>
    </row>
    <row r="488" spans="1:1">
      <c r="A488" s="98"/>
    </row>
    <row r="489" spans="1:1">
      <c r="A489" s="98"/>
    </row>
    <row r="490" spans="1:1">
      <c r="A490" s="98"/>
    </row>
    <row r="491" spans="1:1">
      <c r="A491" s="98"/>
    </row>
    <row r="492" spans="1:1">
      <c r="A492" s="98"/>
    </row>
    <row r="493" spans="1:1">
      <c r="A493" s="98"/>
    </row>
    <row r="494" spans="1:1">
      <c r="A494" s="98"/>
    </row>
    <row r="495" spans="1:1">
      <c r="A495" s="98"/>
    </row>
    <row r="496" spans="1:1">
      <c r="A496" s="98"/>
    </row>
    <row r="497" spans="1:1">
      <c r="A497" s="98"/>
    </row>
    <row r="498" spans="1:1">
      <c r="A498" s="98"/>
    </row>
    <row r="499" spans="1:1">
      <c r="A499" s="98"/>
    </row>
    <row r="500" spans="1:1">
      <c r="A500" s="98"/>
    </row>
    <row r="501" spans="1:1">
      <c r="A501" s="98"/>
    </row>
    <row r="502" spans="1:1">
      <c r="A502" s="98"/>
    </row>
    <row r="503" spans="1:1">
      <c r="A503" s="98"/>
    </row>
    <row r="504" spans="1:1">
      <c r="A504" s="98"/>
    </row>
    <row r="505" spans="1:1">
      <c r="A505" s="98"/>
    </row>
    <row r="506" spans="1:1">
      <c r="A506" s="98"/>
    </row>
    <row r="507" spans="1:1">
      <c r="A507" s="98"/>
    </row>
    <row r="508" spans="1:1">
      <c r="A508" s="98"/>
    </row>
    <row r="509" spans="1:1">
      <c r="A509" s="98"/>
    </row>
    <row r="510" spans="1:1">
      <c r="A510" s="98"/>
    </row>
    <row r="511" spans="1:1">
      <c r="A511" s="98"/>
    </row>
    <row r="512" spans="1:1">
      <c r="A512" s="98"/>
    </row>
    <row r="513" spans="1:1">
      <c r="A513" s="98"/>
    </row>
    <row r="514" spans="1:1">
      <c r="A514" s="98"/>
    </row>
    <row r="515" spans="1:1">
      <c r="A515" s="98"/>
    </row>
    <row r="516" spans="1:1">
      <c r="A516" s="98"/>
    </row>
    <row r="517" spans="1:1">
      <c r="A517" s="98"/>
    </row>
    <row r="518" spans="1:1">
      <c r="A518" s="98"/>
    </row>
    <row r="519" spans="1:1">
      <c r="A519" s="98"/>
    </row>
    <row r="520" spans="1:1">
      <c r="A520" s="98"/>
    </row>
    <row r="521" spans="1:1">
      <c r="A521" s="98"/>
    </row>
    <row r="522" spans="1:1">
      <c r="A522" s="98"/>
    </row>
    <row r="523" spans="1:1">
      <c r="A523" s="98"/>
    </row>
    <row r="524" spans="1:1">
      <c r="A524" s="98"/>
    </row>
    <row r="525" spans="1:1">
      <c r="A525" s="98"/>
    </row>
    <row r="526" spans="1:1">
      <c r="A526" s="98"/>
    </row>
    <row r="527" spans="1:1">
      <c r="A527" s="98"/>
    </row>
    <row r="528" spans="1:1">
      <c r="A528" s="98"/>
    </row>
    <row r="529" spans="1:1">
      <c r="A529" s="98"/>
    </row>
    <row r="530" spans="1:1">
      <c r="A530" s="98"/>
    </row>
    <row r="531" spans="1:1">
      <c r="A531" s="98"/>
    </row>
    <row r="532" spans="1:1">
      <c r="A532" s="98"/>
    </row>
    <row r="533" spans="1:1">
      <c r="A533" s="98"/>
    </row>
    <row r="534" spans="1:1">
      <c r="A534" s="98"/>
    </row>
    <row r="535" spans="1:1">
      <c r="A535" s="98"/>
    </row>
    <row r="536" spans="1:1">
      <c r="A536" s="98"/>
    </row>
    <row r="537" spans="1:1">
      <c r="A537" s="98"/>
    </row>
    <row r="538" spans="1:1">
      <c r="A538" s="98"/>
    </row>
    <row r="539" spans="1:1">
      <c r="A539" s="98"/>
    </row>
    <row r="540" spans="1:1">
      <c r="A540" s="98"/>
    </row>
    <row r="541" spans="1:1">
      <c r="A541" s="98"/>
    </row>
    <row r="542" spans="1:1">
      <c r="A542" s="98"/>
    </row>
    <row r="543" spans="1:1">
      <c r="A543" s="98"/>
    </row>
    <row r="544" spans="1:1">
      <c r="A544" s="98"/>
    </row>
    <row r="545" spans="1:1">
      <c r="A545" s="98"/>
    </row>
    <row r="546" spans="1:1">
      <c r="A546" s="98"/>
    </row>
    <row r="547" spans="1:1">
      <c r="A547" s="98"/>
    </row>
    <row r="548" spans="1:1">
      <c r="A548" s="98"/>
    </row>
    <row r="549" spans="1:1">
      <c r="A549" s="98"/>
    </row>
    <row r="550" spans="1:1">
      <c r="A550" s="98"/>
    </row>
    <row r="551" spans="1:1">
      <c r="A551" s="98"/>
    </row>
    <row r="552" spans="1:1">
      <c r="A552" s="98"/>
    </row>
    <row r="553" spans="1:1">
      <c r="A553" s="98"/>
    </row>
    <row r="554" spans="1:1">
      <c r="A554" s="98"/>
    </row>
    <row r="555" spans="1:1">
      <c r="A555" s="98"/>
    </row>
    <row r="556" spans="1:1">
      <c r="A556" s="98"/>
    </row>
    <row r="557" spans="1:1">
      <c r="A557" s="98"/>
    </row>
    <row r="558" spans="1:1">
      <c r="A558" s="98"/>
    </row>
    <row r="559" spans="1:1">
      <c r="A559" s="98"/>
    </row>
    <row r="560" spans="1:1">
      <c r="A560" s="98"/>
    </row>
    <row r="561" spans="1:1">
      <c r="A561" s="98"/>
    </row>
    <row r="562" spans="1:1">
      <c r="A562" s="98"/>
    </row>
    <row r="563" spans="1:1">
      <c r="A563" s="98"/>
    </row>
    <row r="564" spans="1:1">
      <c r="A564" s="98"/>
    </row>
    <row r="565" spans="1:1">
      <c r="A565" s="98"/>
    </row>
    <row r="566" spans="1:1">
      <c r="A566" s="98"/>
    </row>
    <row r="567" spans="1:1">
      <c r="A567" s="98"/>
    </row>
    <row r="568" spans="1:1">
      <c r="A568" s="98"/>
    </row>
    <row r="569" spans="1:1">
      <c r="A569" s="98"/>
    </row>
    <row r="570" spans="1:1">
      <c r="A570" s="98"/>
    </row>
    <row r="571" spans="1:1">
      <c r="A571" s="98"/>
    </row>
    <row r="572" spans="1:1">
      <c r="A572" s="98"/>
    </row>
    <row r="573" spans="1:1">
      <c r="A573" s="98"/>
    </row>
    <row r="574" spans="1:1">
      <c r="A574" s="98"/>
    </row>
    <row r="575" spans="1:1">
      <c r="A575" s="98"/>
    </row>
    <row r="576" spans="1:1">
      <c r="A576" s="98"/>
    </row>
    <row r="577" spans="1:1">
      <c r="A577" s="98"/>
    </row>
    <row r="578" spans="1:1">
      <c r="A578" s="98"/>
    </row>
    <row r="579" spans="1:1">
      <c r="A579" s="98"/>
    </row>
    <row r="580" spans="1:1">
      <c r="A580" s="98"/>
    </row>
    <row r="581" spans="1:1">
      <c r="A581" s="98"/>
    </row>
    <row r="582" spans="1:1">
      <c r="A582" s="98"/>
    </row>
    <row r="583" spans="1:1">
      <c r="A583" s="98"/>
    </row>
    <row r="584" spans="1:1">
      <c r="A584" s="98"/>
    </row>
    <row r="585" spans="1:1">
      <c r="A585" s="98"/>
    </row>
    <row r="586" spans="1:1">
      <c r="A586" s="98"/>
    </row>
    <row r="587" spans="1:1">
      <c r="A587" s="98"/>
    </row>
    <row r="588" spans="1:1">
      <c r="A588" s="98"/>
    </row>
    <row r="589" spans="1:1">
      <c r="A589" s="98"/>
    </row>
    <row r="590" spans="1:1">
      <c r="A590" s="98"/>
    </row>
    <row r="591" spans="1:1">
      <c r="A591" s="98"/>
    </row>
    <row r="592" spans="1:1">
      <c r="A592" s="98"/>
    </row>
    <row r="593" spans="1:1">
      <c r="A593" s="98"/>
    </row>
    <row r="594" spans="1:1">
      <c r="A594" s="98"/>
    </row>
    <row r="595" spans="1:1">
      <c r="A595" s="98"/>
    </row>
    <row r="596" spans="1:1">
      <c r="A596" s="98"/>
    </row>
    <row r="597" spans="1:1">
      <c r="A597" s="98"/>
    </row>
    <row r="598" spans="1:1">
      <c r="A598" s="98"/>
    </row>
    <row r="599" spans="1:1">
      <c r="A599" s="98"/>
    </row>
    <row r="600" spans="1:1">
      <c r="A600" s="98"/>
    </row>
    <row r="601" spans="1:1">
      <c r="A601" s="98"/>
    </row>
    <row r="602" spans="1:1">
      <c r="A602" s="98"/>
    </row>
    <row r="603" spans="1:1">
      <c r="A603" s="98"/>
    </row>
    <row r="604" spans="1:1">
      <c r="A604" s="98"/>
    </row>
    <row r="605" spans="1:1">
      <c r="A605" s="98"/>
    </row>
    <row r="606" spans="1:1">
      <c r="A606" s="98"/>
    </row>
    <row r="607" spans="1:1">
      <c r="A607" s="98"/>
    </row>
    <row r="608" spans="1:1">
      <c r="A608" s="98"/>
    </row>
    <row r="609" spans="1:1">
      <c r="A609" s="98"/>
    </row>
    <row r="610" spans="1:1">
      <c r="A610" s="98"/>
    </row>
    <row r="611" spans="1:1">
      <c r="A611" s="98"/>
    </row>
    <row r="612" spans="1:1">
      <c r="A612" s="98"/>
    </row>
    <row r="613" spans="1:1">
      <c r="A613" s="98"/>
    </row>
    <row r="614" spans="1:1">
      <c r="A614" s="98"/>
    </row>
    <row r="615" spans="1:1">
      <c r="A615" s="98"/>
    </row>
    <row r="616" spans="1:1">
      <c r="A616" s="98"/>
    </row>
    <row r="617" spans="1:1">
      <c r="A617" s="98"/>
    </row>
    <row r="618" spans="1:1">
      <c r="A618" s="98"/>
    </row>
    <row r="619" spans="1:1">
      <c r="A619" s="98"/>
    </row>
    <row r="620" spans="1:1">
      <c r="A620" s="98"/>
    </row>
    <row r="621" spans="1:1">
      <c r="A621" s="98"/>
    </row>
    <row r="622" spans="1:1">
      <c r="A622" s="98"/>
    </row>
    <row r="623" spans="1:1">
      <c r="A623" s="98"/>
    </row>
    <row r="624" spans="1:1">
      <c r="A624" s="98"/>
    </row>
    <row r="625" spans="1:1">
      <c r="A625" s="98"/>
    </row>
    <row r="626" spans="1:1">
      <c r="A626" s="98"/>
    </row>
    <row r="627" spans="1:1">
      <c r="A627" s="98"/>
    </row>
    <row r="628" spans="1:1">
      <c r="A628" s="98"/>
    </row>
    <row r="629" spans="1:1">
      <c r="A629" s="98"/>
    </row>
    <row r="630" spans="1:1">
      <c r="A630" s="98"/>
    </row>
    <row r="631" spans="1:1">
      <c r="A631" s="98"/>
    </row>
    <row r="632" spans="1:1">
      <c r="A632" s="98"/>
    </row>
    <row r="633" spans="1:1">
      <c r="A633" s="98"/>
    </row>
    <row r="634" spans="1:1">
      <c r="A634" s="98"/>
    </row>
    <row r="635" spans="1:1">
      <c r="A635" s="98"/>
    </row>
    <row r="636" spans="1:1">
      <c r="A636" s="98"/>
    </row>
    <row r="637" spans="1:1">
      <c r="A637" s="98"/>
    </row>
    <row r="638" spans="1:1">
      <c r="A638" s="98"/>
    </row>
    <row r="639" spans="1:1">
      <c r="A639" s="98"/>
    </row>
    <row r="640" spans="1:1">
      <c r="A640" s="98"/>
    </row>
    <row r="641" spans="1:1">
      <c r="A641" s="98"/>
    </row>
    <row r="642" spans="1:1">
      <c r="A642" s="98"/>
    </row>
    <row r="643" spans="1:1">
      <c r="A643" s="98"/>
    </row>
    <row r="644" spans="1:1">
      <c r="A644" s="98"/>
    </row>
    <row r="645" spans="1:1">
      <c r="A645" s="98"/>
    </row>
    <row r="646" spans="1:1">
      <c r="A646" s="98"/>
    </row>
    <row r="647" spans="1:1">
      <c r="A647" s="98"/>
    </row>
    <row r="648" spans="1:1">
      <c r="A648" s="98"/>
    </row>
    <row r="649" spans="1:1">
      <c r="A649" s="98"/>
    </row>
    <row r="650" spans="1:1">
      <c r="A650" s="98"/>
    </row>
    <row r="651" spans="1:1">
      <c r="A651" s="98"/>
    </row>
    <row r="652" spans="1:1">
      <c r="A652" s="98"/>
    </row>
    <row r="653" spans="1:1">
      <c r="A653" s="98"/>
    </row>
    <row r="654" spans="1:1">
      <c r="A654" s="98"/>
    </row>
    <row r="655" spans="1:1">
      <c r="A655" s="98"/>
    </row>
    <row r="656" spans="1:1">
      <c r="A656" s="98"/>
    </row>
    <row r="657" spans="1:1">
      <c r="A657" s="98"/>
    </row>
    <row r="658" spans="1:1">
      <c r="A658" s="98"/>
    </row>
    <row r="659" spans="1:1">
      <c r="A659" s="98"/>
    </row>
    <row r="660" spans="1:1">
      <c r="A660" s="98"/>
    </row>
    <row r="661" spans="1:1">
      <c r="A661" s="98"/>
    </row>
    <row r="662" spans="1:1">
      <c r="A662" s="98"/>
    </row>
    <row r="663" spans="1:1">
      <c r="A663" s="98"/>
    </row>
    <row r="664" spans="1:1">
      <c r="A664" s="98"/>
    </row>
    <row r="665" spans="1:1">
      <c r="A665" s="98"/>
    </row>
    <row r="666" spans="1:1">
      <c r="A666" s="98"/>
    </row>
    <row r="667" spans="1:1">
      <c r="A667" s="98"/>
    </row>
    <row r="668" spans="1:1">
      <c r="A668" s="98"/>
    </row>
    <row r="669" spans="1:1">
      <c r="A669" s="98"/>
    </row>
    <row r="670" spans="1:1">
      <c r="A670" s="98"/>
    </row>
    <row r="671" spans="1:1">
      <c r="A671" s="98"/>
    </row>
    <row r="672" spans="1:1">
      <c r="A672" s="98"/>
    </row>
    <row r="673" spans="1:1">
      <c r="A673" s="98"/>
    </row>
    <row r="674" spans="1:1">
      <c r="A674" s="98"/>
    </row>
    <row r="675" spans="1:1">
      <c r="A675" s="98"/>
    </row>
    <row r="676" spans="1:1">
      <c r="A676" s="98"/>
    </row>
    <row r="677" spans="1:1">
      <c r="A677" s="98"/>
    </row>
    <row r="678" spans="1:1">
      <c r="A678" s="98"/>
    </row>
    <row r="679" spans="1:1">
      <c r="A679" s="98"/>
    </row>
    <row r="680" spans="1:1">
      <c r="A680" s="98"/>
    </row>
    <row r="681" spans="1:1">
      <c r="A681" s="98"/>
    </row>
    <row r="682" spans="1:1">
      <c r="A682" s="98"/>
    </row>
    <row r="683" spans="1:1">
      <c r="A683" s="98"/>
    </row>
    <row r="684" spans="1:1">
      <c r="A684" s="98"/>
    </row>
    <row r="685" spans="1:1">
      <c r="A685" s="98"/>
    </row>
    <row r="686" spans="1:1">
      <c r="A686" s="98"/>
    </row>
    <row r="687" spans="1:1">
      <c r="A687" s="98"/>
    </row>
    <row r="688" spans="1:1">
      <c r="A688" s="98"/>
    </row>
    <row r="689" spans="1:1">
      <c r="A689" s="98"/>
    </row>
    <row r="690" spans="1:1">
      <c r="A690" s="98"/>
    </row>
    <row r="691" spans="1:1">
      <c r="A691" s="98"/>
    </row>
    <row r="692" spans="1:1">
      <c r="A692" s="98"/>
    </row>
    <row r="693" spans="1:1">
      <c r="A693" s="98"/>
    </row>
    <row r="694" spans="1:1">
      <c r="A694" s="98"/>
    </row>
    <row r="695" spans="1:1">
      <c r="A695" s="98"/>
    </row>
    <row r="696" spans="1:1">
      <c r="A696" s="98"/>
    </row>
    <row r="697" spans="1:1">
      <c r="A697" s="98"/>
    </row>
    <row r="698" spans="1:1">
      <c r="A698" s="98"/>
    </row>
    <row r="699" spans="1:1">
      <c r="A699" s="98"/>
    </row>
    <row r="700" spans="1:1">
      <c r="A700" s="98"/>
    </row>
    <row r="701" spans="1:1">
      <c r="A701" s="98"/>
    </row>
    <row r="702" spans="1:1">
      <c r="A702" s="98"/>
    </row>
    <row r="703" spans="1:1">
      <c r="A703" s="98"/>
    </row>
    <row r="704" spans="1:1">
      <c r="A704" s="98"/>
    </row>
    <row r="705" spans="1:1">
      <c r="A705" s="98"/>
    </row>
    <row r="706" spans="1:1">
      <c r="A706" s="98"/>
    </row>
    <row r="707" spans="1:1">
      <c r="A707" s="98"/>
    </row>
    <row r="708" spans="1:1">
      <c r="A708" s="98"/>
    </row>
    <row r="709" spans="1:1">
      <c r="A709" s="98"/>
    </row>
    <row r="710" spans="1:1">
      <c r="A710" s="98"/>
    </row>
    <row r="711" spans="1:1">
      <c r="A711" s="98"/>
    </row>
    <row r="712" spans="1:1">
      <c r="A712" s="98"/>
    </row>
    <row r="713" spans="1:1">
      <c r="A713" s="98"/>
    </row>
    <row r="714" spans="1:1">
      <c r="A714" s="98"/>
    </row>
    <row r="715" spans="1:1">
      <c r="A715" s="98"/>
    </row>
    <row r="716" spans="1:1">
      <c r="A716" s="98"/>
    </row>
    <row r="717" spans="1:1">
      <c r="A717" s="98"/>
    </row>
    <row r="718" spans="1:1">
      <c r="A718" s="98"/>
    </row>
    <row r="719" spans="1:1">
      <c r="A719" s="98"/>
    </row>
    <row r="720" spans="1:1">
      <c r="A720" s="98"/>
    </row>
    <row r="721" spans="1:1">
      <c r="A721" s="98"/>
    </row>
    <row r="722" spans="1:1">
      <c r="A722" s="98"/>
    </row>
    <row r="723" spans="1:1">
      <c r="A723" s="98"/>
    </row>
    <row r="724" spans="1:1">
      <c r="A724" s="98"/>
    </row>
    <row r="725" spans="1:1">
      <c r="A725" s="98"/>
    </row>
    <row r="726" spans="1:1">
      <c r="A726" s="98"/>
    </row>
    <row r="727" spans="1:1">
      <c r="A727" s="98"/>
    </row>
    <row r="728" spans="1:1">
      <c r="A728" s="98"/>
    </row>
    <row r="729" spans="1:1">
      <c r="A729" s="98"/>
    </row>
    <row r="730" spans="1:1">
      <c r="A730" s="98"/>
    </row>
    <row r="731" spans="1:1">
      <c r="A731" s="98"/>
    </row>
    <row r="732" spans="1:1">
      <c r="A732" s="98"/>
    </row>
    <row r="733" spans="1:1">
      <c r="A733" s="98"/>
    </row>
    <row r="734" spans="1:1">
      <c r="A734" s="98"/>
    </row>
    <row r="735" spans="1:1">
      <c r="A735" s="98"/>
    </row>
    <row r="736" spans="1:1">
      <c r="A736" s="98"/>
    </row>
    <row r="737" spans="1:1">
      <c r="A737" s="98"/>
    </row>
    <row r="738" spans="1:1">
      <c r="A738" s="98"/>
    </row>
    <row r="739" spans="1:1">
      <c r="A739" s="98"/>
    </row>
    <row r="740" spans="1:1">
      <c r="A740" s="98"/>
    </row>
    <row r="741" spans="1:1">
      <c r="A741" s="98"/>
    </row>
    <row r="742" spans="1:1">
      <c r="A742" s="98"/>
    </row>
    <row r="743" spans="1:1">
      <c r="A743" s="98"/>
    </row>
    <row r="744" spans="1:1">
      <c r="A744" s="98"/>
    </row>
    <row r="745" spans="1:1">
      <c r="A745" s="98"/>
    </row>
    <row r="746" spans="1:1">
      <c r="A746" s="98"/>
    </row>
    <row r="747" spans="1:1">
      <c r="A747" s="98"/>
    </row>
    <row r="748" spans="1:1">
      <c r="A748" s="98"/>
    </row>
    <row r="749" spans="1:1">
      <c r="A749" s="98"/>
    </row>
    <row r="750" spans="1:1">
      <c r="A750" s="98"/>
    </row>
    <row r="751" spans="1:1">
      <c r="A751" s="98"/>
    </row>
    <row r="752" spans="1:1">
      <c r="A752" s="98"/>
    </row>
    <row r="753" spans="1:1">
      <c r="A753" s="98"/>
    </row>
    <row r="754" spans="1:1">
      <c r="A754" s="98"/>
    </row>
    <row r="755" spans="1:1">
      <c r="A755" s="98"/>
    </row>
    <row r="756" spans="1:1">
      <c r="A756" s="98"/>
    </row>
    <row r="757" spans="1:1">
      <c r="A757" s="98"/>
    </row>
    <row r="758" spans="1:1">
      <c r="A758" s="98"/>
    </row>
    <row r="759" spans="1:1">
      <c r="A759" s="98"/>
    </row>
    <row r="760" spans="1:1">
      <c r="A760" s="98"/>
    </row>
    <row r="761" spans="1:1">
      <c r="A761" s="98"/>
    </row>
    <row r="762" spans="1:1">
      <c r="A762" s="98"/>
    </row>
    <row r="763" spans="1:1">
      <c r="A763" s="98"/>
    </row>
    <row r="764" spans="1:1">
      <c r="A764" s="98"/>
    </row>
    <row r="765" spans="1:1">
      <c r="A765" s="98"/>
    </row>
    <row r="766" spans="1:1">
      <c r="A766" s="98"/>
    </row>
    <row r="767" spans="1:1">
      <c r="A767" s="98"/>
    </row>
    <row r="768" spans="1:1">
      <c r="A768" s="98"/>
    </row>
    <row r="769" spans="1:1">
      <c r="A769" s="98"/>
    </row>
    <row r="770" spans="1:1">
      <c r="A770" s="98"/>
    </row>
    <row r="771" spans="1:1">
      <c r="A771" s="98"/>
    </row>
    <row r="772" spans="1:1">
      <c r="A772" s="98"/>
    </row>
    <row r="773" spans="1:1">
      <c r="A773" s="98"/>
    </row>
    <row r="774" spans="1:1">
      <c r="A774" s="98"/>
    </row>
    <row r="775" spans="1:1">
      <c r="A775" s="98"/>
    </row>
    <row r="776" spans="1:1">
      <c r="A776" s="98"/>
    </row>
    <row r="777" spans="1:1">
      <c r="A777" s="98"/>
    </row>
    <row r="778" spans="1:1">
      <c r="A778" s="98"/>
    </row>
    <row r="779" spans="1:1">
      <c r="A779" s="98"/>
    </row>
    <row r="780" spans="1:1">
      <c r="A780" s="98"/>
    </row>
    <row r="781" spans="1:1">
      <c r="A781" s="98"/>
    </row>
    <row r="782" spans="1:1">
      <c r="A782" s="98"/>
    </row>
    <row r="783" spans="1:1">
      <c r="A783" s="98"/>
    </row>
    <row r="784" spans="1:1">
      <c r="A784" s="98"/>
    </row>
    <row r="785" spans="1:1">
      <c r="A785" s="98"/>
    </row>
    <row r="786" spans="1:1">
      <c r="A786" s="98"/>
    </row>
    <row r="787" spans="1:1">
      <c r="A787" s="98"/>
    </row>
    <row r="788" spans="1:1">
      <c r="A788" s="98"/>
    </row>
    <row r="789" spans="1:1">
      <c r="A789" s="98"/>
    </row>
    <row r="790" spans="1:1">
      <c r="A790" s="98"/>
    </row>
    <row r="791" spans="1:1">
      <c r="A791" s="98"/>
    </row>
    <row r="792" spans="1:1">
      <c r="A792" s="98"/>
    </row>
    <row r="793" spans="1:1">
      <c r="A793" s="98"/>
    </row>
    <row r="794" spans="1:1">
      <c r="A794" s="98"/>
    </row>
    <row r="795" spans="1:1">
      <c r="A795" s="98"/>
    </row>
    <row r="796" spans="1:1">
      <c r="A796" s="98"/>
    </row>
    <row r="797" spans="1:1">
      <c r="A797" s="98"/>
    </row>
    <row r="798" spans="1:1">
      <c r="A798" s="98"/>
    </row>
    <row r="799" spans="1:1">
      <c r="A799" s="98"/>
    </row>
    <row r="800" spans="1:1">
      <c r="A800" s="98"/>
    </row>
    <row r="801" spans="1:1">
      <c r="A801" s="98"/>
    </row>
    <row r="802" spans="1:1">
      <c r="A802" s="98"/>
    </row>
    <row r="803" spans="1:1">
      <c r="A803" s="98"/>
    </row>
    <row r="804" spans="1:1">
      <c r="A804" s="98"/>
    </row>
    <row r="805" spans="1:1">
      <c r="A805" s="98"/>
    </row>
    <row r="806" spans="1:1">
      <c r="A806" s="98"/>
    </row>
    <row r="807" spans="1:1">
      <c r="A807" s="98"/>
    </row>
    <row r="808" spans="1:1">
      <c r="A808" s="98"/>
    </row>
    <row r="809" spans="1:1">
      <c r="A809" s="98"/>
    </row>
    <row r="810" spans="1:1">
      <c r="A810" s="98"/>
    </row>
    <row r="811" spans="1:1">
      <c r="A811" s="98"/>
    </row>
    <row r="812" spans="1:1">
      <c r="A812" s="98"/>
    </row>
    <row r="813" spans="1:1">
      <c r="A813" s="98"/>
    </row>
    <row r="814" spans="1:1">
      <c r="A814" s="98"/>
    </row>
    <row r="815" spans="1:1">
      <c r="A815" s="98"/>
    </row>
    <row r="816" spans="1:1">
      <c r="A816" s="98"/>
    </row>
    <row r="817" spans="1:1">
      <c r="A817" s="98"/>
    </row>
    <row r="818" spans="1:1">
      <c r="A818" s="98"/>
    </row>
    <row r="819" spans="1:1">
      <c r="A819" s="98"/>
    </row>
    <row r="820" spans="1:1">
      <c r="A820" s="98"/>
    </row>
    <row r="821" spans="1:1">
      <c r="A821" s="98"/>
    </row>
    <row r="822" spans="1:1">
      <c r="A822" s="98"/>
    </row>
    <row r="823" spans="1:1">
      <c r="A823" s="98"/>
    </row>
    <row r="824" spans="1:1">
      <c r="A824" s="98"/>
    </row>
    <row r="825" spans="1:1">
      <c r="A825" s="98"/>
    </row>
    <row r="826" spans="1:1">
      <c r="A826" s="98"/>
    </row>
    <row r="827" spans="1:1">
      <c r="A827" s="98"/>
    </row>
    <row r="828" spans="1:1">
      <c r="A828" s="98"/>
    </row>
    <row r="829" spans="1:1">
      <c r="A829" s="98"/>
    </row>
    <row r="830" spans="1:1">
      <c r="A830" s="98"/>
    </row>
    <row r="831" spans="1:1">
      <c r="A831" s="98"/>
    </row>
    <row r="832" spans="1:1">
      <c r="A832" s="98"/>
    </row>
    <row r="833" spans="1:1">
      <c r="A833" s="98"/>
    </row>
    <row r="834" spans="1:1">
      <c r="A834" s="98"/>
    </row>
    <row r="835" spans="1:1">
      <c r="A835" s="98"/>
    </row>
    <row r="836" spans="1:1">
      <c r="A836" s="98"/>
    </row>
    <row r="837" spans="1:1">
      <c r="A837" s="98"/>
    </row>
    <row r="838" spans="1:1">
      <c r="A838" s="98"/>
    </row>
    <row r="839" spans="1:1">
      <c r="A839" s="98"/>
    </row>
    <row r="840" spans="1:1">
      <c r="A840" s="98"/>
    </row>
    <row r="841" spans="1:1">
      <c r="A841" s="98"/>
    </row>
    <row r="842" spans="1:1">
      <c r="A842" s="98"/>
    </row>
    <row r="843" spans="1:1">
      <c r="A843" s="98"/>
    </row>
    <row r="844" spans="1:1">
      <c r="A844" s="98"/>
    </row>
    <row r="845" spans="1:1">
      <c r="A845" s="98"/>
    </row>
    <row r="846" spans="1:1">
      <c r="A846" s="98"/>
    </row>
    <row r="847" spans="1:1">
      <c r="A847" s="98"/>
    </row>
    <row r="848" spans="1:1">
      <c r="A848" s="98"/>
    </row>
    <row r="849" spans="1:1">
      <c r="A849" s="98"/>
    </row>
    <row r="850" spans="1:1">
      <c r="A850" s="98"/>
    </row>
    <row r="851" spans="1:1">
      <c r="A851" s="98"/>
    </row>
    <row r="852" spans="1:1">
      <c r="A852" s="98"/>
    </row>
    <row r="853" spans="1:1">
      <c r="A853" s="98"/>
    </row>
    <row r="854" spans="1:1">
      <c r="A854" s="98"/>
    </row>
    <row r="855" spans="1:1">
      <c r="A855" s="98"/>
    </row>
    <row r="856" spans="1:1">
      <c r="A856" s="98"/>
    </row>
    <row r="857" spans="1:1">
      <c r="A857" s="98"/>
    </row>
    <row r="858" spans="1:1">
      <c r="A858" s="98"/>
    </row>
    <row r="859" spans="1:1">
      <c r="A859" s="98"/>
    </row>
    <row r="860" spans="1:1">
      <c r="A860" s="98"/>
    </row>
    <row r="861" spans="1:1">
      <c r="A861" s="98"/>
    </row>
    <row r="862" spans="1:1">
      <c r="A862" s="98"/>
    </row>
    <row r="863" spans="1:1">
      <c r="A863" s="98"/>
    </row>
    <row r="864" spans="1:1">
      <c r="A864" s="98"/>
    </row>
    <row r="865" spans="1:1">
      <c r="A865" s="98"/>
    </row>
    <row r="866" spans="1:1">
      <c r="A866" s="98"/>
    </row>
    <row r="867" spans="1:1">
      <c r="A867" s="98"/>
    </row>
    <row r="868" spans="1:1">
      <c r="A868" s="98"/>
    </row>
    <row r="869" spans="1:1">
      <c r="A869" s="98"/>
    </row>
    <row r="870" spans="1:1">
      <c r="A870" s="98"/>
    </row>
    <row r="871" spans="1:1">
      <c r="A871" s="98"/>
    </row>
    <row r="872" spans="1:1">
      <c r="A872" s="98"/>
    </row>
    <row r="873" spans="1:1">
      <c r="A873" s="98"/>
    </row>
    <row r="874" spans="1:1">
      <c r="A874" s="98"/>
    </row>
    <row r="875" spans="1:1">
      <c r="A875" s="98"/>
    </row>
    <row r="876" spans="1:1">
      <c r="A876" s="98"/>
    </row>
    <row r="877" spans="1:1">
      <c r="A877" s="98"/>
    </row>
    <row r="878" spans="1:1">
      <c r="A878" s="98"/>
    </row>
    <row r="879" spans="1:1">
      <c r="A879" s="98"/>
    </row>
    <row r="880" spans="1:1">
      <c r="A880" s="98"/>
    </row>
    <row r="881" spans="1:1">
      <c r="A881" s="98"/>
    </row>
    <row r="882" spans="1:1">
      <c r="A882" s="98"/>
    </row>
    <row r="883" spans="1:1">
      <c r="A883" s="98"/>
    </row>
    <row r="884" spans="1:1">
      <c r="A884" s="98"/>
    </row>
    <row r="885" spans="1:1">
      <c r="A885" s="98"/>
    </row>
    <row r="886" spans="1:1">
      <c r="A886" s="98"/>
    </row>
    <row r="887" spans="1:1">
      <c r="A887" s="98"/>
    </row>
    <row r="888" spans="1:1">
      <c r="A888" s="98"/>
    </row>
    <row r="889" spans="1:1">
      <c r="A889" s="98"/>
    </row>
    <row r="890" spans="1:1">
      <c r="A890" s="98"/>
    </row>
    <row r="891" spans="1:1">
      <c r="A891" s="98"/>
    </row>
    <row r="892" spans="1:1">
      <c r="A892" s="98"/>
    </row>
    <row r="893" spans="1:1">
      <c r="A893" s="98"/>
    </row>
    <row r="894" spans="1:1">
      <c r="A894" s="98"/>
    </row>
    <row r="895" spans="1:1">
      <c r="A895" s="98"/>
    </row>
    <row r="896" spans="1:1">
      <c r="A896" s="98"/>
    </row>
    <row r="897" spans="1:1">
      <c r="A897" s="98"/>
    </row>
    <row r="898" spans="1:1">
      <c r="A898" s="98"/>
    </row>
    <row r="899" spans="1:1">
      <c r="A899" s="98"/>
    </row>
    <row r="900" spans="1:1">
      <c r="A900" s="98"/>
    </row>
    <row r="901" spans="1:1">
      <c r="A901" s="98"/>
    </row>
    <row r="902" spans="1:1">
      <c r="A902" s="98"/>
    </row>
    <row r="903" spans="1:1">
      <c r="A903" s="98"/>
    </row>
    <row r="904" spans="1:1">
      <c r="A904" s="98"/>
    </row>
    <row r="905" spans="1:1">
      <c r="A905" s="98"/>
    </row>
    <row r="906" spans="1:1">
      <c r="A906" s="98"/>
    </row>
    <row r="907" spans="1:1">
      <c r="A907" s="98"/>
    </row>
    <row r="908" spans="1:1">
      <c r="A908" s="98"/>
    </row>
    <row r="909" spans="1:1">
      <c r="A909" s="98"/>
    </row>
    <row r="910" spans="1:1">
      <c r="A910" s="98"/>
    </row>
    <row r="911" spans="1:1">
      <c r="A911" s="98"/>
    </row>
    <row r="912" spans="1:1">
      <c r="A912" s="98"/>
    </row>
    <row r="913" spans="1:1">
      <c r="A913" s="98"/>
    </row>
    <row r="914" spans="1:1">
      <c r="A914" s="98"/>
    </row>
    <row r="915" spans="1:1">
      <c r="A915" s="98"/>
    </row>
    <row r="916" spans="1:1">
      <c r="A916" s="98"/>
    </row>
    <row r="917" spans="1:1">
      <c r="A917" s="98"/>
    </row>
    <row r="918" spans="1:1">
      <c r="A918" s="98"/>
    </row>
    <row r="919" spans="1:1">
      <c r="A919" s="98"/>
    </row>
    <row r="920" spans="1:1">
      <c r="A920" s="98"/>
    </row>
    <row r="921" spans="1:1">
      <c r="A921" s="98"/>
    </row>
    <row r="922" spans="1:1">
      <c r="A922" s="98"/>
    </row>
    <row r="923" spans="1:1">
      <c r="A923" s="98"/>
    </row>
    <row r="924" spans="1:1">
      <c r="A924" s="98"/>
    </row>
    <row r="925" spans="1:1">
      <c r="A925" s="98"/>
    </row>
    <row r="926" spans="1:1">
      <c r="A926" s="98"/>
    </row>
    <row r="927" spans="1:1">
      <c r="A927" s="98"/>
    </row>
    <row r="928" spans="1:1">
      <c r="A928" s="98"/>
    </row>
    <row r="929" spans="1:1">
      <c r="A929" s="98"/>
    </row>
    <row r="930" spans="1:1">
      <c r="A930" s="98"/>
    </row>
    <row r="931" spans="1:1">
      <c r="A931" s="98"/>
    </row>
    <row r="932" spans="1:1">
      <c r="A932" s="98"/>
    </row>
    <row r="933" spans="1:1">
      <c r="A933" s="98"/>
    </row>
    <row r="934" spans="1:1">
      <c r="A934" s="98"/>
    </row>
    <row r="935" spans="1:1">
      <c r="A935" s="98"/>
    </row>
    <row r="936" spans="1:1">
      <c r="A936" s="98"/>
    </row>
    <row r="937" spans="1:1">
      <c r="A937" s="98"/>
    </row>
    <row r="938" spans="1:1">
      <c r="A938" s="98"/>
    </row>
    <row r="939" spans="1:1">
      <c r="A939" s="98"/>
    </row>
    <row r="940" spans="1:1">
      <c r="A940" s="98"/>
    </row>
    <row r="941" spans="1:1">
      <c r="A941" s="98"/>
    </row>
    <row r="942" spans="1:1">
      <c r="A942" s="98"/>
    </row>
    <row r="943" spans="1:1">
      <c r="A943" s="98"/>
    </row>
    <row r="944" spans="1:1">
      <c r="A944" s="98"/>
    </row>
    <row r="945" spans="1:1">
      <c r="A945" s="98"/>
    </row>
    <row r="946" spans="1:1">
      <c r="A946" s="98"/>
    </row>
    <row r="947" spans="1:1">
      <c r="A947" s="98"/>
    </row>
    <row r="948" spans="1:1">
      <c r="A948" s="98"/>
    </row>
    <row r="949" spans="1:1">
      <c r="A949" s="98"/>
    </row>
    <row r="950" spans="1:1">
      <c r="A950" s="98"/>
    </row>
    <row r="951" spans="1:1">
      <c r="A951" s="98"/>
    </row>
    <row r="952" spans="1:1">
      <c r="A952" s="98"/>
    </row>
    <row r="953" spans="1:1">
      <c r="A953" s="98"/>
    </row>
    <row r="954" spans="1:1">
      <c r="A954" s="98"/>
    </row>
    <row r="955" spans="1:1">
      <c r="A955" s="98"/>
    </row>
    <row r="956" spans="1:1">
      <c r="A956" s="98"/>
    </row>
    <row r="957" spans="1:1">
      <c r="A957" s="98"/>
    </row>
    <row r="958" spans="1:1">
      <c r="A958" s="98"/>
    </row>
    <row r="959" spans="1:1">
      <c r="A959" s="98"/>
    </row>
    <row r="960" spans="1:1">
      <c r="A960" s="98"/>
    </row>
    <row r="961" spans="1:1">
      <c r="A961" s="98"/>
    </row>
    <row r="962" spans="1:1">
      <c r="A962" s="98"/>
    </row>
    <row r="963" spans="1:1">
      <c r="A963" s="98"/>
    </row>
    <row r="964" spans="1:1">
      <c r="A964" s="98"/>
    </row>
    <row r="965" spans="1:1">
      <c r="A965" s="98"/>
    </row>
    <row r="966" spans="1:1">
      <c r="A966" s="98"/>
    </row>
    <row r="967" spans="1:1">
      <c r="A967" s="98"/>
    </row>
    <row r="968" spans="1:1">
      <c r="A968" s="98"/>
    </row>
    <row r="969" spans="1:1">
      <c r="A969" s="98"/>
    </row>
    <row r="970" spans="1:1">
      <c r="A970" s="98"/>
    </row>
    <row r="971" spans="1:1">
      <c r="A971" s="98"/>
    </row>
    <row r="972" spans="1:1">
      <c r="A972" s="98"/>
    </row>
    <row r="973" spans="1:1">
      <c r="A973" s="98"/>
    </row>
    <row r="974" spans="1:1">
      <c r="A974" s="98"/>
    </row>
    <row r="975" spans="1:1">
      <c r="A975" s="98"/>
    </row>
    <row r="976" spans="1:1">
      <c r="A976" s="98"/>
    </row>
    <row r="977" spans="1:1">
      <c r="A977" s="98"/>
    </row>
    <row r="978" spans="1:1">
      <c r="A978" s="98"/>
    </row>
    <row r="979" spans="1:1">
      <c r="A979" s="98"/>
    </row>
    <row r="980" spans="1:1">
      <c r="A980" s="98"/>
    </row>
    <row r="981" spans="1:1">
      <c r="A981" s="98"/>
    </row>
    <row r="982" spans="1:1">
      <c r="A982" s="98"/>
    </row>
    <row r="983" spans="1:1">
      <c r="A983" s="98"/>
    </row>
    <row r="984" spans="1:1">
      <c r="A984" s="98"/>
    </row>
    <row r="985" spans="1:1">
      <c r="A985" s="98"/>
    </row>
    <row r="986" spans="1:1">
      <c r="A986" s="98"/>
    </row>
    <row r="987" spans="1:1">
      <c r="A987" s="98"/>
    </row>
    <row r="988" spans="1:1">
      <c r="A988" s="98"/>
    </row>
    <row r="989" spans="1:1">
      <c r="A989" s="98"/>
    </row>
    <row r="990" spans="1:1">
      <c r="A990" s="98"/>
    </row>
    <row r="991" spans="1:1">
      <c r="A991" s="98"/>
    </row>
    <row r="992" spans="1:1">
      <c r="A992" s="98"/>
    </row>
    <row r="993" spans="1:8">
      <c r="A993" s="98"/>
    </row>
    <row r="994" spans="1:8">
      <c r="A994" s="98"/>
    </row>
    <row r="995" spans="1:8">
      <c r="A995" s="98"/>
    </row>
    <row r="996" spans="1:8">
      <c r="A996" s="98"/>
    </row>
    <row r="997" spans="1:8">
      <c r="A997" s="98"/>
    </row>
    <row r="998" spans="1:8">
      <c r="A998" s="98"/>
    </row>
    <row r="999" spans="1:8">
      <c r="A999" s="98"/>
    </row>
    <row r="1000" spans="1:8">
      <c r="A1000" s="98">
        <v>44865</v>
      </c>
      <c r="B1000" s="43" t="s">
        <v>967</v>
      </c>
      <c r="C1000" s="95">
        <v>20493000</v>
      </c>
      <c r="E1000" s="95">
        <v>229726884.49999985</v>
      </c>
      <c r="F1000" t="s">
        <v>1003</v>
      </c>
      <c r="H1000" s="1" t="s">
        <v>84</v>
      </c>
    </row>
    <row r="1001" spans="1:8">
      <c r="A1001" s="98">
        <v>44865</v>
      </c>
      <c r="B1001" s="43" t="s">
        <v>962</v>
      </c>
      <c r="C1001" s="95">
        <v>264000</v>
      </c>
      <c r="E1001" s="95">
        <v>230817801.79999986</v>
      </c>
      <c r="F1001" t="s">
        <v>1966</v>
      </c>
      <c r="H1001" s="1" t="s">
        <v>84</v>
      </c>
    </row>
    <row r="1002" spans="1:8">
      <c r="A1002" s="98">
        <v>44865</v>
      </c>
      <c r="B1002" s="43" t="s">
        <v>77</v>
      </c>
      <c r="D1002" s="95">
        <v>5274500</v>
      </c>
      <c r="E1002" s="95">
        <v>239463801.79999986</v>
      </c>
      <c r="F1002" t="s">
        <v>1971</v>
      </c>
      <c r="H1002" s="1" t="s">
        <v>84</v>
      </c>
    </row>
    <row r="1003" spans="1:8">
      <c r="A1003" s="98">
        <v>44865</v>
      </c>
      <c r="B1003" s="43" t="s">
        <v>77</v>
      </c>
      <c r="D1003" s="95">
        <v>9740500</v>
      </c>
      <c r="E1003" s="95">
        <v>230678384.49999985</v>
      </c>
      <c r="F1003" t="s">
        <v>1974</v>
      </c>
      <c r="H1003" s="1" t="s">
        <v>84</v>
      </c>
    </row>
    <row r="1004" spans="1:8">
      <c r="A1004" s="98">
        <v>44865</v>
      </c>
      <c r="B1004" s="43" t="s">
        <v>77</v>
      </c>
      <c r="D1004" s="95">
        <v>1188000</v>
      </c>
      <c r="E1004" s="95">
        <v>230370384.49999985</v>
      </c>
      <c r="F1004" t="s">
        <v>1969</v>
      </c>
      <c r="G1004" s="1" t="s">
        <v>1960</v>
      </c>
      <c r="H1004" s="1" t="s">
        <v>84</v>
      </c>
    </row>
    <row r="1005" spans="1:8">
      <c r="A1005" s="98">
        <v>44865</v>
      </c>
      <c r="B1005" s="43" t="s">
        <v>77</v>
      </c>
      <c r="D1005" s="95">
        <v>1535050</v>
      </c>
      <c r="E1005" s="95">
        <v>237282784.49999985</v>
      </c>
      <c r="F1005" t="s">
        <v>1970</v>
      </c>
      <c r="H1005" s="1" t="s">
        <v>84</v>
      </c>
    </row>
    <row r="1006" spans="1:8">
      <c r="A1006" s="98">
        <v>44865</v>
      </c>
      <c r="B1006" s="43" t="s">
        <v>77</v>
      </c>
      <c r="D1006" s="95">
        <v>3128345</v>
      </c>
      <c r="E1006" s="95">
        <v>238295884.49999985</v>
      </c>
      <c r="F1006" t="s">
        <v>1970</v>
      </c>
      <c r="H1006" s="1" t="s">
        <v>84</v>
      </c>
    </row>
    <row r="1007" spans="1:8">
      <c r="A1007" s="98">
        <v>44865</v>
      </c>
      <c r="B1007" s="43" t="s">
        <v>143</v>
      </c>
      <c r="C1007" s="95">
        <v>2442000</v>
      </c>
      <c r="E1007" s="95">
        <v>233707801.79999986</v>
      </c>
      <c r="F1007" t="s">
        <v>1064</v>
      </c>
      <c r="H1007" s="1" t="s">
        <v>84</v>
      </c>
    </row>
    <row r="1008" spans="1:8">
      <c r="A1008" s="98">
        <v>44866</v>
      </c>
      <c r="B1008" s="43" t="s">
        <v>1955</v>
      </c>
      <c r="C1008" s="95">
        <v>1982200</v>
      </c>
      <c r="E1008" s="95">
        <v>241316264.49999985</v>
      </c>
      <c r="F1008" t="s">
        <v>1041</v>
      </c>
      <c r="G1008" s="1" t="s">
        <v>1043</v>
      </c>
      <c r="H1008" s="1" t="s">
        <v>84</v>
      </c>
    </row>
    <row r="1009" spans="1:8">
      <c r="A1009" s="98">
        <v>44866</v>
      </c>
      <c r="B1009" s="43" t="s">
        <v>77</v>
      </c>
      <c r="D1009" s="95">
        <v>1982200</v>
      </c>
      <c r="E1009" s="95">
        <v>239643164.49999985</v>
      </c>
      <c r="F1009" t="s">
        <v>1041</v>
      </c>
      <c r="H1009" s="1" t="s">
        <v>84</v>
      </c>
    </row>
    <row r="1010" spans="1:8">
      <c r="A1010" s="98">
        <v>44867</v>
      </c>
      <c r="B1010" s="43" t="s">
        <v>77</v>
      </c>
      <c r="D1010" s="95">
        <v>3000000</v>
      </c>
      <c r="E1010" s="95">
        <v>273776164.49999988</v>
      </c>
      <c r="F1010" t="s">
        <v>1045</v>
      </c>
      <c r="H1010" s="1" t="s">
        <v>84</v>
      </c>
    </row>
    <row r="1011" spans="1:8">
      <c r="A1011" s="98">
        <v>44867</v>
      </c>
      <c r="B1011" s="43" t="s">
        <v>77</v>
      </c>
      <c r="D1011" s="95">
        <v>4004000</v>
      </c>
      <c r="E1011" s="95">
        <v>274576164.49999988</v>
      </c>
      <c r="F1011" t="s">
        <v>826</v>
      </c>
      <c r="H1011" s="1" t="s">
        <v>84</v>
      </c>
    </row>
    <row r="1012" spans="1:8">
      <c r="A1012" s="98">
        <v>44867</v>
      </c>
      <c r="B1012" s="43" t="s">
        <v>77</v>
      </c>
      <c r="D1012" s="95">
        <v>9152000</v>
      </c>
      <c r="E1012" s="95">
        <v>269576164.49999988</v>
      </c>
      <c r="F1012" t="s">
        <v>826</v>
      </c>
      <c r="H1012" s="1" t="s">
        <v>84</v>
      </c>
    </row>
    <row r="1013" spans="1:8">
      <c r="A1013" s="98">
        <v>44867</v>
      </c>
      <c r="B1013" s="43" t="s">
        <v>77</v>
      </c>
      <c r="D1013" s="95">
        <v>1454750</v>
      </c>
      <c r="E1013" s="95">
        <v>270786164.49999988</v>
      </c>
      <c r="F1013" t="s">
        <v>1967</v>
      </c>
      <c r="H1013" s="1" t="s">
        <v>84</v>
      </c>
    </row>
    <row r="1014" spans="1:8">
      <c r="A1014" s="98">
        <v>44867</v>
      </c>
      <c r="B1014" s="43" t="s">
        <v>77</v>
      </c>
      <c r="D1014" s="95">
        <v>10059000</v>
      </c>
      <c r="E1014" s="95">
        <v>269986164.49999988</v>
      </c>
      <c r="F1014" t="s">
        <v>1047</v>
      </c>
      <c r="H1014" s="1" t="s">
        <v>84</v>
      </c>
    </row>
    <row r="1015" spans="1:8">
      <c r="A1015" s="98">
        <v>44872</v>
      </c>
      <c r="B1015" s="43" t="s">
        <v>77</v>
      </c>
      <c r="D1015" s="95">
        <v>3000000</v>
      </c>
      <c r="E1015" s="95">
        <v>273094164.99999988</v>
      </c>
      <c r="F1015" t="s">
        <v>1045</v>
      </c>
      <c r="H1015" s="1" t="s">
        <v>84</v>
      </c>
    </row>
    <row r="1016" spans="1:8">
      <c r="A1016" s="98">
        <v>44875</v>
      </c>
      <c r="B1016" s="43" t="s">
        <v>1954</v>
      </c>
      <c r="D1016" s="95">
        <v>2442000</v>
      </c>
      <c r="E1016" s="95">
        <v>270955764.99999988</v>
      </c>
      <c r="F1016" t="s">
        <v>1064</v>
      </c>
      <c r="H1016" s="1" t="s">
        <v>84</v>
      </c>
    </row>
    <row r="1017" spans="1:8">
      <c r="A1017" s="98">
        <v>44879</v>
      </c>
      <c r="B1017" s="43" t="s">
        <v>1009</v>
      </c>
      <c r="C1017" s="95">
        <v>6468550</v>
      </c>
      <c r="E1017" s="95">
        <v>268535764.99999988</v>
      </c>
      <c r="F1017" t="s">
        <v>1008</v>
      </c>
      <c r="H1017" s="1" t="s">
        <v>84</v>
      </c>
    </row>
    <row r="1018" spans="1:8">
      <c r="A1018" s="98">
        <v>44880</v>
      </c>
      <c r="B1018" s="43" t="s">
        <v>77</v>
      </c>
      <c r="D1018" s="95">
        <v>19354500</v>
      </c>
      <c r="E1018" s="95">
        <v>268205764.99999988</v>
      </c>
      <c r="F1018" t="s">
        <v>1963</v>
      </c>
      <c r="H1018" s="1" t="s">
        <v>84</v>
      </c>
    </row>
    <row r="1019" spans="1:8">
      <c r="A1019" s="98">
        <v>44880</v>
      </c>
      <c r="B1019" s="43" t="s">
        <v>77</v>
      </c>
      <c r="D1019" s="95">
        <v>1265000</v>
      </c>
      <c r="E1019" s="95">
        <v>267765764.99999988</v>
      </c>
      <c r="F1019" t="s">
        <v>1039</v>
      </c>
      <c r="H1019" s="1" t="s">
        <v>84</v>
      </c>
    </row>
    <row r="1020" spans="1:8">
      <c r="A1020" s="98">
        <v>44880</v>
      </c>
      <c r="B1020" s="43" t="s">
        <v>77</v>
      </c>
      <c r="D1020" s="95">
        <v>12478400</v>
      </c>
      <c r="E1020" s="95">
        <v>266445764.99999988</v>
      </c>
      <c r="F1020" t="s">
        <v>1111</v>
      </c>
      <c r="H1020" s="1" t="s">
        <v>84</v>
      </c>
    </row>
    <row r="1021" spans="1:8">
      <c r="A1021" s="98">
        <v>44880</v>
      </c>
      <c r="B1021" s="43" t="s">
        <v>77</v>
      </c>
      <c r="D1021" s="95">
        <v>308000</v>
      </c>
      <c r="E1021" s="95">
        <v>258090384.99999988</v>
      </c>
      <c r="F1021" t="s">
        <v>1964</v>
      </c>
      <c r="H1021" s="1" t="s">
        <v>84</v>
      </c>
    </row>
    <row r="1022" spans="1:8">
      <c r="A1022" s="98">
        <v>44880</v>
      </c>
      <c r="B1022" s="43" t="s">
        <v>77</v>
      </c>
      <c r="D1022" s="95">
        <v>19266885</v>
      </c>
      <c r="E1022" s="95">
        <v>258727834.99999988</v>
      </c>
      <c r="F1022" t="s">
        <v>1961</v>
      </c>
      <c r="H1022" s="1" t="s">
        <v>84</v>
      </c>
    </row>
    <row r="1023" spans="1:8">
      <c r="A1023" s="98">
        <v>44880</v>
      </c>
      <c r="B1023" s="43" t="s">
        <v>77</v>
      </c>
      <c r="D1023" s="95">
        <v>36811500</v>
      </c>
      <c r="E1023" s="95">
        <v>259811334.99999988</v>
      </c>
      <c r="F1023" t="s">
        <v>1060</v>
      </c>
      <c r="H1023" s="1" t="s">
        <v>84</v>
      </c>
    </row>
    <row r="1024" spans="1:8">
      <c r="A1024" s="98">
        <v>44886</v>
      </c>
      <c r="B1024" s="43" t="s">
        <v>77</v>
      </c>
      <c r="D1024" s="95">
        <v>7200000</v>
      </c>
      <c r="E1024" s="95">
        <v>259897134.99999988</v>
      </c>
      <c r="F1024" t="s">
        <v>1045</v>
      </c>
      <c r="H1024" s="1" t="s">
        <v>84</v>
      </c>
    </row>
    <row r="1025" spans="1:8">
      <c r="A1025" s="98">
        <v>44886</v>
      </c>
      <c r="B1025" s="43" t="s">
        <v>77</v>
      </c>
      <c r="D1025" s="95">
        <v>1518000</v>
      </c>
      <c r="E1025" s="95">
        <v>265617134.99999988</v>
      </c>
      <c r="F1025" t="s">
        <v>998</v>
      </c>
      <c r="H1025" s="1" t="s">
        <v>84</v>
      </c>
    </row>
    <row r="1026" spans="1:8">
      <c r="A1026" s="98">
        <v>44886</v>
      </c>
      <c r="B1026" s="43" t="s">
        <v>77</v>
      </c>
      <c r="D1026" s="95">
        <v>20493000</v>
      </c>
      <c r="E1026" s="95">
        <v>267465134.99999988</v>
      </c>
      <c r="F1026" t="s">
        <v>1003</v>
      </c>
      <c r="H1026" s="1" t="s">
        <v>84</v>
      </c>
    </row>
    <row r="1027" spans="1:8">
      <c r="A1027" s="98">
        <v>44890</v>
      </c>
      <c r="B1027" s="43" t="s">
        <v>1031</v>
      </c>
      <c r="C1027" s="95">
        <v>3128345</v>
      </c>
      <c r="E1027" s="95">
        <v>271263134.69999987</v>
      </c>
      <c r="F1027" t="s">
        <v>1970</v>
      </c>
      <c r="H1027" s="1" t="s">
        <v>84</v>
      </c>
    </row>
    <row r="1028" spans="1:8">
      <c r="A1028" s="98">
        <v>44895</v>
      </c>
      <c r="B1028" s="43" t="s">
        <v>76</v>
      </c>
      <c r="C1028" s="95">
        <v>11422400</v>
      </c>
      <c r="E1028" s="95">
        <v>272752644.69999987</v>
      </c>
      <c r="F1028" t="s">
        <v>1111</v>
      </c>
      <c r="H1028" s="1" t="s">
        <v>84</v>
      </c>
    </row>
    <row r="1029" spans="1:8">
      <c r="A1029" s="98">
        <v>44895</v>
      </c>
      <c r="B1029" s="43" t="s">
        <v>76</v>
      </c>
      <c r="C1029" s="95">
        <v>29425550</v>
      </c>
      <c r="E1029" s="95">
        <v>270403914.39999986</v>
      </c>
      <c r="F1029" t="s">
        <v>1325</v>
      </c>
      <c r="H1029" s="1" t="s">
        <v>84</v>
      </c>
    </row>
    <row r="1030" spans="1:8">
      <c r="A1030" s="98">
        <v>44895</v>
      </c>
      <c r="B1030" s="43" t="s">
        <v>269</v>
      </c>
      <c r="C1030" s="95">
        <v>13409000</v>
      </c>
      <c r="E1030" s="95">
        <v>263944404.39999986</v>
      </c>
      <c r="F1030" t="s">
        <v>1060</v>
      </c>
      <c r="H1030" s="1" t="s">
        <v>84</v>
      </c>
    </row>
    <row r="1031" spans="1:8">
      <c r="A1031" s="98">
        <v>44895</v>
      </c>
      <c r="B1031" s="43" t="s">
        <v>1101</v>
      </c>
      <c r="C1031" s="95">
        <v>11791290</v>
      </c>
      <c r="E1031" s="95">
        <v>268835914.39999986</v>
      </c>
      <c r="F1031" t="s">
        <v>1454</v>
      </c>
      <c r="G1031" s="1" t="s">
        <v>1960</v>
      </c>
      <c r="H1031" s="1" t="s">
        <v>84</v>
      </c>
    </row>
    <row r="1032" spans="1:8">
      <c r="A1032" s="98">
        <v>44895</v>
      </c>
      <c r="B1032" s="43" t="s">
        <v>1100</v>
      </c>
      <c r="C1032" s="95">
        <v>10586785</v>
      </c>
      <c r="E1032" s="95">
        <v>263251404.39999986</v>
      </c>
      <c r="F1032" t="s">
        <v>913</v>
      </c>
      <c r="H1032" s="1" t="s">
        <v>84</v>
      </c>
    </row>
    <row r="1033" spans="1:8">
      <c r="A1033" s="98">
        <v>44895</v>
      </c>
      <c r="B1033" s="43" t="s">
        <v>77</v>
      </c>
      <c r="D1033" s="95">
        <v>25994045</v>
      </c>
      <c r="E1033" s="95">
        <v>281047414.39999986</v>
      </c>
      <c r="F1033" t="s">
        <v>1325</v>
      </c>
      <c r="H1033" s="1" t="s">
        <v>84</v>
      </c>
    </row>
    <row r="1034" spans="1:8">
      <c r="A1034" s="98">
        <v>44895</v>
      </c>
      <c r="B1034" s="43" t="s">
        <v>77</v>
      </c>
      <c r="D1034" s="95">
        <v>8613000</v>
      </c>
      <c r="E1034" s="95">
        <v>280403914.39999986</v>
      </c>
      <c r="F1034" t="s">
        <v>1972</v>
      </c>
      <c r="H1034" s="1" t="s">
        <v>84</v>
      </c>
    </row>
    <row r="1035" spans="1:8">
      <c r="A1035" s="98">
        <v>44895</v>
      </c>
      <c r="B1035" s="43" t="s">
        <v>77</v>
      </c>
      <c r="D1035" s="95">
        <v>9559770</v>
      </c>
      <c r="E1035" s="95">
        <v>271943914.39999986</v>
      </c>
      <c r="F1035" t="s">
        <v>1454</v>
      </c>
      <c r="G1035" s="1" t="s">
        <v>1960</v>
      </c>
      <c r="H1035" s="1" t="s">
        <v>84</v>
      </c>
    </row>
    <row r="1036" spans="1:8">
      <c r="A1036" s="98">
        <v>44895</v>
      </c>
      <c r="B1036" s="43" t="s">
        <v>77</v>
      </c>
      <c r="D1036" s="95">
        <v>3128345</v>
      </c>
      <c r="E1036" s="95">
        <v>267346404.39999986</v>
      </c>
      <c r="F1036" t="s">
        <v>1970</v>
      </c>
      <c r="H1036" s="1" t="s">
        <v>84</v>
      </c>
    </row>
    <row r="1037" spans="1:8">
      <c r="A1037" s="98">
        <v>44895</v>
      </c>
      <c r="B1037" s="43" t="s">
        <v>1954</v>
      </c>
      <c r="D1037" s="95">
        <v>847000</v>
      </c>
      <c r="E1037" s="95">
        <v>284845414.39999986</v>
      </c>
      <c r="F1037" t="s">
        <v>1064</v>
      </c>
      <c r="H1037" s="1" t="s">
        <v>84</v>
      </c>
    </row>
    <row r="1038" spans="1:8">
      <c r="A1038" s="98">
        <v>44895</v>
      </c>
      <c r="B1038" s="43" t="s">
        <v>143</v>
      </c>
      <c r="C1038" s="95">
        <v>847000</v>
      </c>
      <c r="E1038" s="95">
        <v>276154644.39999986</v>
      </c>
      <c r="F1038" t="s">
        <v>1064</v>
      </c>
      <c r="H1038" s="1" t="s">
        <v>84</v>
      </c>
    </row>
    <row r="1039" spans="1:8">
      <c r="A1039" s="98">
        <v>44896</v>
      </c>
      <c r="B1039" s="43" t="s">
        <v>76</v>
      </c>
      <c r="C1039" s="95">
        <v>6600000</v>
      </c>
      <c r="E1039" s="95">
        <v>253251404.39999986</v>
      </c>
      <c r="F1039" t="s">
        <v>1975</v>
      </c>
      <c r="H1039" s="1" t="s">
        <v>84</v>
      </c>
    </row>
    <row r="1040" spans="1:8">
      <c r="A1040" s="98">
        <v>44896</v>
      </c>
      <c r="B1040" s="43" t="s">
        <v>76</v>
      </c>
      <c r="C1040" s="95">
        <v>15617250</v>
      </c>
      <c r="E1040" s="95">
        <v>244118404.39999986</v>
      </c>
      <c r="F1040" t="s">
        <v>1973</v>
      </c>
      <c r="H1040" s="1" t="s">
        <v>84</v>
      </c>
    </row>
    <row r="1041" spans="1:8">
      <c r="A1041" s="98">
        <v>44896</v>
      </c>
      <c r="B1041" s="43" t="s">
        <v>77</v>
      </c>
      <c r="D1041" s="95">
        <v>6468550</v>
      </c>
      <c r="E1041" s="95">
        <v>254029404.39999986</v>
      </c>
      <c r="F1041" t="s">
        <v>1008</v>
      </c>
      <c r="H1041" s="1" t="s">
        <v>84</v>
      </c>
    </row>
    <row r="1042" spans="1:8">
      <c r="A1042" s="98">
        <v>44900</v>
      </c>
      <c r="B1042" s="43" t="s">
        <v>77</v>
      </c>
      <c r="D1042" s="95">
        <v>10586785</v>
      </c>
      <c r="E1042" s="95">
        <v>248162404.39999986</v>
      </c>
      <c r="F1042" t="s">
        <v>913</v>
      </c>
      <c r="H1042" s="1" t="s">
        <v>84</v>
      </c>
    </row>
    <row r="1043" spans="1:8">
      <c r="A1043" s="98">
        <v>44904</v>
      </c>
      <c r="B1043" s="43" t="s">
        <v>77</v>
      </c>
      <c r="D1043" s="95">
        <v>264000</v>
      </c>
      <c r="E1043" s="95">
        <v>248822404.39999986</v>
      </c>
      <c r="F1043" t="s">
        <v>1966</v>
      </c>
      <c r="H1043" s="1" t="s">
        <v>84</v>
      </c>
    </row>
    <row r="1044" spans="1:8">
      <c r="A1044" s="98">
        <v>44910</v>
      </c>
      <c r="B1044" s="43" t="s">
        <v>77</v>
      </c>
      <c r="D1044" s="95">
        <v>11422400</v>
      </c>
      <c r="E1044" s="95">
        <v>249361404.39999986</v>
      </c>
      <c r="F1044" t="s">
        <v>1111</v>
      </c>
      <c r="H1044" s="1" t="s">
        <v>84</v>
      </c>
    </row>
    <row r="1045" spans="1:8">
      <c r="A1045" s="98">
        <v>44911</v>
      </c>
      <c r="B1045" s="43" t="s">
        <v>77</v>
      </c>
      <c r="D1045" s="95">
        <v>6600000</v>
      </c>
      <c r="E1045" s="95">
        <v>248723954.39999986</v>
      </c>
      <c r="F1045" t="s">
        <v>1975</v>
      </c>
      <c r="H1045" s="1" t="s">
        <v>84</v>
      </c>
    </row>
    <row r="1046" spans="1:8">
      <c r="A1046" s="98">
        <v>44911</v>
      </c>
      <c r="B1046" s="43" t="s">
        <v>77</v>
      </c>
      <c r="D1046" s="95">
        <v>13409000</v>
      </c>
      <c r="E1046" s="95">
        <v>275343954.39999986</v>
      </c>
      <c r="F1046" t="s">
        <v>1060</v>
      </c>
      <c r="H1046" s="1" t="s">
        <v>84</v>
      </c>
    </row>
    <row r="1047" spans="1:8">
      <c r="A1047" s="98">
        <v>44914</v>
      </c>
      <c r="B1047" s="43" t="s">
        <v>77</v>
      </c>
      <c r="D1047" s="95">
        <v>29425550</v>
      </c>
      <c r="E1047" s="95">
        <v>276537454.39999986</v>
      </c>
      <c r="F1047" t="s">
        <v>1325</v>
      </c>
      <c r="H1047" s="1" t="s">
        <v>84</v>
      </c>
    </row>
    <row r="1048" spans="1:8">
      <c r="A1048" s="98">
        <v>44915</v>
      </c>
      <c r="B1048" s="43" t="s">
        <v>1138</v>
      </c>
      <c r="C1048" s="95">
        <v>418000</v>
      </c>
      <c r="E1048" s="95">
        <v>275453954.39999986</v>
      </c>
      <c r="F1048" t="s">
        <v>1041</v>
      </c>
      <c r="H1048" s="1" t="s">
        <v>84</v>
      </c>
    </row>
    <row r="1049" spans="1:8">
      <c r="A1049" s="98">
        <v>44915</v>
      </c>
      <c r="B1049" s="43" t="s">
        <v>77</v>
      </c>
      <c r="D1049" s="95">
        <v>4841100</v>
      </c>
      <c r="E1049" s="95">
        <v>275798804.39999986</v>
      </c>
      <c r="F1049" t="s">
        <v>1973</v>
      </c>
      <c r="H1049" s="1" t="s">
        <v>84</v>
      </c>
    </row>
    <row r="1050" spans="1:8">
      <c r="A1050" s="98">
        <v>44916</v>
      </c>
      <c r="B1050" s="43" t="s">
        <v>77</v>
      </c>
      <c r="D1050" s="95">
        <v>418000</v>
      </c>
      <c r="E1050" s="95">
        <v>275713004.39999986</v>
      </c>
      <c r="F1050" t="s">
        <v>1041</v>
      </c>
      <c r="H1050" s="1" t="s">
        <v>84</v>
      </c>
    </row>
    <row r="1051" spans="1:8">
      <c r="A1051" s="98">
        <v>44917</v>
      </c>
      <c r="B1051" s="43" t="s">
        <v>1031</v>
      </c>
      <c r="C1051" s="95">
        <v>482350</v>
      </c>
      <c r="E1051" s="95">
        <v>274503004.39999986</v>
      </c>
      <c r="F1051" t="s">
        <v>1970</v>
      </c>
      <c r="H1051" s="1" t="s">
        <v>84</v>
      </c>
    </row>
    <row r="1052" spans="1:8">
      <c r="A1052" s="98">
        <v>44918</v>
      </c>
      <c r="B1052" s="43" t="s">
        <v>77</v>
      </c>
      <c r="D1052" s="95">
        <v>772200</v>
      </c>
      <c r="E1052" s="95">
        <v>272853004.39999986</v>
      </c>
      <c r="F1052" t="s">
        <v>1976</v>
      </c>
      <c r="H1052" s="1" t="s">
        <v>84</v>
      </c>
    </row>
    <row r="1053" spans="1:8">
      <c r="A1053" s="98">
        <v>44918</v>
      </c>
      <c r="B1053" s="43" t="s">
        <v>1141</v>
      </c>
      <c r="C1053" s="95">
        <v>772200</v>
      </c>
      <c r="E1053" s="95">
        <v>274701004.39999986</v>
      </c>
      <c r="F1053" t="s">
        <v>1976</v>
      </c>
      <c r="H1053" s="1" t="s">
        <v>84</v>
      </c>
    </row>
    <row r="1054" spans="1:8">
      <c r="A1054" s="98">
        <v>44923</v>
      </c>
      <c r="B1054" s="43" t="s">
        <v>77</v>
      </c>
      <c r="D1054" s="95">
        <v>11791290</v>
      </c>
      <c r="E1054" s="95">
        <v>267133004.39999986</v>
      </c>
      <c r="F1054" t="s">
        <v>1454</v>
      </c>
      <c r="G1054" s="1" t="s">
        <v>1960</v>
      </c>
      <c r="H1054" s="1" t="s">
        <v>84</v>
      </c>
    </row>
    <row r="1055" spans="1:8">
      <c r="A1055" s="98">
        <v>44926</v>
      </c>
      <c r="B1055" s="43" t="s">
        <v>1149</v>
      </c>
      <c r="C1055" s="95">
        <v>23485249.699999999</v>
      </c>
      <c r="E1055" s="95">
        <v>282423291.49999988</v>
      </c>
      <c r="F1055" t="s">
        <v>1454</v>
      </c>
      <c r="G1055" s="1" t="s">
        <v>1960</v>
      </c>
      <c r="H1055" s="1" t="s">
        <v>84</v>
      </c>
    </row>
    <row r="1056" spans="1:8">
      <c r="A1056" s="98">
        <v>44926</v>
      </c>
      <c r="B1056" s="43" t="s">
        <v>973</v>
      </c>
      <c r="C1056" s="95">
        <v>7122500</v>
      </c>
      <c r="E1056" s="95">
        <v>281213291.49999988</v>
      </c>
      <c r="F1056" t="s">
        <v>1967</v>
      </c>
      <c r="H1056" s="1" t="s">
        <v>84</v>
      </c>
    </row>
    <row r="1057" spans="1:8">
      <c r="A1057" s="98">
        <v>44926</v>
      </c>
      <c r="B1057" s="43" t="s">
        <v>76</v>
      </c>
      <c r="C1057" s="95">
        <v>759000</v>
      </c>
      <c r="E1057" s="95">
        <v>276758291.49999988</v>
      </c>
      <c r="F1057" t="s">
        <v>1963</v>
      </c>
      <c r="H1057" s="1" t="s">
        <v>84</v>
      </c>
    </row>
    <row r="1058" spans="1:8">
      <c r="A1058" s="98">
        <v>44926</v>
      </c>
      <c r="B1058" s="43" t="s">
        <v>76</v>
      </c>
      <c r="C1058" s="95">
        <v>17646200</v>
      </c>
      <c r="E1058" s="95">
        <v>279761291.49999988</v>
      </c>
      <c r="F1058" t="s">
        <v>1325</v>
      </c>
      <c r="H1058" s="1" t="s">
        <v>84</v>
      </c>
    </row>
    <row r="1059" spans="1:8">
      <c r="A1059" s="98">
        <v>44942</v>
      </c>
      <c r="B1059" s="43" t="s">
        <v>77</v>
      </c>
      <c r="D1059" s="95">
        <v>15617250</v>
      </c>
      <c r="E1059" s="95">
        <v>286709291.49999988</v>
      </c>
      <c r="F1059" t="s">
        <v>1973</v>
      </c>
      <c r="H1059" s="1" t="s">
        <v>84</v>
      </c>
    </row>
    <row r="1060" spans="1:8">
      <c r="A1060" s="98">
        <v>44943</v>
      </c>
      <c r="B1060" s="43" t="s">
        <v>77</v>
      </c>
      <c r="D1060" s="95">
        <v>11485249</v>
      </c>
      <c r="E1060" s="95">
        <v>288296041.49999988</v>
      </c>
      <c r="F1060" t="s">
        <v>1454</v>
      </c>
      <c r="G1060" s="1" t="s">
        <v>1960</v>
      </c>
      <c r="H1060" s="1" t="s">
        <v>84</v>
      </c>
    </row>
    <row r="1061" spans="1:8">
      <c r="A1061" s="98">
        <v>44944</v>
      </c>
      <c r="B1061" s="43" t="s">
        <v>77</v>
      </c>
      <c r="D1061" s="95">
        <v>482350</v>
      </c>
      <c r="E1061" s="95">
        <v>290606041.49999988</v>
      </c>
      <c r="F1061" t="s">
        <v>1970</v>
      </c>
      <c r="H1061" s="1" t="s">
        <v>84</v>
      </c>
    </row>
    <row r="1062" spans="1:8">
      <c r="A1062" s="98">
        <v>44953</v>
      </c>
      <c r="B1062" s="43" t="s">
        <v>77</v>
      </c>
      <c r="D1062" s="95">
        <v>759000</v>
      </c>
      <c r="E1062" s="95">
        <v>281915271.49999988</v>
      </c>
      <c r="F1062" t="s">
        <v>1963</v>
      </c>
      <c r="H1062" s="1" t="s">
        <v>84</v>
      </c>
    </row>
    <row r="1063" spans="1:8">
      <c r="A1063" s="98">
        <v>44957</v>
      </c>
      <c r="B1063" s="43" t="s">
        <v>1193</v>
      </c>
      <c r="C1063" s="95">
        <v>308000</v>
      </c>
      <c r="E1063" s="95">
        <v>280804916.49999988</v>
      </c>
      <c r="F1063" t="s">
        <v>1064</v>
      </c>
      <c r="H1063" s="1" t="s">
        <v>84</v>
      </c>
    </row>
    <row r="1064" spans="1:8">
      <c r="A1064" s="98">
        <v>44957</v>
      </c>
      <c r="B1064" s="43" t="s">
        <v>1194</v>
      </c>
      <c r="D1064" s="95">
        <v>308000</v>
      </c>
      <c r="E1064" s="95">
        <v>281992916.49999988</v>
      </c>
      <c r="F1064" t="s">
        <v>1064</v>
      </c>
      <c r="H1064" s="1" t="s">
        <v>84</v>
      </c>
    </row>
    <row r="1065" spans="1:8">
      <c r="A1065" s="98">
        <v>44957</v>
      </c>
      <c r="B1065" s="43" t="s">
        <v>76</v>
      </c>
      <c r="C1065" s="95">
        <v>-7929900</v>
      </c>
      <c r="E1065" s="95">
        <v>286677666.49999988</v>
      </c>
      <c r="F1065" t="s">
        <v>1211</v>
      </c>
      <c r="H1065" s="1" t="s">
        <v>84</v>
      </c>
    </row>
    <row r="1066" spans="1:8">
      <c r="A1066" s="98">
        <v>44957</v>
      </c>
      <c r="B1066" s="43" t="s">
        <v>76</v>
      </c>
      <c r="C1066" s="95">
        <v>40017474.200000003</v>
      </c>
      <c r="E1066" s="95">
        <v>282164516.49999988</v>
      </c>
      <c r="F1066" t="s">
        <v>1325</v>
      </c>
      <c r="H1066" s="1" t="s">
        <v>84</v>
      </c>
    </row>
    <row r="1067" spans="1:8">
      <c r="A1067" s="98">
        <v>44957</v>
      </c>
      <c r="B1067" s="43" t="s">
        <v>1177</v>
      </c>
      <c r="C1067" s="95">
        <v>37914538.200000003</v>
      </c>
      <c r="E1067" s="95">
        <v>282674916.49999988</v>
      </c>
      <c r="F1067" t="s">
        <v>1454</v>
      </c>
      <c r="H1067" s="1" t="s">
        <v>84</v>
      </c>
    </row>
    <row r="1068" spans="1:8">
      <c r="A1068" s="98">
        <v>44957</v>
      </c>
      <c r="B1068" s="43" t="s">
        <v>967</v>
      </c>
      <c r="C1068" s="95">
        <v>10373000</v>
      </c>
      <c r="E1068" s="95">
        <v>283862916.49999988</v>
      </c>
      <c r="F1068" t="s">
        <v>1001</v>
      </c>
      <c r="H1068" s="1" t="s">
        <v>84</v>
      </c>
    </row>
    <row r="1069" spans="1:8">
      <c r="A1069" s="98">
        <v>44957</v>
      </c>
      <c r="B1069" s="43" t="s">
        <v>967</v>
      </c>
      <c r="C1069" s="95">
        <v>5819000</v>
      </c>
      <c r="E1069" s="95">
        <v>276760916.49999988</v>
      </c>
      <c r="F1069" t="s">
        <v>1977</v>
      </c>
      <c r="H1069" s="1" t="s">
        <v>84</v>
      </c>
    </row>
    <row r="1070" spans="1:8">
      <c r="A1070" s="98">
        <v>44957</v>
      </c>
      <c r="B1070" s="43" t="s">
        <v>1956</v>
      </c>
      <c r="D1070" s="95">
        <v>5819000</v>
      </c>
      <c r="E1070" s="95">
        <v>250140916.49999988</v>
      </c>
      <c r="F1070" t="s">
        <v>1977</v>
      </c>
      <c r="H1070" s="1" t="s">
        <v>84</v>
      </c>
    </row>
    <row r="1071" spans="1:8">
      <c r="A1071" s="98">
        <v>44957</v>
      </c>
      <c r="B1071" s="43" t="s">
        <v>77</v>
      </c>
      <c r="D1071" s="95">
        <v>17646200</v>
      </c>
      <c r="E1071" s="95">
        <v>284034516.49999988</v>
      </c>
      <c r="F1071" t="s">
        <v>1325</v>
      </c>
      <c r="H1071" s="1" t="s">
        <v>84</v>
      </c>
    </row>
    <row r="1072" spans="1:8">
      <c r="A1072" s="98">
        <v>44957</v>
      </c>
      <c r="B1072" s="43" t="s">
        <v>77</v>
      </c>
      <c r="D1072" s="95">
        <v>12000000</v>
      </c>
      <c r="E1072" s="95">
        <v>278630916.49999988</v>
      </c>
      <c r="F1072" t="s">
        <v>1454</v>
      </c>
      <c r="G1072" s="1" t="s">
        <v>1960</v>
      </c>
      <c r="H1072" s="1" t="s">
        <v>84</v>
      </c>
    </row>
    <row r="1073" spans="1:8">
      <c r="A1073" s="98">
        <v>44957</v>
      </c>
      <c r="B1073" s="43" t="s">
        <v>165</v>
      </c>
      <c r="C1073" s="95">
        <v>4730000</v>
      </c>
      <c r="E1073" s="95">
        <v>285090916.49999988</v>
      </c>
      <c r="F1073" t="s">
        <v>1962</v>
      </c>
      <c r="H1073" s="1" t="s">
        <v>84</v>
      </c>
    </row>
    <row r="1074" spans="1:8">
      <c r="A1074" s="98">
        <v>44958</v>
      </c>
      <c r="B1074" s="43" t="s">
        <v>76</v>
      </c>
      <c r="C1074" s="95">
        <v>28842000</v>
      </c>
      <c r="E1074" s="95">
        <v>248947416.49999988</v>
      </c>
      <c r="F1074" t="s">
        <v>998</v>
      </c>
      <c r="H1074" s="1" t="s">
        <v>84</v>
      </c>
    </row>
    <row r="1075" spans="1:8">
      <c r="A1075" s="98">
        <v>44958</v>
      </c>
      <c r="B1075" s="43" t="s">
        <v>77</v>
      </c>
      <c r="D1075" s="95">
        <v>28842000</v>
      </c>
      <c r="E1075" s="95">
        <v>247495416.49999988</v>
      </c>
      <c r="F1075" t="s">
        <v>998</v>
      </c>
      <c r="H1075" s="1" t="s">
        <v>84</v>
      </c>
    </row>
    <row r="1076" spans="1:8">
      <c r="A1076" s="98">
        <v>44980</v>
      </c>
      <c r="B1076" s="43" t="s">
        <v>77</v>
      </c>
      <c r="D1076" s="95">
        <v>10373000</v>
      </c>
      <c r="E1076" s="95">
        <v>246285416.49999988</v>
      </c>
      <c r="F1076" t="s">
        <v>1001</v>
      </c>
      <c r="H1076" s="1" t="s">
        <v>84</v>
      </c>
    </row>
    <row r="1077" spans="1:8">
      <c r="A1077" s="98">
        <v>44984</v>
      </c>
      <c r="B1077" s="43" t="s">
        <v>77</v>
      </c>
      <c r="D1077" s="95">
        <v>7122500</v>
      </c>
      <c r="E1077" s="95">
        <v>243975416.49999988</v>
      </c>
      <c r="F1077" t="s">
        <v>1967</v>
      </c>
      <c r="H1077" s="1" t="s">
        <v>84</v>
      </c>
    </row>
    <row r="1078" spans="1:8">
      <c r="A1078" s="98">
        <v>44984</v>
      </c>
      <c r="B1078" s="43" t="s">
        <v>77</v>
      </c>
      <c r="D1078" s="95">
        <v>37914538.200000003</v>
      </c>
      <c r="E1078" s="95">
        <v>227079416.49999988</v>
      </c>
      <c r="F1078" t="s">
        <v>1454</v>
      </c>
      <c r="H1078" s="1" t="s">
        <v>84</v>
      </c>
    </row>
    <row r="1079" spans="1:8">
      <c r="A1079" s="98">
        <v>44985</v>
      </c>
      <c r="B1079" s="43" t="s">
        <v>1220</v>
      </c>
      <c r="C1079" s="95">
        <v>30546450</v>
      </c>
      <c r="E1079" s="95">
        <v>238016551.49999988</v>
      </c>
      <c r="F1079" t="s">
        <v>1307</v>
      </c>
      <c r="H1079" s="1" t="s">
        <v>84</v>
      </c>
    </row>
    <row r="1080" spans="1:8">
      <c r="A1080" s="98">
        <v>44985</v>
      </c>
      <c r="B1080" s="43" t="s">
        <v>973</v>
      </c>
      <c r="C1080" s="95">
        <v>6512000</v>
      </c>
      <c r="E1080" s="95">
        <v>238361401.49999988</v>
      </c>
      <c r="F1080" t="s">
        <v>1967</v>
      </c>
      <c r="H1080" s="1" t="s">
        <v>84</v>
      </c>
    </row>
    <row r="1081" spans="1:8">
      <c r="A1081" s="98">
        <v>44985</v>
      </c>
      <c r="B1081" s="43" t="s">
        <v>76</v>
      </c>
      <c r="C1081" s="95">
        <v>4680500</v>
      </c>
      <c r="E1081" s="95">
        <v>228173366.49999988</v>
      </c>
      <c r="F1081" t="s">
        <v>199</v>
      </c>
      <c r="H1081" s="1" t="s">
        <v>84</v>
      </c>
    </row>
    <row r="1082" spans="1:8">
      <c r="A1082" s="98">
        <v>44985</v>
      </c>
      <c r="B1082" s="43" t="s">
        <v>76</v>
      </c>
      <c r="C1082" s="95">
        <v>13025540</v>
      </c>
      <c r="E1082" s="95">
        <v>239994351.49999988</v>
      </c>
      <c r="F1082" t="s">
        <v>1325</v>
      </c>
      <c r="H1082" s="1" t="s">
        <v>84</v>
      </c>
    </row>
    <row r="1083" spans="1:8">
      <c r="A1083" s="98">
        <v>44985</v>
      </c>
      <c r="B1083" s="43" t="s">
        <v>1253</v>
      </c>
      <c r="C1083" s="95">
        <v>13519297</v>
      </c>
      <c r="E1083" s="95">
        <v>237517151.49999988</v>
      </c>
      <c r="F1083" t="s">
        <v>1454</v>
      </c>
      <c r="H1083" s="1" t="s">
        <v>84</v>
      </c>
    </row>
    <row r="1084" spans="1:8">
      <c r="A1084" s="98">
        <v>44985</v>
      </c>
      <c r="B1084" s="43" t="s">
        <v>1223</v>
      </c>
      <c r="C1084" s="95">
        <v>8602000</v>
      </c>
      <c r="E1084" s="95">
        <v>239057151.49999988</v>
      </c>
      <c r="F1084" t="s">
        <v>998</v>
      </c>
      <c r="H1084" s="1" t="s">
        <v>84</v>
      </c>
    </row>
    <row r="1085" spans="1:8">
      <c r="A1085" s="98">
        <v>44985</v>
      </c>
      <c r="B1085" s="43" t="s">
        <v>1222</v>
      </c>
      <c r="C1085" s="95">
        <v>5566000</v>
      </c>
      <c r="E1085" s="95">
        <v>236659151.49999988</v>
      </c>
      <c r="F1085" t="s">
        <v>998</v>
      </c>
      <c r="H1085" s="1" t="s">
        <v>84</v>
      </c>
    </row>
    <row r="1086" spans="1:8">
      <c r="A1086" s="98">
        <v>44985</v>
      </c>
      <c r="B1086" s="43" t="s">
        <v>1224</v>
      </c>
      <c r="C1086" s="95">
        <v>4807000</v>
      </c>
      <c r="E1086" s="95">
        <v>239455351.49999988</v>
      </c>
      <c r="F1086" t="s">
        <v>998</v>
      </c>
      <c r="H1086" s="1" t="s">
        <v>84</v>
      </c>
    </row>
    <row r="1087" spans="1:8">
      <c r="A1087" s="98">
        <v>44985</v>
      </c>
      <c r="B1087" s="43" t="s">
        <v>77</v>
      </c>
      <c r="D1087" s="95">
        <v>13519297</v>
      </c>
      <c r="E1087" s="95">
        <v>236857151.49999988</v>
      </c>
      <c r="F1087" t="s">
        <v>1454</v>
      </c>
      <c r="H1087" s="1" t="s">
        <v>84</v>
      </c>
    </row>
    <row r="1088" spans="1:8">
      <c r="A1088" s="98">
        <v>45005</v>
      </c>
      <c r="B1088" s="43" t="s">
        <v>77</v>
      </c>
      <c r="D1088" s="95">
        <v>24207810</v>
      </c>
      <c r="E1088" s="95">
        <v>236791151.49999988</v>
      </c>
      <c r="F1088" t="s">
        <v>1325</v>
      </c>
      <c r="H1088" s="1" t="s">
        <v>84</v>
      </c>
    </row>
    <row r="1089" spans="1:8">
      <c r="A1089" s="98">
        <v>45008</v>
      </c>
      <c r="B1089" s="43" t="s">
        <v>165</v>
      </c>
      <c r="C1089" s="95">
        <v>770000</v>
      </c>
      <c r="E1089" s="95">
        <v>233788151.49999988</v>
      </c>
      <c r="F1089" t="s">
        <v>1064</v>
      </c>
      <c r="H1089" s="1" t="s">
        <v>84</v>
      </c>
    </row>
    <row r="1090" spans="1:8">
      <c r="A1090" s="98">
        <v>45012</v>
      </c>
      <c r="B1090" s="43" t="s">
        <v>99</v>
      </c>
      <c r="C1090" s="95">
        <v>77000</v>
      </c>
      <c r="E1090" s="95">
        <v>238364151.49999988</v>
      </c>
      <c r="F1090" t="s">
        <v>1978</v>
      </c>
      <c r="H1090" s="1" t="s">
        <v>84</v>
      </c>
    </row>
    <row r="1091" spans="1:8">
      <c r="A1091" s="98">
        <v>45016</v>
      </c>
      <c r="B1091" s="43" t="s">
        <v>1031</v>
      </c>
      <c r="C1091" s="95">
        <v>2904616</v>
      </c>
      <c r="E1091" s="95">
        <v>215582809.39999986</v>
      </c>
      <c r="F1091" t="s">
        <v>1443</v>
      </c>
      <c r="H1091" s="1" t="s">
        <v>84</v>
      </c>
    </row>
    <row r="1092" spans="1:8">
      <c r="A1092" s="98">
        <v>45016</v>
      </c>
      <c r="B1092" s="43" t="s">
        <v>1259</v>
      </c>
      <c r="C1092" s="95">
        <v>30546450</v>
      </c>
      <c r="E1092" s="95">
        <v>272375809.39999986</v>
      </c>
      <c r="F1092" t="s">
        <v>1307</v>
      </c>
      <c r="H1092" s="1" t="s">
        <v>84</v>
      </c>
    </row>
    <row r="1093" spans="1:8">
      <c r="A1093" s="98">
        <v>45016</v>
      </c>
      <c r="B1093" s="43" t="s">
        <v>1263</v>
      </c>
      <c r="C1093" s="95">
        <v>2277000</v>
      </c>
      <c r="E1093" s="95">
        <v>268492809.39999986</v>
      </c>
      <c r="F1093" t="s">
        <v>1960</v>
      </c>
      <c r="H1093" s="1" t="s">
        <v>84</v>
      </c>
    </row>
    <row r="1094" spans="1:8">
      <c r="A1094" s="98">
        <v>45016</v>
      </c>
      <c r="B1094" s="43" t="s">
        <v>76</v>
      </c>
      <c r="C1094" s="95">
        <v>8096000</v>
      </c>
      <c r="E1094" s="95">
        <v>263774151.49999988</v>
      </c>
      <c r="F1094" t="s">
        <v>1963</v>
      </c>
      <c r="H1094" s="1" t="s">
        <v>84</v>
      </c>
    </row>
    <row r="1095" spans="1:8">
      <c r="A1095" s="98">
        <v>45016</v>
      </c>
      <c r="B1095" s="43" t="s">
        <v>76</v>
      </c>
      <c r="C1095" s="95">
        <v>2530000</v>
      </c>
      <c r="E1095" s="95">
        <v>267657151.49999988</v>
      </c>
      <c r="F1095" t="s">
        <v>1965</v>
      </c>
      <c r="H1095" s="1" t="s">
        <v>84</v>
      </c>
    </row>
    <row r="1096" spans="1:8">
      <c r="A1096" s="98">
        <v>45016</v>
      </c>
      <c r="B1096" s="43" t="s">
        <v>76</v>
      </c>
      <c r="C1096" s="95">
        <v>3036000</v>
      </c>
      <c r="E1096" s="95">
        <v>268229151.49999988</v>
      </c>
      <c r="F1096" t="s">
        <v>1353</v>
      </c>
      <c r="H1096" s="1" t="s">
        <v>84</v>
      </c>
    </row>
    <row r="1097" spans="1:8">
      <c r="A1097" s="98">
        <v>45016</v>
      </c>
      <c r="B1097" s="43" t="s">
        <v>76</v>
      </c>
      <c r="C1097" s="95">
        <v>9108000</v>
      </c>
      <c r="E1097" s="95">
        <v>298584476.49999988</v>
      </c>
      <c r="F1097" t="s">
        <v>199</v>
      </c>
      <c r="H1097" s="1" t="s">
        <v>84</v>
      </c>
    </row>
    <row r="1098" spans="1:8">
      <c r="A1098" s="98">
        <v>45016</v>
      </c>
      <c r="B1098" s="43" t="s">
        <v>76</v>
      </c>
      <c r="C1098" s="95">
        <v>7520150</v>
      </c>
      <c r="E1098" s="95">
        <v>286763491.49999988</v>
      </c>
      <c r="F1098" t="s">
        <v>1325</v>
      </c>
      <c r="H1098" s="1" t="s">
        <v>84</v>
      </c>
    </row>
    <row r="1099" spans="1:8">
      <c r="A1099" s="98">
        <v>45016</v>
      </c>
      <c r="B1099" s="43" t="s">
        <v>76</v>
      </c>
      <c r="C1099" s="95">
        <v>2530000</v>
      </c>
      <c r="E1099" s="95">
        <v>229572444.39999986</v>
      </c>
      <c r="F1099" t="s">
        <v>1979</v>
      </c>
      <c r="H1099" s="1" t="s">
        <v>84</v>
      </c>
    </row>
    <row r="1100" spans="1:8">
      <c r="A1100" s="98">
        <v>45016</v>
      </c>
      <c r="B1100" s="43" t="s">
        <v>1253</v>
      </c>
      <c r="C1100" s="95">
        <v>78497501</v>
      </c>
      <c r="E1100" s="95">
        <v>240992809.39999986</v>
      </c>
      <c r="F1100" t="s">
        <v>1454</v>
      </c>
      <c r="H1100" s="1" t="s">
        <v>84</v>
      </c>
    </row>
    <row r="1101" spans="1:8">
      <c r="A1101" s="98">
        <v>45016</v>
      </c>
      <c r="B1101" s="43" t="s">
        <v>77</v>
      </c>
      <c r="D1101" s="95">
        <v>4680500</v>
      </c>
      <c r="E1101" s="95">
        <v>271084476.49999988</v>
      </c>
      <c r="F1101" t="s">
        <v>199</v>
      </c>
      <c r="H1101" s="1" t="s">
        <v>84</v>
      </c>
    </row>
    <row r="1102" spans="1:8">
      <c r="A1102" s="98">
        <v>45016</v>
      </c>
      <c r="B1102" s="43" t="s">
        <v>77</v>
      </c>
      <c r="D1102" s="95">
        <v>6512000</v>
      </c>
      <c r="E1102" s="95">
        <v>282001096.49999988</v>
      </c>
      <c r="F1102" t="s">
        <v>1967</v>
      </c>
      <c r="H1102" s="1" t="s">
        <v>84</v>
      </c>
    </row>
    <row r="1103" spans="1:8">
      <c r="A1103" s="98">
        <v>45016</v>
      </c>
      <c r="B1103" s="43" t="s">
        <v>77</v>
      </c>
      <c r="D1103" s="95">
        <v>770000</v>
      </c>
      <c r="E1103" s="95">
        <v>230388094.39999986</v>
      </c>
      <c r="F1103" t="s">
        <v>1064</v>
      </c>
      <c r="H1103" s="1" t="s">
        <v>84</v>
      </c>
    </row>
    <row r="1104" spans="1:8">
      <c r="A1104" s="98">
        <v>45017</v>
      </c>
      <c r="B1104" s="43" t="s">
        <v>1282</v>
      </c>
      <c r="C1104" s="95">
        <v>3133900</v>
      </c>
      <c r="E1104" s="95">
        <v>230784094.39999986</v>
      </c>
      <c r="F1104" t="s">
        <v>1980</v>
      </c>
      <c r="H1104" s="1" t="s">
        <v>84</v>
      </c>
    </row>
    <row r="1105" spans="1:8">
      <c r="A1105" s="98">
        <v>45020</v>
      </c>
      <c r="B1105" s="43" t="s">
        <v>77</v>
      </c>
      <c r="D1105" s="95">
        <v>15809664</v>
      </c>
      <c r="E1105" s="95">
        <v>232471093.99999985</v>
      </c>
      <c r="F1105" t="s">
        <v>1325</v>
      </c>
      <c r="H1105" s="1" t="s">
        <v>84</v>
      </c>
    </row>
    <row r="1106" spans="1:8">
      <c r="A1106" s="98">
        <v>45020</v>
      </c>
      <c r="B1106" s="43" t="s">
        <v>77</v>
      </c>
      <c r="D1106" s="95">
        <v>13025540</v>
      </c>
      <c r="E1106" s="95">
        <v>236321093.99999985</v>
      </c>
      <c r="F1106" t="s">
        <v>1325</v>
      </c>
      <c r="H1106" s="1" t="s">
        <v>84</v>
      </c>
    </row>
    <row r="1107" spans="1:8">
      <c r="A1107" s="98">
        <v>45021</v>
      </c>
      <c r="B1107" s="43" t="s">
        <v>77</v>
      </c>
      <c r="D1107" s="95">
        <v>30546450</v>
      </c>
      <c r="E1107" s="95">
        <v>236345293.99999985</v>
      </c>
      <c r="F1107" t="s">
        <v>1307</v>
      </c>
      <c r="H1107" s="1" t="s">
        <v>84</v>
      </c>
    </row>
    <row r="1108" spans="1:8">
      <c r="A1108" s="98">
        <v>45033</v>
      </c>
      <c r="B1108" s="43" t="s">
        <v>77</v>
      </c>
      <c r="D1108" s="95">
        <v>4807000</v>
      </c>
      <c r="E1108" s="95">
        <v>240943293.99999985</v>
      </c>
      <c r="F1108" t="s">
        <v>998</v>
      </c>
      <c r="H1108" s="1" t="s">
        <v>84</v>
      </c>
    </row>
    <row r="1109" spans="1:8">
      <c r="A1109" s="98">
        <v>45033</v>
      </c>
      <c r="B1109" s="43" t="s">
        <v>77</v>
      </c>
      <c r="D1109" s="95">
        <v>8602000</v>
      </c>
      <c r="E1109" s="95">
        <v>244331293.99999985</v>
      </c>
      <c r="F1109" t="s">
        <v>998</v>
      </c>
      <c r="H1109" s="1" t="s">
        <v>84</v>
      </c>
    </row>
    <row r="1110" spans="1:8">
      <c r="A1110" s="98">
        <v>45033</v>
      </c>
      <c r="B1110" s="43" t="s">
        <v>77</v>
      </c>
      <c r="D1110" s="95">
        <v>5566000</v>
      </c>
      <c r="E1110" s="95">
        <v>252839573.99999985</v>
      </c>
      <c r="F1110" t="s">
        <v>998</v>
      </c>
      <c r="H1110" s="1" t="s">
        <v>84</v>
      </c>
    </row>
    <row r="1111" spans="1:8">
      <c r="A1111" s="98">
        <v>45037</v>
      </c>
      <c r="B1111" s="43" t="s">
        <v>77</v>
      </c>
      <c r="D1111" s="95">
        <v>8096000</v>
      </c>
      <c r="E1111" s="95">
        <v>260825573.99999985</v>
      </c>
      <c r="F1111" t="s">
        <v>1963</v>
      </c>
      <c r="H1111" s="1" t="s">
        <v>84</v>
      </c>
    </row>
    <row r="1112" spans="1:8">
      <c r="A1112" s="98">
        <v>45037</v>
      </c>
      <c r="B1112" s="43" t="s">
        <v>77</v>
      </c>
      <c r="D1112" s="95">
        <v>2530000</v>
      </c>
      <c r="E1112" s="95">
        <v>265401573.99999985</v>
      </c>
      <c r="F1112" t="s">
        <v>1965</v>
      </c>
      <c r="H1112" s="1" t="s">
        <v>84</v>
      </c>
    </row>
    <row r="1113" spans="1:8">
      <c r="A1113" s="98">
        <v>45037</v>
      </c>
      <c r="B1113" s="43" t="s">
        <v>77</v>
      </c>
      <c r="D1113" s="95">
        <v>3036000</v>
      </c>
      <c r="E1113" s="95">
        <v>270110448.99999988</v>
      </c>
      <c r="F1113" t="s">
        <v>1353</v>
      </c>
      <c r="H1113" s="1" t="s">
        <v>84</v>
      </c>
    </row>
    <row r="1114" spans="1:8">
      <c r="A1114" s="98">
        <v>45037</v>
      </c>
      <c r="B1114" s="43" t="s">
        <v>77</v>
      </c>
      <c r="D1114" s="95">
        <v>9108000</v>
      </c>
      <c r="E1114" s="95">
        <v>274283448.5999999</v>
      </c>
      <c r="F1114" t="s">
        <v>199</v>
      </c>
      <c r="H1114" s="1" t="s">
        <v>84</v>
      </c>
    </row>
    <row r="1115" spans="1:8">
      <c r="A1115" s="98">
        <v>45037</v>
      </c>
      <c r="B1115" s="43" t="s">
        <v>77</v>
      </c>
      <c r="D1115" s="95">
        <v>2277000</v>
      </c>
      <c r="E1115" s="95">
        <v>274913748.5999999</v>
      </c>
      <c r="F1115" t="s">
        <v>1960</v>
      </c>
      <c r="H1115" s="1" t="s">
        <v>84</v>
      </c>
    </row>
    <row r="1116" spans="1:8">
      <c r="A1116" s="98">
        <v>45037</v>
      </c>
      <c r="B1116" s="43" t="s">
        <v>77</v>
      </c>
      <c r="D1116" s="95">
        <v>2530000</v>
      </c>
      <c r="E1116" s="95">
        <v>274098098.5999999</v>
      </c>
      <c r="F1116" t="s">
        <v>1979</v>
      </c>
      <c r="H1116" s="1" t="s">
        <v>84</v>
      </c>
    </row>
    <row r="1117" spans="1:8">
      <c r="A1117" s="98">
        <v>45040</v>
      </c>
      <c r="B1117" s="43" t="s">
        <v>77</v>
      </c>
      <c r="D1117" s="95">
        <v>4730000</v>
      </c>
      <c r="E1117" s="95">
        <v>273057498.5999999</v>
      </c>
      <c r="F1117" t="s">
        <v>1962</v>
      </c>
      <c r="H1117" s="1" t="s">
        <v>84</v>
      </c>
    </row>
    <row r="1118" spans="1:8">
      <c r="A1118" s="98">
        <v>45040</v>
      </c>
      <c r="B1118" s="43" t="s">
        <v>77</v>
      </c>
      <c r="D1118" s="95">
        <v>3133900</v>
      </c>
      <c r="E1118" s="95">
        <v>273033298.5999999</v>
      </c>
      <c r="F1118" t="s">
        <v>1980</v>
      </c>
      <c r="H1118" s="1" t="s">
        <v>84</v>
      </c>
    </row>
    <row r="1119" spans="1:8">
      <c r="A1119" s="98">
        <v>45044</v>
      </c>
      <c r="B1119" s="43" t="s">
        <v>1957</v>
      </c>
      <c r="C1119" s="95">
        <v>30546450</v>
      </c>
      <c r="E1119" s="95">
        <v>267489298.5999999</v>
      </c>
      <c r="F1119" t="s">
        <v>1307</v>
      </c>
      <c r="H1119" s="1" t="s">
        <v>84</v>
      </c>
    </row>
    <row r="1120" spans="1:8">
      <c r="A1120" s="98">
        <v>45044</v>
      </c>
      <c r="B1120" s="43" t="s">
        <v>77</v>
      </c>
      <c r="D1120" s="95">
        <v>7520150</v>
      </c>
      <c r="E1120" s="95">
        <v>267885298.5999999</v>
      </c>
      <c r="F1120" t="s">
        <v>1325</v>
      </c>
      <c r="H1120" s="1" t="s">
        <v>84</v>
      </c>
    </row>
    <row r="1121" spans="1:8">
      <c r="A1121" s="98">
        <v>45044</v>
      </c>
      <c r="B1121" s="43" t="s">
        <v>77</v>
      </c>
      <c r="D1121" s="95">
        <v>78497501</v>
      </c>
      <c r="E1121" s="95">
        <v>263316298.5999999</v>
      </c>
      <c r="F1121" t="s">
        <v>1454</v>
      </c>
      <c r="H1121" s="1" t="s">
        <v>84</v>
      </c>
    </row>
    <row r="1122" spans="1:8">
      <c r="A1122" s="98">
        <v>45044</v>
      </c>
      <c r="B1122" s="43" t="s">
        <v>77</v>
      </c>
      <c r="D1122" s="95">
        <v>77000</v>
      </c>
      <c r="E1122" s="95">
        <v>262685998.5999999</v>
      </c>
      <c r="F1122" t="s">
        <v>1978</v>
      </c>
      <c r="H1122" s="1" t="s">
        <v>84</v>
      </c>
    </row>
    <row r="1123" spans="1:8">
      <c r="A1123" s="98">
        <v>45045</v>
      </c>
      <c r="B1123" s="43" t="s">
        <v>1316</v>
      </c>
      <c r="C1123" s="95">
        <v>716100</v>
      </c>
      <c r="E1123" s="95">
        <v>260998998.5999999</v>
      </c>
      <c r="F1123" t="s">
        <v>1981</v>
      </c>
      <c r="G1123" s="1" t="s">
        <v>1968</v>
      </c>
      <c r="H1123" s="1" t="s">
        <v>84</v>
      </c>
    </row>
    <row r="1124" spans="1:8">
      <c r="A1124" s="98">
        <v>45046</v>
      </c>
      <c r="B1124" s="43" t="s">
        <v>76</v>
      </c>
      <c r="C1124" s="95">
        <v>10871357.199999999</v>
      </c>
      <c r="E1124" s="95">
        <v>257148998.5999999</v>
      </c>
      <c r="F1124" t="s">
        <v>1325</v>
      </c>
      <c r="H1124" s="1" t="s">
        <v>84</v>
      </c>
    </row>
    <row r="1125" spans="1:8">
      <c r="A1125" s="98">
        <v>45046</v>
      </c>
      <c r="B1125" s="43" t="s">
        <v>1253</v>
      </c>
      <c r="C1125" s="95">
        <v>41435233.399999999</v>
      </c>
      <c r="E1125" s="95">
        <v>257016998.5999999</v>
      </c>
      <c r="F1125" t="s">
        <v>1454</v>
      </c>
      <c r="H1125" s="1" t="s">
        <v>84</v>
      </c>
    </row>
    <row r="1126" spans="1:8">
      <c r="A1126" s="98">
        <v>45046</v>
      </c>
      <c r="B1126" s="43" t="s">
        <v>447</v>
      </c>
      <c r="C1126" s="95">
        <v>19094740</v>
      </c>
      <c r="E1126" s="95">
        <v>254161673.5999999</v>
      </c>
      <c r="F1126" t="s">
        <v>913</v>
      </c>
      <c r="H1126" s="1" t="s">
        <v>84</v>
      </c>
    </row>
    <row r="1127" spans="1:8">
      <c r="A1127" s="98">
        <v>45050</v>
      </c>
      <c r="B1127" s="43" t="s">
        <v>97</v>
      </c>
      <c r="C1127" s="95">
        <v>748000</v>
      </c>
      <c r="E1127" s="95">
        <v>255261673.5999999</v>
      </c>
      <c r="F1127" t="s">
        <v>1982</v>
      </c>
      <c r="H1127" s="1" t="s">
        <v>84</v>
      </c>
    </row>
    <row r="1128" spans="1:8">
      <c r="A1128" s="98">
        <v>45050</v>
      </c>
      <c r="B1128" s="43" t="s">
        <v>77</v>
      </c>
      <c r="D1128" s="95">
        <v>30546450</v>
      </c>
      <c r="E1128" s="95">
        <v>250663673.5999999</v>
      </c>
      <c r="F1128" t="s">
        <v>1307</v>
      </c>
      <c r="H1128" s="1" t="s">
        <v>84</v>
      </c>
    </row>
    <row r="1129" spans="1:8">
      <c r="A1129" s="98">
        <v>45054</v>
      </c>
      <c r="B1129" s="43" t="s">
        <v>77</v>
      </c>
      <c r="D1129" s="95">
        <v>2904616</v>
      </c>
      <c r="E1129" s="95">
        <v>242677673.5999999</v>
      </c>
      <c r="F1129" t="s">
        <v>1443</v>
      </c>
      <c r="H1129" s="1" t="s">
        <v>84</v>
      </c>
    </row>
    <row r="1130" spans="1:8">
      <c r="A1130" s="98">
        <v>45055</v>
      </c>
      <c r="B1130" s="43" t="s">
        <v>1329</v>
      </c>
      <c r="C1130" s="95">
        <v>2853180</v>
      </c>
      <c r="E1130" s="95">
        <v>243113273.5999999</v>
      </c>
      <c r="F1130" t="s">
        <v>1377</v>
      </c>
      <c r="H1130" s="1" t="s">
        <v>84</v>
      </c>
    </row>
    <row r="1131" spans="1:8">
      <c r="A1131" s="98">
        <v>45063</v>
      </c>
      <c r="B1131" s="43" t="s">
        <v>77</v>
      </c>
      <c r="D1131" s="95">
        <v>10871357.199999999</v>
      </c>
      <c r="E1131" s="95">
        <v>243270023.5999999</v>
      </c>
      <c r="F1131" t="s">
        <v>1325</v>
      </c>
      <c r="H1131" s="1" t="s">
        <v>84</v>
      </c>
    </row>
    <row r="1132" spans="1:8">
      <c r="A1132" s="98">
        <v>45063</v>
      </c>
      <c r="B1132" s="43" t="s">
        <v>77</v>
      </c>
      <c r="D1132" s="95">
        <v>16435233</v>
      </c>
      <c r="E1132" s="95">
        <v>243113273.5999999</v>
      </c>
      <c r="F1132" t="s">
        <v>1454</v>
      </c>
      <c r="H1132" s="1" t="s">
        <v>84</v>
      </c>
    </row>
    <row r="1133" spans="1:8">
      <c r="A1133" s="98">
        <v>45063</v>
      </c>
      <c r="B1133" s="43" t="s">
        <v>77</v>
      </c>
      <c r="D1133" s="95">
        <v>19094740</v>
      </c>
      <c r="E1133" s="95">
        <v>243406973.5999999</v>
      </c>
      <c r="F1133" t="s">
        <v>913</v>
      </c>
      <c r="H1133" s="1" t="s">
        <v>84</v>
      </c>
    </row>
    <row r="1134" spans="1:8">
      <c r="A1134" s="98">
        <v>45065</v>
      </c>
      <c r="B1134" s="43" t="s">
        <v>77</v>
      </c>
      <c r="D1134" s="95">
        <v>748000</v>
      </c>
      <c r="E1134" s="95">
        <v>243113273.5999999</v>
      </c>
      <c r="F1134" t="s">
        <v>1982</v>
      </c>
      <c r="H1134" s="1" t="s">
        <v>84</v>
      </c>
    </row>
    <row r="1135" spans="1:8">
      <c r="A1135" s="98">
        <v>45077</v>
      </c>
      <c r="B1135" s="43" t="s">
        <v>1392</v>
      </c>
      <c r="C1135" s="95">
        <v>3114375</v>
      </c>
      <c r="E1135" s="95">
        <v>289978443.5999999</v>
      </c>
      <c r="F1135" t="s">
        <v>1981</v>
      </c>
      <c r="H1135" s="1" t="s">
        <v>84</v>
      </c>
    </row>
    <row r="1136" spans="1:8">
      <c r="A1136" s="98">
        <v>45077</v>
      </c>
      <c r="B1136" s="43" t="s">
        <v>1259</v>
      </c>
      <c r="C1136" s="95">
        <v>30546450</v>
      </c>
      <c r="E1136" s="95">
        <v>255220093.5999999</v>
      </c>
      <c r="F1136" t="s">
        <v>1307</v>
      </c>
      <c r="H1136" s="1" t="s">
        <v>84</v>
      </c>
    </row>
    <row r="1137" spans="1:8">
      <c r="A1137" s="98">
        <v>45077</v>
      </c>
      <c r="B1137" s="43" t="s">
        <v>1389</v>
      </c>
      <c r="C1137" s="95">
        <v>2346300</v>
      </c>
      <c r="E1137" s="95">
        <v>262225443.5999999</v>
      </c>
      <c r="F1137" t="s">
        <v>1985</v>
      </c>
      <c r="H1137" s="1" t="s">
        <v>84</v>
      </c>
    </row>
    <row r="1138" spans="1:8">
      <c r="A1138" s="98">
        <v>45077</v>
      </c>
      <c r="B1138" s="43" t="s">
        <v>1385</v>
      </c>
      <c r="C1138" s="95">
        <v>2712600</v>
      </c>
      <c r="E1138" s="95">
        <v>257623593.5999999</v>
      </c>
      <c r="F1138" t="s">
        <v>1983</v>
      </c>
      <c r="H1138" s="1" t="s">
        <v>84</v>
      </c>
    </row>
    <row r="1139" spans="1:8">
      <c r="A1139" s="98">
        <v>45077</v>
      </c>
      <c r="B1139" s="43" t="s">
        <v>1385</v>
      </c>
      <c r="C1139" s="95">
        <v>2608650</v>
      </c>
      <c r="E1139" s="95">
        <v>260245443.5999999</v>
      </c>
      <c r="F1139" t="s">
        <v>1985</v>
      </c>
      <c r="H1139" s="1" t="s">
        <v>84</v>
      </c>
    </row>
    <row r="1140" spans="1:8">
      <c r="A1140" s="98">
        <v>45077</v>
      </c>
      <c r="B1140" s="43" t="s">
        <v>1387</v>
      </c>
      <c r="C1140" s="95">
        <v>1760000</v>
      </c>
      <c r="E1140" s="95">
        <v>258001443.5999999</v>
      </c>
      <c r="F1140" t="s">
        <v>1984</v>
      </c>
      <c r="H1140" s="1" t="s">
        <v>84</v>
      </c>
    </row>
    <row r="1141" spans="1:8">
      <c r="A1141" s="98">
        <v>45077</v>
      </c>
      <c r="B1141" s="43" t="s">
        <v>973</v>
      </c>
      <c r="C1141" s="95">
        <v>2148960</v>
      </c>
      <c r="E1141" s="95">
        <v>252580093.5999999</v>
      </c>
      <c r="F1141" t="s">
        <v>1967</v>
      </c>
      <c r="H1141" s="1" t="s">
        <v>84</v>
      </c>
    </row>
    <row r="1142" spans="1:8">
      <c r="A1142" s="98">
        <v>45077</v>
      </c>
      <c r="B1142" s="43" t="s">
        <v>76</v>
      </c>
      <c r="C1142" s="95">
        <v>5744858</v>
      </c>
      <c r="E1142" s="95">
        <v>252676893.5999999</v>
      </c>
      <c r="F1142" t="s">
        <v>1325</v>
      </c>
      <c r="H1142" s="1" t="s">
        <v>84</v>
      </c>
    </row>
    <row r="1143" spans="1:8">
      <c r="A1143" s="98">
        <v>45077</v>
      </c>
      <c r="B1143" s="43" t="s">
        <v>1253</v>
      </c>
      <c r="C1143" s="95">
        <v>42613837.200000003</v>
      </c>
      <c r="E1143" s="95">
        <v>288526443.5999999</v>
      </c>
      <c r="F1143" t="s">
        <v>1454</v>
      </c>
      <c r="H1143" s="1" t="s">
        <v>84</v>
      </c>
    </row>
    <row r="1144" spans="1:8">
      <c r="A1144" s="98">
        <v>45077</v>
      </c>
      <c r="B1144" s="43" t="s">
        <v>1394</v>
      </c>
      <c r="C1144" s="95">
        <v>16864650</v>
      </c>
      <c r="E1144" s="95">
        <v>263072443.5999999</v>
      </c>
      <c r="F1144" t="s">
        <v>1447</v>
      </c>
      <c r="H1144" s="1" t="s">
        <v>84</v>
      </c>
    </row>
    <row r="1145" spans="1:8">
      <c r="A1145" s="98">
        <v>45077</v>
      </c>
      <c r="B1145" s="43" t="s">
        <v>447</v>
      </c>
      <c r="C1145" s="95">
        <v>6303269.5</v>
      </c>
      <c r="E1145" s="95">
        <v>299449005.79999989</v>
      </c>
      <c r="F1145" t="s">
        <v>1918</v>
      </c>
      <c r="G1145" s="1" t="s">
        <v>1376</v>
      </c>
      <c r="H1145" s="1" t="s">
        <v>84</v>
      </c>
    </row>
    <row r="1146" spans="1:8">
      <c r="A1146" s="98">
        <v>45077</v>
      </c>
      <c r="B1146" s="43" t="s">
        <v>97</v>
      </c>
      <c r="C1146" s="95">
        <v>198000</v>
      </c>
      <c r="E1146" s="95">
        <v>253015693.5999999</v>
      </c>
      <c r="F1146" t="s">
        <v>1377</v>
      </c>
      <c r="H1146" s="1" t="s">
        <v>84</v>
      </c>
    </row>
    <row r="1147" spans="1:8">
      <c r="A1147" s="98">
        <v>45077</v>
      </c>
      <c r="B1147" s="43" t="s">
        <v>1375</v>
      </c>
      <c r="C1147" s="95">
        <v>660000</v>
      </c>
      <c r="E1147" s="95">
        <v>253112493.5999999</v>
      </c>
      <c r="F1147" t="s">
        <v>1377</v>
      </c>
      <c r="H1147" s="1" t="s">
        <v>84</v>
      </c>
    </row>
    <row r="1148" spans="1:8">
      <c r="A1148" s="98">
        <v>45077</v>
      </c>
      <c r="B1148" s="43" t="s">
        <v>1390</v>
      </c>
      <c r="C1148" s="95">
        <v>5566000</v>
      </c>
      <c r="E1148" s="95">
        <v>293982443.5999999</v>
      </c>
      <c r="F1148" t="s">
        <v>1979</v>
      </c>
      <c r="H1148" s="1" t="s">
        <v>84</v>
      </c>
    </row>
    <row r="1149" spans="1:8">
      <c r="A1149" s="98">
        <v>45078</v>
      </c>
      <c r="B1149" s="43" t="s">
        <v>77</v>
      </c>
      <c r="D1149" s="95">
        <v>15000000</v>
      </c>
      <c r="E1149" s="95">
        <v>309396965.79999989</v>
      </c>
      <c r="F1149" t="s">
        <v>1454</v>
      </c>
      <c r="H1149" s="1" t="s">
        <v>84</v>
      </c>
    </row>
    <row r="1150" spans="1:8">
      <c r="A1150" s="98">
        <v>45082</v>
      </c>
      <c r="B1150" s="43" t="s">
        <v>1382</v>
      </c>
      <c r="C1150" s="95">
        <v>198000</v>
      </c>
      <c r="E1150" s="95">
        <v>324001115.79999989</v>
      </c>
      <c r="F1150" t="s">
        <v>1986</v>
      </c>
      <c r="H1150" s="1" t="s">
        <v>84</v>
      </c>
    </row>
    <row r="1151" spans="1:8">
      <c r="A1151" s="98">
        <v>45082</v>
      </c>
      <c r="B1151" s="43" t="s">
        <v>1383</v>
      </c>
      <c r="C1151" s="95">
        <v>770000</v>
      </c>
      <c r="E1151" s="95">
        <v>321716965.79999989</v>
      </c>
      <c r="F1151" t="s">
        <v>1986</v>
      </c>
      <c r="H1151" s="1" t="s">
        <v>84</v>
      </c>
    </row>
    <row r="1152" spans="1:8">
      <c r="A1152" s="98">
        <v>45082</v>
      </c>
      <c r="B1152" s="43" t="s">
        <v>77</v>
      </c>
      <c r="D1152" s="95">
        <v>716100</v>
      </c>
      <c r="E1152" s="95">
        <v>315908965.79999989</v>
      </c>
      <c r="F1152" t="s">
        <v>1981</v>
      </c>
      <c r="G1152" s="1" t="s">
        <v>1968</v>
      </c>
      <c r="H1152" s="1" t="s">
        <v>84</v>
      </c>
    </row>
    <row r="1153" spans="1:8">
      <c r="A1153" s="98">
        <v>45082</v>
      </c>
      <c r="B1153" s="43" t="s">
        <v>77</v>
      </c>
      <c r="D1153" s="95">
        <v>30546450</v>
      </c>
      <c r="E1153" s="95">
        <v>324378965.79999989</v>
      </c>
      <c r="F1153" t="s">
        <v>1307</v>
      </c>
      <c r="H1153" s="1" t="s">
        <v>84</v>
      </c>
    </row>
    <row r="1154" spans="1:8">
      <c r="A1154" s="98">
        <v>45082</v>
      </c>
      <c r="B1154" s="43" t="s">
        <v>77</v>
      </c>
      <c r="D1154" s="95">
        <v>198000</v>
      </c>
      <c r="E1154" s="95">
        <v>320613115.79999989</v>
      </c>
      <c r="F1154" t="s">
        <v>1986</v>
      </c>
      <c r="H1154" s="1" t="s">
        <v>84</v>
      </c>
    </row>
    <row r="1155" spans="1:8">
      <c r="A1155" s="98">
        <v>45084</v>
      </c>
      <c r="B1155" s="43" t="s">
        <v>77</v>
      </c>
      <c r="D1155" s="95">
        <v>2712600</v>
      </c>
      <c r="E1155" s="95">
        <v>312104835.79999989</v>
      </c>
      <c r="F1155" t="s">
        <v>1983</v>
      </c>
      <c r="H1155" s="1" t="s">
        <v>84</v>
      </c>
    </row>
    <row r="1156" spans="1:8">
      <c r="A1156" s="98">
        <v>45084</v>
      </c>
      <c r="B1156" s="43" t="s">
        <v>77</v>
      </c>
      <c r="D1156" s="95">
        <v>1760000</v>
      </c>
      <c r="E1156" s="95">
        <v>307528835.79999989</v>
      </c>
      <c r="F1156" t="s">
        <v>1984</v>
      </c>
      <c r="H1156" s="1" t="s">
        <v>84</v>
      </c>
    </row>
    <row r="1157" spans="1:8">
      <c r="A1157" s="98">
        <v>45084</v>
      </c>
      <c r="B1157" s="43" t="s">
        <v>77</v>
      </c>
      <c r="D1157" s="95">
        <v>2608650</v>
      </c>
      <c r="E1157" s="95">
        <v>302819960.79999989</v>
      </c>
      <c r="F1157" t="s">
        <v>1985</v>
      </c>
      <c r="H1157" s="1" t="s">
        <v>84</v>
      </c>
    </row>
    <row r="1158" spans="1:8">
      <c r="A1158" s="98">
        <v>45084</v>
      </c>
      <c r="B1158" s="43" t="s">
        <v>77</v>
      </c>
      <c r="D1158" s="95">
        <v>2346300</v>
      </c>
      <c r="E1158" s="95">
        <v>303046560.79999989</v>
      </c>
      <c r="F1158" t="s">
        <v>1985</v>
      </c>
      <c r="H1158" s="1" t="s">
        <v>84</v>
      </c>
    </row>
    <row r="1159" spans="1:8">
      <c r="A1159" s="98">
        <v>45089</v>
      </c>
      <c r="B1159" s="43" t="s">
        <v>77</v>
      </c>
      <c r="D1159" s="95">
        <v>10000000</v>
      </c>
      <c r="E1159" s="95">
        <v>302819960.79999989</v>
      </c>
      <c r="F1159" t="s">
        <v>1454</v>
      </c>
      <c r="H1159" s="1" t="s">
        <v>84</v>
      </c>
    </row>
    <row r="1160" spans="1:8">
      <c r="A1160" s="98">
        <v>45092</v>
      </c>
      <c r="B1160" s="43" t="s">
        <v>77</v>
      </c>
      <c r="D1160" s="95">
        <v>6303269.5</v>
      </c>
      <c r="E1160" s="95">
        <v>306247010.79999989</v>
      </c>
      <c r="F1160" t="s">
        <v>1918</v>
      </c>
      <c r="G1160" s="1" t="s">
        <v>1376</v>
      </c>
      <c r="H1160" s="1" t="s">
        <v>84</v>
      </c>
    </row>
    <row r="1161" spans="1:8">
      <c r="A1161" s="98">
        <v>45096</v>
      </c>
      <c r="B1161" s="43" t="s">
        <v>1430</v>
      </c>
      <c r="C1161" s="95">
        <v>7710890</v>
      </c>
      <c r="E1161" s="95">
        <v>302819960.79999989</v>
      </c>
      <c r="F1161" t="s">
        <v>1987</v>
      </c>
      <c r="H1161" s="1" t="s">
        <v>84</v>
      </c>
    </row>
    <row r="1162" spans="1:8">
      <c r="A1162" s="98">
        <v>45096</v>
      </c>
      <c r="B1162" s="43" t="s">
        <v>77</v>
      </c>
      <c r="D1162" s="95">
        <v>7710890</v>
      </c>
      <c r="E1162" s="95">
        <v>292917540.79999989</v>
      </c>
      <c r="F1162" t="s">
        <v>1987</v>
      </c>
      <c r="H1162" s="1" t="s">
        <v>84</v>
      </c>
    </row>
    <row r="1163" spans="1:8">
      <c r="A1163" s="98">
        <v>45099</v>
      </c>
      <c r="B1163" s="43" t="s">
        <v>1031</v>
      </c>
      <c r="C1163" s="95">
        <v>9167675</v>
      </c>
      <c r="E1163" s="95">
        <v>290255540.79999989</v>
      </c>
      <c r="F1163" t="s">
        <v>1442</v>
      </c>
      <c r="H1163" s="1" t="s">
        <v>84</v>
      </c>
    </row>
    <row r="1164" spans="1:8">
      <c r="A1164" s="98">
        <v>45105</v>
      </c>
      <c r="B1164" s="43" t="s">
        <v>1435</v>
      </c>
      <c r="C1164" s="95">
        <v>884488</v>
      </c>
      <c r="E1164" s="95">
        <v>276265905.79999989</v>
      </c>
      <c r="F1164" t="s">
        <v>1988</v>
      </c>
      <c r="H1164" s="1" t="s">
        <v>84</v>
      </c>
    </row>
    <row r="1165" spans="1:8">
      <c r="A1165" s="98">
        <v>45107</v>
      </c>
      <c r="B1165" s="43" t="s">
        <v>1959</v>
      </c>
      <c r="D1165" s="95">
        <v>1771000</v>
      </c>
      <c r="E1165" s="95">
        <v>254693986.79999989</v>
      </c>
      <c r="F1165" t="s">
        <v>1979</v>
      </c>
      <c r="H1165" s="1" t="s">
        <v>84</v>
      </c>
    </row>
    <row r="1166" spans="1:8">
      <c r="A1166" s="98">
        <v>45107</v>
      </c>
      <c r="B1166" s="43" t="s">
        <v>198</v>
      </c>
      <c r="C1166" s="95">
        <v>7839150</v>
      </c>
      <c r="E1166" s="95">
        <v>259341486.79999989</v>
      </c>
      <c r="F1166" t="s">
        <v>1981</v>
      </c>
      <c r="H1166" s="1" t="s">
        <v>84</v>
      </c>
    </row>
    <row r="1167" spans="1:8">
      <c r="A1167" s="98">
        <v>45107</v>
      </c>
      <c r="B1167" s="43" t="s">
        <v>1441</v>
      </c>
      <c r="C1167" s="95">
        <v>30546450</v>
      </c>
      <c r="E1167" s="95">
        <v>233281645.79999989</v>
      </c>
      <c r="F1167" t="s">
        <v>1307</v>
      </c>
      <c r="H1167" s="1" t="s">
        <v>84</v>
      </c>
    </row>
    <row r="1168" spans="1:8">
      <c r="A1168" s="98">
        <v>45107</v>
      </c>
      <c r="B1168" s="43" t="s">
        <v>973</v>
      </c>
      <c r="C1168" s="95">
        <v>6512000</v>
      </c>
      <c r="E1168" s="95">
        <v>233029745.79999989</v>
      </c>
      <c r="F1168" t="s">
        <v>1990</v>
      </c>
      <c r="H1168" s="1" t="s">
        <v>84</v>
      </c>
    </row>
    <row r="1169" spans="1:8">
      <c r="A1169" s="98">
        <v>45107</v>
      </c>
      <c r="B1169" s="43" t="s">
        <v>973</v>
      </c>
      <c r="C1169" s="95">
        <v>6221869.5</v>
      </c>
      <c r="E1169" s="95">
        <v>255469486.79999989</v>
      </c>
      <c r="F1169" t="s">
        <v>1443</v>
      </c>
      <c r="H1169" s="1" t="s">
        <v>84</v>
      </c>
    </row>
    <row r="1170" spans="1:8">
      <c r="A1170" s="98">
        <v>45107</v>
      </c>
      <c r="B1170" s="43" t="s">
        <v>76</v>
      </c>
      <c r="C1170" s="95">
        <v>9576598.9000000004</v>
      </c>
      <c r="E1170" s="95">
        <v>242566305.79999989</v>
      </c>
      <c r="F1170" t="s">
        <v>1325</v>
      </c>
      <c r="H1170" s="1" t="s">
        <v>84</v>
      </c>
    </row>
    <row r="1171" spans="1:8">
      <c r="A1171" s="98">
        <v>45107</v>
      </c>
      <c r="B1171" s="43" t="s">
        <v>1253</v>
      </c>
      <c r="C1171" s="95">
        <v>54690707.5</v>
      </c>
      <c r="E1171" s="95">
        <v>255671886.79999989</v>
      </c>
      <c r="F1171" t="s">
        <v>1454</v>
      </c>
      <c r="H1171" s="1" t="s">
        <v>84</v>
      </c>
    </row>
    <row r="1172" spans="1:8">
      <c r="A1172" s="98">
        <v>45107</v>
      </c>
      <c r="B1172" s="43" t="s">
        <v>1958</v>
      </c>
      <c r="C1172" s="95">
        <v>1472240</v>
      </c>
      <c r="E1172" s="95">
        <v>256335186.79999989</v>
      </c>
      <c r="F1172" t="s">
        <v>1447</v>
      </c>
      <c r="H1172" s="1" t="s">
        <v>84</v>
      </c>
    </row>
    <row r="1173" spans="1:8">
      <c r="A1173" s="98">
        <v>45107</v>
      </c>
      <c r="B1173" s="43" t="s">
        <v>78</v>
      </c>
      <c r="C1173" s="95">
        <v>11067648</v>
      </c>
      <c r="E1173" s="95">
        <v>232618345.79999989</v>
      </c>
      <c r="F1173" t="s">
        <v>1989</v>
      </c>
      <c r="H1173" s="1" t="s">
        <v>84</v>
      </c>
    </row>
    <row r="1174" spans="1:8">
      <c r="A1174" s="98">
        <v>45107</v>
      </c>
      <c r="B1174" s="43" t="s">
        <v>447</v>
      </c>
      <c r="C1174" s="95">
        <v>7382138.5</v>
      </c>
      <c r="E1174" s="95">
        <v>251866986.79999989</v>
      </c>
      <c r="F1174" t="s">
        <v>1918</v>
      </c>
      <c r="G1174" s="1" t="s">
        <v>1376</v>
      </c>
      <c r="H1174" s="1" t="s">
        <v>84</v>
      </c>
    </row>
    <row r="1175" spans="1:8">
      <c r="A1175" s="98">
        <v>45107</v>
      </c>
      <c r="B1175" s="43" t="s">
        <v>97</v>
      </c>
      <c r="C1175" s="95">
        <v>231000</v>
      </c>
      <c r="E1175" s="95">
        <v>248171905.79999989</v>
      </c>
      <c r="F1175" t="s">
        <v>1706</v>
      </c>
      <c r="H1175" s="1" t="s">
        <v>84</v>
      </c>
    </row>
    <row r="1176" spans="1:8">
      <c r="A1176" s="98">
        <v>45107</v>
      </c>
      <c r="B1176" s="43" t="s">
        <v>77</v>
      </c>
      <c r="D1176" s="95">
        <v>5744858</v>
      </c>
      <c r="E1176" s="95">
        <v>242363905.79999989</v>
      </c>
      <c r="F1176" t="s">
        <v>1325</v>
      </c>
      <c r="H1176" s="1" t="s">
        <v>84</v>
      </c>
    </row>
    <row r="1177" spans="1:8">
      <c r="A1177" s="98">
        <v>45107</v>
      </c>
      <c r="B1177" s="43" t="s">
        <v>77</v>
      </c>
      <c r="D1177" s="95">
        <v>42613837.200000003</v>
      </c>
      <c r="E1177" s="95">
        <v>256083286.79999989</v>
      </c>
      <c r="F1177" t="s">
        <v>1454</v>
      </c>
      <c r="H1177" s="1" t="s">
        <v>84</v>
      </c>
    </row>
    <row r="1178" spans="1:8">
      <c r="A1178" s="98">
        <v>45107</v>
      </c>
      <c r="B1178" s="43" t="s">
        <v>77</v>
      </c>
      <c r="D1178" s="95">
        <v>3795000</v>
      </c>
      <c r="E1178" s="95">
        <v>256937986.79999989</v>
      </c>
      <c r="F1178" t="s">
        <v>1979</v>
      </c>
      <c r="H1178" s="1" t="s">
        <v>84</v>
      </c>
    </row>
    <row r="1179" spans="1:8">
      <c r="A1179" s="98">
        <v>45107</v>
      </c>
      <c r="B1179" s="43" t="s">
        <v>77</v>
      </c>
      <c r="D1179" s="95">
        <v>884488</v>
      </c>
      <c r="E1179" s="95">
        <v>252713986.79999989</v>
      </c>
      <c r="F1179" t="s">
        <v>1988</v>
      </c>
      <c r="H1179" s="1" t="s">
        <v>84</v>
      </c>
    </row>
    <row r="1180" spans="1:8">
      <c r="A1180" s="98">
        <v>45107</v>
      </c>
      <c r="B1180" s="43" t="s">
        <v>157</v>
      </c>
      <c r="C1180" s="95">
        <v>308000</v>
      </c>
      <c r="E1180" s="95">
        <v>273625905.79999989</v>
      </c>
      <c r="F1180" t="s">
        <v>1325</v>
      </c>
      <c r="H1180" s="1" t="s">
        <v>84</v>
      </c>
    </row>
    <row r="1181" spans="1:8">
      <c r="A1181" s="98">
        <v>45111</v>
      </c>
      <c r="B1181" s="43" t="s">
        <v>77</v>
      </c>
      <c r="D1181" s="95">
        <v>770000</v>
      </c>
      <c r="E1181" s="95">
        <v>252174986.79999989</v>
      </c>
      <c r="F1181" t="s">
        <v>1986</v>
      </c>
      <c r="H1181" s="1" t="s">
        <v>84</v>
      </c>
    </row>
    <row r="1182" spans="1:8">
      <c r="A1182" s="98">
        <v>45111</v>
      </c>
      <c r="B1182" s="43" t="s">
        <v>77</v>
      </c>
      <c r="D1182" s="95">
        <v>30546450</v>
      </c>
      <c r="E1182" s="95">
        <v>250722986.79999989</v>
      </c>
      <c r="F1182" t="s">
        <v>1307</v>
      </c>
      <c r="H1182" s="1" t="s">
        <v>84</v>
      </c>
    </row>
    <row r="1183" spans="1:8">
      <c r="A1183" s="98">
        <v>45111</v>
      </c>
      <c r="B1183" s="43" t="s">
        <v>77</v>
      </c>
      <c r="D1183" s="95">
        <v>6221869.5</v>
      </c>
      <c r="E1183" s="95">
        <v>251008986.79999989</v>
      </c>
      <c r="F1183" t="s">
        <v>1443</v>
      </c>
      <c r="H1183" s="1" t="s">
        <v>84</v>
      </c>
    </row>
    <row r="1184" spans="1:8">
      <c r="A1184" s="98">
        <v>45112</v>
      </c>
      <c r="B1184" s="43" t="s">
        <v>1383</v>
      </c>
      <c r="C1184" s="95">
        <v>770000</v>
      </c>
      <c r="E1184" s="95">
        <v>260160986.79999989</v>
      </c>
      <c r="F1184" t="s">
        <v>1986</v>
      </c>
      <c r="H1184" s="1" t="s">
        <v>84</v>
      </c>
    </row>
    <row r="1185" spans="1:8">
      <c r="A1185" s="98">
        <v>45112</v>
      </c>
      <c r="B1185" s="43" t="s">
        <v>77</v>
      </c>
      <c r="D1185" s="95">
        <v>2148960</v>
      </c>
      <c r="E1185" s="95">
        <v>275660646.79999989</v>
      </c>
      <c r="F1185" t="s">
        <v>1967</v>
      </c>
      <c r="H1185" s="1" t="s">
        <v>84</v>
      </c>
    </row>
    <row r="1186" spans="1:8">
      <c r="A1186" s="98">
        <v>45112</v>
      </c>
      <c r="B1186" s="43" t="s">
        <v>77</v>
      </c>
      <c r="D1186" s="95">
        <v>3114375</v>
      </c>
      <c r="E1186" s="95">
        <v>278806646.79999989</v>
      </c>
      <c r="F1186" t="s">
        <v>1981</v>
      </c>
      <c r="H1186" s="1" t="s">
        <v>84</v>
      </c>
    </row>
    <row r="1187" spans="1:8">
      <c r="A1187" s="98">
        <v>45116</v>
      </c>
      <c r="B1187" s="43" t="s">
        <v>97</v>
      </c>
      <c r="C1187" s="95">
        <v>319000</v>
      </c>
      <c r="E1187" s="95">
        <v>299317576.79999989</v>
      </c>
      <c r="F1187" t="s">
        <v>1706</v>
      </c>
      <c r="H1187" s="1" t="s">
        <v>84</v>
      </c>
    </row>
    <row r="1188" spans="1:8">
      <c r="A1188" s="98">
        <v>45117</v>
      </c>
      <c r="B1188" s="43" t="s">
        <v>1495</v>
      </c>
      <c r="C1188" s="95">
        <v>363000</v>
      </c>
      <c r="E1188" s="95">
        <v>308029576.79999989</v>
      </c>
      <c r="F1188" t="s">
        <v>1706</v>
      </c>
      <c r="H1188" s="1" t="s">
        <v>84</v>
      </c>
    </row>
    <row r="1189" spans="1:8">
      <c r="A1189" s="98">
        <v>45119</v>
      </c>
      <c r="B1189" s="43" t="s">
        <v>77</v>
      </c>
      <c r="D1189" s="95">
        <v>198000</v>
      </c>
      <c r="E1189" s="95">
        <v>317236576.79999989</v>
      </c>
      <c r="F1189" t="s">
        <v>1377</v>
      </c>
      <c r="H1189" s="1" t="s">
        <v>84</v>
      </c>
    </row>
    <row r="1190" spans="1:8">
      <c r="A1190" s="98">
        <v>45119</v>
      </c>
      <c r="B1190" s="43" t="s">
        <v>77</v>
      </c>
      <c r="D1190" s="95">
        <v>660000</v>
      </c>
      <c r="E1190" s="95">
        <v>337564576.79999989</v>
      </c>
      <c r="F1190" t="s">
        <v>1377</v>
      </c>
      <c r="H1190" s="1" t="s">
        <v>84</v>
      </c>
    </row>
    <row r="1191" spans="1:8">
      <c r="A1191" s="98">
        <v>45119</v>
      </c>
      <c r="B1191" s="43" t="s">
        <v>77</v>
      </c>
      <c r="D1191" s="95">
        <v>2853180</v>
      </c>
      <c r="E1191" s="95">
        <v>342947976.79999989</v>
      </c>
      <c r="F1191" t="s">
        <v>1377</v>
      </c>
      <c r="H1191" s="1" t="s">
        <v>84</v>
      </c>
    </row>
    <row r="1192" spans="1:8">
      <c r="A1192" s="98">
        <v>45124</v>
      </c>
      <c r="B1192" s="43" t="s">
        <v>77</v>
      </c>
      <c r="D1192" s="95">
        <v>319000</v>
      </c>
      <c r="E1192" s="95">
        <v>344135976.79999989</v>
      </c>
      <c r="F1192" t="s">
        <v>1706</v>
      </c>
      <c r="H1192" s="1" t="s">
        <v>84</v>
      </c>
    </row>
    <row r="1193" spans="1:8">
      <c r="A1193" s="98">
        <v>45124</v>
      </c>
      <c r="B1193" s="43" t="s">
        <v>77</v>
      </c>
      <c r="D1193" s="95">
        <v>231000</v>
      </c>
      <c r="E1193" s="95">
        <v>343035976.79999989</v>
      </c>
      <c r="F1193" t="s">
        <v>1706</v>
      </c>
      <c r="H1193" s="1" t="s">
        <v>84</v>
      </c>
    </row>
    <row r="1194" spans="1:8">
      <c r="A1194" s="98">
        <v>45124</v>
      </c>
      <c r="B1194" s="43" t="s">
        <v>77</v>
      </c>
      <c r="D1194" s="95">
        <v>363000</v>
      </c>
      <c r="E1194" s="95">
        <v>346369414.5999999</v>
      </c>
      <c r="F1194" t="s">
        <v>1706</v>
      </c>
      <c r="H1194" s="1" t="s">
        <v>84</v>
      </c>
    </row>
    <row r="1195" spans="1:8">
      <c r="A1195" s="98">
        <v>45124</v>
      </c>
      <c r="B1195" s="43" t="s">
        <v>1504</v>
      </c>
      <c r="C1195" s="95">
        <v>990000</v>
      </c>
      <c r="E1195" s="95">
        <v>351835976.79999989</v>
      </c>
      <c r="F1195" t="s">
        <v>1987</v>
      </c>
      <c r="H1195" s="1" t="s">
        <v>84</v>
      </c>
    </row>
    <row r="1196" spans="1:8">
      <c r="A1196" s="98">
        <v>45125</v>
      </c>
      <c r="B1196" s="43" t="s">
        <v>77</v>
      </c>
      <c r="D1196" s="95">
        <v>990000</v>
      </c>
      <c r="E1196" s="95">
        <v>337162414.5999999</v>
      </c>
      <c r="F1196" t="s">
        <v>1987</v>
      </c>
      <c r="H1196" s="1" t="s">
        <v>84</v>
      </c>
    </row>
    <row r="1197" spans="1:8">
      <c r="A1197" s="98">
        <v>45127</v>
      </c>
      <c r="B1197" s="43" t="s">
        <v>1570</v>
      </c>
      <c r="C1197" s="95">
        <v>1904760</v>
      </c>
      <c r="E1197" s="95">
        <v>334679164.5999999</v>
      </c>
      <c r="F1197" t="s">
        <v>1988</v>
      </c>
      <c r="H1197" s="1" t="s">
        <v>84</v>
      </c>
    </row>
    <row r="1198" spans="1:8">
      <c r="A1198" s="98">
        <v>45127</v>
      </c>
      <c r="B1198" s="43" t="s">
        <v>77</v>
      </c>
      <c r="D1198" s="95">
        <v>11067648</v>
      </c>
      <c r="E1198" s="95">
        <v>332105164.5999999</v>
      </c>
      <c r="F1198" t="s">
        <v>1989</v>
      </c>
      <c r="H1198" s="1" t="s">
        <v>84</v>
      </c>
    </row>
    <row r="1199" spans="1:8">
      <c r="A1199" s="98">
        <v>45127</v>
      </c>
      <c r="B1199" s="43" t="s">
        <v>77</v>
      </c>
      <c r="D1199" s="95">
        <v>16864650</v>
      </c>
      <c r="E1199" s="95">
        <v>325879164.5999999</v>
      </c>
      <c r="F1199" t="s">
        <v>1447</v>
      </c>
      <c r="H1199" s="1" t="s">
        <v>84</v>
      </c>
    </row>
    <row r="1200" spans="1:8">
      <c r="A1200" s="98">
        <v>45132</v>
      </c>
      <c r="B1200" s="43" t="s">
        <v>447</v>
      </c>
      <c r="C1200" s="95">
        <v>7240161</v>
      </c>
      <c r="E1200" s="95">
        <v>315994234.5999999</v>
      </c>
      <c r="F1200" t="s">
        <v>1918</v>
      </c>
      <c r="G1200" s="1" t="s">
        <v>1376</v>
      </c>
      <c r="H1200" s="1" t="s">
        <v>84</v>
      </c>
    </row>
    <row r="1201" spans="1:8">
      <c r="A1201" s="98">
        <v>45132</v>
      </c>
      <c r="B1201" s="43" t="s">
        <v>77</v>
      </c>
      <c r="D1201" s="95">
        <v>7382138.5</v>
      </c>
      <c r="E1201" s="95">
        <v>305368234.5999999</v>
      </c>
      <c r="F1201" t="s">
        <v>1918</v>
      </c>
      <c r="G1201" s="1" t="s">
        <v>1376</v>
      </c>
      <c r="H1201" s="1" t="s">
        <v>84</v>
      </c>
    </row>
    <row r="1202" spans="1:8">
      <c r="A1202" s="98">
        <v>45134</v>
      </c>
      <c r="B1202" s="43" t="s">
        <v>1514</v>
      </c>
      <c r="C1202" s="95">
        <v>8488480</v>
      </c>
      <c r="E1202" s="95">
        <v>305368234.5999999</v>
      </c>
      <c r="F1202" t="s">
        <v>1987</v>
      </c>
      <c r="H1202" s="1" t="s">
        <v>84</v>
      </c>
    </row>
    <row r="1203" spans="1:8">
      <c r="A1203" s="98">
        <v>45135</v>
      </c>
      <c r="B1203" s="43" t="s">
        <v>973</v>
      </c>
      <c r="C1203" s="95">
        <v>181940</v>
      </c>
      <c r="E1203" s="95">
        <v>322385234.5999999</v>
      </c>
      <c r="F1203" t="s">
        <v>1990</v>
      </c>
      <c r="H1203" s="1" t="s">
        <v>84</v>
      </c>
    </row>
    <row r="1204" spans="1:8">
      <c r="A1204" s="98">
        <v>45138</v>
      </c>
      <c r="B1204" s="43" t="s">
        <v>1528</v>
      </c>
      <c r="C1204" s="95">
        <v>18362850</v>
      </c>
      <c r="E1204" s="95">
        <v>256036183.5999999</v>
      </c>
      <c r="F1204" t="s">
        <v>1981</v>
      </c>
      <c r="H1204" s="1" t="s">
        <v>84</v>
      </c>
    </row>
    <row r="1205" spans="1:8">
      <c r="A1205" s="98">
        <v>45138</v>
      </c>
      <c r="B1205" s="43" t="s">
        <v>1516</v>
      </c>
      <c r="C1205" s="95">
        <v>6578000</v>
      </c>
      <c r="E1205" s="95">
        <v>235587293.5999999</v>
      </c>
      <c r="F1205" t="s">
        <v>1307</v>
      </c>
      <c r="H1205" s="1" t="s">
        <v>84</v>
      </c>
    </row>
    <row r="1206" spans="1:8">
      <c r="A1206" s="98">
        <v>45138</v>
      </c>
      <c r="B1206" s="43" t="s">
        <v>973</v>
      </c>
      <c r="C1206" s="95">
        <v>2907740</v>
      </c>
      <c r="E1206" s="95">
        <v>270010693.5999999</v>
      </c>
      <c r="F1206" t="s">
        <v>1525</v>
      </c>
      <c r="H1206" s="1" t="s">
        <v>84</v>
      </c>
    </row>
    <row r="1207" spans="1:8">
      <c r="A1207" s="98">
        <v>45138</v>
      </c>
      <c r="B1207" s="43" t="s">
        <v>1526</v>
      </c>
      <c r="C1207" s="95">
        <v>-2907740</v>
      </c>
      <c r="E1207" s="95">
        <v>261298693.5999999</v>
      </c>
      <c r="F1207" t="s">
        <v>1525</v>
      </c>
      <c r="H1207" s="1" t="s">
        <v>84</v>
      </c>
    </row>
    <row r="1208" spans="1:8">
      <c r="A1208" s="98">
        <v>45138</v>
      </c>
      <c r="B1208" s="43" t="s">
        <v>1526</v>
      </c>
      <c r="C1208" s="95">
        <v>2725800</v>
      </c>
      <c r="E1208" s="95">
        <v>240970693.5999999</v>
      </c>
      <c r="F1208" t="s">
        <v>1525</v>
      </c>
      <c r="H1208" s="1" t="s">
        <v>84</v>
      </c>
    </row>
    <row r="1209" spans="1:8">
      <c r="A1209" s="98">
        <v>45138</v>
      </c>
      <c r="B1209" s="43" t="s">
        <v>76</v>
      </c>
      <c r="C1209" s="95">
        <v>13300650</v>
      </c>
      <c r="E1209" s="95">
        <v>273442693.5999999</v>
      </c>
      <c r="F1209" t="s">
        <v>1989</v>
      </c>
      <c r="H1209" s="1" t="s">
        <v>84</v>
      </c>
    </row>
    <row r="1210" spans="1:8">
      <c r="A1210" s="98">
        <v>45138</v>
      </c>
      <c r="B1210" s="43" t="s">
        <v>76</v>
      </c>
      <c r="C1210" s="95">
        <v>5972111.2000000002</v>
      </c>
      <c r="E1210" s="95">
        <v>270296693.5999999</v>
      </c>
      <c r="F1210" t="s">
        <v>1325</v>
      </c>
      <c r="H1210" s="1" t="s">
        <v>84</v>
      </c>
    </row>
    <row r="1211" spans="1:8">
      <c r="A1211" s="98">
        <v>45138</v>
      </c>
      <c r="B1211" s="43" t="s">
        <v>76</v>
      </c>
      <c r="C1211" s="95">
        <v>4048000</v>
      </c>
      <c r="E1211" s="95">
        <v>256300183.5999999</v>
      </c>
      <c r="F1211" t="s">
        <v>1979</v>
      </c>
      <c r="H1211" s="1" t="s">
        <v>84</v>
      </c>
    </row>
    <row r="1212" spans="1:8">
      <c r="A1212" s="98">
        <v>45138</v>
      </c>
      <c r="B1212" s="43" t="s">
        <v>269</v>
      </c>
      <c r="C1212" s="95">
        <v>3289000</v>
      </c>
      <c r="E1212" s="95">
        <v>236681683.5999999</v>
      </c>
      <c r="F1212" t="s">
        <v>1992</v>
      </c>
      <c r="H1212" s="1" t="s">
        <v>84</v>
      </c>
    </row>
    <row r="1213" spans="1:8">
      <c r="A1213" s="98">
        <v>45138</v>
      </c>
      <c r="B1213" s="43" t="s">
        <v>1253</v>
      </c>
      <c r="C1213" s="95">
        <v>30109431</v>
      </c>
      <c r="E1213" s="95">
        <v>241956183.5999999</v>
      </c>
      <c r="F1213" t="s">
        <v>1454</v>
      </c>
      <c r="H1213" s="1" t="s">
        <v>84</v>
      </c>
    </row>
    <row r="1214" spans="1:8">
      <c r="A1214" s="98">
        <v>45138</v>
      </c>
      <c r="B1214" s="43" t="s">
        <v>267</v>
      </c>
      <c r="C1214" s="95">
        <v>21469800</v>
      </c>
      <c r="E1214" s="95">
        <v>257565183.5999999</v>
      </c>
      <c r="F1214" t="s">
        <v>1060</v>
      </c>
      <c r="H1214" s="1" t="s">
        <v>84</v>
      </c>
    </row>
    <row r="1215" spans="1:8">
      <c r="A1215" s="98">
        <v>45138</v>
      </c>
      <c r="B1215" s="43" t="s">
        <v>447</v>
      </c>
      <c r="C1215" s="95">
        <v>880000</v>
      </c>
      <c r="E1215" s="95">
        <v>284514693.5999999</v>
      </c>
      <c r="F1215" t="s">
        <v>1991</v>
      </c>
      <c r="H1215" s="1" t="s">
        <v>84</v>
      </c>
    </row>
    <row r="1216" spans="1:8">
      <c r="A1216" s="98">
        <v>45138</v>
      </c>
      <c r="B1216" s="43" t="s">
        <v>77</v>
      </c>
      <c r="D1216" s="95">
        <v>308000</v>
      </c>
      <c r="E1216" s="95">
        <v>305368234.5999999</v>
      </c>
      <c r="F1216" t="s">
        <v>1325</v>
      </c>
      <c r="H1216" s="1" t="s">
        <v>84</v>
      </c>
    </row>
    <row r="1217" spans="1:8">
      <c r="A1217" s="98">
        <v>45138</v>
      </c>
      <c r="B1217" s="43" t="s">
        <v>77</v>
      </c>
      <c r="D1217" s="95">
        <v>770000</v>
      </c>
      <c r="E1217" s="95">
        <v>282314693.5999999</v>
      </c>
      <c r="F1217" t="s">
        <v>1986</v>
      </c>
      <c r="H1217" s="1" t="s">
        <v>84</v>
      </c>
    </row>
    <row r="1218" spans="1:8">
      <c r="A1218" s="98">
        <v>45138</v>
      </c>
      <c r="B1218" s="43" t="s">
        <v>77</v>
      </c>
      <c r="D1218" s="95">
        <v>9576598.9000000004</v>
      </c>
      <c r="E1218" s="95">
        <v>277314693.5999999</v>
      </c>
      <c r="F1218" t="s">
        <v>1325</v>
      </c>
      <c r="H1218" s="1" t="s">
        <v>84</v>
      </c>
    </row>
    <row r="1219" spans="1:8">
      <c r="A1219" s="98">
        <v>45138</v>
      </c>
      <c r="B1219" s="43" t="s">
        <v>77</v>
      </c>
      <c r="D1219" s="95">
        <v>54690707.5</v>
      </c>
      <c r="E1219" s="95">
        <v>235146633.5999999</v>
      </c>
      <c r="F1219" t="s">
        <v>1454</v>
      </c>
      <c r="H1219" s="1" t="s">
        <v>84</v>
      </c>
    </row>
    <row r="1220" spans="1:8">
      <c r="A1220" s="98">
        <v>45138</v>
      </c>
      <c r="B1220" s="43" t="s">
        <v>77</v>
      </c>
      <c r="D1220" s="95">
        <v>7839150</v>
      </c>
      <c r="E1220" s="95">
        <v>261310683.5999999</v>
      </c>
      <c r="F1220" t="s">
        <v>1981</v>
      </c>
      <c r="H1220" s="1" t="s">
        <v>84</v>
      </c>
    </row>
    <row r="1221" spans="1:8">
      <c r="A1221" s="98">
        <v>45138</v>
      </c>
      <c r="B1221" s="43" t="s">
        <v>143</v>
      </c>
      <c r="C1221" s="95">
        <v>198000</v>
      </c>
      <c r="E1221" s="95">
        <v>220087633.5999999</v>
      </c>
      <c r="F1221" t="s">
        <v>1986</v>
      </c>
      <c r="H1221" s="1" t="s">
        <v>84</v>
      </c>
    </row>
    <row r="1222" spans="1:8">
      <c r="A1222" s="98">
        <v>45138</v>
      </c>
      <c r="B1222" s="43" t="s">
        <v>157</v>
      </c>
      <c r="C1222" s="95">
        <v>308000</v>
      </c>
      <c r="E1222" s="95">
        <v>282314693.5999999</v>
      </c>
      <c r="F1222" t="s">
        <v>1325</v>
      </c>
      <c r="H1222" s="1" t="s">
        <v>84</v>
      </c>
    </row>
    <row r="1223" spans="1:8">
      <c r="A1223" s="98">
        <v>45139</v>
      </c>
      <c r="B1223" s="43" t="s">
        <v>77</v>
      </c>
      <c r="D1223" s="95">
        <v>30546450</v>
      </c>
      <c r="E1223" s="95">
        <v>270765183.5999999</v>
      </c>
      <c r="F1223" t="s">
        <v>1307</v>
      </c>
      <c r="H1223" s="1" t="s">
        <v>84</v>
      </c>
    </row>
    <row r="1224" spans="1:8">
      <c r="A1224" s="98">
        <v>45139</v>
      </c>
      <c r="B1224" s="43" t="s">
        <v>77</v>
      </c>
      <c r="D1224" s="95">
        <v>6578000</v>
      </c>
      <c r="E1224" s="95">
        <v>283243583.5999999</v>
      </c>
      <c r="F1224" t="s">
        <v>1307</v>
      </c>
      <c r="H1224" s="1" t="s">
        <v>84</v>
      </c>
    </row>
    <row r="1225" spans="1:8">
      <c r="B1225" s="43" t="s">
        <v>22</v>
      </c>
      <c r="C1225" s="95">
        <v>8180653480.4999962</v>
      </c>
      <c r="D1225" s="95">
        <v>7698479723.3999996</v>
      </c>
      <c r="E1225" s="95">
        <v>482173757.09999657</v>
      </c>
    </row>
  </sheetData>
  <autoFilter ref="A12:S83" xr:uid="{00000000-0001-0000-0100-000000000000}"/>
  <sortState xmlns:xlrd2="http://schemas.microsoft.com/office/spreadsheetml/2017/richdata2" ref="A13:H13">
    <sortCondition ref="A13"/>
    <sortCondition ref="B13"/>
  </sortState>
  <mergeCells count="3">
    <mergeCell ref="A10:H10"/>
    <mergeCell ref="A1:G1"/>
    <mergeCell ref="B11:E11"/>
  </mergeCells>
  <phoneticPr fontId="2" type="noConversion"/>
  <conditionalFormatting sqref="A13:H1000">
    <cfRule type="expression" dxfId="35" priority="1">
      <formula>$B13="합 계"</formula>
    </cfRule>
    <cfRule type="expression" dxfId="34" priority="2">
      <formula>$B13&lt;&gt;""</formula>
    </cfRule>
  </conditionalFormatting>
  <dataValidations count="1">
    <dataValidation type="list" allowBlank="1" showInputMessage="1" showErrorMessage="1" sqref="B6" xr:uid="{00000000-0002-0000-0100-000000000000}">
      <formula1>"매입,매출"</formula1>
    </dataValidation>
  </dataValidations>
  <printOptions horizontalCentered="1" verticalCentered="1"/>
  <pageMargins left="0.70866141732283472" right="0.70866141732283472" top="0.74803149606299213" bottom="0.74803149606299213" header="0.31496062992125984" footer="0.31496062992125984"/>
  <pageSetup paperSize="9" scale="79"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pageSetUpPr fitToPage="1"/>
  </sheetPr>
  <dimension ref="A1:Q450"/>
  <sheetViews>
    <sheetView showGridLines="0" showZeros="0" zoomScaleNormal="100" zoomScaleSheetLayoutView="100" workbookViewId="0">
      <pane ySplit="9" topLeftCell="A10" activePane="bottomLeft" state="frozen"/>
      <selection pane="bottomLeft" activeCell="B5" sqref="B5"/>
    </sheetView>
  </sheetViews>
  <sheetFormatPr defaultColWidth="9" defaultRowHeight="13.5"/>
  <cols>
    <col min="1" max="1" width="12.875" style="116" customWidth="1"/>
    <col min="2" max="2" width="19.25" style="120" customWidth="1"/>
    <col min="3" max="3" width="29.125" style="120" customWidth="1"/>
    <col min="4" max="4" width="14.625" style="114" customWidth="1"/>
    <col min="5" max="5" width="21.25" style="165" customWidth="1"/>
    <col min="6" max="6" width="20.25" style="165" customWidth="1"/>
    <col min="7" max="7" width="17.875" style="165" customWidth="1"/>
    <col min="8" max="8" width="9.5" style="160" customWidth="1"/>
    <col min="9" max="9" width="19.5" style="165" bestFit="1" customWidth="1"/>
    <col min="10" max="10" width="19.5" style="165" customWidth="1"/>
    <col min="11" max="11" width="16.75" style="157" customWidth="1"/>
    <col min="12" max="12" width="9" style="115"/>
    <col min="13" max="13" width="9" style="11"/>
    <col min="14" max="14" width="9.25" style="11" bestFit="1" customWidth="1"/>
    <col min="15" max="16384" width="9" style="11"/>
  </cols>
  <sheetData>
    <row r="1" spans="1:17" ht="27" customHeight="1" thickBot="1">
      <c r="A1" s="312" t="s">
        <v>355</v>
      </c>
      <c r="B1" s="312"/>
      <c r="C1" s="312"/>
      <c r="D1" s="312"/>
      <c r="E1" s="312"/>
      <c r="F1" s="312"/>
      <c r="G1" s="312"/>
      <c r="H1" s="312"/>
      <c r="I1" s="312"/>
      <c r="J1" s="312"/>
      <c r="K1" s="312"/>
      <c r="L1" s="312"/>
    </row>
    <row r="2" spans="1:17" ht="17.25" customHeight="1" thickBot="1">
      <c r="A2" s="184" t="s">
        <v>89</v>
      </c>
      <c r="B2" s="185">
        <v>2025</v>
      </c>
    </row>
    <row r="3" spans="1:17" ht="17.25" customHeight="1">
      <c r="A3" s="108" t="s">
        <v>90</v>
      </c>
      <c r="B3" s="185">
        <v>1</v>
      </c>
      <c r="D3" s="196"/>
      <c r="M3" s="12"/>
      <c r="N3" s="12"/>
    </row>
    <row r="4" spans="1:17" ht="16.5">
      <c r="A4" s="109" t="s">
        <v>91</v>
      </c>
      <c r="B4" s="186">
        <v>12</v>
      </c>
      <c r="D4" s="206"/>
      <c r="E4" s="187"/>
      <c r="F4" s="11"/>
      <c r="G4" s="11"/>
      <c r="H4" s="11"/>
      <c r="I4" s="11"/>
      <c r="J4" s="11"/>
      <c r="K4" s="11"/>
      <c r="L4" s="11"/>
    </row>
    <row r="5" spans="1:17" ht="17.25" customHeight="1">
      <c r="A5" s="110" t="s">
        <v>39</v>
      </c>
      <c r="B5" s="49"/>
      <c r="D5" s="206"/>
      <c r="E5" s="207"/>
      <c r="F5" s="207"/>
      <c r="G5" s="207"/>
      <c r="H5" s="207"/>
      <c r="I5" s="11"/>
      <c r="J5" s="11"/>
      <c r="K5" s="11"/>
      <c r="L5" s="11"/>
    </row>
    <row r="6" spans="1:17" ht="17.25" customHeight="1">
      <c r="A6" s="110" t="s">
        <v>36</v>
      </c>
      <c r="B6" s="49" t="s">
        <v>24</v>
      </c>
      <c r="D6" s="198"/>
      <c r="E6" s="187"/>
      <c r="F6" s="11"/>
      <c r="G6" s="11"/>
      <c r="H6" s="11"/>
      <c r="I6" s="11"/>
      <c r="J6" s="11"/>
      <c r="K6" s="11"/>
      <c r="L6" s="11"/>
    </row>
    <row r="7" spans="1:17" ht="17.25" thickBot="1">
      <c r="A7" s="111" t="s">
        <v>40</v>
      </c>
      <c r="B7" s="50"/>
      <c r="D7" s="199"/>
      <c r="E7" s="11"/>
      <c r="F7" s="11"/>
      <c r="G7" s="11"/>
      <c r="H7" s="11"/>
      <c r="I7" s="11"/>
      <c r="J7" s="11"/>
      <c r="K7" s="11"/>
      <c r="L7" s="11"/>
    </row>
    <row r="8" spans="1:17" ht="17.25" customHeight="1">
      <c r="D8" s="197"/>
      <c r="E8" s="166"/>
      <c r="F8" s="166"/>
      <c r="G8" s="166"/>
      <c r="H8" s="161"/>
      <c r="I8" s="166"/>
      <c r="J8" s="166"/>
      <c r="M8" s="12"/>
      <c r="N8" s="12"/>
      <c r="O8" s="12"/>
      <c r="P8" s="12"/>
    </row>
    <row r="9" spans="1:17" ht="16.5">
      <c r="A9" s="154">
        <v>0</v>
      </c>
      <c r="B9" s="155" t="s">
        <v>25</v>
      </c>
      <c r="C9" s="155" t="s">
        <v>8</v>
      </c>
      <c r="D9" s="156" t="s">
        <v>1087</v>
      </c>
      <c r="E9" s="164" t="s">
        <v>3</v>
      </c>
      <c r="F9" s="164" t="s">
        <v>354</v>
      </c>
      <c r="G9" s="164" t="s">
        <v>16</v>
      </c>
      <c r="H9" s="159" t="s">
        <v>1088</v>
      </c>
      <c r="I9" s="164" t="s">
        <v>1089</v>
      </c>
      <c r="J9" s="164" t="s">
        <v>87</v>
      </c>
      <c r="K9" s="155" t="s">
        <v>5</v>
      </c>
      <c r="L9" s="155" t="s">
        <v>38</v>
      </c>
    </row>
    <row r="10" spans="1:17" s="12" customFormat="1" ht="16.5" customHeight="1">
      <c r="A10" s="279">
        <v>1</v>
      </c>
      <c r="B10" s="280" t="s">
        <v>188</v>
      </c>
      <c r="C10" s="270" t="s">
        <v>2578</v>
      </c>
      <c r="D10" s="260">
        <v>45663</v>
      </c>
      <c r="E10" s="271">
        <v>6500000</v>
      </c>
      <c r="F10" s="261">
        <v>650000</v>
      </c>
      <c r="G10" s="261">
        <v>7150000</v>
      </c>
      <c r="H10" s="262"/>
      <c r="I10" s="261">
        <v>0</v>
      </c>
      <c r="J10" s="261">
        <v>7150000</v>
      </c>
      <c r="K10" s="256"/>
      <c r="L10" s="256" t="s">
        <v>44</v>
      </c>
    </row>
    <row r="11" spans="1:17" s="12" customFormat="1" ht="17.25" customHeight="1">
      <c r="A11" s="147">
        <v>2</v>
      </c>
      <c r="B11" s="112" t="s">
        <v>307</v>
      </c>
      <c r="C11" s="113" t="s">
        <v>2641</v>
      </c>
      <c r="D11" s="114">
        <v>45688</v>
      </c>
      <c r="E11" s="168">
        <v>2520000</v>
      </c>
      <c r="F11" s="167">
        <v>252000</v>
      </c>
      <c r="G11" s="167">
        <v>2772000</v>
      </c>
      <c r="H11" s="143"/>
      <c r="I11" s="167">
        <v>0</v>
      </c>
      <c r="J11" s="167">
        <v>2772000</v>
      </c>
      <c r="K11" s="115"/>
      <c r="L11" s="115" t="s">
        <v>44</v>
      </c>
    </row>
    <row r="12" spans="1:17" s="12" customFormat="1" ht="17.25" customHeight="1">
      <c r="A12" s="147">
        <v>3</v>
      </c>
      <c r="B12" s="112" t="s">
        <v>2474</v>
      </c>
      <c r="C12" s="113" t="s">
        <v>2691</v>
      </c>
      <c r="D12" s="114">
        <v>45735</v>
      </c>
      <c r="E12" s="168">
        <v>1620000</v>
      </c>
      <c r="F12" s="168">
        <v>162000</v>
      </c>
      <c r="G12" s="168">
        <v>1782000</v>
      </c>
      <c r="H12" s="262"/>
      <c r="I12" s="168">
        <v>0</v>
      </c>
      <c r="J12" s="168">
        <v>1782000</v>
      </c>
      <c r="K12" s="115"/>
      <c r="L12" s="115" t="s">
        <v>44</v>
      </c>
    </row>
    <row r="13" spans="1:17" s="12" customFormat="1" ht="17.25" customHeight="1">
      <c r="A13" s="147">
        <v>4</v>
      </c>
      <c r="B13" s="112" t="s">
        <v>1462</v>
      </c>
      <c r="C13" s="113" t="s">
        <v>2962</v>
      </c>
      <c r="D13" s="114">
        <v>45747</v>
      </c>
      <c r="E13" s="168">
        <v>4117205</v>
      </c>
      <c r="F13" s="167">
        <v>411720.5</v>
      </c>
      <c r="G13" s="167">
        <v>4528925.5</v>
      </c>
      <c r="H13" s="143"/>
      <c r="I13" s="167">
        <v>912478</v>
      </c>
      <c r="J13" s="167">
        <v>3616447.5</v>
      </c>
      <c r="K13" s="115"/>
      <c r="L13" s="115" t="s">
        <v>44</v>
      </c>
    </row>
    <row r="14" spans="1:17" s="12" customFormat="1" ht="17.25" customHeight="1">
      <c r="A14" s="147">
        <v>5</v>
      </c>
      <c r="B14" s="112" t="s">
        <v>2823</v>
      </c>
      <c r="C14" s="113" t="s">
        <v>2830</v>
      </c>
      <c r="D14" s="114">
        <v>45777</v>
      </c>
      <c r="E14" s="168">
        <v>1600000</v>
      </c>
      <c r="F14" s="167">
        <v>160000</v>
      </c>
      <c r="G14" s="167">
        <v>1760000</v>
      </c>
      <c r="H14" s="143"/>
      <c r="I14" s="167">
        <v>0</v>
      </c>
      <c r="J14" s="167">
        <v>1760000</v>
      </c>
      <c r="K14" s="115"/>
      <c r="L14" s="115" t="s">
        <v>44</v>
      </c>
    </row>
    <row r="15" spans="1:17" s="12" customFormat="1" ht="17.25" customHeight="1">
      <c r="A15" s="147">
        <v>6</v>
      </c>
      <c r="B15" s="145" t="s">
        <v>1462</v>
      </c>
      <c r="C15" s="113" t="s">
        <v>2962</v>
      </c>
      <c r="D15" s="114">
        <v>45777</v>
      </c>
      <c r="E15" s="168">
        <v>9094762</v>
      </c>
      <c r="F15" s="167">
        <v>909476.20000000007</v>
      </c>
      <c r="G15" s="167">
        <v>10004238.200000001</v>
      </c>
      <c r="H15" s="143"/>
      <c r="I15" s="167">
        <v>0</v>
      </c>
      <c r="J15" s="167">
        <v>10004238.200000001</v>
      </c>
      <c r="K15" s="115"/>
      <c r="L15" s="115" t="s">
        <v>44</v>
      </c>
      <c r="Q15" s="28"/>
    </row>
    <row r="16" spans="1:17" s="12" customFormat="1" ht="17.25" customHeight="1">
      <c r="A16" s="147">
        <v>7</v>
      </c>
      <c r="B16" s="112" t="s">
        <v>1198</v>
      </c>
      <c r="C16" s="113" t="s">
        <v>2888</v>
      </c>
      <c r="D16" s="114">
        <v>45808</v>
      </c>
      <c r="E16" s="168">
        <v>6044000</v>
      </c>
      <c r="F16" s="167">
        <v>604400</v>
      </c>
      <c r="G16" s="167">
        <v>6648400</v>
      </c>
      <c r="H16" s="143"/>
      <c r="I16" s="167">
        <v>0</v>
      </c>
      <c r="J16" s="167">
        <v>6648400</v>
      </c>
      <c r="K16" s="115"/>
      <c r="L16" s="115" t="s">
        <v>44</v>
      </c>
    </row>
    <row r="17" spans="1:12" s="12" customFormat="1" ht="17.25" customHeight="1">
      <c r="A17" s="147">
        <v>8</v>
      </c>
      <c r="B17" s="112" t="s">
        <v>2766</v>
      </c>
      <c r="C17" s="113" t="s">
        <v>2890</v>
      </c>
      <c r="D17" s="114">
        <v>45808</v>
      </c>
      <c r="E17" s="168">
        <v>2400000</v>
      </c>
      <c r="F17" s="167">
        <v>240000</v>
      </c>
      <c r="G17" s="167">
        <v>2640000</v>
      </c>
      <c r="H17" s="143"/>
      <c r="I17" s="167">
        <v>0</v>
      </c>
      <c r="J17" s="167">
        <v>2640000</v>
      </c>
      <c r="K17" s="115"/>
      <c r="L17" s="115" t="s">
        <v>44</v>
      </c>
    </row>
    <row r="18" spans="1:12" s="12" customFormat="1" ht="16.5" customHeight="1">
      <c r="A18" s="147">
        <v>9</v>
      </c>
      <c r="B18" s="112" t="s">
        <v>188</v>
      </c>
      <c r="C18" s="113" t="s">
        <v>2937</v>
      </c>
      <c r="D18" s="114">
        <v>45838</v>
      </c>
      <c r="E18" s="168">
        <v>13126701</v>
      </c>
      <c r="F18" s="167">
        <v>1312670.1000000001</v>
      </c>
      <c r="G18" s="167">
        <v>14439371.1</v>
      </c>
      <c r="H18" s="143"/>
      <c r="I18" s="167">
        <v>0</v>
      </c>
      <c r="J18" s="167">
        <v>14439371.1</v>
      </c>
      <c r="K18" s="115"/>
      <c r="L18" s="115" t="s">
        <v>44</v>
      </c>
    </row>
    <row r="19" spans="1:12" s="12" customFormat="1" ht="17.25" customHeight="1">
      <c r="A19" s="116">
        <v>10</v>
      </c>
      <c r="B19" s="117" t="s">
        <v>2545</v>
      </c>
      <c r="C19" s="113" t="s">
        <v>3007</v>
      </c>
      <c r="D19" s="114">
        <v>45853</v>
      </c>
      <c r="E19" s="168">
        <v>5000000</v>
      </c>
      <c r="F19" s="167">
        <v>500000</v>
      </c>
      <c r="G19" s="167">
        <v>5500000</v>
      </c>
      <c r="H19" s="143"/>
      <c r="I19" s="167">
        <v>0</v>
      </c>
      <c r="J19" s="167">
        <v>5500000</v>
      </c>
      <c r="K19" s="115"/>
      <c r="L19" s="115" t="s">
        <v>44</v>
      </c>
    </row>
    <row r="20" spans="1:12" s="12" customFormat="1" ht="17.45" customHeight="1">
      <c r="A20" s="147">
        <v>11</v>
      </c>
      <c r="B20" s="112" t="s">
        <v>3002</v>
      </c>
      <c r="C20" s="113" t="s">
        <v>3016</v>
      </c>
      <c r="D20" s="114">
        <v>45869</v>
      </c>
      <c r="E20" s="168">
        <v>10540000</v>
      </c>
      <c r="F20" s="167">
        <v>1054000</v>
      </c>
      <c r="G20" s="167">
        <v>11594000</v>
      </c>
      <c r="H20" s="143"/>
      <c r="I20" s="167">
        <v>0</v>
      </c>
      <c r="J20" s="167">
        <v>11594000</v>
      </c>
      <c r="K20" s="115"/>
      <c r="L20" s="115" t="s">
        <v>44</v>
      </c>
    </row>
    <row r="21" spans="1:12" s="12" customFormat="1" ht="17.45" customHeight="1">
      <c r="A21" s="147">
        <v>12</v>
      </c>
      <c r="B21" s="112" t="s">
        <v>1198</v>
      </c>
      <c r="C21" s="113" t="s">
        <v>2889</v>
      </c>
      <c r="D21" s="114">
        <v>45869</v>
      </c>
      <c r="E21" s="168">
        <v>882000</v>
      </c>
      <c r="F21" s="167">
        <v>88200</v>
      </c>
      <c r="G21" s="167">
        <v>970200</v>
      </c>
      <c r="H21" s="143"/>
      <c r="I21" s="167">
        <v>0</v>
      </c>
      <c r="J21" s="167">
        <v>970200</v>
      </c>
      <c r="K21" s="115"/>
      <c r="L21" s="115" t="s">
        <v>44</v>
      </c>
    </row>
    <row r="22" spans="1:12" s="12" customFormat="1" ht="17.45" customHeight="1">
      <c r="A22" s="147">
        <v>13</v>
      </c>
      <c r="B22" s="112" t="s">
        <v>654</v>
      </c>
      <c r="C22" s="113" t="s">
        <v>2541</v>
      </c>
      <c r="D22" s="114">
        <v>45900</v>
      </c>
      <c r="E22" s="168">
        <v>12313000</v>
      </c>
      <c r="F22" s="167">
        <v>1231300</v>
      </c>
      <c r="G22" s="167">
        <v>13544300</v>
      </c>
      <c r="H22" s="143"/>
      <c r="I22" s="167">
        <v>9884728</v>
      </c>
      <c r="J22" s="167">
        <v>3659572</v>
      </c>
      <c r="K22" s="115"/>
      <c r="L22" s="115" t="s">
        <v>44</v>
      </c>
    </row>
    <row r="23" spans="1:12" s="12" customFormat="1" ht="17.45" customHeight="1">
      <c r="A23" s="147">
        <v>14</v>
      </c>
      <c r="B23" s="112" t="s">
        <v>2868</v>
      </c>
      <c r="C23" s="113" t="s">
        <v>2875</v>
      </c>
      <c r="D23" s="114">
        <v>45901</v>
      </c>
      <c r="E23" s="168">
        <v>65000000</v>
      </c>
      <c r="F23" s="167">
        <v>6500000</v>
      </c>
      <c r="G23" s="167">
        <v>71500000</v>
      </c>
      <c r="H23" s="143"/>
      <c r="I23" s="167">
        <v>9900000</v>
      </c>
      <c r="J23" s="167">
        <v>61600000</v>
      </c>
      <c r="K23" s="115"/>
      <c r="L23" s="115" t="s">
        <v>44</v>
      </c>
    </row>
    <row r="24" spans="1:12" s="12" customFormat="1" ht="17.45" customHeight="1">
      <c r="A24" s="147">
        <v>15</v>
      </c>
      <c r="B24" s="112" t="s">
        <v>334</v>
      </c>
      <c r="C24" s="113" t="s">
        <v>2490</v>
      </c>
      <c r="D24" s="114">
        <v>45930</v>
      </c>
      <c r="E24" s="168">
        <v>5000000</v>
      </c>
      <c r="F24" s="167">
        <v>500000</v>
      </c>
      <c r="G24" s="167">
        <v>5500000</v>
      </c>
      <c r="H24" s="143"/>
      <c r="I24" s="167">
        <v>0</v>
      </c>
      <c r="J24" s="167">
        <v>5500000</v>
      </c>
      <c r="K24" s="115"/>
      <c r="L24" s="115" t="s">
        <v>44</v>
      </c>
    </row>
    <row r="25" spans="1:12" s="12" customFormat="1" ht="17.45" customHeight="1">
      <c r="A25" s="147">
        <v>16</v>
      </c>
      <c r="B25" s="112" t="s">
        <v>654</v>
      </c>
      <c r="C25" s="113" t="s">
        <v>3064</v>
      </c>
      <c r="D25" s="114">
        <v>45930</v>
      </c>
      <c r="E25" s="168">
        <v>11942120</v>
      </c>
      <c r="F25" s="167">
        <v>1194212</v>
      </c>
      <c r="G25" s="167">
        <v>13136332</v>
      </c>
      <c r="H25" s="143"/>
      <c r="I25" s="167">
        <v>0</v>
      </c>
      <c r="J25" s="167">
        <v>13136332</v>
      </c>
      <c r="K25" s="115"/>
      <c r="L25" s="115" t="s">
        <v>44</v>
      </c>
    </row>
    <row r="26" spans="1:12" s="12" customFormat="1" ht="17.45" customHeight="1">
      <c r="A26" s="116">
        <v>17</v>
      </c>
      <c r="B26" s="117" t="s">
        <v>654</v>
      </c>
      <c r="C26" s="113" t="s">
        <v>3146</v>
      </c>
      <c r="D26" s="114">
        <v>45930</v>
      </c>
      <c r="E26" s="168">
        <v>26752800</v>
      </c>
      <c r="F26" s="167">
        <v>2675280</v>
      </c>
      <c r="G26" s="167">
        <v>29428080</v>
      </c>
      <c r="H26" s="143"/>
      <c r="I26" s="167">
        <v>0</v>
      </c>
      <c r="J26" s="167">
        <v>29428080</v>
      </c>
      <c r="K26" s="115"/>
      <c r="L26" s="115" t="s">
        <v>44</v>
      </c>
    </row>
    <row r="27" spans="1:12" s="12" customFormat="1" ht="17.45" customHeight="1">
      <c r="A27" s="116">
        <v>18</v>
      </c>
      <c r="B27" s="117" t="s">
        <v>654</v>
      </c>
      <c r="C27" s="113" t="s">
        <v>2541</v>
      </c>
      <c r="D27" s="114">
        <v>45930</v>
      </c>
      <c r="E27" s="168">
        <v>5000000</v>
      </c>
      <c r="F27" s="167">
        <v>500000</v>
      </c>
      <c r="G27" s="167">
        <v>5500000</v>
      </c>
      <c r="H27" s="143"/>
      <c r="I27" s="167">
        <v>0</v>
      </c>
      <c r="J27" s="167">
        <v>5500000</v>
      </c>
      <c r="K27" s="118"/>
      <c r="L27" s="115" t="s">
        <v>44</v>
      </c>
    </row>
    <row r="28" spans="1:12" s="12" customFormat="1" ht="17.45" customHeight="1">
      <c r="A28" s="147">
        <v>19</v>
      </c>
      <c r="B28" s="119" t="s">
        <v>188</v>
      </c>
      <c r="C28" s="113" t="s">
        <v>3147</v>
      </c>
      <c r="D28" s="114">
        <v>45930</v>
      </c>
      <c r="E28" s="168">
        <v>11182600</v>
      </c>
      <c r="F28" s="167">
        <v>1118260</v>
      </c>
      <c r="G28" s="167">
        <v>12300860</v>
      </c>
      <c r="H28" s="143"/>
      <c r="I28" s="167">
        <v>0</v>
      </c>
      <c r="J28" s="167">
        <v>12300860</v>
      </c>
      <c r="K28" s="118"/>
      <c r="L28" s="115" t="s">
        <v>44</v>
      </c>
    </row>
    <row r="29" spans="1:12" s="12" customFormat="1" ht="17.45" customHeight="1">
      <c r="A29" s="116">
        <v>20</v>
      </c>
      <c r="B29" s="120" t="s">
        <v>2166</v>
      </c>
      <c r="C29" s="113" t="s">
        <v>3150</v>
      </c>
      <c r="D29" s="114">
        <v>45930</v>
      </c>
      <c r="E29" s="168">
        <v>11070520</v>
      </c>
      <c r="F29" s="167">
        <v>1107052</v>
      </c>
      <c r="G29" s="167">
        <v>12177572</v>
      </c>
      <c r="H29" s="143"/>
      <c r="I29" s="167">
        <v>0</v>
      </c>
      <c r="J29" s="167">
        <v>12177572</v>
      </c>
      <c r="K29" s="118"/>
      <c r="L29" s="115" t="s">
        <v>44</v>
      </c>
    </row>
    <row r="30" spans="1:12" s="13" customFormat="1" ht="17.45" customHeight="1">
      <c r="A30" s="121">
        <v>21</v>
      </c>
      <c r="B30" s="113" t="s">
        <v>1396</v>
      </c>
      <c r="C30" s="113" t="s">
        <v>3151</v>
      </c>
      <c r="D30" s="114">
        <v>45930</v>
      </c>
      <c r="E30" s="168">
        <v>2215800</v>
      </c>
      <c r="F30" s="167">
        <v>221580</v>
      </c>
      <c r="G30" s="167">
        <v>2437380</v>
      </c>
      <c r="H30" s="143"/>
      <c r="I30" s="167">
        <v>0</v>
      </c>
      <c r="J30" s="301">
        <v>2437380</v>
      </c>
      <c r="K30" s="158"/>
      <c r="L30" s="115" t="s">
        <v>44</v>
      </c>
    </row>
    <row r="31" spans="1:12" ht="17.45" customHeight="1">
      <c r="A31" s="121">
        <v>22</v>
      </c>
      <c r="B31" s="113" t="s">
        <v>1396</v>
      </c>
      <c r="C31" s="113" t="s">
        <v>3152</v>
      </c>
      <c r="D31" s="114">
        <v>45930</v>
      </c>
      <c r="E31" s="168">
        <v>2210000</v>
      </c>
      <c r="F31" s="167">
        <v>221000</v>
      </c>
      <c r="G31" s="167">
        <v>2431000</v>
      </c>
      <c r="H31" s="143"/>
      <c r="I31" s="167">
        <v>0</v>
      </c>
      <c r="J31" s="167">
        <v>2431000</v>
      </c>
      <c r="K31" s="189"/>
      <c r="L31" s="115" t="s">
        <v>44</v>
      </c>
    </row>
    <row r="32" spans="1:12" ht="17.45" customHeight="1">
      <c r="A32" s="116">
        <v>23</v>
      </c>
      <c r="B32" s="120" t="s">
        <v>1396</v>
      </c>
      <c r="C32" s="120" t="s">
        <v>3153</v>
      </c>
      <c r="D32" s="114">
        <v>45930</v>
      </c>
      <c r="E32" s="190">
        <v>1730000</v>
      </c>
      <c r="F32" s="190">
        <v>173000</v>
      </c>
      <c r="G32" s="190">
        <v>1903000</v>
      </c>
      <c r="H32" s="191"/>
      <c r="I32" s="190">
        <v>0</v>
      </c>
      <c r="J32" s="190">
        <v>1903000</v>
      </c>
      <c r="L32" s="115" t="s">
        <v>44</v>
      </c>
    </row>
    <row r="33" spans="1:12" ht="17.45" customHeight="1">
      <c r="A33" s="116">
        <v>24</v>
      </c>
      <c r="B33" s="120" t="s">
        <v>1396</v>
      </c>
      <c r="C33" s="120" t="s">
        <v>3154</v>
      </c>
      <c r="D33" s="114">
        <v>45930</v>
      </c>
      <c r="E33" s="190">
        <v>6180000</v>
      </c>
      <c r="F33" s="190">
        <v>618000</v>
      </c>
      <c r="G33" s="190">
        <v>6798000</v>
      </c>
      <c r="H33" s="191"/>
      <c r="I33" s="190">
        <v>0</v>
      </c>
      <c r="J33" s="190">
        <v>6798000</v>
      </c>
      <c r="L33" s="115" t="s">
        <v>44</v>
      </c>
    </row>
    <row r="34" spans="1:12" ht="17.45" customHeight="1">
      <c r="A34" s="116">
        <v>25</v>
      </c>
      <c r="B34" s="120" t="s">
        <v>1198</v>
      </c>
      <c r="C34" s="189" t="s">
        <v>2887</v>
      </c>
      <c r="D34" s="114">
        <v>45930</v>
      </c>
      <c r="E34" s="190">
        <v>3035600</v>
      </c>
      <c r="F34" s="190">
        <v>303560</v>
      </c>
      <c r="G34" s="190">
        <v>3339160</v>
      </c>
      <c r="H34" s="191"/>
      <c r="I34" s="190">
        <v>0</v>
      </c>
      <c r="J34" s="190">
        <v>3339160</v>
      </c>
      <c r="L34" s="115" t="s">
        <v>44</v>
      </c>
    </row>
    <row r="35" spans="1:12" ht="17.45" customHeight="1">
      <c r="A35" s="116">
        <v>26</v>
      </c>
      <c r="B35" s="120" t="s">
        <v>1198</v>
      </c>
      <c r="C35" s="120" t="s">
        <v>2955</v>
      </c>
      <c r="D35" s="114">
        <v>45930</v>
      </c>
      <c r="E35" s="190">
        <v>4616700</v>
      </c>
      <c r="F35" s="190">
        <v>461670</v>
      </c>
      <c r="G35" s="190">
        <v>5078370</v>
      </c>
      <c r="H35" s="191"/>
      <c r="I35" s="190">
        <v>0</v>
      </c>
      <c r="J35" s="190">
        <v>5078370</v>
      </c>
      <c r="L35" s="115" t="s">
        <v>44</v>
      </c>
    </row>
    <row r="36" spans="1:12" ht="17.25" customHeight="1">
      <c r="A36" s="116">
        <v>27</v>
      </c>
      <c r="B36" s="120" t="s">
        <v>3138</v>
      </c>
      <c r="C36" s="120" t="s">
        <v>3071</v>
      </c>
      <c r="D36" s="114">
        <v>45930</v>
      </c>
      <c r="E36" s="167">
        <v>2360960</v>
      </c>
      <c r="F36" s="167">
        <v>236096</v>
      </c>
      <c r="G36" s="167">
        <v>2597056</v>
      </c>
      <c r="H36" s="329"/>
      <c r="I36" s="167">
        <v>0</v>
      </c>
      <c r="J36" s="167">
        <v>2597056</v>
      </c>
      <c r="L36" s="115" t="s">
        <v>44</v>
      </c>
    </row>
    <row r="37" spans="1:12" ht="17.25" customHeight="1">
      <c r="A37" s="116">
        <v>28</v>
      </c>
      <c r="B37" s="120" t="s">
        <v>3139</v>
      </c>
      <c r="C37" s="120" t="s">
        <v>3158</v>
      </c>
      <c r="D37" s="114">
        <v>45930</v>
      </c>
      <c r="E37" s="167">
        <v>5131900</v>
      </c>
      <c r="F37" s="167">
        <v>513190</v>
      </c>
      <c r="G37" s="167">
        <v>5645090</v>
      </c>
      <c r="H37" s="143"/>
      <c r="I37" s="167">
        <v>0</v>
      </c>
      <c r="J37" s="167">
        <v>5645090</v>
      </c>
      <c r="L37" s="115" t="s">
        <v>44</v>
      </c>
    </row>
    <row r="38" spans="1:12" ht="17.25" customHeight="1">
      <c r="A38" s="116">
        <v>29</v>
      </c>
      <c r="B38" s="120" t="s">
        <v>3005</v>
      </c>
      <c r="C38" s="120" t="s">
        <v>3014</v>
      </c>
      <c r="D38" s="114">
        <v>45930</v>
      </c>
      <c r="E38" s="190">
        <v>1298000</v>
      </c>
      <c r="F38" s="190">
        <v>129800</v>
      </c>
      <c r="G38" s="190">
        <v>1427800</v>
      </c>
      <c r="H38" s="191"/>
      <c r="I38" s="190">
        <v>0</v>
      </c>
      <c r="J38" s="190">
        <v>1427800</v>
      </c>
      <c r="L38" s="115" t="s">
        <v>44</v>
      </c>
    </row>
    <row r="39" spans="1:12" ht="17.25" customHeight="1">
      <c r="A39" s="116">
        <v>30</v>
      </c>
      <c r="B39" s="120" t="s">
        <v>1179</v>
      </c>
      <c r="C39" s="113" t="s">
        <v>3159</v>
      </c>
      <c r="D39" s="114">
        <v>45930</v>
      </c>
      <c r="E39" s="190">
        <v>19563000</v>
      </c>
      <c r="F39" s="190">
        <v>1956300</v>
      </c>
      <c r="G39" s="190">
        <v>21519300</v>
      </c>
      <c r="H39" s="191"/>
      <c r="I39" s="190">
        <v>0</v>
      </c>
      <c r="J39" s="190">
        <v>21519300</v>
      </c>
      <c r="L39" s="115" t="s">
        <v>44</v>
      </c>
    </row>
    <row r="40" spans="1:12" ht="17.25" customHeight="1">
      <c r="A40" s="116">
        <v>31</v>
      </c>
      <c r="B40" s="120" t="s">
        <v>1396</v>
      </c>
      <c r="C40" s="120" t="s">
        <v>3200</v>
      </c>
      <c r="D40" s="114">
        <v>45961</v>
      </c>
      <c r="E40" s="190">
        <v>7370000</v>
      </c>
      <c r="F40" s="190">
        <v>737000</v>
      </c>
      <c r="G40" s="190">
        <v>8107000</v>
      </c>
      <c r="H40" s="191"/>
      <c r="I40" s="190">
        <v>0</v>
      </c>
      <c r="J40" s="190">
        <v>8107000</v>
      </c>
      <c r="L40" s="115" t="s">
        <v>44</v>
      </c>
    </row>
    <row r="41" spans="1:12" ht="17.25" customHeight="1">
      <c r="A41" s="116">
        <v>32</v>
      </c>
      <c r="B41" s="120" t="s">
        <v>3212</v>
      </c>
      <c r="C41" s="120" t="s">
        <v>3174</v>
      </c>
      <c r="D41" s="114">
        <v>45961</v>
      </c>
      <c r="E41" s="165">
        <v>25923941</v>
      </c>
      <c r="F41" s="165">
        <v>2592394.1</v>
      </c>
      <c r="G41" s="165">
        <v>28516335.100000001</v>
      </c>
      <c r="I41" s="165">
        <v>0</v>
      </c>
      <c r="J41" s="190">
        <v>28516335.100000001</v>
      </c>
      <c r="L41" s="115" t="s">
        <v>44</v>
      </c>
    </row>
    <row r="42" spans="1:12" ht="17.25" customHeight="1">
      <c r="A42" s="116">
        <v>33</v>
      </c>
      <c r="B42" s="120" t="s">
        <v>654</v>
      </c>
      <c r="C42" s="120" t="s">
        <v>3203</v>
      </c>
      <c r="D42" s="114">
        <v>45961</v>
      </c>
      <c r="E42" s="165">
        <v>17750880</v>
      </c>
      <c r="F42" s="165">
        <v>1775088</v>
      </c>
      <c r="G42" s="165">
        <v>19525968</v>
      </c>
      <c r="I42" s="165">
        <v>0</v>
      </c>
      <c r="J42" s="165">
        <v>19525968</v>
      </c>
      <c r="L42" s="115" t="s">
        <v>44</v>
      </c>
    </row>
    <row r="43" spans="1:12" ht="17.25" customHeight="1">
      <c r="A43" s="116">
        <v>34</v>
      </c>
      <c r="B43" s="120" t="s">
        <v>654</v>
      </c>
      <c r="C43" s="120" t="s">
        <v>3064</v>
      </c>
      <c r="D43" s="114">
        <v>45961</v>
      </c>
      <c r="E43" s="165">
        <v>28302180</v>
      </c>
      <c r="F43" s="165">
        <v>2830218</v>
      </c>
      <c r="G43" s="165">
        <v>31132398</v>
      </c>
      <c r="I43" s="165">
        <v>0</v>
      </c>
      <c r="J43" s="165">
        <v>31132398</v>
      </c>
      <c r="L43" s="115" t="s">
        <v>44</v>
      </c>
    </row>
    <row r="44" spans="1:12" ht="17.25" customHeight="1">
      <c r="A44" s="116">
        <v>35</v>
      </c>
      <c r="B44" s="120" t="s">
        <v>1179</v>
      </c>
      <c r="C44" s="120" t="s">
        <v>3204</v>
      </c>
      <c r="D44" s="114">
        <v>45961</v>
      </c>
      <c r="E44" s="165">
        <v>1071400</v>
      </c>
      <c r="F44" s="165">
        <v>107140</v>
      </c>
      <c r="G44" s="165">
        <v>1178540</v>
      </c>
      <c r="I44" s="165">
        <v>0</v>
      </c>
      <c r="J44" s="165">
        <v>1178540</v>
      </c>
      <c r="L44" s="115" t="s">
        <v>44</v>
      </c>
    </row>
    <row r="45" spans="1:12" ht="17.25" customHeight="1">
      <c r="A45" s="116">
        <v>36</v>
      </c>
      <c r="B45" s="120" t="s">
        <v>188</v>
      </c>
      <c r="C45" s="120" t="s">
        <v>3147</v>
      </c>
      <c r="D45" s="114">
        <v>45961</v>
      </c>
      <c r="E45" s="165">
        <v>8840000</v>
      </c>
      <c r="F45" s="165">
        <v>884000</v>
      </c>
      <c r="G45" s="165">
        <v>9724000</v>
      </c>
      <c r="I45" s="165">
        <v>0</v>
      </c>
      <c r="J45" s="165">
        <v>9724000</v>
      </c>
      <c r="L45" s="115" t="s">
        <v>44</v>
      </c>
    </row>
    <row r="46" spans="1:12" ht="17.25" customHeight="1">
      <c r="A46" s="116">
        <v>37</v>
      </c>
      <c r="B46" s="120" t="s">
        <v>3139</v>
      </c>
      <c r="C46" s="120" t="s">
        <v>3158</v>
      </c>
      <c r="D46" s="114">
        <v>45961</v>
      </c>
      <c r="E46" s="165">
        <v>7389000</v>
      </c>
      <c r="F46" s="165">
        <v>738900</v>
      </c>
      <c r="G46" s="165">
        <v>8127900</v>
      </c>
      <c r="I46" s="165">
        <v>0</v>
      </c>
      <c r="J46" s="165">
        <v>8127900</v>
      </c>
      <c r="L46" s="115" t="s">
        <v>44</v>
      </c>
    </row>
    <row r="47" spans="1:12" ht="17.25" customHeight="1">
      <c r="A47" s="116">
        <v>38</v>
      </c>
      <c r="B47" s="120" t="s">
        <v>2166</v>
      </c>
      <c r="C47" s="120" t="s">
        <v>2836</v>
      </c>
      <c r="D47" s="114">
        <v>45961</v>
      </c>
      <c r="E47" s="165">
        <v>17535920</v>
      </c>
      <c r="F47" s="165">
        <v>1753592</v>
      </c>
      <c r="G47" s="165">
        <v>19289512</v>
      </c>
      <c r="I47" s="165">
        <v>0</v>
      </c>
      <c r="J47" s="165">
        <v>19289512</v>
      </c>
      <c r="L47" s="115" t="s">
        <v>44</v>
      </c>
    </row>
    <row r="48" spans="1:12" ht="17.25" customHeight="1">
      <c r="A48" s="116">
        <v>39</v>
      </c>
      <c r="B48" s="120" t="s">
        <v>3135</v>
      </c>
      <c r="C48" s="120" t="s">
        <v>3141</v>
      </c>
      <c r="D48" s="114">
        <v>45961</v>
      </c>
      <c r="E48" s="165">
        <v>7315200</v>
      </c>
      <c r="F48" s="165">
        <v>731520</v>
      </c>
      <c r="G48" s="165">
        <v>8046720</v>
      </c>
      <c r="I48" s="165">
        <v>0</v>
      </c>
      <c r="J48" s="165">
        <v>8046720</v>
      </c>
      <c r="L48" s="115" t="s">
        <v>44</v>
      </c>
    </row>
    <row r="49" spans="1:12" ht="17.25" customHeight="1">
      <c r="A49" s="116">
        <v>40</v>
      </c>
      <c r="B49" s="120" t="s">
        <v>3137</v>
      </c>
      <c r="C49" s="120" t="s">
        <v>3205</v>
      </c>
      <c r="D49" s="114">
        <v>45961</v>
      </c>
      <c r="E49" s="165">
        <v>8775000</v>
      </c>
      <c r="F49" s="165">
        <v>877500</v>
      </c>
      <c r="G49" s="165">
        <v>9652500</v>
      </c>
      <c r="I49" s="165">
        <v>0</v>
      </c>
      <c r="J49" s="165">
        <v>9652500</v>
      </c>
      <c r="L49" s="115" t="s">
        <v>44</v>
      </c>
    </row>
    <row r="50" spans="1:12" ht="17.25" customHeight="1">
      <c r="A50" s="116">
        <v>41</v>
      </c>
      <c r="B50" s="120" t="s">
        <v>3195</v>
      </c>
      <c r="C50" s="120" t="s">
        <v>3206</v>
      </c>
      <c r="D50" s="114">
        <v>45961</v>
      </c>
      <c r="E50" s="165">
        <v>6862800</v>
      </c>
      <c r="F50" s="165">
        <v>686280</v>
      </c>
      <c r="G50" s="165">
        <v>7549080</v>
      </c>
      <c r="I50" s="165">
        <v>0</v>
      </c>
      <c r="J50" s="165">
        <v>7549080</v>
      </c>
      <c r="L50" s="115" t="s">
        <v>44</v>
      </c>
    </row>
    <row r="51" spans="1:12" ht="17.25" customHeight="1">
      <c r="A51" s="116">
        <v>42</v>
      </c>
      <c r="B51" s="120" t="s">
        <v>654</v>
      </c>
      <c r="C51" s="120" t="s">
        <v>2588</v>
      </c>
      <c r="D51" s="114">
        <v>45961</v>
      </c>
      <c r="E51" s="165">
        <v>12332560</v>
      </c>
      <c r="F51" s="165">
        <v>1233256</v>
      </c>
      <c r="G51" s="165">
        <v>13565816</v>
      </c>
      <c r="I51" s="165">
        <v>0</v>
      </c>
      <c r="J51" s="165">
        <v>13565816</v>
      </c>
      <c r="L51" s="115" t="s">
        <v>44</v>
      </c>
    </row>
    <row r="52" spans="1:12" ht="17.25" customHeight="1">
      <c r="A52" s="116">
        <v>43</v>
      </c>
      <c r="B52" s="120" t="s">
        <v>3213</v>
      </c>
      <c r="C52" s="120" t="s">
        <v>3207</v>
      </c>
      <c r="D52" s="114">
        <v>45961</v>
      </c>
      <c r="E52" s="165">
        <v>1440000</v>
      </c>
      <c r="F52" s="165">
        <v>144000</v>
      </c>
      <c r="G52" s="165">
        <v>1584000</v>
      </c>
      <c r="I52" s="165">
        <v>0</v>
      </c>
      <c r="J52" s="165">
        <v>1584000</v>
      </c>
      <c r="L52" s="115" t="s">
        <v>44</v>
      </c>
    </row>
    <row r="53" spans="1:12" ht="17.25" customHeight="1">
      <c r="A53" s="116">
        <v>44</v>
      </c>
      <c r="B53" s="120" t="s">
        <v>264</v>
      </c>
      <c r="C53" s="120" t="s">
        <v>3070</v>
      </c>
      <c r="D53" s="114">
        <v>45961</v>
      </c>
      <c r="E53" s="165">
        <v>14300000</v>
      </c>
      <c r="F53" s="165">
        <v>1430000</v>
      </c>
      <c r="G53" s="165">
        <v>15730000</v>
      </c>
      <c r="I53" s="165">
        <v>0</v>
      </c>
      <c r="J53" s="165">
        <v>15730000</v>
      </c>
      <c r="L53" s="115" t="s">
        <v>44</v>
      </c>
    </row>
    <row r="54" spans="1:12" ht="17.25" customHeight="1">
      <c r="A54" s="116">
        <v>45</v>
      </c>
      <c r="B54" s="120" t="s">
        <v>3210</v>
      </c>
      <c r="C54" s="120" t="s">
        <v>3201</v>
      </c>
      <c r="D54" s="114">
        <v>45961</v>
      </c>
      <c r="E54" s="165">
        <v>7671000</v>
      </c>
      <c r="F54" s="165">
        <v>767100</v>
      </c>
      <c r="G54" s="165">
        <v>8438100</v>
      </c>
      <c r="I54" s="165">
        <v>0</v>
      </c>
      <c r="J54" s="165">
        <v>8438100</v>
      </c>
      <c r="L54" s="115" t="s">
        <v>44</v>
      </c>
    </row>
    <row r="55" spans="1:12" ht="17.25" customHeight="1">
      <c r="A55" s="116">
        <v>46</v>
      </c>
      <c r="B55" s="120" t="s">
        <v>3197</v>
      </c>
      <c r="C55" s="120" t="s">
        <v>2875</v>
      </c>
      <c r="D55" s="114">
        <v>45961</v>
      </c>
      <c r="E55" s="165">
        <v>30000000</v>
      </c>
      <c r="F55" s="165">
        <v>3000000</v>
      </c>
      <c r="G55" s="165">
        <v>33000000</v>
      </c>
      <c r="I55" s="165">
        <v>0</v>
      </c>
      <c r="J55" s="165">
        <v>33000000</v>
      </c>
      <c r="L55" s="115" t="s">
        <v>44</v>
      </c>
    </row>
    <row r="56" spans="1:12" ht="17.25" customHeight="1">
      <c r="A56" s="116">
        <v>47</v>
      </c>
      <c r="B56" s="120" t="s">
        <v>3134</v>
      </c>
      <c r="C56" s="120" t="s">
        <v>3140</v>
      </c>
      <c r="D56" s="114">
        <v>45961</v>
      </c>
      <c r="E56" s="165">
        <v>6111250</v>
      </c>
      <c r="F56" s="165">
        <v>611125</v>
      </c>
      <c r="G56" s="165">
        <v>6722375</v>
      </c>
      <c r="I56" s="165">
        <v>0</v>
      </c>
      <c r="J56" s="165">
        <v>6722375</v>
      </c>
      <c r="L56" s="115" t="s">
        <v>44</v>
      </c>
    </row>
    <row r="57" spans="1:12" ht="17.25" customHeight="1">
      <c r="A57" s="116">
        <v>48</v>
      </c>
      <c r="B57" s="120" t="s">
        <v>2822</v>
      </c>
      <c r="C57" s="120" t="s">
        <v>3019</v>
      </c>
      <c r="D57" s="114">
        <v>45961</v>
      </c>
      <c r="E57" s="165">
        <v>7477500</v>
      </c>
      <c r="F57" s="165">
        <v>747750</v>
      </c>
      <c r="G57" s="165">
        <v>8225250</v>
      </c>
      <c r="I57" s="165">
        <v>0</v>
      </c>
      <c r="J57" s="165">
        <v>8225250</v>
      </c>
      <c r="L57" s="115" t="s">
        <v>44</v>
      </c>
    </row>
    <row r="58" spans="1:12" ht="17.25" customHeight="1">
      <c r="A58" s="116">
        <v>49</v>
      </c>
      <c r="B58" s="120" t="s">
        <v>1218</v>
      </c>
      <c r="C58" s="120" t="s">
        <v>3208</v>
      </c>
      <c r="D58" s="114">
        <v>45961</v>
      </c>
      <c r="E58" s="165">
        <v>1890000</v>
      </c>
      <c r="F58" s="165">
        <v>189000</v>
      </c>
      <c r="G58" s="165">
        <v>2079000</v>
      </c>
      <c r="I58" s="165">
        <v>0</v>
      </c>
      <c r="J58" s="165">
        <v>2079000</v>
      </c>
      <c r="L58" s="115" t="s">
        <v>44</v>
      </c>
    </row>
    <row r="59" spans="1:12" ht="17.25" customHeight="1">
      <c r="A59" s="116">
        <v>50</v>
      </c>
      <c r="B59" s="120" t="s">
        <v>1218</v>
      </c>
      <c r="C59" s="120" t="s">
        <v>3202</v>
      </c>
      <c r="D59" s="114">
        <v>45961</v>
      </c>
      <c r="E59" s="165">
        <v>2160000</v>
      </c>
      <c r="F59" s="165">
        <v>216000</v>
      </c>
      <c r="G59" s="165">
        <v>2376000</v>
      </c>
      <c r="I59" s="165">
        <v>0</v>
      </c>
      <c r="J59" s="165">
        <v>2376000</v>
      </c>
      <c r="L59" s="115" t="s">
        <v>44</v>
      </c>
    </row>
    <row r="60" spans="1:12" ht="17.25" customHeight="1">
      <c r="A60" s="116">
        <v>51</v>
      </c>
      <c r="B60" s="120" t="s">
        <v>2824</v>
      </c>
      <c r="C60" s="120" t="s">
        <v>2832</v>
      </c>
      <c r="D60" s="114">
        <v>45961</v>
      </c>
      <c r="E60" s="165">
        <v>76997000</v>
      </c>
      <c r="F60" s="165">
        <v>7699700</v>
      </c>
      <c r="G60" s="165">
        <v>84696700</v>
      </c>
      <c r="I60" s="165">
        <v>0</v>
      </c>
      <c r="J60" s="165">
        <v>84696700</v>
      </c>
      <c r="L60" s="115" t="s">
        <v>44</v>
      </c>
    </row>
    <row r="61" spans="1:12" ht="17.25" customHeight="1">
      <c r="D61" s="114" t="s">
        <v>22</v>
      </c>
      <c r="E61" s="165">
        <v>557563299</v>
      </c>
      <c r="F61" s="165">
        <v>55756329.900000006</v>
      </c>
      <c r="G61" s="165">
        <v>613319628.9000001</v>
      </c>
      <c r="I61" s="165">
        <v>20697206</v>
      </c>
      <c r="J61" s="165">
        <v>592622422.9000001</v>
      </c>
    </row>
    <row r="62" spans="1:12" ht="17.25" customHeight="1"/>
    <row r="63" spans="1:12" ht="17.25" customHeight="1"/>
    <row r="64" spans="1:12"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448" spans="2:12">
      <c r="B448" s="120" t="s">
        <v>2657</v>
      </c>
      <c r="C448" s="120" t="s">
        <v>2658</v>
      </c>
      <c r="D448" s="114">
        <v>45322</v>
      </c>
      <c r="E448" s="165">
        <v>6545000</v>
      </c>
      <c r="F448" s="165">
        <v>654500</v>
      </c>
      <c r="G448" s="165">
        <v>7199500</v>
      </c>
      <c r="H448" s="160">
        <v>45708</v>
      </c>
      <c r="I448" s="165">
        <v>7199500</v>
      </c>
      <c r="J448" s="165">
        <v>0</v>
      </c>
      <c r="L448" s="115" t="s">
        <v>2656</v>
      </c>
    </row>
    <row r="449" spans="2:12">
      <c r="B449" s="120" t="s">
        <v>2657</v>
      </c>
      <c r="C449" s="120" t="s">
        <v>2659</v>
      </c>
      <c r="D449" s="114">
        <v>45322</v>
      </c>
      <c r="E449" s="165">
        <v>11526000</v>
      </c>
      <c r="F449" s="165">
        <v>1152600</v>
      </c>
      <c r="G449" s="165">
        <v>12678600</v>
      </c>
      <c r="H449" s="160">
        <v>45708</v>
      </c>
      <c r="I449" s="165">
        <v>12678600</v>
      </c>
      <c r="J449" s="165">
        <v>0</v>
      </c>
      <c r="L449" s="115" t="s">
        <v>2656</v>
      </c>
    </row>
    <row r="450" spans="2:12">
      <c r="D450" s="114" t="s">
        <v>22</v>
      </c>
      <c r="E450" s="165">
        <v>3147794933</v>
      </c>
      <c r="F450" s="165">
        <v>577939092.39999998</v>
      </c>
      <c r="G450" s="165">
        <v>3664980376.1999998</v>
      </c>
      <c r="I450" s="165">
        <v>2706867012.8000002</v>
      </c>
      <c r="J450" s="165">
        <v>552201463.60000002</v>
      </c>
    </row>
  </sheetData>
  <autoFilter ref="A9:Q55" xr:uid="{00000000-0001-0000-0200-000000000000}"/>
  <mergeCells count="1">
    <mergeCell ref="A1:L1"/>
  </mergeCells>
  <phoneticPr fontId="2" type="noConversion"/>
  <conditionalFormatting sqref="A48:L1987 A39:L46 A32:L37 A30:I31 K30:L31 A11:L11 A13:L29 A12:G12 I12:L12">
    <cfRule type="expression" dxfId="58" priority="4">
      <formula>AND($A11="",$E11&gt;0)</formula>
    </cfRule>
    <cfRule type="expression" dxfId="57" priority="5">
      <formula>$D11="합 계"</formula>
    </cfRule>
    <cfRule type="expression" dxfId="56" priority="6">
      <formula>$B10&lt;&gt;""</formula>
    </cfRule>
  </conditionalFormatting>
  <conditionalFormatting sqref="A38:L38 A47:L47">
    <cfRule type="expression" dxfId="55" priority="433">
      <formula>AND($A38="",$E38&gt;0)</formula>
    </cfRule>
    <cfRule type="expression" dxfId="54" priority="434">
      <formula>$D38="합 계"</formula>
    </cfRule>
    <cfRule type="expression" dxfId="53" priority="435">
      <formula>#REF!&lt;&gt;""</formula>
    </cfRule>
  </conditionalFormatting>
  <conditionalFormatting sqref="J31">
    <cfRule type="expression" dxfId="52" priority="523">
      <formula>AND($A30="",$E30&gt;0)</formula>
    </cfRule>
    <cfRule type="expression" dxfId="51" priority="524">
      <formula>$D30="합 계"</formula>
    </cfRule>
    <cfRule type="expression" dxfId="50" priority="525">
      <formula>$B29&lt;&gt;""</formula>
    </cfRule>
  </conditionalFormatting>
  <conditionalFormatting sqref="A10:L10">
    <cfRule type="expression" dxfId="49" priority="559">
      <formula>AND($A10="",$E10&gt;0)</formula>
    </cfRule>
    <cfRule type="expression" dxfId="48" priority="560">
      <formula>$D10="합 계"</formula>
    </cfRule>
    <cfRule type="expression" dxfId="47" priority="561">
      <formula>#REF!&lt;&gt;""</formula>
    </cfRule>
  </conditionalFormatting>
  <conditionalFormatting sqref="H12">
    <cfRule type="expression" dxfId="46" priority="1">
      <formula>AND($A12="",$E12&gt;0)</formula>
    </cfRule>
    <cfRule type="expression" dxfId="45" priority="2">
      <formula>$D12="합 계"</formula>
    </cfRule>
    <cfRule type="expression" dxfId="44" priority="3">
      <formula>#REF!&lt;&gt;""</formula>
    </cfRule>
  </conditionalFormatting>
  <dataValidations count="1">
    <dataValidation type="list" allowBlank="1" showInputMessage="1" showErrorMessage="1" sqref="B6" xr:uid="{7E816C7D-CD79-4A85-BDEF-A839465A5242}">
      <formula1>"매입,매출,미수금,미지급금"</formula1>
    </dataValidation>
  </dataValidations>
  <printOptions horizontalCentered="1"/>
  <pageMargins left="0.31496062992125984" right="0.31496062992125984" top="0.55118110236220474" bottom="0.55118110236220474" header="0.31496062992125984" footer="0.31496062992125984"/>
  <pageSetup paperSize="9" scale="62" fitToHeight="0" orientation="landscape" r:id="rId1"/>
  <headerFooter>
    <oddFooter>&amp;L&amp;B 기밀&amp;B&amp;C&amp;D&amp;R&amp;P페이지</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B1:Q50"/>
  <sheetViews>
    <sheetView showGridLines="0" workbookViewId="0">
      <pane ySplit="11" topLeftCell="A20" activePane="bottomLeft" state="frozen"/>
      <selection pane="bottomLeft" activeCell="C5" sqref="C5"/>
    </sheetView>
  </sheetViews>
  <sheetFormatPr defaultRowHeight="16.5"/>
  <cols>
    <col min="1" max="1" width="2.25" customWidth="1"/>
    <col min="2" max="2" width="13.625" style="83" customWidth="1"/>
    <col min="3" max="3" width="22.125" customWidth="1"/>
    <col min="4" max="4" width="13.5" customWidth="1"/>
    <col min="5" max="5" width="8.125" customWidth="1"/>
    <col min="6" max="6" width="11.875" bestFit="1" customWidth="1"/>
    <col min="7" max="7" width="2.375" customWidth="1"/>
    <col min="8" max="8" width="13.625" style="83" customWidth="1"/>
    <col min="9" max="9" width="22.125" customWidth="1"/>
    <col min="10" max="10" width="11.625" style="16" customWidth="1"/>
    <col min="11" max="11" width="31.25" customWidth="1"/>
    <col min="12" max="12" width="69" customWidth="1"/>
    <col min="13" max="17" width="12.125" customWidth="1"/>
  </cols>
  <sheetData>
    <row r="1" spans="2:17" ht="30.75" customHeight="1">
      <c r="B1" s="322" t="s">
        <v>41</v>
      </c>
      <c r="C1" s="323"/>
      <c r="D1" s="323"/>
      <c r="E1" s="323"/>
      <c r="F1" s="323"/>
      <c r="G1" s="323"/>
      <c r="H1" s="322"/>
      <c r="I1" s="323"/>
      <c r="J1" s="323"/>
      <c r="K1" s="323"/>
    </row>
    <row r="2" spans="2:17">
      <c r="D2" s="17" t="s">
        <v>357</v>
      </c>
      <c r="E2" s="18"/>
      <c r="F2" s="18"/>
      <c r="G2" s="18"/>
      <c r="H2" s="195"/>
      <c r="I2" s="18"/>
    </row>
    <row r="3" spans="2:17" ht="17.25" thickBot="1">
      <c r="D3" s="17" t="s">
        <v>358</v>
      </c>
    </row>
    <row r="4" spans="2:17">
      <c r="B4" s="175" t="s">
        <v>34</v>
      </c>
      <c r="C4" s="47">
        <v>43831</v>
      </c>
      <c r="D4" s="17"/>
      <c r="E4" s="17"/>
    </row>
    <row r="5" spans="2:17">
      <c r="B5" s="176" t="s">
        <v>35</v>
      </c>
      <c r="C5" s="48">
        <v>44926</v>
      </c>
      <c r="M5" s="317" t="s">
        <v>18</v>
      </c>
      <c r="N5" s="318" t="s">
        <v>19</v>
      </c>
      <c r="O5" s="319" t="s">
        <v>20</v>
      </c>
      <c r="P5" s="320" t="s">
        <v>17</v>
      </c>
      <c r="Q5" s="321" t="s">
        <v>21</v>
      </c>
    </row>
    <row r="6" spans="2:17">
      <c r="B6" s="177"/>
      <c r="C6" s="49"/>
      <c r="M6" s="317"/>
      <c r="N6" s="318"/>
      <c r="O6" s="319"/>
      <c r="P6" s="320"/>
      <c r="Q6" s="321"/>
    </row>
    <row r="7" spans="2:17" ht="17.25" thickBot="1">
      <c r="B7" s="178" t="s">
        <v>4</v>
      </c>
      <c r="C7" s="50" t="s">
        <v>976</v>
      </c>
      <c r="M7" s="22">
        <f>D10</f>
        <v>114230100</v>
      </c>
      <c r="N7" s="27">
        <f>J10</f>
        <v>0</v>
      </c>
      <c r="O7" s="2">
        <f>M7-N7</f>
        <v>114230100</v>
      </c>
      <c r="P7" s="51">
        <f>E10</f>
        <v>0</v>
      </c>
      <c r="Q7" s="21">
        <f>IFERROR(O7/P7,0)</f>
        <v>0</v>
      </c>
    </row>
    <row r="8" spans="2:17" ht="9.75" customHeight="1" thickBot="1"/>
    <row r="9" spans="2:17" ht="36" customHeight="1" thickBot="1">
      <c r="B9" s="324" t="str">
        <f>$C$7&amp;"(매출분)"</f>
        <v>가산동 송림와이에스건설(매출분)</v>
      </c>
      <c r="C9" s="325"/>
      <c r="D9" s="325"/>
      <c r="E9" s="325"/>
      <c r="F9" s="326"/>
      <c r="H9" s="324" t="str">
        <f>$C$7&amp;"(매입분)"</f>
        <v>가산동 송림와이에스건설(매입분)</v>
      </c>
      <c r="I9" s="325"/>
      <c r="J9" s="325"/>
      <c r="K9" s="326"/>
    </row>
    <row r="10" spans="2:17" ht="18.75" customHeight="1" thickBot="1">
      <c r="B10" s="327" t="s">
        <v>1</v>
      </c>
      <c r="C10" s="328"/>
      <c r="D10" s="24">
        <f>SUM(D12:D29)</f>
        <v>114230100</v>
      </c>
      <c r="E10" s="23">
        <f>SUM(E12:E29)</f>
        <v>0</v>
      </c>
      <c r="F10" s="25">
        <f>IFERROR(D10/E10,0)</f>
        <v>0</v>
      </c>
      <c r="H10" s="327" t="s">
        <v>1</v>
      </c>
      <c r="I10" s="328"/>
      <c r="J10" s="179">
        <f>SUM(J12:J29)</f>
        <v>0</v>
      </c>
      <c r="K10" s="26"/>
    </row>
    <row r="11" spans="2:17" ht="17.25" customHeight="1" thickBot="1">
      <c r="B11" s="172" t="s">
        <v>46</v>
      </c>
      <c r="C11" s="8" t="s">
        <v>13</v>
      </c>
      <c r="D11" s="180" t="s">
        <v>365</v>
      </c>
      <c r="E11" s="9" t="s">
        <v>364</v>
      </c>
      <c r="F11" s="10" t="s">
        <v>367</v>
      </c>
      <c r="H11" s="172" t="s">
        <v>46</v>
      </c>
      <c r="I11" s="8" t="s">
        <v>13</v>
      </c>
      <c r="J11" s="180" t="s">
        <v>83</v>
      </c>
      <c r="K11" s="10" t="s">
        <v>25</v>
      </c>
    </row>
    <row r="12" spans="2:17" ht="17.25" customHeight="1">
      <c r="B12" s="169">
        <v>44439</v>
      </c>
      <c r="C12" s="200" t="s">
        <v>76</v>
      </c>
      <c r="D12" s="20">
        <v>2163000</v>
      </c>
      <c r="E12" s="19"/>
      <c r="F12" s="140">
        <f t="shared" ref="F12:F24" si="0">IFERROR(IF($B12="","",D12/E12),0)</f>
        <v>0</v>
      </c>
      <c r="H12" s="169"/>
      <c r="I12" s="170"/>
      <c r="J12" s="5"/>
      <c r="K12" s="171"/>
    </row>
    <row r="13" spans="2:17" ht="17.25" customHeight="1">
      <c r="B13" s="173">
        <v>44469</v>
      </c>
      <c r="C13" s="201" t="s">
        <v>76</v>
      </c>
      <c r="D13" s="5">
        <v>2163000</v>
      </c>
      <c r="E13" s="3"/>
      <c r="F13" s="141">
        <f t="shared" si="0"/>
        <v>0</v>
      </c>
      <c r="H13" s="173"/>
      <c r="I13" s="4"/>
      <c r="J13" s="5"/>
      <c r="K13" s="7"/>
    </row>
    <row r="14" spans="2:17" ht="17.25" customHeight="1">
      <c r="B14" s="173">
        <v>44470</v>
      </c>
      <c r="C14" s="201" t="s">
        <v>76</v>
      </c>
      <c r="D14" s="5">
        <v>1980300</v>
      </c>
      <c r="E14" s="3"/>
      <c r="F14" s="141">
        <f t="shared" si="0"/>
        <v>0</v>
      </c>
      <c r="H14" s="173"/>
      <c r="I14" s="4"/>
      <c r="J14" s="5"/>
      <c r="K14" s="7"/>
    </row>
    <row r="15" spans="2:17" ht="17.25" customHeight="1">
      <c r="B15" s="173">
        <v>44500</v>
      </c>
      <c r="C15" s="4" t="s">
        <v>76</v>
      </c>
      <c r="D15" s="5">
        <v>10474100</v>
      </c>
      <c r="E15" s="3"/>
      <c r="F15" s="141">
        <f t="shared" si="0"/>
        <v>0</v>
      </c>
      <c r="H15" s="173"/>
      <c r="I15" s="4"/>
      <c r="J15" s="5"/>
      <c r="K15" s="7"/>
    </row>
    <row r="16" spans="2:17" ht="17.25" customHeight="1">
      <c r="B16" s="173">
        <v>44530</v>
      </c>
      <c r="C16" s="4" t="s">
        <v>76</v>
      </c>
      <c r="D16" s="5">
        <v>7536700</v>
      </c>
      <c r="E16" s="3"/>
      <c r="F16" s="141">
        <f t="shared" si="0"/>
        <v>0</v>
      </c>
      <c r="H16" s="173"/>
      <c r="I16" s="4"/>
      <c r="J16" s="5"/>
      <c r="K16" s="6"/>
    </row>
    <row r="17" spans="2:11" ht="17.25" customHeight="1">
      <c r="B17" s="173">
        <v>44561</v>
      </c>
      <c r="C17" s="4" t="s">
        <v>76</v>
      </c>
      <c r="D17" s="5">
        <v>20140900</v>
      </c>
      <c r="E17" s="3"/>
      <c r="F17" s="141">
        <f t="shared" si="0"/>
        <v>0</v>
      </c>
      <c r="H17" s="173"/>
      <c r="I17" s="4"/>
      <c r="J17" s="5"/>
      <c r="K17" s="7"/>
    </row>
    <row r="18" spans="2:11" ht="17.25" customHeight="1">
      <c r="B18" s="173">
        <v>44592</v>
      </c>
      <c r="C18" s="4" t="s">
        <v>76</v>
      </c>
      <c r="D18" s="5">
        <v>8346800</v>
      </c>
      <c r="E18" s="3"/>
      <c r="F18" s="141">
        <f t="shared" si="0"/>
        <v>0</v>
      </c>
      <c r="H18" s="173"/>
      <c r="I18" s="4"/>
      <c r="J18" s="5"/>
      <c r="K18" s="6"/>
    </row>
    <row r="19" spans="2:11" ht="17.25" customHeight="1">
      <c r="B19" s="173">
        <v>44620</v>
      </c>
      <c r="C19" s="4" t="s">
        <v>76</v>
      </c>
      <c r="D19" s="5">
        <v>11363700</v>
      </c>
      <c r="E19" s="3"/>
      <c r="F19" s="141">
        <f t="shared" si="0"/>
        <v>0</v>
      </c>
      <c r="H19" s="173"/>
      <c r="I19" s="4"/>
      <c r="J19" s="5"/>
      <c r="K19" s="7"/>
    </row>
    <row r="20" spans="2:11" ht="17.25" customHeight="1">
      <c r="B20" s="173">
        <v>44651</v>
      </c>
      <c r="C20" s="4" t="s">
        <v>76</v>
      </c>
      <c r="D20" s="5">
        <v>10863700</v>
      </c>
      <c r="E20" s="3"/>
      <c r="F20" s="141">
        <f t="shared" si="0"/>
        <v>0</v>
      </c>
      <c r="H20" s="173"/>
      <c r="I20" s="4"/>
      <c r="J20" s="5"/>
      <c r="K20" s="7"/>
    </row>
    <row r="21" spans="2:11" ht="17.25" customHeight="1">
      <c r="B21" s="173">
        <v>44681</v>
      </c>
      <c r="C21" s="4" t="s">
        <v>76</v>
      </c>
      <c r="D21" s="5">
        <v>16554900</v>
      </c>
      <c r="E21" s="3"/>
      <c r="F21" s="141">
        <f t="shared" si="0"/>
        <v>0</v>
      </c>
      <c r="H21" s="173"/>
      <c r="I21" s="4"/>
      <c r="J21" s="5"/>
      <c r="K21" s="7"/>
    </row>
    <row r="22" spans="2:11" ht="17.25" customHeight="1">
      <c r="B22" s="173">
        <v>44712</v>
      </c>
      <c r="C22" s="4" t="s">
        <v>76</v>
      </c>
      <c r="D22" s="5">
        <v>12835500</v>
      </c>
      <c r="E22" s="3"/>
      <c r="F22" s="141">
        <f t="shared" si="0"/>
        <v>0</v>
      </c>
      <c r="H22" s="173"/>
      <c r="I22" s="4"/>
      <c r="J22" s="5"/>
      <c r="K22" s="7"/>
    </row>
    <row r="23" spans="2:11" ht="17.25" customHeight="1">
      <c r="B23" s="173">
        <v>44742</v>
      </c>
      <c r="C23" s="4" t="s">
        <v>76</v>
      </c>
      <c r="D23" s="5">
        <v>2542800</v>
      </c>
      <c r="E23" s="5"/>
      <c r="F23" s="141">
        <f t="shared" si="0"/>
        <v>0</v>
      </c>
      <c r="H23" s="173"/>
      <c r="I23" s="4"/>
      <c r="J23" s="5"/>
      <c r="K23" s="7"/>
    </row>
    <row r="24" spans="2:11" ht="17.25" customHeight="1">
      <c r="B24" s="173">
        <v>44773</v>
      </c>
      <c r="C24" s="4" t="s">
        <v>76</v>
      </c>
      <c r="D24" s="5">
        <v>7264700</v>
      </c>
      <c r="E24" s="5"/>
      <c r="F24" s="141">
        <f t="shared" si="0"/>
        <v>0</v>
      </c>
      <c r="H24" s="173"/>
      <c r="I24" s="4"/>
      <c r="J24" s="5"/>
      <c r="K24" s="7"/>
    </row>
    <row r="25" spans="2:11" ht="17.25" customHeight="1">
      <c r="B25" s="173"/>
      <c r="C25" s="4"/>
      <c r="D25" s="5"/>
      <c r="E25" s="2"/>
      <c r="F25" s="141" t="str">
        <f t="shared" ref="F25" si="1">IFERROR(IF($B25="","",D25/E25),0)</f>
        <v/>
      </c>
      <c r="H25" s="173"/>
      <c r="I25" s="4"/>
      <c r="J25" s="2"/>
      <c r="K25" s="7"/>
    </row>
    <row r="26" spans="2:11" ht="17.25" customHeight="1">
      <c r="B26" s="173"/>
      <c r="D26" s="5"/>
      <c r="E26" s="2"/>
      <c r="F26" s="141" t="str">
        <f t="shared" ref="F26:F50" si="2">IFERROR(IF($B26="","",D26/E26),0)</f>
        <v/>
      </c>
      <c r="H26" s="173"/>
      <c r="I26" s="4"/>
      <c r="J26" s="2"/>
      <c r="K26" s="7"/>
    </row>
    <row r="27" spans="2:11" ht="17.25" customHeight="1">
      <c r="B27" s="173"/>
      <c r="C27" s="4"/>
      <c r="D27" s="5"/>
      <c r="E27" s="2"/>
      <c r="F27" s="141" t="str">
        <f t="shared" si="2"/>
        <v/>
      </c>
      <c r="H27" s="173"/>
      <c r="I27" s="4"/>
      <c r="J27" s="2"/>
      <c r="K27" s="7"/>
    </row>
    <row r="28" spans="2:11" ht="17.25" customHeight="1">
      <c r="B28" s="173"/>
      <c r="C28" s="4"/>
      <c r="D28" s="2"/>
      <c r="E28" s="2"/>
      <c r="F28" s="141" t="str">
        <f t="shared" si="2"/>
        <v/>
      </c>
      <c r="H28" s="173"/>
      <c r="I28" s="4"/>
      <c r="J28" s="2"/>
      <c r="K28" s="7"/>
    </row>
    <row r="29" spans="2:11" ht="17.25" customHeight="1">
      <c r="B29" s="173"/>
      <c r="C29" s="4"/>
      <c r="D29" s="2"/>
      <c r="E29" s="4"/>
      <c r="F29" s="141" t="str">
        <f t="shared" si="2"/>
        <v/>
      </c>
      <c r="H29" s="173"/>
      <c r="I29" s="4"/>
      <c r="J29" s="2"/>
      <c r="K29" s="7"/>
    </row>
    <row r="30" spans="2:11" ht="17.25" customHeight="1">
      <c r="B30" s="173"/>
      <c r="C30" s="4"/>
      <c r="D30" s="2"/>
      <c r="E30" s="4"/>
      <c r="F30" s="141" t="str">
        <f t="shared" si="2"/>
        <v/>
      </c>
      <c r="H30" s="173"/>
      <c r="I30" s="4"/>
      <c r="J30" s="2"/>
      <c r="K30" s="7"/>
    </row>
    <row r="31" spans="2:11" ht="17.25" customHeight="1">
      <c r="B31" s="173"/>
      <c r="C31" s="4"/>
      <c r="D31" s="2"/>
      <c r="E31" s="4"/>
      <c r="F31" s="141" t="str">
        <f t="shared" si="2"/>
        <v/>
      </c>
      <c r="H31" s="173"/>
      <c r="I31" s="4"/>
      <c r="J31" s="2"/>
      <c r="K31" s="7"/>
    </row>
    <row r="32" spans="2:11" ht="17.25" customHeight="1">
      <c r="B32" s="173"/>
      <c r="C32" s="4"/>
      <c r="D32" s="2"/>
      <c r="E32" s="4"/>
      <c r="F32" s="141" t="str">
        <f t="shared" si="2"/>
        <v/>
      </c>
      <c r="H32" s="173"/>
      <c r="I32" s="4"/>
      <c r="J32" s="2"/>
      <c r="K32" s="7"/>
    </row>
    <row r="33" spans="2:11" ht="17.25" customHeight="1">
      <c r="B33" s="173"/>
      <c r="C33" s="4"/>
      <c r="D33" s="2"/>
      <c r="E33" s="4"/>
      <c r="F33" s="141" t="str">
        <f t="shared" si="2"/>
        <v/>
      </c>
      <c r="H33" s="173"/>
      <c r="I33" s="4"/>
      <c r="J33" s="2"/>
      <c r="K33" s="7"/>
    </row>
    <row r="34" spans="2:11" ht="17.25" customHeight="1">
      <c r="B34" s="173"/>
      <c r="C34" s="4"/>
      <c r="D34" s="2"/>
      <c r="E34" s="4"/>
      <c r="F34" s="141" t="str">
        <f t="shared" si="2"/>
        <v/>
      </c>
      <c r="H34" s="173"/>
      <c r="I34" s="4"/>
      <c r="J34" s="2"/>
      <c r="K34" s="7"/>
    </row>
    <row r="35" spans="2:11" ht="17.25" customHeight="1">
      <c r="B35" s="173"/>
      <c r="C35" s="4"/>
      <c r="D35" s="2"/>
      <c r="E35" s="4"/>
      <c r="F35" s="141" t="str">
        <f t="shared" si="2"/>
        <v/>
      </c>
      <c r="H35" s="173"/>
      <c r="I35" s="4"/>
      <c r="J35" s="2"/>
      <c r="K35" s="7"/>
    </row>
    <row r="36" spans="2:11" ht="17.25" customHeight="1">
      <c r="B36" s="173"/>
      <c r="C36" s="4"/>
      <c r="D36" s="2"/>
      <c r="E36" s="4"/>
      <c r="F36" s="141" t="str">
        <f t="shared" si="2"/>
        <v/>
      </c>
      <c r="H36" s="173"/>
      <c r="I36" s="4"/>
      <c r="J36" s="2"/>
      <c r="K36" s="7"/>
    </row>
    <row r="37" spans="2:11" ht="17.25" customHeight="1">
      <c r="B37" s="173"/>
      <c r="C37" s="4"/>
      <c r="D37" s="2"/>
      <c r="E37" s="4"/>
      <c r="F37" s="141" t="str">
        <f t="shared" si="2"/>
        <v/>
      </c>
      <c r="H37" s="173"/>
      <c r="I37" s="4"/>
      <c r="J37" s="2"/>
      <c r="K37" s="7"/>
    </row>
    <row r="38" spans="2:11" ht="17.25" customHeight="1">
      <c r="B38" s="173"/>
      <c r="C38" s="4"/>
      <c r="D38" s="2"/>
      <c r="E38" s="4"/>
      <c r="F38" s="141" t="str">
        <f t="shared" si="2"/>
        <v/>
      </c>
      <c r="H38" s="173"/>
      <c r="I38" s="4"/>
      <c r="J38" s="2"/>
      <c r="K38" s="7"/>
    </row>
    <row r="39" spans="2:11" ht="17.25" customHeight="1">
      <c r="B39" s="173"/>
      <c r="C39" s="4"/>
      <c r="D39" s="2"/>
      <c r="E39" s="4"/>
      <c r="F39" s="141" t="str">
        <f t="shared" si="2"/>
        <v/>
      </c>
      <c r="H39" s="173"/>
      <c r="I39" s="4"/>
      <c r="J39" s="2"/>
      <c r="K39" s="7"/>
    </row>
    <row r="40" spans="2:11" ht="17.25" customHeight="1">
      <c r="B40" s="173"/>
      <c r="C40" s="4"/>
      <c r="D40" s="2"/>
      <c r="E40" s="4"/>
      <c r="F40" s="141" t="str">
        <f t="shared" si="2"/>
        <v/>
      </c>
      <c r="H40" s="173"/>
      <c r="I40" s="4"/>
      <c r="J40" s="2"/>
      <c r="K40" s="7"/>
    </row>
    <row r="41" spans="2:11" ht="17.25" customHeight="1">
      <c r="B41" s="173"/>
      <c r="C41" s="4"/>
      <c r="D41" s="2"/>
      <c r="E41" s="4"/>
      <c r="F41" s="141" t="str">
        <f t="shared" si="2"/>
        <v/>
      </c>
      <c r="H41" s="173"/>
      <c r="I41" s="4"/>
      <c r="J41" s="2"/>
      <c r="K41" s="7"/>
    </row>
    <row r="42" spans="2:11" ht="17.25" customHeight="1">
      <c r="B42" s="173"/>
      <c r="C42" s="4"/>
      <c r="D42" s="2"/>
      <c r="E42" s="4"/>
      <c r="F42" s="141" t="str">
        <f t="shared" si="2"/>
        <v/>
      </c>
      <c r="H42" s="173"/>
      <c r="I42" s="4"/>
      <c r="J42" s="2"/>
      <c r="K42" s="7"/>
    </row>
    <row r="43" spans="2:11" ht="17.25" customHeight="1">
      <c r="B43" s="173"/>
      <c r="C43" s="4"/>
      <c r="D43" s="2"/>
      <c r="E43" s="4"/>
      <c r="F43" s="141" t="str">
        <f t="shared" si="2"/>
        <v/>
      </c>
      <c r="H43" s="173"/>
      <c r="I43" s="4"/>
      <c r="J43" s="2"/>
      <c r="K43" s="7"/>
    </row>
    <row r="44" spans="2:11" ht="17.25" customHeight="1">
      <c r="B44" s="173"/>
      <c r="C44" s="4"/>
      <c r="D44" s="2"/>
      <c r="E44" s="4"/>
      <c r="F44" s="141" t="str">
        <f t="shared" si="2"/>
        <v/>
      </c>
      <c r="H44" s="173"/>
      <c r="I44" s="4"/>
      <c r="J44" s="2"/>
      <c r="K44" s="7"/>
    </row>
    <row r="45" spans="2:11" ht="17.25" customHeight="1">
      <c r="B45" s="173"/>
      <c r="C45" s="4"/>
      <c r="D45" s="2"/>
      <c r="E45" s="4"/>
      <c r="F45" s="141" t="str">
        <f t="shared" si="2"/>
        <v/>
      </c>
      <c r="H45" s="173"/>
      <c r="I45" s="4"/>
      <c r="J45" s="2"/>
      <c r="K45" s="7"/>
    </row>
    <row r="46" spans="2:11" ht="17.25" customHeight="1">
      <c r="B46" s="173"/>
      <c r="C46" s="4"/>
      <c r="D46" s="2"/>
      <c r="E46" s="4"/>
      <c r="F46" s="141" t="str">
        <f t="shared" si="2"/>
        <v/>
      </c>
      <c r="H46" s="173"/>
      <c r="I46" s="4"/>
      <c r="J46" s="2"/>
      <c r="K46" s="7"/>
    </row>
    <row r="47" spans="2:11" ht="17.25" customHeight="1">
      <c r="B47" s="173"/>
      <c r="C47" s="4"/>
      <c r="D47" s="2"/>
      <c r="E47" s="4"/>
      <c r="F47" s="141" t="str">
        <f t="shared" si="2"/>
        <v/>
      </c>
      <c r="H47" s="173"/>
      <c r="I47" s="4"/>
      <c r="J47" s="2"/>
      <c r="K47" s="7"/>
    </row>
    <row r="48" spans="2:11" ht="17.25" customHeight="1">
      <c r="B48" s="173"/>
      <c r="C48" s="4"/>
      <c r="D48" s="2"/>
      <c r="E48" s="4"/>
      <c r="F48" s="141" t="str">
        <f t="shared" si="2"/>
        <v/>
      </c>
      <c r="H48" s="173"/>
      <c r="I48" s="4"/>
      <c r="J48" s="2"/>
      <c r="K48" s="7"/>
    </row>
    <row r="49" spans="2:11" ht="17.25" customHeight="1">
      <c r="B49" s="173"/>
      <c r="C49" s="4"/>
      <c r="D49" s="2"/>
      <c r="E49" s="4"/>
      <c r="F49" s="141" t="str">
        <f t="shared" si="2"/>
        <v/>
      </c>
      <c r="H49" s="173"/>
      <c r="I49" s="4"/>
      <c r="J49" s="2"/>
      <c r="K49" s="7"/>
    </row>
    <row r="50" spans="2:11" ht="17.25" customHeight="1" thickBot="1">
      <c r="B50" s="174"/>
      <c r="C50" s="52"/>
      <c r="D50" s="53"/>
      <c r="E50" s="52"/>
      <c r="F50" s="142" t="str">
        <f t="shared" si="2"/>
        <v/>
      </c>
      <c r="H50" s="174"/>
      <c r="I50" s="52"/>
      <c r="J50" s="53"/>
      <c r="K50" s="54"/>
    </row>
  </sheetData>
  <mergeCells count="10">
    <mergeCell ref="B1:K1"/>
    <mergeCell ref="H9:K9"/>
    <mergeCell ref="H10:I10"/>
    <mergeCell ref="B9:F9"/>
    <mergeCell ref="B10:C10"/>
    <mergeCell ref="M5:M6"/>
    <mergeCell ref="N5:N6"/>
    <mergeCell ref="O5:O6"/>
    <mergeCell ref="P5:P6"/>
    <mergeCell ref="Q5:Q6"/>
  </mergeCells>
  <phoneticPr fontId="2" type="noConversion"/>
  <printOptions horizontalCentered="1" verticalCentered="1"/>
  <pageMargins left="0.70866141732283472" right="0.70866141732283472" top="0.74803149606299213" bottom="0.74803149606299213" header="0.31496062992125984" footer="0.31496062992125984"/>
  <pageSetup paperSize="9" orientation="landscape"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70C0"/>
  </sheetPr>
  <dimension ref="A1:O6870"/>
  <sheetViews>
    <sheetView zoomScaleNormal="100" workbookViewId="0">
      <pane ySplit="1" topLeftCell="A5238" activePane="bottomLeft" state="frozen"/>
      <selection pane="bottomLeft" activeCell="A6870" sqref="A6870:N6870"/>
    </sheetView>
  </sheetViews>
  <sheetFormatPr defaultRowHeight="16.5"/>
  <cols>
    <col min="1" max="1" width="9.5" style="36" bestFit="1" customWidth="1"/>
    <col min="2" max="2" width="15.125" style="37" customWidth="1"/>
    <col min="3" max="3" width="23.875" style="36" customWidth="1"/>
    <col min="4" max="4" width="38.125" style="36" customWidth="1"/>
    <col min="5" max="5" width="35.5" style="36" bestFit="1" customWidth="1"/>
    <col min="6" max="6" width="9.375" style="89" hidden="1" customWidth="1"/>
    <col min="7" max="9" width="14.625" style="87" customWidth="1"/>
    <col min="10" max="10" width="14.625" style="38" customWidth="1"/>
    <col min="11" max="11" width="9.5" style="85" customWidth="1"/>
    <col min="12" max="12" width="9" style="85" customWidth="1"/>
    <col min="13" max="13" width="30.375" style="36" customWidth="1"/>
    <col min="14" max="14" width="10.125" style="1" customWidth="1"/>
    <col min="15" max="15" width="11.125" bestFit="1" customWidth="1"/>
  </cols>
  <sheetData>
    <row r="1" spans="1:15" ht="17.25">
      <c r="A1" s="216" t="s">
        <v>12</v>
      </c>
      <c r="B1" s="216" t="s">
        <v>46</v>
      </c>
      <c r="C1" s="216" t="s">
        <v>52</v>
      </c>
      <c r="D1" s="216" t="s">
        <v>4</v>
      </c>
      <c r="E1" s="217" t="s">
        <v>47</v>
      </c>
      <c r="F1" s="218" t="s">
        <v>59</v>
      </c>
      <c r="G1" s="219" t="s">
        <v>2</v>
      </c>
      <c r="H1" s="219" t="s">
        <v>60</v>
      </c>
      <c r="I1" s="219" t="s">
        <v>55</v>
      </c>
      <c r="J1" s="220" t="s">
        <v>58</v>
      </c>
      <c r="K1" s="221" t="s">
        <v>28</v>
      </c>
      <c r="L1" s="222" t="s">
        <v>29</v>
      </c>
      <c r="M1" s="223" t="s">
        <v>30</v>
      </c>
      <c r="N1" s="224" t="s">
        <v>50</v>
      </c>
    </row>
    <row r="2" spans="1:15">
      <c r="A2" s="36" t="s">
        <v>32</v>
      </c>
      <c r="B2" s="37">
        <v>44104</v>
      </c>
      <c r="C2" s="36" t="s">
        <v>209</v>
      </c>
      <c r="D2" s="36" t="s">
        <v>197</v>
      </c>
      <c r="E2" s="36" t="s">
        <v>76</v>
      </c>
      <c r="F2" s="89">
        <v>26.5</v>
      </c>
      <c r="G2" s="87">
        <v>7488900</v>
      </c>
      <c r="H2" s="87">
        <v>748890</v>
      </c>
      <c r="I2" s="87">
        <v>8237790</v>
      </c>
      <c r="K2" s="85">
        <v>2020</v>
      </c>
      <c r="L2" s="85">
        <v>9</v>
      </c>
      <c r="N2" s="208" t="s">
        <v>44</v>
      </c>
      <c r="O2" s="83"/>
    </row>
    <row r="3" spans="1:15">
      <c r="A3" s="36" t="s">
        <v>32</v>
      </c>
      <c r="B3" s="37">
        <v>44104</v>
      </c>
      <c r="C3" s="36" t="s">
        <v>81</v>
      </c>
      <c r="D3" s="36" t="s">
        <v>296</v>
      </c>
      <c r="E3" s="36" t="s">
        <v>78</v>
      </c>
      <c r="F3" s="89">
        <v>7.5</v>
      </c>
      <c r="G3" s="87">
        <v>2070000</v>
      </c>
      <c r="H3" s="87">
        <v>207000</v>
      </c>
      <c r="I3" s="87">
        <v>2277000</v>
      </c>
      <c r="K3" s="85">
        <v>2020</v>
      </c>
      <c r="L3" s="85">
        <v>9</v>
      </c>
      <c r="N3" s="208" t="s">
        <v>44</v>
      </c>
      <c r="O3" s="83"/>
    </row>
    <row r="4" spans="1:15">
      <c r="A4" s="36" t="s">
        <v>32</v>
      </c>
      <c r="B4" s="37">
        <v>44104</v>
      </c>
      <c r="C4" s="36" t="s">
        <v>299</v>
      </c>
      <c r="D4" s="36" t="s">
        <v>300</v>
      </c>
      <c r="E4" s="36" t="s">
        <v>76</v>
      </c>
      <c r="F4" s="89">
        <v>34</v>
      </c>
      <c r="G4" s="87">
        <v>7720200</v>
      </c>
      <c r="H4" s="87">
        <v>772020</v>
      </c>
      <c r="I4" s="87">
        <v>8492220</v>
      </c>
      <c r="K4" s="85">
        <v>2020</v>
      </c>
      <c r="L4" s="85">
        <v>9</v>
      </c>
      <c r="N4" s="208" t="s">
        <v>44</v>
      </c>
      <c r="O4" s="83"/>
    </row>
    <row r="5" spans="1:15">
      <c r="A5" s="36" t="s">
        <v>32</v>
      </c>
      <c r="B5" s="37">
        <v>44104</v>
      </c>
      <c r="C5" s="36" t="s">
        <v>183</v>
      </c>
      <c r="D5" s="36" t="s">
        <v>317</v>
      </c>
      <c r="E5" s="36" t="s">
        <v>318</v>
      </c>
      <c r="G5" s="87">
        <v>1942500</v>
      </c>
      <c r="H5" s="87">
        <v>194250</v>
      </c>
      <c r="I5" s="87">
        <v>2136750</v>
      </c>
      <c r="K5" s="85">
        <v>2020</v>
      </c>
      <c r="L5" s="85">
        <v>9</v>
      </c>
      <c r="N5" s="208" t="s">
        <v>44</v>
      </c>
      <c r="O5" s="83"/>
    </row>
    <row r="6" spans="1:15">
      <c r="A6" s="36" t="s">
        <v>32</v>
      </c>
      <c r="B6" s="37">
        <v>44104</v>
      </c>
      <c r="C6" s="36" t="s">
        <v>175</v>
      </c>
      <c r="D6" s="36" t="s">
        <v>176</v>
      </c>
      <c r="E6" s="36" t="s">
        <v>78</v>
      </c>
      <c r="F6" s="89">
        <v>11</v>
      </c>
      <c r="G6" s="87">
        <v>2996000</v>
      </c>
      <c r="H6" s="87">
        <v>299600</v>
      </c>
      <c r="I6" s="87">
        <v>3295600</v>
      </c>
      <c r="K6" s="85">
        <v>2020</v>
      </c>
      <c r="L6" s="85">
        <v>9</v>
      </c>
      <c r="N6" s="208" t="s">
        <v>44</v>
      </c>
      <c r="O6" s="83"/>
    </row>
    <row r="7" spans="1:15">
      <c r="A7" s="36" t="s">
        <v>32</v>
      </c>
      <c r="B7" s="37">
        <v>44127</v>
      </c>
      <c r="C7" s="36" t="s">
        <v>81</v>
      </c>
      <c r="D7" s="36" t="s">
        <v>296</v>
      </c>
      <c r="E7" s="36" t="s">
        <v>77</v>
      </c>
      <c r="J7" s="38">
        <v>2277000</v>
      </c>
      <c r="K7" s="85">
        <v>2020</v>
      </c>
      <c r="L7" s="85">
        <v>9</v>
      </c>
      <c r="N7" s="208" t="s">
        <v>44</v>
      </c>
      <c r="O7" s="83"/>
    </row>
    <row r="8" spans="1:15">
      <c r="A8" s="36" t="s">
        <v>32</v>
      </c>
      <c r="B8" s="37">
        <v>44134</v>
      </c>
      <c r="C8" s="36" t="s">
        <v>175</v>
      </c>
      <c r="D8" s="36" t="s">
        <v>177</v>
      </c>
      <c r="E8" s="36" t="s">
        <v>76</v>
      </c>
      <c r="F8" s="89">
        <v>118.5</v>
      </c>
      <c r="G8" s="87">
        <v>30000000</v>
      </c>
      <c r="H8" s="87">
        <v>3000000</v>
      </c>
      <c r="I8" s="87">
        <v>33000000</v>
      </c>
      <c r="K8" s="85">
        <v>2020</v>
      </c>
      <c r="L8" s="85">
        <v>10</v>
      </c>
      <c r="N8" s="208" t="s">
        <v>44</v>
      </c>
      <c r="O8" s="83"/>
    </row>
    <row r="9" spans="1:15">
      <c r="A9" s="36" t="s">
        <v>32</v>
      </c>
      <c r="B9" s="37">
        <v>44135</v>
      </c>
      <c r="C9" s="36" t="s">
        <v>209</v>
      </c>
      <c r="D9" s="36" t="s">
        <v>197</v>
      </c>
      <c r="E9" s="36" t="s">
        <v>76</v>
      </c>
      <c r="F9" s="89">
        <v>54.5</v>
      </c>
      <c r="G9" s="87">
        <v>4900200</v>
      </c>
      <c r="H9" s="87">
        <v>490020</v>
      </c>
      <c r="I9" s="87">
        <v>5390220</v>
      </c>
      <c r="K9" s="85">
        <v>2020</v>
      </c>
      <c r="L9" s="85">
        <v>10</v>
      </c>
      <c r="N9" s="208" t="s">
        <v>44</v>
      </c>
      <c r="O9" s="83"/>
    </row>
    <row r="10" spans="1:15">
      <c r="A10" s="36" t="s">
        <v>32</v>
      </c>
      <c r="B10" s="37">
        <v>44135</v>
      </c>
      <c r="C10" s="36" t="s">
        <v>299</v>
      </c>
      <c r="D10" s="36" t="s">
        <v>300</v>
      </c>
      <c r="E10" s="36" t="s">
        <v>76</v>
      </c>
      <c r="F10" s="89">
        <v>80</v>
      </c>
      <c r="G10" s="87">
        <v>16296390</v>
      </c>
      <c r="H10" s="87">
        <v>1629639</v>
      </c>
      <c r="I10" s="87">
        <v>17926029</v>
      </c>
      <c r="K10" s="85">
        <v>2020</v>
      </c>
      <c r="L10" s="85">
        <v>10</v>
      </c>
      <c r="N10" s="208" t="s">
        <v>44</v>
      </c>
      <c r="O10" s="83"/>
    </row>
    <row r="11" spans="1:15">
      <c r="A11" s="36" t="s">
        <v>32</v>
      </c>
      <c r="B11" s="37">
        <v>44135</v>
      </c>
      <c r="C11" s="36" t="s">
        <v>299</v>
      </c>
      <c r="D11" s="36" t="s">
        <v>302</v>
      </c>
      <c r="E11" s="36" t="s">
        <v>76</v>
      </c>
      <c r="F11" s="89">
        <v>4</v>
      </c>
      <c r="G11" s="87">
        <v>920000</v>
      </c>
      <c r="H11" s="87">
        <v>92000</v>
      </c>
      <c r="I11" s="87">
        <v>1012000</v>
      </c>
      <c r="K11" s="85">
        <v>2020</v>
      </c>
      <c r="L11" s="85">
        <v>10</v>
      </c>
      <c r="N11" s="208" t="s">
        <v>44</v>
      </c>
      <c r="O11" s="83"/>
    </row>
    <row r="12" spans="1:15">
      <c r="A12" s="36" t="s">
        <v>32</v>
      </c>
      <c r="B12" s="37">
        <v>44135</v>
      </c>
      <c r="C12" s="36" t="s">
        <v>183</v>
      </c>
      <c r="D12" s="36" t="s">
        <v>317</v>
      </c>
      <c r="E12" s="36" t="s">
        <v>77</v>
      </c>
      <c r="J12" s="38">
        <v>2136750</v>
      </c>
      <c r="K12" s="85">
        <v>2020</v>
      </c>
      <c r="L12" s="85">
        <v>9</v>
      </c>
      <c r="N12" s="208" t="s">
        <v>44</v>
      </c>
      <c r="O12" s="83"/>
    </row>
    <row r="13" spans="1:15">
      <c r="A13" s="36" t="s">
        <v>32</v>
      </c>
      <c r="B13" s="37">
        <v>44135</v>
      </c>
      <c r="C13" s="36" t="s">
        <v>303</v>
      </c>
      <c r="D13" s="36" t="s">
        <v>304</v>
      </c>
      <c r="E13" s="36" t="s">
        <v>76</v>
      </c>
      <c r="F13" s="89">
        <v>16</v>
      </c>
      <c r="G13" s="87">
        <v>6304000</v>
      </c>
      <c r="H13" s="87">
        <v>630400</v>
      </c>
      <c r="I13" s="87">
        <v>6934400</v>
      </c>
      <c r="K13" s="85">
        <v>2020</v>
      </c>
      <c r="L13" s="85">
        <v>10</v>
      </c>
      <c r="N13" s="208" t="s">
        <v>44</v>
      </c>
      <c r="O13" s="83"/>
    </row>
    <row r="14" spans="1:15">
      <c r="A14" s="36" t="s">
        <v>32</v>
      </c>
      <c r="B14" s="37">
        <v>44138</v>
      </c>
      <c r="C14" s="36" t="s">
        <v>209</v>
      </c>
      <c r="D14" s="36" t="s">
        <v>197</v>
      </c>
      <c r="E14" s="36" t="s">
        <v>77</v>
      </c>
      <c r="J14" s="38">
        <v>8237790</v>
      </c>
      <c r="K14" s="85">
        <v>2020</v>
      </c>
      <c r="L14" s="85">
        <v>9</v>
      </c>
      <c r="N14" s="208" t="s">
        <v>44</v>
      </c>
      <c r="O14" s="83"/>
    </row>
    <row r="15" spans="1:15">
      <c r="A15" s="36" t="s">
        <v>32</v>
      </c>
      <c r="B15" s="37">
        <v>44138</v>
      </c>
      <c r="C15" s="36" t="s">
        <v>175</v>
      </c>
      <c r="D15" s="36" t="s">
        <v>177</v>
      </c>
      <c r="E15" s="36" t="s">
        <v>77</v>
      </c>
      <c r="J15" s="38">
        <v>33000000</v>
      </c>
      <c r="K15" s="85">
        <v>2020</v>
      </c>
      <c r="L15" s="85">
        <v>10</v>
      </c>
      <c r="N15" s="208" t="s">
        <v>44</v>
      </c>
      <c r="O15" s="83"/>
    </row>
    <row r="16" spans="1:15">
      <c r="A16" s="36" t="s">
        <v>32</v>
      </c>
      <c r="B16" s="37">
        <v>44158</v>
      </c>
      <c r="C16" s="36" t="s">
        <v>303</v>
      </c>
      <c r="D16" s="36" t="s">
        <v>304</v>
      </c>
      <c r="E16" s="36" t="s">
        <v>77</v>
      </c>
      <c r="J16" s="38">
        <v>6934400</v>
      </c>
      <c r="K16" s="85">
        <v>2020</v>
      </c>
      <c r="L16" s="85">
        <v>10</v>
      </c>
      <c r="N16" s="208" t="s">
        <v>44</v>
      </c>
      <c r="O16" s="83"/>
    </row>
    <row r="17" spans="1:15">
      <c r="A17" s="36" t="s">
        <v>33</v>
      </c>
      <c r="B17" s="37">
        <v>44161</v>
      </c>
      <c r="C17" s="36" t="s">
        <v>92</v>
      </c>
      <c r="D17" s="36" t="s">
        <v>80</v>
      </c>
      <c r="E17" s="36" t="s">
        <v>93</v>
      </c>
      <c r="G17" s="87">
        <v>500000</v>
      </c>
      <c r="H17" s="87">
        <v>50000</v>
      </c>
      <c r="I17" s="87">
        <v>550000</v>
      </c>
      <c r="K17" s="84">
        <v>2020</v>
      </c>
      <c r="L17" s="85">
        <v>11</v>
      </c>
      <c r="N17" s="208" t="s">
        <v>44</v>
      </c>
      <c r="O17" s="83"/>
    </row>
    <row r="18" spans="1:15">
      <c r="A18" s="36" t="s">
        <v>32</v>
      </c>
      <c r="B18" s="37">
        <v>44162</v>
      </c>
      <c r="C18" s="36" t="s">
        <v>315</v>
      </c>
      <c r="D18" s="36" t="s">
        <v>316</v>
      </c>
      <c r="E18" s="36" t="s">
        <v>269</v>
      </c>
      <c r="G18" s="87">
        <v>2300000</v>
      </c>
      <c r="H18" s="87">
        <v>230000</v>
      </c>
      <c r="I18" s="87">
        <v>2530000</v>
      </c>
      <c r="K18" s="85">
        <v>2020</v>
      </c>
      <c r="L18" s="85">
        <v>11</v>
      </c>
      <c r="N18" s="208" t="s">
        <v>44</v>
      </c>
      <c r="O18" s="83"/>
    </row>
    <row r="19" spans="1:15">
      <c r="A19" s="36" t="s">
        <v>33</v>
      </c>
      <c r="B19" s="37">
        <v>44162</v>
      </c>
      <c r="C19" s="36" t="s">
        <v>92</v>
      </c>
      <c r="D19" s="36" t="s">
        <v>80</v>
      </c>
      <c r="E19" s="36" t="s">
        <v>79</v>
      </c>
      <c r="J19" s="38">
        <v>550000</v>
      </c>
      <c r="K19" s="84">
        <v>2020</v>
      </c>
      <c r="L19" s="85">
        <v>11</v>
      </c>
      <c r="N19" s="208" t="s">
        <v>44</v>
      </c>
      <c r="O19" s="83"/>
    </row>
    <row r="20" spans="1:15">
      <c r="A20" s="36" t="s">
        <v>32</v>
      </c>
      <c r="B20" s="37">
        <v>44165</v>
      </c>
      <c r="C20" s="36" t="s">
        <v>209</v>
      </c>
      <c r="D20" s="36" t="s">
        <v>197</v>
      </c>
      <c r="E20" s="36" t="s">
        <v>210</v>
      </c>
      <c r="F20" s="89">
        <v>143.5</v>
      </c>
      <c r="G20" s="87">
        <v>32917800</v>
      </c>
      <c r="H20" s="87">
        <v>3291780</v>
      </c>
      <c r="I20" s="87">
        <v>36209580</v>
      </c>
      <c r="K20" s="85">
        <v>2020</v>
      </c>
      <c r="L20" s="85">
        <v>11</v>
      </c>
      <c r="N20" s="208" t="s">
        <v>44</v>
      </c>
      <c r="O20" s="83"/>
    </row>
    <row r="21" spans="1:15">
      <c r="A21" s="36" t="s">
        <v>32</v>
      </c>
      <c r="B21" s="37">
        <v>44165</v>
      </c>
      <c r="C21" s="36" t="s">
        <v>81</v>
      </c>
      <c r="D21" s="36" t="s">
        <v>297</v>
      </c>
      <c r="E21" s="36" t="s">
        <v>78</v>
      </c>
      <c r="F21" s="89">
        <v>4</v>
      </c>
      <c r="G21" s="87">
        <v>920000</v>
      </c>
      <c r="H21" s="87">
        <v>92000</v>
      </c>
      <c r="I21" s="87">
        <v>1012000</v>
      </c>
      <c r="K21" s="85">
        <v>2020</v>
      </c>
      <c r="L21" s="85">
        <v>11</v>
      </c>
      <c r="N21" s="208" t="s">
        <v>44</v>
      </c>
      <c r="O21" s="83"/>
    </row>
    <row r="22" spans="1:15">
      <c r="A22" s="36" t="s">
        <v>32</v>
      </c>
      <c r="B22" s="37">
        <v>44165</v>
      </c>
      <c r="C22" s="36" t="s">
        <v>81</v>
      </c>
      <c r="D22" s="36" t="s">
        <v>298</v>
      </c>
      <c r="E22" s="36" t="s">
        <v>78</v>
      </c>
      <c r="F22" s="89">
        <v>6</v>
      </c>
      <c r="G22" s="87">
        <v>1380000</v>
      </c>
      <c r="H22" s="87">
        <v>138000</v>
      </c>
      <c r="I22" s="87">
        <v>1518000</v>
      </c>
      <c r="K22" s="85">
        <v>2020</v>
      </c>
      <c r="L22" s="85">
        <v>11</v>
      </c>
      <c r="N22" s="208" t="s">
        <v>44</v>
      </c>
      <c r="O22" s="83"/>
    </row>
    <row r="23" spans="1:15">
      <c r="A23" s="36" t="s">
        <v>32</v>
      </c>
      <c r="B23" s="37">
        <v>44165</v>
      </c>
      <c r="C23" s="36" t="s">
        <v>299</v>
      </c>
      <c r="D23" s="36" t="s">
        <v>300</v>
      </c>
      <c r="E23" s="36" t="s">
        <v>77</v>
      </c>
      <c r="J23" s="38">
        <v>8492220</v>
      </c>
      <c r="K23" s="85">
        <v>2020</v>
      </c>
      <c r="L23" s="85">
        <v>9</v>
      </c>
      <c r="M23" s="36" t="s">
        <v>301</v>
      </c>
      <c r="N23" s="208" t="s">
        <v>44</v>
      </c>
      <c r="O23" s="83"/>
    </row>
    <row r="24" spans="1:15">
      <c r="A24" s="36" t="s">
        <v>32</v>
      </c>
      <c r="B24" s="37">
        <v>44165</v>
      </c>
      <c r="C24" s="36" t="s">
        <v>299</v>
      </c>
      <c r="D24" s="36" t="s">
        <v>302</v>
      </c>
      <c r="E24" s="36" t="s">
        <v>77</v>
      </c>
      <c r="J24" s="38">
        <v>1012000</v>
      </c>
      <c r="K24" s="85">
        <v>2020</v>
      </c>
      <c r="L24" s="85">
        <v>10</v>
      </c>
      <c r="N24" s="208" t="s">
        <v>44</v>
      </c>
    </row>
    <row r="25" spans="1:15">
      <c r="A25" s="36" t="s">
        <v>32</v>
      </c>
      <c r="B25" s="37">
        <v>44165</v>
      </c>
      <c r="C25" s="36" t="s">
        <v>299</v>
      </c>
      <c r="D25" s="36" t="s">
        <v>300</v>
      </c>
      <c r="E25" s="36" t="s">
        <v>77</v>
      </c>
      <c r="J25" s="38">
        <v>17926029</v>
      </c>
      <c r="K25" s="85">
        <v>2020</v>
      </c>
      <c r="L25" s="85">
        <v>10</v>
      </c>
      <c r="N25" s="208" t="s">
        <v>44</v>
      </c>
    </row>
    <row r="26" spans="1:15">
      <c r="A26" s="36" t="s">
        <v>32</v>
      </c>
      <c r="B26" s="37">
        <v>44165</v>
      </c>
      <c r="C26" s="36" t="s">
        <v>299</v>
      </c>
      <c r="D26" s="36" t="s">
        <v>300</v>
      </c>
      <c r="E26" s="36" t="s">
        <v>76</v>
      </c>
      <c r="F26" s="89">
        <v>17.5</v>
      </c>
      <c r="G26" s="87">
        <v>2148020</v>
      </c>
      <c r="H26" s="87">
        <v>214802</v>
      </c>
      <c r="I26" s="87">
        <v>2362822</v>
      </c>
      <c r="K26" s="85">
        <v>2020</v>
      </c>
      <c r="L26" s="85">
        <v>11</v>
      </c>
      <c r="N26" s="208" t="s">
        <v>44</v>
      </c>
    </row>
    <row r="27" spans="1:15">
      <c r="A27" s="36" t="s">
        <v>32</v>
      </c>
      <c r="B27" s="37">
        <v>44165</v>
      </c>
      <c r="C27" s="36" t="s">
        <v>303</v>
      </c>
      <c r="D27" s="36" t="s">
        <v>304</v>
      </c>
      <c r="E27" s="36" t="s">
        <v>76</v>
      </c>
      <c r="F27" s="89">
        <v>30</v>
      </c>
      <c r="G27" s="87">
        <v>11460800</v>
      </c>
      <c r="H27" s="87">
        <v>1146080</v>
      </c>
      <c r="I27" s="87">
        <v>12606880</v>
      </c>
      <c r="K27" s="85">
        <v>2020</v>
      </c>
      <c r="L27" s="85">
        <v>11</v>
      </c>
      <c r="N27" s="208" t="s">
        <v>44</v>
      </c>
    </row>
    <row r="28" spans="1:15">
      <c r="A28" s="36" t="s">
        <v>32</v>
      </c>
      <c r="B28" s="37">
        <v>44165</v>
      </c>
      <c r="C28" s="36" t="s">
        <v>175</v>
      </c>
      <c r="D28" s="36" t="s">
        <v>176</v>
      </c>
      <c r="E28" s="36" t="s">
        <v>78</v>
      </c>
      <c r="F28" s="89">
        <v>10</v>
      </c>
      <c r="G28" s="87">
        <v>3496000</v>
      </c>
      <c r="H28" s="87">
        <v>349600</v>
      </c>
      <c r="I28" s="87">
        <v>3845600</v>
      </c>
      <c r="K28" s="85">
        <v>2020</v>
      </c>
      <c r="L28" s="85">
        <v>11</v>
      </c>
      <c r="N28" s="208" t="s">
        <v>44</v>
      </c>
    </row>
    <row r="29" spans="1:15">
      <c r="A29" s="36" t="s">
        <v>32</v>
      </c>
      <c r="B29" s="37">
        <v>44165</v>
      </c>
      <c r="C29" s="36" t="s">
        <v>175</v>
      </c>
      <c r="D29" s="36" t="s">
        <v>177</v>
      </c>
      <c r="E29" s="36" t="s">
        <v>76</v>
      </c>
      <c r="F29" s="89">
        <v>12</v>
      </c>
      <c r="G29" s="87">
        <v>6114400</v>
      </c>
      <c r="H29" s="87">
        <v>611440</v>
      </c>
      <c r="I29" s="87">
        <v>6725840</v>
      </c>
      <c r="K29" s="85">
        <v>2020</v>
      </c>
      <c r="L29" s="85">
        <v>11</v>
      </c>
      <c r="N29" s="208" t="s">
        <v>44</v>
      </c>
    </row>
    <row r="30" spans="1:15">
      <c r="A30" s="36" t="s">
        <v>32</v>
      </c>
      <c r="B30" s="37">
        <v>44172</v>
      </c>
      <c r="C30" s="36" t="s">
        <v>175</v>
      </c>
      <c r="D30" s="36" t="s">
        <v>176</v>
      </c>
      <c r="E30" s="36" t="s">
        <v>77</v>
      </c>
      <c r="J30" s="38">
        <v>3295600</v>
      </c>
      <c r="K30" s="85">
        <v>2020</v>
      </c>
      <c r="L30" s="85">
        <v>9</v>
      </c>
      <c r="N30" s="208" t="s">
        <v>44</v>
      </c>
    </row>
    <row r="31" spans="1:15">
      <c r="A31" s="36" t="s">
        <v>32</v>
      </c>
      <c r="B31" s="37">
        <v>44175</v>
      </c>
      <c r="C31" s="36" t="s">
        <v>209</v>
      </c>
      <c r="D31" s="36" t="s">
        <v>197</v>
      </c>
      <c r="E31" s="36" t="s">
        <v>77</v>
      </c>
      <c r="J31" s="38">
        <v>5390220</v>
      </c>
      <c r="K31" s="85">
        <v>2020</v>
      </c>
      <c r="L31" s="85">
        <v>10</v>
      </c>
      <c r="N31" s="208" t="s">
        <v>44</v>
      </c>
    </row>
    <row r="32" spans="1:15">
      <c r="A32" s="36" t="s">
        <v>32</v>
      </c>
      <c r="B32" s="37">
        <v>44175</v>
      </c>
      <c r="C32" s="36" t="s">
        <v>315</v>
      </c>
      <c r="D32" s="36" t="s">
        <v>316</v>
      </c>
      <c r="E32" s="36" t="s">
        <v>77</v>
      </c>
      <c r="J32" s="38">
        <v>2530000</v>
      </c>
      <c r="K32" s="85">
        <v>2020</v>
      </c>
      <c r="L32" s="85">
        <v>11</v>
      </c>
      <c r="N32" s="208" t="s">
        <v>44</v>
      </c>
    </row>
    <row r="33" spans="1:14">
      <c r="A33" s="36" t="s">
        <v>32</v>
      </c>
      <c r="B33" s="37">
        <v>44182</v>
      </c>
      <c r="C33" s="36" t="s">
        <v>169</v>
      </c>
      <c r="D33" s="36" t="s">
        <v>212</v>
      </c>
      <c r="E33" s="36" t="s">
        <v>76</v>
      </c>
      <c r="G33" s="87">
        <v>1000000</v>
      </c>
      <c r="H33" s="87">
        <v>100000</v>
      </c>
      <c r="I33" s="87">
        <v>1100000</v>
      </c>
      <c r="K33" s="85">
        <v>2020</v>
      </c>
      <c r="L33" s="85">
        <v>12</v>
      </c>
      <c r="N33" s="208" t="s">
        <v>44</v>
      </c>
    </row>
    <row r="34" spans="1:14">
      <c r="A34" s="36" t="s">
        <v>32</v>
      </c>
      <c r="B34" s="37">
        <v>44182</v>
      </c>
      <c r="C34" s="36" t="s">
        <v>169</v>
      </c>
      <c r="D34" s="36" t="s">
        <v>170</v>
      </c>
      <c r="E34" s="36" t="s">
        <v>77</v>
      </c>
      <c r="J34" s="38">
        <v>1100000</v>
      </c>
      <c r="K34" s="85">
        <v>2020</v>
      </c>
      <c r="L34" s="85">
        <v>12</v>
      </c>
      <c r="N34" s="208" t="s">
        <v>44</v>
      </c>
    </row>
    <row r="35" spans="1:14">
      <c r="A35" s="36" t="s">
        <v>32</v>
      </c>
      <c r="B35" s="37">
        <v>44188</v>
      </c>
      <c r="C35" s="36" t="s">
        <v>299</v>
      </c>
      <c r="D35" s="36" t="s">
        <v>300</v>
      </c>
      <c r="E35" s="36" t="s">
        <v>77</v>
      </c>
      <c r="J35" s="38">
        <v>2362822</v>
      </c>
      <c r="K35" s="85">
        <v>2020</v>
      </c>
      <c r="L35" s="85">
        <v>11</v>
      </c>
      <c r="N35" s="208" t="s">
        <v>44</v>
      </c>
    </row>
    <row r="36" spans="1:14">
      <c r="A36" s="36" t="s">
        <v>32</v>
      </c>
      <c r="B36" s="37">
        <v>44189</v>
      </c>
      <c r="C36" s="36" t="s">
        <v>81</v>
      </c>
      <c r="D36" s="36" t="s">
        <v>297</v>
      </c>
      <c r="E36" s="36" t="s">
        <v>77</v>
      </c>
      <c r="J36" s="38">
        <v>1012000</v>
      </c>
      <c r="K36" s="85">
        <v>2020</v>
      </c>
      <c r="L36" s="85">
        <v>11</v>
      </c>
      <c r="N36" s="208" t="s">
        <v>44</v>
      </c>
    </row>
    <row r="37" spans="1:14">
      <c r="A37" s="36" t="s">
        <v>32</v>
      </c>
      <c r="B37" s="37">
        <v>44189</v>
      </c>
      <c r="C37" s="36" t="s">
        <v>81</v>
      </c>
      <c r="D37" s="36" t="s">
        <v>298</v>
      </c>
      <c r="E37" s="36" t="s">
        <v>77</v>
      </c>
      <c r="J37" s="38">
        <v>1518000</v>
      </c>
      <c r="K37" s="85">
        <v>2020</v>
      </c>
      <c r="L37" s="85">
        <v>11</v>
      </c>
      <c r="N37" s="208" t="s">
        <v>44</v>
      </c>
    </row>
    <row r="38" spans="1:14">
      <c r="A38" s="36" t="s">
        <v>33</v>
      </c>
      <c r="B38" s="37">
        <v>44191</v>
      </c>
      <c r="C38" s="36" t="s">
        <v>92</v>
      </c>
      <c r="D38" s="36" t="s">
        <v>80</v>
      </c>
      <c r="E38" s="36" t="s">
        <v>93</v>
      </c>
      <c r="G38" s="87">
        <v>500000</v>
      </c>
      <c r="H38" s="87">
        <v>50000</v>
      </c>
      <c r="I38" s="87">
        <v>550000</v>
      </c>
      <c r="K38" s="84">
        <v>2020</v>
      </c>
      <c r="L38" s="85">
        <v>12</v>
      </c>
      <c r="N38" s="208" t="s">
        <v>44</v>
      </c>
    </row>
    <row r="39" spans="1:14">
      <c r="A39" s="36" t="s">
        <v>32</v>
      </c>
      <c r="B39" s="37">
        <v>44196</v>
      </c>
      <c r="C39" s="36" t="s">
        <v>174</v>
      </c>
      <c r="D39" s="36" t="s">
        <v>368</v>
      </c>
      <c r="E39" s="36" t="s">
        <v>76</v>
      </c>
      <c r="F39" s="89">
        <v>21.5</v>
      </c>
      <c r="G39" s="87">
        <v>5731200</v>
      </c>
      <c r="H39" s="87">
        <v>573120</v>
      </c>
      <c r="I39" s="87">
        <v>6304320</v>
      </c>
      <c r="K39" s="85">
        <v>2020</v>
      </c>
      <c r="L39" s="85">
        <v>12</v>
      </c>
      <c r="N39" s="208" t="s">
        <v>84</v>
      </c>
    </row>
    <row r="40" spans="1:14">
      <c r="A40" s="36" t="s">
        <v>32</v>
      </c>
      <c r="B40" s="37">
        <v>44196</v>
      </c>
      <c r="C40" s="36" t="s">
        <v>209</v>
      </c>
      <c r="D40" s="36" t="s">
        <v>197</v>
      </c>
      <c r="E40" s="36" t="s">
        <v>78</v>
      </c>
      <c r="F40" s="89">
        <v>35</v>
      </c>
      <c r="G40" s="87">
        <v>18947600</v>
      </c>
      <c r="H40" s="87">
        <v>1894760</v>
      </c>
      <c r="I40" s="87">
        <v>20842360</v>
      </c>
      <c r="K40" s="85">
        <v>2020</v>
      </c>
      <c r="L40" s="85">
        <v>12</v>
      </c>
      <c r="N40" s="208" t="s">
        <v>44</v>
      </c>
    </row>
    <row r="41" spans="1:14">
      <c r="A41" s="36" t="s">
        <v>33</v>
      </c>
      <c r="B41" s="37">
        <v>44196</v>
      </c>
      <c r="C41" s="36" t="s">
        <v>96</v>
      </c>
      <c r="D41" s="36" t="s">
        <v>200</v>
      </c>
      <c r="E41" s="36" t="s">
        <v>97</v>
      </c>
      <c r="G41" s="87">
        <v>170000</v>
      </c>
      <c r="H41" s="87">
        <v>17000</v>
      </c>
      <c r="I41" s="87">
        <v>187000</v>
      </c>
      <c r="K41" s="84">
        <v>2020</v>
      </c>
      <c r="L41" s="85">
        <v>12</v>
      </c>
      <c r="N41" s="208" t="s">
        <v>44</v>
      </c>
    </row>
    <row r="42" spans="1:14">
      <c r="A42" s="36" t="s">
        <v>32</v>
      </c>
      <c r="B42" s="37">
        <v>44196</v>
      </c>
      <c r="C42" s="36" t="s">
        <v>180</v>
      </c>
      <c r="D42" s="36" t="s">
        <v>344</v>
      </c>
      <c r="E42" s="36" t="s">
        <v>76</v>
      </c>
      <c r="F42" s="89">
        <v>352</v>
      </c>
      <c r="G42" s="87">
        <v>82720000</v>
      </c>
      <c r="H42" s="87">
        <v>8272000</v>
      </c>
      <c r="I42" s="87">
        <v>90992000</v>
      </c>
      <c r="K42" s="85">
        <v>2020</v>
      </c>
      <c r="L42" s="85">
        <v>12</v>
      </c>
      <c r="N42" s="208" t="s">
        <v>44</v>
      </c>
    </row>
    <row r="43" spans="1:14">
      <c r="A43" s="36" t="s">
        <v>32</v>
      </c>
      <c r="B43" s="37">
        <v>44196</v>
      </c>
      <c r="C43" s="36" t="s">
        <v>81</v>
      </c>
      <c r="D43" s="36" t="s">
        <v>297</v>
      </c>
      <c r="E43" s="36" t="s">
        <v>78</v>
      </c>
      <c r="F43" s="89">
        <v>4</v>
      </c>
      <c r="G43" s="87">
        <v>920000</v>
      </c>
      <c r="H43" s="87">
        <v>92000</v>
      </c>
      <c r="I43" s="87">
        <v>1012000</v>
      </c>
      <c r="K43" s="85">
        <v>2020</v>
      </c>
      <c r="L43" s="85">
        <v>12</v>
      </c>
      <c r="N43" s="208" t="s">
        <v>44</v>
      </c>
    </row>
    <row r="44" spans="1:14">
      <c r="A44" s="36" t="s">
        <v>32</v>
      </c>
      <c r="B44" s="37">
        <v>44196</v>
      </c>
      <c r="C44" s="36" t="s">
        <v>85</v>
      </c>
      <c r="D44" s="36" t="s">
        <v>182</v>
      </c>
      <c r="E44" s="36" t="s">
        <v>78</v>
      </c>
      <c r="F44" s="89">
        <v>107</v>
      </c>
      <c r="G44" s="87">
        <v>25936800</v>
      </c>
      <c r="H44" s="87">
        <v>2593680</v>
      </c>
      <c r="I44" s="87">
        <v>28530480</v>
      </c>
      <c r="K44" s="85">
        <v>2020</v>
      </c>
      <c r="L44" s="85">
        <v>12</v>
      </c>
      <c r="N44" s="208" t="s">
        <v>44</v>
      </c>
    </row>
    <row r="45" spans="1:14">
      <c r="A45" s="36" t="s">
        <v>33</v>
      </c>
      <c r="B45" s="37">
        <v>44196</v>
      </c>
      <c r="C45" s="36" t="s">
        <v>98</v>
      </c>
      <c r="D45" s="36" t="s">
        <v>94</v>
      </c>
      <c r="E45" s="36" t="s">
        <v>99</v>
      </c>
      <c r="G45" s="87">
        <v>1200000</v>
      </c>
      <c r="H45" s="87">
        <v>120000</v>
      </c>
      <c r="I45" s="87">
        <v>1320000</v>
      </c>
      <c r="K45" s="84">
        <v>2020</v>
      </c>
      <c r="L45" s="85">
        <v>12</v>
      </c>
      <c r="N45" s="208" t="s">
        <v>44</v>
      </c>
    </row>
    <row r="46" spans="1:14">
      <c r="A46" s="36" t="s">
        <v>33</v>
      </c>
      <c r="B46" s="37">
        <v>44196</v>
      </c>
      <c r="C46" s="36" t="s">
        <v>100</v>
      </c>
      <c r="D46" s="36" t="s">
        <v>101</v>
      </c>
      <c r="E46" s="36" t="s">
        <v>102</v>
      </c>
      <c r="G46" s="87">
        <v>1412000</v>
      </c>
      <c r="H46" s="87">
        <v>141200</v>
      </c>
      <c r="I46" s="87">
        <v>1553200</v>
      </c>
      <c r="K46" s="84">
        <v>2020</v>
      </c>
      <c r="L46" s="85">
        <v>12</v>
      </c>
      <c r="N46" s="208" t="s">
        <v>44</v>
      </c>
    </row>
    <row r="47" spans="1:14">
      <c r="A47" s="36" t="s">
        <v>33</v>
      </c>
      <c r="B47" s="37">
        <v>44196</v>
      </c>
      <c r="C47" s="36" t="s">
        <v>183</v>
      </c>
      <c r="D47" s="36" t="s">
        <v>182</v>
      </c>
      <c r="E47" s="36" t="s">
        <v>184</v>
      </c>
      <c r="G47" s="87">
        <v>1160000</v>
      </c>
      <c r="H47" s="87">
        <v>116000</v>
      </c>
      <c r="I47" s="87">
        <v>1276000</v>
      </c>
      <c r="K47" s="85">
        <v>2020</v>
      </c>
      <c r="L47" s="85">
        <v>12</v>
      </c>
      <c r="N47" s="208" t="s">
        <v>44</v>
      </c>
    </row>
    <row r="48" spans="1:14">
      <c r="A48" s="36" t="s">
        <v>32</v>
      </c>
      <c r="B48" s="37">
        <v>44196</v>
      </c>
      <c r="C48" s="36" t="s">
        <v>288</v>
      </c>
      <c r="D48" s="36" t="s">
        <v>290</v>
      </c>
      <c r="E48" s="36" t="s">
        <v>78</v>
      </c>
      <c r="F48" s="89">
        <v>37</v>
      </c>
      <c r="G48" s="87">
        <v>23225000</v>
      </c>
      <c r="H48" s="87">
        <v>2322500</v>
      </c>
      <c r="I48" s="87">
        <v>25547500</v>
      </c>
      <c r="K48" s="85">
        <v>2020</v>
      </c>
      <c r="L48" s="85">
        <v>12</v>
      </c>
      <c r="N48" s="208" t="s">
        <v>44</v>
      </c>
    </row>
    <row r="49" spans="1:14">
      <c r="A49" s="36" t="s">
        <v>32</v>
      </c>
      <c r="B49" s="37">
        <v>44196</v>
      </c>
      <c r="C49" s="36" t="s">
        <v>175</v>
      </c>
      <c r="D49" s="36" t="s">
        <v>177</v>
      </c>
      <c r="E49" s="36" t="s">
        <v>77</v>
      </c>
      <c r="J49" s="38">
        <v>6725840</v>
      </c>
      <c r="K49" s="85">
        <v>2020</v>
      </c>
      <c r="L49" s="85">
        <v>11</v>
      </c>
      <c r="N49" s="208" t="s">
        <v>44</v>
      </c>
    </row>
    <row r="50" spans="1:14">
      <c r="A50" s="36" t="s">
        <v>32</v>
      </c>
      <c r="B50" s="37">
        <v>44196</v>
      </c>
      <c r="C50" s="36" t="s">
        <v>175</v>
      </c>
      <c r="D50" s="36" t="s">
        <v>177</v>
      </c>
      <c r="E50" s="36" t="s">
        <v>78</v>
      </c>
      <c r="F50" s="89">
        <v>70</v>
      </c>
      <c r="G50" s="87">
        <v>16944700</v>
      </c>
      <c r="H50" s="87">
        <v>1694470</v>
      </c>
      <c r="I50" s="87">
        <v>18639170</v>
      </c>
      <c r="K50" s="85">
        <v>2020</v>
      </c>
      <c r="L50" s="85">
        <v>12</v>
      </c>
      <c r="N50" s="208" t="s">
        <v>44</v>
      </c>
    </row>
    <row r="51" spans="1:14">
      <c r="A51" s="36" t="s">
        <v>33</v>
      </c>
      <c r="B51" s="37">
        <v>44196</v>
      </c>
      <c r="C51" s="36" t="s">
        <v>82</v>
      </c>
      <c r="D51" s="36" t="s">
        <v>94</v>
      </c>
      <c r="E51" s="36" t="s">
        <v>95</v>
      </c>
      <c r="G51" s="87">
        <v>2270000</v>
      </c>
      <c r="H51" s="87">
        <v>227000</v>
      </c>
      <c r="I51" s="87">
        <v>2497000</v>
      </c>
      <c r="K51" s="84">
        <v>2020</v>
      </c>
      <c r="L51" s="85">
        <v>12</v>
      </c>
      <c r="N51" s="208" t="s">
        <v>44</v>
      </c>
    </row>
    <row r="52" spans="1:14">
      <c r="A52" s="36" t="s">
        <v>32</v>
      </c>
      <c r="B52" s="37">
        <v>44200</v>
      </c>
      <c r="C52" s="36" t="s">
        <v>209</v>
      </c>
      <c r="D52" s="36" t="s">
        <v>197</v>
      </c>
      <c r="E52" s="36" t="s">
        <v>77</v>
      </c>
      <c r="J52" s="38">
        <v>36209580</v>
      </c>
      <c r="K52" s="85">
        <v>2020</v>
      </c>
      <c r="L52" s="85">
        <v>11</v>
      </c>
      <c r="N52" s="208" t="s">
        <v>44</v>
      </c>
    </row>
    <row r="53" spans="1:14">
      <c r="A53" s="36" t="s">
        <v>32</v>
      </c>
      <c r="B53" s="37">
        <v>44203</v>
      </c>
      <c r="C53" s="36" t="s">
        <v>309</v>
      </c>
      <c r="D53" s="36" t="s">
        <v>310</v>
      </c>
      <c r="E53" s="36" t="s">
        <v>78</v>
      </c>
      <c r="G53" s="87">
        <v>4000000</v>
      </c>
      <c r="H53" s="87">
        <v>400000</v>
      </c>
      <c r="I53" s="87">
        <v>4400000</v>
      </c>
      <c r="K53" s="85">
        <v>2021</v>
      </c>
      <c r="L53" s="85">
        <v>1</v>
      </c>
      <c r="N53" s="208" t="s">
        <v>44</v>
      </c>
    </row>
    <row r="54" spans="1:14">
      <c r="A54" s="36" t="s">
        <v>32</v>
      </c>
      <c r="B54" s="37">
        <v>44207</v>
      </c>
      <c r="C54" s="36" t="s">
        <v>180</v>
      </c>
      <c r="D54" s="36" t="s">
        <v>344</v>
      </c>
      <c r="E54" s="36" t="s">
        <v>77</v>
      </c>
      <c r="J54" s="38">
        <v>90992000</v>
      </c>
      <c r="K54" s="85">
        <v>2020</v>
      </c>
      <c r="L54" s="85">
        <v>12</v>
      </c>
      <c r="N54" s="208" t="s">
        <v>44</v>
      </c>
    </row>
    <row r="55" spans="1:14">
      <c r="A55" s="36" t="s">
        <v>33</v>
      </c>
      <c r="B55" s="37">
        <v>44209</v>
      </c>
      <c r="C55" s="36" t="s">
        <v>92</v>
      </c>
      <c r="D55" s="36" t="s">
        <v>80</v>
      </c>
      <c r="E55" s="36" t="s">
        <v>79</v>
      </c>
      <c r="J55" s="38">
        <v>550000</v>
      </c>
      <c r="K55" s="84">
        <v>2020</v>
      </c>
      <c r="L55" s="85">
        <v>12</v>
      </c>
      <c r="N55" s="208" t="s">
        <v>44</v>
      </c>
    </row>
    <row r="56" spans="1:14">
      <c r="A56" s="36" t="s">
        <v>32</v>
      </c>
      <c r="B56" s="37">
        <v>44218</v>
      </c>
      <c r="C56" s="36" t="s">
        <v>303</v>
      </c>
      <c r="D56" s="36" t="s">
        <v>304</v>
      </c>
      <c r="E56" s="36" t="s">
        <v>77</v>
      </c>
      <c r="J56" s="38">
        <v>12606880</v>
      </c>
      <c r="K56" s="85">
        <v>2020</v>
      </c>
      <c r="L56" s="85">
        <v>11</v>
      </c>
      <c r="N56" s="208" t="s">
        <v>44</v>
      </c>
    </row>
    <row r="57" spans="1:14">
      <c r="A57" s="36" t="s">
        <v>33</v>
      </c>
      <c r="B57" s="37">
        <v>44221</v>
      </c>
      <c r="C57" s="36" t="s">
        <v>322</v>
      </c>
      <c r="D57" s="36" t="s">
        <v>369</v>
      </c>
      <c r="E57" s="36" t="s">
        <v>323</v>
      </c>
      <c r="G57" s="87">
        <v>5000000</v>
      </c>
      <c r="H57" s="87">
        <v>500000</v>
      </c>
      <c r="I57" s="87">
        <v>5500000</v>
      </c>
      <c r="K57" s="85">
        <v>2021</v>
      </c>
      <c r="L57" s="85">
        <v>1</v>
      </c>
      <c r="N57" s="208" t="s">
        <v>44</v>
      </c>
    </row>
    <row r="58" spans="1:14">
      <c r="A58" s="36" t="s">
        <v>32</v>
      </c>
      <c r="B58" s="37">
        <v>44221</v>
      </c>
      <c r="C58" s="36" t="s">
        <v>81</v>
      </c>
      <c r="D58" s="36" t="s">
        <v>297</v>
      </c>
      <c r="E58" s="36" t="s">
        <v>77</v>
      </c>
      <c r="J58" s="38">
        <v>1012000</v>
      </c>
      <c r="K58" s="85">
        <v>2020</v>
      </c>
      <c r="L58" s="85">
        <v>12</v>
      </c>
      <c r="N58" s="208" t="s">
        <v>44</v>
      </c>
    </row>
    <row r="59" spans="1:14">
      <c r="A59" s="36" t="s">
        <v>32</v>
      </c>
      <c r="B59" s="37">
        <v>44222</v>
      </c>
      <c r="C59" s="36" t="s">
        <v>303</v>
      </c>
      <c r="D59" s="36" t="s">
        <v>304</v>
      </c>
      <c r="E59" s="36" t="s">
        <v>76</v>
      </c>
      <c r="F59" s="89">
        <v>20</v>
      </c>
      <c r="G59" s="87">
        <v>4933600</v>
      </c>
      <c r="H59" s="87">
        <v>493360</v>
      </c>
      <c r="I59" s="87">
        <v>5426960</v>
      </c>
      <c r="K59" s="85">
        <v>2021</v>
      </c>
      <c r="L59" s="85">
        <v>1</v>
      </c>
      <c r="N59" s="208" t="s">
        <v>44</v>
      </c>
    </row>
    <row r="60" spans="1:14">
      <c r="A60" s="36" t="s">
        <v>32</v>
      </c>
      <c r="B60" s="37">
        <v>44225</v>
      </c>
      <c r="C60" s="36" t="s">
        <v>209</v>
      </c>
      <c r="D60" s="36" t="s">
        <v>197</v>
      </c>
      <c r="E60" s="36" t="s">
        <v>77</v>
      </c>
      <c r="J60" s="38">
        <v>20842360</v>
      </c>
      <c r="K60" s="85">
        <v>2020</v>
      </c>
      <c r="L60" s="85">
        <v>12</v>
      </c>
      <c r="N60" s="208" t="s">
        <v>44</v>
      </c>
    </row>
    <row r="61" spans="1:14">
      <c r="A61" s="36" t="s">
        <v>33</v>
      </c>
      <c r="B61" s="37">
        <v>44225</v>
      </c>
      <c r="C61" s="36" t="s">
        <v>96</v>
      </c>
      <c r="D61" s="36" t="s">
        <v>200</v>
      </c>
      <c r="E61" s="36" t="s">
        <v>79</v>
      </c>
      <c r="J61" s="38">
        <v>187000</v>
      </c>
      <c r="K61" s="84">
        <v>2020</v>
      </c>
      <c r="L61" s="85">
        <v>12</v>
      </c>
      <c r="N61" s="208" t="s">
        <v>44</v>
      </c>
    </row>
    <row r="62" spans="1:14">
      <c r="A62" s="36" t="s">
        <v>32</v>
      </c>
      <c r="B62" s="37">
        <v>44225</v>
      </c>
      <c r="C62" s="36" t="s">
        <v>305</v>
      </c>
      <c r="D62" s="36" t="s">
        <v>101</v>
      </c>
      <c r="E62" s="36" t="s">
        <v>76</v>
      </c>
      <c r="F62" s="89">
        <v>18</v>
      </c>
      <c r="G62" s="87">
        <v>7620000</v>
      </c>
      <c r="H62" s="87">
        <v>762000</v>
      </c>
      <c r="I62" s="87">
        <v>8382000</v>
      </c>
      <c r="K62" s="85">
        <v>2021</v>
      </c>
      <c r="L62" s="85">
        <v>1</v>
      </c>
      <c r="N62" s="208" t="s">
        <v>44</v>
      </c>
    </row>
    <row r="63" spans="1:14">
      <c r="A63" s="36" t="s">
        <v>32</v>
      </c>
      <c r="B63" s="37">
        <v>44225</v>
      </c>
      <c r="C63" s="36" t="s">
        <v>85</v>
      </c>
      <c r="D63" s="36" t="s">
        <v>182</v>
      </c>
      <c r="E63" s="36" t="s">
        <v>77</v>
      </c>
      <c r="J63" s="38">
        <v>28530480</v>
      </c>
      <c r="K63" s="85">
        <v>2020</v>
      </c>
      <c r="L63" s="85">
        <v>12</v>
      </c>
      <c r="N63" s="208" t="s">
        <v>44</v>
      </c>
    </row>
    <row r="64" spans="1:14">
      <c r="A64" s="36" t="s">
        <v>33</v>
      </c>
      <c r="B64" s="37">
        <v>44225</v>
      </c>
      <c r="C64" s="36" t="s">
        <v>98</v>
      </c>
      <c r="D64" s="36" t="s">
        <v>94</v>
      </c>
      <c r="E64" s="36" t="s">
        <v>79</v>
      </c>
      <c r="J64" s="38">
        <v>1320000</v>
      </c>
      <c r="K64" s="84">
        <v>2020</v>
      </c>
      <c r="L64" s="85">
        <v>12</v>
      </c>
      <c r="N64" s="208" t="s">
        <v>44</v>
      </c>
    </row>
    <row r="65" spans="1:14">
      <c r="A65" s="36" t="s">
        <v>33</v>
      </c>
      <c r="B65" s="37">
        <v>44225</v>
      </c>
      <c r="C65" s="36" t="s">
        <v>183</v>
      </c>
      <c r="D65" s="36" t="s">
        <v>182</v>
      </c>
      <c r="E65" s="36" t="s">
        <v>79</v>
      </c>
      <c r="J65" s="38">
        <v>1276000</v>
      </c>
      <c r="K65" s="85">
        <v>2020</v>
      </c>
      <c r="L65" s="85">
        <v>12</v>
      </c>
      <c r="N65" s="208" t="s">
        <v>44</v>
      </c>
    </row>
    <row r="66" spans="1:14">
      <c r="A66" s="36" t="s">
        <v>33</v>
      </c>
      <c r="B66" s="37">
        <v>44225</v>
      </c>
      <c r="C66" s="36" t="s">
        <v>82</v>
      </c>
      <c r="D66" s="36" t="s">
        <v>94</v>
      </c>
      <c r="E66" s="36" t="s">
        <v>148</v>
      </c>
      <c r="J66" s="38">
        <v>2497000</v>
      </c>
      <c r="K66" s="84">
        <v>2020</v>
      </c>
      <c r="L66" s="85">
        <v>12</v>
      </c>
      <c r="N66" s="208" t="s">
        <v>44</v>
      </c>
    </row>
    <row r="67" spans="1:14">
      <c r="A67" s="36" t="s">
        <v>32</v>
      </c>
      <c r="B67" s="37">
        <v>44226</v>
      </c>
      <c r="C67" s="36" t="s">
        <v>305</v>
      </c>
      <c r="D67" s="36" t="s">
        <v>101</v>
      </c>
      <c r="E67" s="36" t="s">
        <v>77</v>
      </c>
      <c r="J67" s="38">
        <v>4400000</v>
      </c>
      <c r="K67" s="85">
        <v>2021</v>
      </c>
      <c r="L67" s="85">
        <v>1</v>
      </c>
      <c r="N67" s="208" t="s">
        <v>44</v>
      </c>
    </row>
    <row r="68" spans="1:14">
      <c r="A68" s="36" t="s">
        <v>33</v>
      </c>
      <c r="B68" s="37">
        <v>44226</v>
      </c>
      <c r="C68" s="36" t="s">
        <v>98</v>
      </c>
      <c r="D68" s="36" t="s">
        <v>94</v>
      </c>
      <c r="E68" s="36" t="s">
        <v>99</v>
      </c>
      <c r="G68" s="87">
        <v>420000</v>
      </c>
      <c r="H68" s="87">
        <v>42000</v>
      </c>
      <c r="I68" s="87">
        <v>462000</v>
      </c>
      <c r="K68" s="84">
        <v>2021</v>
      </c>
      <c r="L68" s="85">
        <v>1</v>
      </c>
      <c r="N68" s="208" t="s">
        <v>44</v>
      </c>
    </row>
    <row r="69" spans="1:14">
      <c r="A69" s="36" t="s">
        <v>32</v>
      </c>
      <c r="B69" s="37">
        <v>44226</v>
      </c>
      <c r="C69" s="36" t="s">
        <v>175</v>
      </c>
      <c r="D69" s="36" t="s">
        <v>176</v>
      </c>
      <c r="E69" s="36" t="s">
        <v>77</v>
      </c>
      <c r="J69" s="38">
        <v>3845600</v>
      </c>
      <c r="K69" s="85">
        <v>2020</v>
      </c>
      <c r="L69" s="85">
        <v>11</v>
      </c>
      <c r="N69" s="208" t="s">
        <v>44</v>
      </c>
    </row>
    <row r="70" spans="1:14">
      <c r="A70" s="36" t="s">
        <v>32</v>
      </c>
      <c r="B70" s="37">
        <v>44226</v>
      </c>
      <c r="C70" s="36" t="s">
        <v>175</v>
      </c>
      <c r="D70" s="36" t="s">
        <v>177</v>
      </c>
      <c r="E70" s="36" t="s">
        <v>77</v>
      </c>
      <c r="J70" s="38">
        <v>18639170</v>
      </c>
      <c r="K70" s="84">
        <v>2020</v>
      </c>
      <c r="L70" s="85">
        <v>12</v>
      </c>
      <c r="N70" s="208" t="s">
        <v>44</v>
      </c>
    </row>
    <row r="71" spans="1:14">
      <c r="A71" s="36" t="s">
        <v>32</v>
      </c>
      <c r="B71" s="37">
        <v>44227</v>
      </c>
      <c r="C71" s="36" t="s">
        <v>209</v>
      </c>
      <c r="D71" s="36" t="s">
        <v>197</v>
      </c>
      <c r="E71" s="36" t="s">
        <v>76</v>
      </c>
      <c r="F71" s="89">
        <v>156.5</v>
      </c>
      <c r="G71" s="87">
        <v>45671900</v>
      </c>
      <c r="H71" s="87">
        <v>4567190</v>
      </c>
      <c r="I71" s="87">
        <v>50239090</v>
      </c>
      <c r="K71" s="84">
        <v>2021</v>
      </c>
      <c r="L71" s="85">
        <v>1</v>
      </c>
      <c r="N71" s="208" t="s">
        <v>44</v>
      </c>
    </row>
    <row r="72" spans="1:14">
      <c r="A72" s="36" t="s">
        <v>32</v>
      </c>
      <c r="B72" s="37">
        <v>44227</v>
      </c>
      <c r="C72" s="36" t="s">
        <v>311</v>
      </c>
      <c r="D72" s="36" t="s">
        <v>312</v>
      </c>
      <c r="E72" s="36" t="s">
        <v>313</v>
      </c>
      <c r="G72" s="87">
        <v>680000</v>
      </c>
      <c r="H72" s="87">
        <v>68000</v>
      </c>
      <c r="I72" s="87">
        <v>748000</v>
      </c>
      <c r="K72" s="85">
        <v>2021</v>
      </c>
      <c r="L72" s="85">
        <v>1</v>
      </c>
      <c r="N72" s="208" t="s">
        <v>44</v>
      </c>
    </row>
    <row r="73" spans="1:14">
      <c r="A73" s="36" t="s">
        <v>33</v>
      </c>
      <c r="B73" s="37">
        <v>44227</v>
      </c>
      <c r="C73" s="36" t="s">
        <v>96</v>
      </c>
      <c r="D73" s="36" t="s">
        <v>200</v>
      </c>
      <c r="E73" s="36" t="s">
        <v>97</v>
      </c>
      <c r="G73" s="87">
        <v>3120000</v>
      </c>
      <c r="H73" s="87">
        <v>312000</v>
      </c>
      <c r="I73" s="87">
        <v>3432000</v>
      </c>
      <c r="K73" s="84">
        <v>2021</v>
      </c>
      <c r="L73" s="85">
        <v>1</v>
      </c>
      <c r="N73" s="208" t="s">
        <v>44</v>
      </c>
    </row>
    <row r="74" spans="1:14">
      <c r="A74" s="36" t="s">
        <v>32</v>
      </c>
      <c r="B74" s="37">
        <v>44227</v>
      </c>
      <c r="C74" s="36" t="s">
        <v>180</v>
      </c>
      <c r="D74" s="36" t="s">
        <v>344</v>
      </c>
      <c r="E74" s="36" t="s">
        <v>76</v>
      </c>
      <c r="F74" s="89">
        <v>240</v>
      </c>
      <c r="G74" s="87">
        <v>56400000</v>
      </c>
      <c r="H74" s="87">
        <v>5640000</v>
      </c>
      <c r="I74" s="87">
        <v>62040000</v>
      </c>
      <c r="K74" s="85">
        <v>2021</v>
      </c>
      <c r="L74" s="85">
        <v>1</v>
      </c>
      <c r="N74" s="208" t="s">
        <v>44</v>
      </c>
    </row>
    <row r="75" spans="1:14">
      <c r="A75" s="36" t="s">
        <v>32</v>
      </c>
      <c r="B75" s="37">
        <v>44227</v>
      </c>
      <c r="C75" s="36" t="s">
        <v>204</v>
      </c>
      <c r="D75" s="36" t="s">
        <v>205</v>
      </c>
      <c r="E75" s="36" t="s">
        <v>76</v>
      </c>
      <c r="F75" s="89">
        <v>10</v>
      </c>
      <c r="G75" s="87">
        <v>2907955</v>
      </c>
      <c r="H75" s="87">
        <v>290795</v>
      </c>
      <c r="I75" s="87">
        <v>3198750</v>
      </c>
      <c r="K75" s="85">
        <v>2021</v>
      </c>
      <c r="L75" s="85">
        <v>1</v>
      </c>
      <c r="N75" s="208" t="s">
        <v>44</v>
      </c>
    </row>
    <row r="76" spans="1:14">
      <c r="A76" s="36" t="s">
        <v>32</v>
      </c>
      <c r="B76" s="37">
        <v>44227</v>
      </c>
      <c r="C76" s="36" t="s">
        <v>281</v>
      </c>
      <c r="D76" s="36" t="s">
        <v>112</v>
      </c>
      <c r="E76" s="36" t="s">
        <v>78</v>
      </c>
      <c r="F76" s="89">
        <v>16</v>
      </c>
      <c r="G76" s="87">
        <v>4819200</v>
      </c>
      <c r="H76" s="87">
        <v>481920</v>
      </c>
      <c r="I76" s="87">
        <v>5301120</v>
      </c>
      <c r="K76" s="85">
        <v>2021</v>
      </c>
      <c r="L76" s="85">
        <v>1</v>
      </c>
      <c r="N76" s="208" t="s">
        <v>44</v>
      </c>
    </row>
    <row r="77" spans="1:14">
      <c r="A77" s="36" t="s">
        <v>32</v>
      </c>
      <c r="B77" s="37">
        <v>44227</v>
      </c>
      <c r="C77" s="36" t="s">
        <v>85</v>
      </c>
      <c r="D77" s="36" t="s">
        <v>182</v>
      </c>
      <c r="E77" s="36" t="s">
        <v>78</v>
      </c>
      <c r="F77" s="89">
        <v>38</v>
      </c>
      <c r="G77" s="87">
        <v>10231380</v>
      </c>
      <c r="H77" s="87">
        <v>1023138</v>
      </c>
      <c r="I77" s="87">
        <v>11254518</v>
      </c>
      <c r="K77" s="85">
        <v>2021</v>
      </c>
      <c r="L77" s="85">
        <v>1</v>
      </c>
      <c r="N77" s="208" t="s">
        <v>44</v>
      </c>
    </row>
    <row r="78" spans="1:14">
      <c r="A78" s="36" t="s">
        <v>32</v>
      </c>
      <c r="B78" s="37">
        <v>44227</v>
      </c>
      <c r="C78" s="36" t="s">
        <v>287</v>
      </c>
      <c r="D78" s="36" t="s">
        <v>150</v>
      </c>
      <c r="E78" s="36" t="s">
        <v>76</v>
      </c>
      <c r="F78" s="89">
        <v>6</v>
      </c>
      <c r="G78" s="87">
        <v>2767800</v>
      </c>
      <c r="H78" s="87">
        <v>276780</v>
      </c>
      <c r="I78" s="87">
        <v>3044580</v>
      </c>
      <c r="K78" s="85">
        <v>2021</v>
      </c>
      <c r="L78" s="85">
        <v>1</v>
      </c>
      <c r="N78" s="208" t="s">
        <v>44</v>
      </c>
    </row>
    <row r="79" spans="1:14">
      <c r="A79" s="36" t="s">
        <v>33</v>
      </c>
      <c r="B79" s="37">
        <v>44227</v>
      </c>
      <c r="C79" s="36" t="s">
        <v>100</v>
      </c>
      <c r="D79" s="36" t="s">
        <v>101</v>
      </c>
      <c r="E79" s="36" t="s">
        <v>102</v>
      </c>
      <c r="G79" s="87">
        <v>888000</v>
      </c>
      <c r="H79" s="87">
        <v>88800</v>
      </c>
      <c r="I79" s="87">
        <v>976800</v>
      </c>
      <c r="K79" s="84">
        <v>2021</v>
      </c>
      <c r="L79" s="85">
        <v>1</v>
      </c>
      <c r="N79" s="208" t="s">
        <v>44</v>
      </c>
    </row>
    <row r="80" spans="1:14">
      <c r="A80" s="36" t="s">
        <v>32</v>
      </c>
      <c r="B80" s="37">
        <v>44227</v>
      </c>
      <c r="C80" s="36" t="s">
        <v>185</v>
      </c>
      <c r="D80" s="36" t="s">
        <v>186</v>
      </c>
      <c r="E80" s="36" t="s">
        <v>76</v>
      </c>
      <c r="F80" s="89">
        <v>30</v>
      </c>
      <c r="G80" s="87">
        <v>5330000</v>
      </c>
      <c r="H80" s="87">
        <v>533000</v>
      </c>
      <c r="I80" s="87">
        <v>5863000</v>
      </c>
      <c r="K80" s="85">
        <v>2021</v>
      </c>
      <c r="L80" s="85">
        <v>1</v>
      </c>
      <c r="N80" s="208" t="s">
        <v>44</v>
      </c>
    </row>
    <row r="81" spans="1:14">
      <c r="A81" s="36" t="s">
        <v>32</v>
      </c>
      <c r="B81" s="37">
        <v>44227</v>
      </c>
      <c r="C81" s="36" t="s">
        <v>268</v>
      </c>
      <c r="D81" s="36" t="s">
        <v>261</v>
      </c>
      <c r="E81" s="36" t="s">
        <v>78</v>
      </c>
      <c r="F81" s="89">
        <v>20.5</v>
      </c>
      <c r="G81" s="87">
        <v>5025100</v>
      </c>
      <c r="H81" s="87">
        <v>502510</v>
      </c>
      <c r="I81" s="87">
        <v>5527610</v>
      </c>
      <c r="K81" s="85">
        <v>2021</v>
      </c>
      <c r="L81" s="85">
        <v>1</v>
      </c>
      <c r="N81" s="208" t="s">
        <v>44</v>
      </c>
    </row>
    <row r="82" spans="1:14">
      <c r="A82" s="36" t="s">
        <v>32</v>
      </c>
      <c r="B82" s="37">
        <v>44227</v>
      </c>
      <c r="C82" s="36" t="s">
        <v>268</v>
      </c>
      <c r="D82" s="36" t="s">
        <v>261</v>
      </c>
      <c r="E82" s="36" t="s">
        <v>269</v>
      </c>
      <c r="F82" s="89">
        <v>10.5</v>
      </c>
      <c r="G82" s="87">
        <v>2200800</v>
      </c>
      <c r="H82" s="87">
        <v>220080</v>
      </c>
      <c r="I82" s="87">
        <v>2420880</v>
      </c>
      <c r="K82" s="85">
        <v>2021</v>
      </c>
      <c r="L82" s="85">
        <v>1</v>
      </c>
      <c r="N82" s="208" t="s">
        <v>44</v>
      </c>
    </row>
    <row r="83" spans="1:14">
      <c r="A83" s="36" t="s">
        <v>32</v>
      </c>
      <c r="B83" s="37">
        <v>44227</v>
      </c>
      <c r="C83" s="36" t="s">
        <v>307</v>
      </c>
      <c r="D83" s="36" t="s">
        <v>308</v>
      </c>
      <c r="E83" s="36" t="s">
        <v>78</v>
      </c>
      <c r="F83" s="89">
        <v>37</v>
      </c>
      <c r="G83" s="87">
        <v>7771000</v>
      </c>
      <c r="H83" s="87">
        <v>777100</v>
      </c>
      <c r="I83" s="87">
        <v>8548100</v>
      </c>
      <c r="K83" s="85">
        <v>2021</v>
      </c>
      <c r="L83" s="85">
        <v>1</v>
      </c>
      <c r="N83" s="208" t="s">
        <v>44</v>
      </c>
    </row>
    <row r="84" spans="1:14">
      <c r="A84" s="36" t="s">
        <v>33</v>
      </c>
      <c r="B84" s="37">
        <v>44227</v>
      </c>
      <c r="C84" s="36" t="s">
        <v>103</v>
      </c>
      <c r="D84" s="36" t="s">
        <v>205</v>
      </c>
      <c r="E84" s="36" t="s">
        <v>104</v>
      </c>
      <c r="G84" s="87">
        <v>1047402</v>
      </c>
      <c r="H84" s="87">
        <v>104740.20000000001</v>
      </c>
      <c r="I84" s="87">
        <v>1152142.2</v>
      </c>
      <c r="K84" s="84">
        <v>2021</v>
      </c>
      <c r="L84" s="85">
        <v>1</v>
      </c>
      <c r="N84" s="208" t="s">
        <v>44</v>
      </c>
    </row>
    <row r="85" spans="1:14">
      <c r="A85" s="36" t="s">
        <v>33</v>
      </c>
      <c r="B85" s="37">
        <v>44228</v>
      </c>
      <c r="C85" s="36" t="s">
        <v>96</v>
      </c>
      <c r="D85" s="36" t="s">
        <v>105</v>
      </c>
      <c r="E85" s="36" t="s">
        <v>97</v>
      </c>
      <c r="G85" s="87">
        <v>150000</v>
      </c>
      <c r="H85" s="87">
        <v>15000</v>
      </c>
      <c r="I85" s="87">
        <v>165000</v>
      </c>
      <c r="K85" s="84">
        <v>2021</v>
      </c>
      <c r="L85" s="85">
        <v>2</v>
      </c>
      <c r="N85" s="208" t="s">
        <v>44</v>
      </c>
    </row>
    <row r="86" spans="1:14">
      <c r="A86" s="36" t="s">
        <v>32</v>
      </c>
      <c r="B86" s="37">
        <v>44236</v>
      </c>
      <c r="C86" s="36" t="s">
        <v>287</v>
      </c>
      <c r="D86" s="36" t="s">
        <v>150</v>
      </c>
      <c r="E86" s="36" t="s">
        <v>77</v>
      </c>
      <c r="J86" s="38">
        <v>3044580</v>
      </c>
      <c r="K86" s="85">
        <v>2021</v>
      </c>
      <c r="L86" s="85">
        <v>1</v>
      </c>
      <c r="N86" s="208" t="s">
        <v>44</v>
      </c>
    </row>
    <row r="87" spans="1:14">
      <c r="A87" s="36" t="s">
        <v>32</v>
      </c>
      <c r="B87" s="37">
        <v>44237</v>
      </c>
      <c r="C87" s="36" t="s">
        <v>174</v>
      </c>
      <c r="D87" s="36" t="s">
        <v>368</v>
      </c>
      <c r="E87" s="36" t="s">
        <v>77</v>
      </c>
      <c r="J87" s="38">
        <v>6304320</v>
      </c>
      <c r="K87" s="85">
        <v>2020</v>
      </c>
      <c r="L87" s="85">
        <v>12</v>
      </c>
      <c r="N87" s="208" t="s">
        <v>44</v>
      </c>
    </row>
    <row r="88" spans="1:14">
      <c r="A88" s="36" t="s">
        <v>32</v>
      </c>
      <c r="B88" s="37">
        <v>44237</v>
      </c>
      <c r="C88" s="36" t="s">
        <v>180</v>
      </c>
      <c r="D88" s="36" t="s">
        <v>344</v>
      </c>
      <c r="E88" s="36" t="s">
        <v>77</v>
      </c>
      <c r="J88" s="38">
        <v>62040000</v>
      </c>
      <c r="K88" s="85">
        <v>2021</v>
      </c>
      <c r="L88" s="85">
        <v>1</v>
      </c>
      <c r="N88" s="208" t="s">
        <v>44</v>
      </c>
    </row>
    <row r="89" spans="1:14">
      <c r="A89" s="36" t="s">
        <v>32</v>
      </c>
      <c r="B89" s="37">
        <v>44237</v>
      </c>
      <c r="C89" s="36" t="s">
        <v>268</v>
      </c>
      <c r="D89" s="36" t="s">
        <v>261</v>
      </c>
      <c r="E89" s="36" t="s">
        <v>77</v>
      </c>
      <c r="J89" s="38">
        <v>7587490</v>
      </c>
      <c r="K89" s="85">
        <v>2021</v>
      </c>
      <c r="L89" s="85">
        <v>1</v>
      </c>
      <c r="N89" s="208" t="s">
        <v>44</v>
      </c>
    </row>
    <row r="90" spans="1:14">
      <c r="A90" s="36" t="s">
        <v>32</v>
      </c>
      <c r="B90" s="37">
        <v>44237</v>
      </c>
      <c r="C90" s="36" t="s">
        <v>288</v>
      </c>
      <c r="D90" s="36" t="s">
        <v>290</v>
      </c>
      <c r="E90" s="36" t="s">
        <v>77</v>
      </c>
      <c r="J90" s="38">
        <v>25547500</v>
      </c>
      <c r="K90" s="85">
        <v>2020</v>
      </c>
      <c r="L90" s="85">
        <v>12</v>
      </c>
      <c r="N90" s="208" t="s">
        <v>44</v>
      </c>
    </row>
    <row r="91" spans="1:14">
      <c r="A91" s="36" t="s">
        <v>32</v>
      </c>
      <c r="B91" s="37">
        <v>44237</v>
      </c>
      <c r="C91" s="36" t="s">
        <v>307</v>
      </c>
      <c r="D91" s="36" t="s">
        <v>308</v>
      </c>
      <c r="E91" s="36" t="s">
        <v>77</v>
      </c>
      <c r="J91" s="38">
        <v>8548100</v>
      </c>
      <c r="K91" s="85">
        <v>2021</v>
      </c>
      <c r="L91" s="85">
        <v>1</v>
      </c>
      <c r="N91" s="208" t="s">
        <v>44</v>
      </c>
    </row>
    <row r="92" spans="1:14">
      <c r="A92" s="36" t="s">
        <v>32</v>
      </c>
      <c r="B92" s="37">
        <v>44238</v>
      </c>
      <c r="C92" s="36" t="s">
        <v>311</v>
      </c>
      <c r="D92" s="36" t="s">
        <v>312</v>
      </c>
      <c r="E92" s="36" t="s">
        <v>148</v>
      </c>
      <c r="J92" s="87">
        <v>748000</v>
      </c>
      <c r="K92" s="85">
        <v>2021</v>
      </c>
      <c r="L92" s="85">
        <v>1</v>
      </c>
      <c r="N92" s="208" t="s">
        <v>44</v>
      </c>
    </row>
    <row r="93" spans="1:14">
      <c r="A93" s="36" t="s">
        <v>32</v>
      </c>
      <c r="B93" s="37">
        <v>44243</v>
      </c>
      <c r="C93" s="36" t="s">
        <v>85</v>
      </c>
      <c r="D93" s="36" t="s">
        <v>314</v>
      </c>
      <c r="E93" s="36" t="s">
        <v>370</v>
      </c>
      <c r="G93" s="87">
        <v>4650000</v>
      </c>
      <c r="H93" s="87">
        <v>465000</v>
      </c>
      <c r="I93" s="87">
        <v>5115000</v>
      </c>
      <c r="K93" s="85">
        <v>2021</v>
      </c>
      <c r="L93" s="85">
        <v>2</v>
      </c>
      <c r="N93" s="208" t="s">
        <v>44</v>
      </c>
    </row>
    <row r="94" spans="1:14">
      <c r="A94" s="36" t="s">
        <v>33</v>
      </c>
      <c r="B94" s="37">
        <v>44249</v>
      </c>
      <c r="C94" s="36" t="s">
        <v>106</v>
      </c>
      <c r="D94" s="36" t="s">
        <v>107</v>
      </c>
      <c r="E94" s="36" t="s">
        <v>108</v>
      </c>
      <c r="G94" s="87">
        <v>818182</v>
      </c>
      <c r="H94" s="87">
        <v>81818.200000000012</v>
      </c>
      <c r="I94" s="87">
        <v>900000.2</v>
      </c>
      <c r="K94" s="84">
        <v>2021</v>
      </c>
      <c r="L94" s="85">
        <v>2</v>
      </c>
      <c r="M94" s="36" t="s">
        <v>109</v>
      </c>
      <c r="N94" s="208" t="s">
        <v>44</v>
      </c>
    </row>
    <row r="95" spans="1:14">
      <c r="A95" s="36" t="s">
        <v>33</v>
      </c>
      <c r="B95" s="37">
        <v>44249</v>
      </c>
      <c r="C95" s="36" t="s">
        <v>106</v>
      </c>
      <c r="D95" s="36" t="s">
        <v>107</v>
      </c>
      <c r="E95" s="36" t="s">
        <v>77</v>
      </c>
      <c r="J95" s="38">
        <v>900000</v>
      </c>
      <c r="K95" s="84">
        <v>2021</v>
      </c>
      <c r="L95" s="85">
        <v>2</v>
      </c>
      <c r="N95" s="208" t="s">
        <v>44</v>
      </c>
    </row>
    <row r="96" spans="1:14">
      <c r="A96" s="36" t="s">
        <v>32</v>
      </c>
      <c r="B96" s="37">
        <v>44252</v>
      </c>
      <c r="C96" s="36" t="s">
        <v>209</v>
      </c>
      <c r="D96" s="36" t="s">
        <v>197</v>
      </c>
      <c r="E96" s="36" t="s">
        <v>77</v>
      </c>
      <c r="J96" s="38">
        <v>50239090</v>
      </c>
      <c r="K96" s="84">
        <v>2021</v>
      </c>
      <c r="L96" s="85">
        <v>1</v>
      </c>
      <c r="N96" s="208" t="s">
        <v>44</v>
      </c>
    </row>
    <row r="97" spans="1:14">
      <c r="A97" s="36" t="s">
        <v>32</v>
      </c>
      <c r="B97" s="37">
        <v>44253</v>
      </c>
      <c r="C97" s="36" t="s">
        <v>309</v>
      </c>
      <c r="D97" s="36" t="s">
        <v>310</v>
      </c>
      <c r="E97" s="36" t="s">
        <v>77</v>
      </c>
      <c r="J97" s="38">
        <v>4400000</v>
      </c>
      <c r="K97" s="85">
        <v>2021</v>
      </c>
      <c r="L97" s="85">
        <v>1</v>
      </c>
      <c r="N97" s="208" t="s">
        <v>44</v>
      </c>
    </row>
    <row r="98" spans="1:14">
      <c r="A98" s="36" t="s">
        <v>32</v>
      </c>
      <c r="B98" s="37">
        <v>44253</v>
      </c>
      <c r="C98" s="36" t="s">
        <v>85</v>
      </c>
      <c r="D98" s="36" t="s">
        <v>182</v>
      </c>
      <c r="E98" s="36" t="s">
        <v>77</v>
      </c>
      <c r="J98" s="38">
        <v>11254518</v>
      </c>
      <c r="K98" s="85">
        <v>2021</v>
      </c>
      <c r="L98" s="85">
        <v>1</v>
      </c>
      <c r="N98" s="208" t="s">
        <v>44</v>
      </c>
    </row>
    <row r="99" spans="1:14">
      <c r="A99" s="36" t="s">
        <v>32</v>
      </c>
      <c r="B99" s="37">
        <v>44253</v>
      </c>
      <c r="C99" s="36" t="s">
        <v>268</v>
      </c>
      <c r="D99" s="36" t="s">
        <v>261</v>
      </c>
      <c r="E99" s="36" t="s">
        <v>78</v>
      </c>
      <c r="G99" s="87">
        <v>-328182</v>
      </c>
      <c r="H99" s="87">
        <v>-32818.200000000004</v>
      </c>
      <c r="I99" s="87">
        <v>-361000.2</v>
      </c>
      <c r="K99" s="85">
        <v>2021</v>
      </c>
      <c r="L99" s="85">
        <v>1</v>
      </c>
      <c r="M99" s="36" t="s">
        <v>270</v>
      </c>
      <c r="N99" s="208" t="s">
        <v>44</v>
      </c>
    </row>
    <row r="100" spans="1:14">
      <c r="A100" s="36" t="s">
        <v>32</v>
      </c>
      <c r="B100" s="37">
        <v>44254</v>
      </c>
      <c r="C100" s="36" t="s">
        <v>305</v>
      </c>
      <c r="D100" s="36" t="s">
        <v>101</v>
      </c>
      <c r="E100" s="36" t="s">
        <v>77</v>
      </c>
      <c r="J100" s="38">
        <v>3432000</v>
      </c>
      <c r="K100" s="85">
        <v>2021</v>
      </c>
      <c r="L100" s="85">
        <v>1</v>
      </c>
      <c r="N100" s="208" t="s">
        <v>44</v>
      </c>
    </row>
    <row r="101" spans="1:14">
      <c r="A101" s="36" t="s">
        <v>33</v>
      </c>
      <c r="B101" s="37">
        <v>44254</v>
      </c>
      <c r="C101" s="36" t="s">
        <v>98</v>
      </c>
      <c r="D101" s="36" t="s">
        <v>94</v>
      </c>
      <c r="E101" s="36" t="s">
        <v>99</v>
      </c>
      <c r="G101" s="87">
        <v>480000</v>
      </c>
      <c r="H101" s="87">
        <v>48000</v>
      </c>
      <c r="I101" s="87">
        <v>528000</v>
      </c>
      <c r="K101" s="84">
        <v>2021</v>
      </c>
      <c r="L101" s="85">
        <v>2</v>
      </c>
      <c r="N101" s="208" t="s">
        <v>44</v>
      </c>
    </row>
    <row r="102" spans="1:14">
      <c r="A102" s="36" t="s">
        <v>32</v>
      </c>
      <c r="B102" s="37">
        <v>44255</v>
      </c>
      <c r="C102" s="36" t="s">
        <v>174</v>
      </c>
      <c r="D102" s="36" t="s">
        <v>368</v>
      </c>
      <c r="E102" s="36" t="s">
        <v>76</v>
      </c>
      <c r="F102" s="89">
        <v>14.5</v>
      </c>
      <c r="G102" s="87">
        <v>3820800</v>
      </c>
      <c r="H102" s="87">
        <v>382080</v>
      </c>
      <c r="I102" s="87">
        <v>4202880</v>
      </c>
      <c r="K102" s="85">
        <v>2021</v>
      </c>
      <c r="L102" s="85">
        <v>2</v>
      </c>
      <c r="N102" s="208" t="s">
        <v>44</v>
      </c>
    </row>
    <row r="103" spans="1:14">
      <c r="A103" s="36" t="s">
        <v>32</v>
      </c>
      <c r="B103" s="37">
        <v>44255</v>
      </c>
      <c r="C103" s="36" t="s">
        <v>209</v>
      </c>
      <c r="D103" s="36" t="s">
        <v>197</v>
      </c>
      <c r="E103" s="36" t="s">
        <v>76</v>
      </c>
      <c r="F103" s="89">
        <v>31</v>
      </c>
      <c r="G103" s="87">
        <v>15591900</v>
      </c>
      <c r="H103" s="87">
        <v>1559190</v>
      </c>
      <c r="I103" s="87">
        <v>17151090</v>
      </c>
      <c r="K103" s="85">
        <v>2021</v>
      </c>
      <c r="L103" s="85">
        <v>2</v>
      </c>
      <c r="N103" s="208" t="s">
        <v>44</v>
      </c>
    </row>
    <row r="104" spans="1:14">
      <c r="A104" s="36" t="s">
        <v>33</v>
      </c>
      <c r="B104" s="37">
        <v>44255</v>
      </c>
      <c r="C104" s="36" t="s">
        <v>96</v>
      </c>
      <c r="D104" s="36" t="s">
        <v>200</v>
      </c>
      <c r="E104" s="36" t="s">
        <v>97</v>
      </c>
      <c r="G104" s="87">
        <v>790000</v>
      </c>
      <c r="H104" s="87">
        <v>79000</v>
      </c>
      <c r="I104" s="87">
        <v>869000</v>
      </c>
      <c r="K104" s="85">
        <v>2021</v>
      </c>
      <c r="L104" s="85">
        <v>2</v>
      </c>
      <c r="N104" s="208" t="s">
        <v>44</v>
      </c>
    </row>
    <row r="105" spans="1:14">
      <c r="A105" s="36" t="s">
        <v>32</v>
      </c>
      <c r="B105" s="37">
        <v>44255</v>
      </c>
      <c r="C105" s="36" t="s">
        <v>180</v>
      </c>
      <c r="D105" s="36" t="s">
        <v>344</v>
      </c>
      <c r="E105" s="36" t="s">
        <v>76</v>
      </c>
      <c r="F105" s="89">
        <v>180</v>
      </c>
      <c r="G105" s="87">
        <v>42300000</v>
      </c>
      <c r="H105" s="87">
        <v>4230000</v>
      </c>
      <c r="I105" s="87">
        <v>46530000</v>
      </c>
      <c r="K105" s="85">
        <v>2021</v>
      </c>
      <c r="L105" s="85">
        <v>2</v>
      </c>
      <c r="N105" s="208" t="s">
        <v>44</v>
      </c>
    </row>
    <row r="106" spans="1:14">
      <c r="A106" s="36" t="s">
        <v>32</v>
      </c>
      <c r="B106" s="37">
        <v>44255</v>
      </c>
      <c r="C106" s="36" t="s">
        <v>81</v>
      </c>
      <c r="D106" s="36" t="s">
        <v>296</v>
      </c>
      <c r="E106" s="36" t="s">
        <v>76</v>
      </c>
      <c r="F106" s="89">
        <v>3.5</v>
      </c>
      <c r="G106" s="87">
        <v>920000</v>
      </c>
      <c r="H106" s="87">
        <v>92000</v>
      </c>
      <c r="I106" s="87">
        <v>1012000</v>
      </c>
      <c r="K106" s="85">
        <v>2021</v>
      </c>
      <c r="L106" s="85">
        <v>2</v>
      </c>
      <c r="N106" s="208" t="s">
        <v>44</v>
      </c>
    </row>
    <row r="107" spans="1:14">
      <c r="A107" s="36" t="s">
        <v>33</v>
      </c>
      <c r="B107" s="37">
        <v>44255</v>
      </c>
      <c r="C107" s="36" t="s">
        <v>81</v>
      </c>
      <c r="D107" s="36" t="s">
        <v>113</v>
      </c>
      <c r="E107" s="36" t="s">
        <v>114</v>
      </c>
      <c r="G107" s="87">
        <v>3000000</v>
      </c>
      <c r="H107" s="87">
        <v>300000</v>
      </c>
      <c r="I107" s="87">
        <v>3300000</v>
      </c>
      <c r="K107" s="85">
        <v>2021</v>
      </c>
      <c r="L107" s="85">
        <v>2</v>
      </c>
      <c r="N107" s="208" t="s">
        <v>44</v>
      </c>
    </row>
    <row r="108" spans="1:14">
      <c r="A108" s="36" t="s">
        <v>32</v>
      </c>
      <c r="B108" s="37">
        <v>44255</v>
      </c>
      <c r="C108" s="36" t="s">
        <v>305</v>
      </c>
      <c r="D108" s="36" t="s">
        <v>101</v>
      </c>
      <c r="E108" s="36" t="s">
        <v>306</v>
      </c>
      <c r="G108" s="87">
        <v>-250000</v>
      </c>
      <c r="H108" s="87">
        <v>-25000</v>
      </c>
      <c r="I108" s="87">
        <v>-275000</v>
      </c>
      <c r="K108" s="85">
        <v>2021</v>
      </c>
      <c r="L108" s="85">
        <v>1</v>
      </c>
      <c r="N108" s="208" t="s">
        <v>44</v>
      </c>
    </row>
    <row r="109" spans="1:14">
      <c r="A109" s="36" t="s">
        <v>32</v>
      </c>
      <c r="B109" s="37">
        <v>44255</v>
      </c>
      <c r="C109" s="36" t="s">
        <v>204</v>
      </c>
      <c r="D109" s="36" t="s">
        <v>205</v>
      </c>
      <c r="E109" s="36" t="s">
        <v>76</v>
      </c>
      <c r="F109" s="89">
        <v>70.5</v>
      </c>
      <c r="G109" s="87">
        <v>25115792</v>
      </c>
      <c r="H109" s="87">
        <v>2511579.2000000002</v>
      </c>
      <c r="I109" s="87">
        <v>27627371.199999999</v>
      </c>
      <c r="K109" s="85">
        <v>2021</v>
      </c>
      <c r="L109" s="85">
        <v>2</v>
      </c>
      <c r="N109" s="208" t="s">
        <v>44</v>
      </c>
    </row>
    <row r="110" spans="1:14">
      <c r="A110" s="36" t="s">
        <v>32</v>
      </c>
      <c r="B110" s="37">
        <v>44255</v>
      </c>
      <c r="C110" s="36" t="s">
        <v>281</v>
      </c>
      <c r="D110" s="36" t="s">
        <v>112</v>
      </c>
      <c r="E110" s="36" t="s">
        <v>78</v>
      </c>
      <c r="F110" s="89">
        <v>24</v>
      </c>
      <c r="G110" s="87">
        <v>8486000</v>
      </c>
      <c r="H110" s="87">
        <v>848600</v>
      </c>
      <c r="I110" s="87">
        <v>9334600</v>
      </c>
      <c r="K110" s="85">
        <v>2021</v>
      </c>
      <c r="L110" s="85">
        <v>2</v>
      </c>
      <c r="N110" s="208" t="s">
        <v>44</v>
      </c>
    </row>
    <row r="111" spans="1:14">
      <c r="A111" s="36" t="s">
        <v>32</v>
      </c>
      <c r="B111" s="37">
        <v>44255</v>
      </c>
      <c r="C111" s="36" t="s">
        <v>281</v>
      </c>
      <c r="D111" s="36" t="s">
        <v>110</v>
      </c>
      <c r="E111" s="36" t="s">
        <v>78</v>
      </c>
      <c r="F111" s="89">
        <v>33</v>
      </c>
      <c r="G111" s="87">
        <v>7760000</v>
      </c>
      <c r="H111" s="87">
        <v>776000</v>
      </c>
      <c r="I111" s="87">
        <v>8536000</v>
      </c>
      <c r="K111" s="85">
        <v>2021</v>
      </c>
      <c r="L111" s="85">
        <v>2</v>
      </c>
      <c r="N111" s="208" t="s">
        <v>44</v>
      </c>
    </row>
    <row r="112" spans="1:14">
      <c r="A112" s="36" t="s">
        <v>32</v>
      </c>
      <c r="B112" s="37">
        <v>44255</v>
      </c>
      <c r="C112" s="36" t="s">
        <v>277</v>
      </c>
      <c r="D112" s="36" t="s">
        <v>278</v>
      </c>
      <c r="E112" s="36" t="s">
        <v>76</v>
      </c>
      <c r="F112" s="89">
        <v>6</v>
      </c>
      <c r="G112" s="87">
        <v>2530000</v>
      </c>
      <c r="H112" s="87">
        <v>253000</v>
      </c>
      <c r="I112" s="87">
        <v>2783000</v>
      </c>
      <c r="K112" s="85">
        <v>2021</v>
      </c>
      <c r="L112" s="85">
        <v>2</v>
      </c>
      <c r="N112" s="208" t="s">
        <v>44</v>
      </c>
    </row>
    <row r="113" spans="1:14">
      <c r="A113" s="36" t="s">
        <v>33</v>
      </c>
      <c r="B113" s="37">
        <v>44255</v>
      </c>
      <c r="C113" s="36" t="s">
        <v>119</v>
      </c>
      <c r="D113" s="36" t="s">
        <v>199</v>
      </c>
      <c r="E113" s="36" t="s">
        <v>76</v>
      </c>
      <c r="G113" s="87">
        <v>18240000</v>
      </c>
      <c r="H113" s="87">
        <v>1824000</v>
      </c>
      <c r="I113" s="87">
        <v>20064000</v>
      </c>
      <c r="K113" s="84">
        <v>2021</v>
      </c>
      <c r="L113" s="85">
        <v>2</v>
      </c>
      <c r="N113" s="208" t="s">
        <v>44</v>
      </c>
    </row>
    <row r="114" spans="1:14">
      <c r="A114" s="36" t="s">
        <v>32</v>
      </c>
      <c r="B114" s="37">
        <v>44255</v>
      </c>
      <c r="C114" s="36" t="s">
        <v>85</v>
      </c>
      <c r="D114" s="36" t="s">
        <v>182</v>
      </c>
      <c r="E114" s="36" t="s">
        <v>78</v>
      </c>
      <c r="F114" s="89">
        <v>81.5</v>
      </c>
      <c r="G114" s="87">
        <v>17704197</v>
      </c>
      <c r="H114" s="87">
        <v>1770419</v>
      </c>
      <c r="I114" s="87">
        <v>19474616</v>
      </c>
      <c r="K114" s="85">
        <v>2021</v>
      </c>
      <c r="L114" s="85">
        <v>2</v>
      </c>
      <c r="N114" s="208" t="s">
        <v>44</v>
      </c>
    </row>
    <row r="115" spans="1:14">
      <c r="A115" s="36" t="s">
        <v>32</v>
      </c>
      <c r="B115" s="37">
        <v>44255</v>
      </c>
      <c r="C115" s="36" t="s">
        <v>169</v>
      </c>
      <c r="D115" s="36" t="s">
        <v>170</v>
      </c>
      <c r="E115" s="36" t="s">
        <v>76</v>
      </c>
      <c r="G115" s="87">
        <v>690000</v>
      </c>
      <c r="H115" s="87">
        <v>69000</v>
      </c>
      <c r="I115" s="87">
        <v>759000</v>
      </c>
      <c r="K115" s="85">
        <v>2021</v>
      </c>
      <c r="L115" s="85">
        <v>2</v>
      </c>
      <c r="N115" s="208" t="s">
        <v>44</v>
      </c>
    </row>
    <row r="116" spans="1:14">
      <c r="A116" s="36" t="s">
        <v>32</v>
      </c>
      <c r="B116" s="37">
        <v>44255</v>
      </c>
      <c r="C116" s="36" t="s">
        <v>291</v>
      </c>
      <c r="D116" s="36" t="s">
        <v>292</v>
      </c>
      <c r="E116" s="36" t="s">
        <v>78</v>
      </c>
      <c r="F116" s="89">
        <v>9</v>
      </c>
      <c r="G116" s="87">
        <v>7158500</v>
      </c>
      <c r="H116" s="87">
        <v>715850</v>
      </c>
      <c r="I116" s="87">
        <v>7874350</v>
      </c>
      <c r="K116" s="85">
        <v>2021</v>
      </c>
      <c r="L116" s="85">
        <v>2</v>
      </c>
      <c r="N116" s="208" t="s">
        <v>44</v>
      </c>
    </row>
    <row r="117" spans="1:14">
      <c r="A117" s="36" t="s">
        <v>32</v>
      </c>
      <c r="B117" s="37">
        <v>44255</v>
      </c>
      <c r="C117" s="36" t="s">
        <v>287</v>
      </c>
      <c r="D117" s="36" t="s">
        <v>150</v>
      </c>
      <c r="E117" s="36" t="s">
        <v>76</v>
      </c>
      <c r="F117" s="89">
        <v>5.5</v>
      </c>
      <c r="G117" s="87">
        <v>2019600</v>
      </c>
      <c r="H117" s="87">
        <v>201960</v>
      </c>
      <c r="I117" s="87">
        <v>2221560</v>
      </c>
      <c r="K117" s="85">
        <v>2021</v>
      </c>
      <c r="L117" s="85">
        <v>2</v>
      </c>
      <c r="N117" s="208" t="s">
        <v>44</v>
      </c>
    </row>
    <row r="118" spans="1:14">
      <c r="A118" s="36" t="s">
        <v>32</v>
      </c>
      <c r="B118" s="37">
        <v>44255</v>
      </c>
      <c r="C118" s="36" t="s">
        <v>185</v>
      </c>
      <c r="D118" s="36" t="s">
        <v>186</v>
      </c>
      <c r="E118" s="36" t="s">
        <v>76</v>
      </c>
      <c r="F118" s="89">
        <v>40.5</v>
      </c>
      <c r="G118" s="87">
        <v>14261000</v>
      </c>
      <c r="H118" s="87">
        <v>1426100</v>
      </c>
      <c r="I118" s="87">
        <v>15687100</v>
      </c>
      <c r="K118" s="85">
        <v>2021</v>
      </c>
      <c r="L118" s="85">
        <v>2</v>
      </c>
      <c r="N118" s="208" t="s">
        <v>44</v>
      </c>
    </row>
    <row r="119" spans="1:14">
      <c r="A119" s="36" t="s">
        <v>32</v>
      </c>
      <c r="B119" s="37">
        <v>44255</v>
      </c>
      <c r="C119" s="36" t="s">
        <v>185</v>
      </c>
      <c r="D119" s="36" t="s">
        <v>187</v>
      </c>
      <c r="E119" s="36" t="s">
        <v>76</v>
      </c>
      <c r="F119" s="89">
        <v>19</v>
      </c>
      <c r="G119" s="87">
        <v>6012000</v>
      </c>
      <c r="H119" s="87">
        <v>601200</v>
      </c>
      <c r="I119" s="87">
        <v>6613200</v>
      </c>
      <c r="K119" s="85">
        <v>2021</v>
      </c>
      <c r="L119" s="85">
        <v>2</v>
      </c>
      <c r="N119" s="208" t="s">
        <v>44</v>
      </c>
    </row>
    <row r="120" spans="1:14">
      <c r="A120" s="36" t="s">
        <v>32</v>
      </c>
      <c r="B120" s="37">
        <v>44255</v>
      </c>
      <c r="C120" s="36" t="s">
        <v>268</v>
      </c>
      <c r="D120" s="36" t="s">
        <v>261</v>
      </c>
      <c r="E120" s="36" t="s">
        <v>76</v>
      </c>
      <c r="F120" s="89">
        <v>9</v>
      </c>
      <c r="G120" s="87">
        <v>1467200</v>
      </c>
      <c r="H120" s="87">
        <v>146720</v>
      </c>
      <c r="I120" s="87">
        <v>1613920</v>
      </c>
      <c r="K120" s="85">
        <v>2021</v>
      </c>
      <c r="L120" s="85">
        <v>2</v>
      </c>
      <c r="N120" s="208" t="s">
        <v>44</v>
      </c>
    </row>
    <row r="121" spans="1:14">
      <c r="A121" s="36" t="s">
        <v>32</v>
      </c>
      <c r="B121" s="37">
        <v>44255</v>
      </c>
      <c r="C121" s="36" t="s">
        <v>268</v>
      </c>
      <c r="D121" s="36" t="s">
        <v>273</v>
      </c>
      <c r="E121" s="36" t="s">
        <v>76</v>
      </c>
      <c r="F121" s="89">
        <v>12.5</v>
      </c>
      <c r="G121" s="87">
        <v>3790000</v>
      </c>
      <c r="H121" s="87">
        <v>379000</v>
      </c>
      <c r="I121" s="87">
        <v>4169000</v>
      </c>
      <c r="K121" s="85">
        <v>2021</v>
      </c>
      <c r="L121" s="85">
        <v>2</v>
      </c>
      <c r="N121" s="208" t="s">
        <v>44</v>
      </c>
    </row>
    <row r="122" spans="1:14">
      <c r="A122" s="36" t="s">
        <v>32</v>
      </c>
      <c r="B122" s="37">
        <v>44255</v>
      </c>
      <c r="C122" s="36" t="s">
        <v>188</v>
      </c>
      <c r="D122" s="36" t="s">
        <v>189</v>
      </c>
      <c r="E122" s="36" t="s">
        <v>76</v>
      </c>
      <c r="F122" s="89">
        <v>32</v>
      </c>
      <c r="G122" s="87">
        <v>9223200</v>
      </c>
      <c r="H122" s="87">
        <v>922320</v>
      </c>
      <c r="I122" s="87">
        <v>10145520</v>
      </c>
      <c r="K122" s="85">
        <v>2021</v>
      </c>
      <c r="L122" s="85">
        <v>2</v>
      </c>
      <c r="N122" s="208" t="s">
        <v>44</v>
      </c>
    </row>
    <row r="123" spans="1:14">
      <c r="A123" s="36" t="s">
        <v>33</v>
      </c>
      <c r="B123" s="37">
        <v>44255</v>
      </c>
      <c r="C123" s="36" t="s">
        <v>115</v>
      </c>
      <c r="D123" s="36" t="s">
        <v>371</v>
      </c>
      <c r="E123" s="36" t="s">
        <v>116</v>
      </c>
      <c r="G123" s="87">
        <v>98182</v>
      </c>
      <c r="H123" s="87">
        <v>9818.2000000000007</v>
      </c>
      <c r="I123" s="87">
        <v>108000.2</v>
      </c>
      <c r="K123" s="84">
        <v>2021</v>
      </c>
      <c r="L123" s="85">
        <v>2</v>
      </c>
      <c r="M123" s="36" t="s">
        <v>107</v>
      </c>
      <c r="N123" s="208" t="s">
        <v>44</v>
      </c>
    </row>
    <row r="124" spans="1:14">
      <c r="A124" s="36" t="s">
        <v>33</v>
      </c>
      <c r="B124" s="37">
        <v>44255</v>
      </c>
      <c r="C124" s="36" t="s">
        <v>115</v>
      </c>
      <c r="D124" s="36" t="s">
        <v>371</v>
      </c>
      <c r="E124" s="36" t="s">
        <v>117</v>
      </c>
      <c r="G124" s="87">
        <v>240000</v>
      </c>
      <c r="H124" s="87">
        <v>24000</v>
      </c>
      <c r="I124" s="87">
        <v>264000</v>
      </c>
      <c r="K124" s="84">
        <v>2021</v>
      </c>
      <c r="L124" s="85">
        <v>2</v>
      </c>
      <c r="M124" s="36" t="s">
        <v>107</v>
      </c>
      <c r="N124" s="208" t="s">
        <v>44</v>
      </c>
    </row>
    <row r="125" spans="1:14">
      <c r="A125" s="36" t="s">
        <v>33</v>
      </c>
      <c r="B125" s="37">
        <v>44255</v>
      </c>
      <c r="C125" s="36" t="s">
        <v>115</v>
      </c>
      <c r="D125" s="36" t="s">
        <v>371</v>
      </c>
      <c r="E125" s="36" t="s">
        <v>214</v>
      </c>
      <c r="G125" s="87">
        <v>616364</v>
      </c>
      <c r="H125" s="87">
        <v>61636</v>
      </c>
      <c r="I125" s="87">
        <v>678000</v>
      </c>
      <c r="K125" s="84">
        <v>2021</v>
      </c>
      <c r="L125" s="85">
        <v>2</v>
      </c>
      <c r="M125" s="36" t="s">
        <v>107</v>
      </c>
      <c r="N125" s="208" t="s">
        <v>44</v>
      </c>
    </row>
    <row r="126" spans="1:14">
      <c r="A126" s="36" t="s">
        <v>33</v>
      </c>
      <c r="B126" s="37">
        <v>44255</v>
      </c>
      <c r="C126" s="36" t="s">
        <v>115</v>
      </c>
      <c r="D126" s="36" t="s">
        <v>371</v>
      </c>
      <c r="E126" s="36" t="s">
        <v>215</v>
      </c>
      <c r="G126" s="87">
        <v>610909</v>
      </c>
      <c r="H126" s="87">
        <v>61091</v>
      </c>
      <c r="I126" s="87">
        <v>672000</v>
      </c>
      <c r="K126" s="84">
        <v>2021</v>
      </c>
      <c r="L126" s="85">
        <v>2</v>
      </c>
      <c r="M126" s="36" t="s">
        <v>107</v>
      </c>
      <c r="N126" s="208" t="s">
        <v>44</v>
      </c>
    </row>
    <row r="127" spans="1:14">
      <c r="A127" s="36" t="s">
        <v>33</v>
      </c>
      <c r="B127" s="37">
        <v>44255</v>
      </c>
      <c r="C127" s="36" t="s">
        <v>82</v>
      </c>
      <c r="D127" s="36" t="s">
        <v>110</v>
      </c>
      <c r="E127" s="36" t="s">
        <v>111</v>
      </c>
      <c r="G127" s="87">
        <v>933000</v>
      </c>
      <c r="H127" s="87">
        <v>93300</v>
      </c>
      <c r="I127" s="87">
        <v>1026300</v>
      </c>
      <c r="K127" s="84">
        <v>2021</v>
      </c>
      <c r="L127" s="85">
        <v>1</v>
      </c>
      <c r="N127" s="208" t="s">
        <v>44</v>
      </c>
    </row>
    <row r="128" spans="1:14">
      <c r="A128" s="36" t="s">
        <v>33</v>
      </c>
      <c r="B128" s="37">
        <v>44255</v>
      </c>
      <c r="C128" s="36" t="s">
        <v>82</v>
      </c>
      <c r="D128" s="36" t="s">
        <v>112</v>
      </c>
      <c r="E128" s="36" t="s">
        <v>111</v>
      </c>
      <c r="G128" s="87">
        <v>477000</v>
      </c>
      <c r="H128" s="87">
        <v>47700</v>
      </c>
      <c r="I128" s="87">
        <v>524700</v>
      </c>
      <c r="K128" s="84">
        <v>2021</v>
      </c>
      <c r="L128" s="85">
        <v>1</v>
      </c>
      <c r="N128" s="208" t="s">
        <v>44</v>
      </c>
    </row>
    <row r="129" spans="1:14">
      <c r="A129" s="36" t="s">
        <v>33</v>
      </c>
      <c r="B129" s="37">
        <v>44255</v>
      </c>
      <c r="C129" s="36" t="s">
        <v>82</v>
      </c>
      <c r="D129" s="36" t="s">
        <v>110</v>
      </c>
      <c r="E129" s="36" t="s">
        <v>148</v>
      </c>
      <c r="J129" s="38">
        <v>1026300</v>
      </c>
      <c r="K129" s="84">
        <v>2021</v>
      </c>
      <c r="L129" s="85">
        <v>1</v>
      </c>
      <c r="N129" s="208" t="s">
        <v>44</v>
      </c>
    </row>
    <row r="130" spans="1:14">
      <c r="A130" s="36" t="s">
        <v>33</v>
      </c>
      <c r="B130" s="37">
        <v>44255</v>
      </c>
      <c r="C130" s="36" t="s">
        <v>82</v>
      </c>
      <c r="D130" s="36" t="s">
        <v>112</v>
      </c>
      <c r="E130" s="36" t="s">
        <v>148</v>
      </c>
      <c r="J130" s="38">
        <v>524700</v>
      </c>
      <c r="K130" s="84">
        <v>2021</v>
      </c>
      <c r="L130" s="85">
        <v>1</v>
      </c>
      <c r="N130" s="208" t="s">
        <v>44</v>
      </c>
    </row>
    <row r="131" spans="1:14">
      <c r="A131" s="36" t="s">
        <v>33</v>
      </c>
      <c r="B131" s="37">
        <v>44255</v>
      </c>
      <c r="C131" s="36" t="s">
        <v>103</v>
      </c>
      <c r="D131" s="36" t="s">
        <v>205</v>
      </c>
      <c r="E131" s="36" t="s">
        <v>118</v>
      </c>
      <c r="G131" s="87">
        <v>7239271</v>
      </c>
      <c r="H131" s="87">
        <v>723927.10000000009</v>
      </c>
      <c r="I131" s="87">
        <v>7963198.0999999996</v>
      </c>
      <c r="K131" s="84">
        <v>2021</v>
      </c>
      <c r="L131" s="85">
        <v>2</v>
      </c>
      <c r="N131" s="208" t="s">
        <v>44</v>
      </c>
    </row>
    <row r="132" spans="1:14">
      <c r="A132" s="36" t="s">
        <v>33</v>
      </c>
      <c r="B132" s="37">
        <v>44256</v>
      </c>
      <c r="C132" s="36" t="s">
        <v>96</v>
      </c>
      <c r="D132" s="36" t="s">
        <v>200</v>
      </c>
      <c r="E132" s="36" t="s">
        <v>79</v>
      </c>
      <c r="J132" s="38">
        <v>3432000</v>
      </c>
      <c r="K132" s="84">
        <v>2021</v>
      </c>
      <c r="L132" s="85">
        <v>1</v>
      </c>
      <c r="N132" s="208" t="s">
        <v>44</v>
      </c>
    </row>
    <row r="133" spans="1:14">
      <c r="A133" s="36" t="s">
        <v>33</v>
      </c>
      <c r="B133" s="37">
        <v>44256</v>
      </c>
      <c r="C133" s="36" t="s">
        <v>322</v>
      </c>
      <c r="D133" s="36" t="s">
        <v>369</v>
      </c>
      <c r="E133" s="36" t="s">
        <v>79</v>
      </c>
      <c r="J133" s="38">
        <v>2000000</v>
      </c>
      <c r="K133" s="85">
        <v>2021</v>
      </c>
      <c r="L133" s="85">
        <v>1</v>
      </c>
      <c r="N133" s="208" t="s">
        <v>44</v>
      </c>
    </row>
    <row r="134" spans="1:14">
      <c r="A134" s="36" t="s">
        <v>33</v>
      </c>
      <c r="B134" s="37">
        <v>44256</v>
      </c>
      <c r="C134" s="36" t="s">
        <v>98</v>
      </c>
      <c r="D134" s="36" t="s">
        <v>94</v>
      </c>
      <c r="E134" s="36" t="s">
        <v>79</v>
      </c>
      <c r="J134" s="38">
        <v>462000</v>
      </c>
      <c r="K134" s="84">
        <v>2021</v>
      </c>
      <c r="L134" s="85">
        <v>1</v>
      </c>
      <c r="N134" s="208" t="s">
        <v>44</v>
      </c>
    </row>
    <row r="135" spans="1:14">
      <c r="A135" s="36" t="s">
        <v>33</v>
      </c>
      <c r="B135" s="37">
        <v>44256</v>
      </c>
      <c r="C135" s="36" t="s">
        <v>100</v>
      </c>
      <c r="D135" s="36" t="s">
        <v>101</v>
      </c>
      <c r="E135" s="36" t="s">
        <v>79</v>
      </c>
      <c r="J135" s="38">
        <v>976800</v>
      </c>
      <c r="K135" s="84">
        <v>2021</v>
      </c>
      <c r="L135" s="85">
        <v>1</v>
      </c>
      <c r="N135" s="208" t="s">
        <v>44</v>
      </c>
    </row>
    <row r="136" spans="1:14">
      <c r="A136" s="36" t="s">
        <v>33</v>
      </c>
      <c r="B136" s="37">
        <v>44256</v>
      </c>
      <c r="C136" s="36" t="s">
        <v>100</v>
      </c>
      <c r="D136" s="36" t="s">
        <v>101</v>
      </c>
      <c r="E136" s="36" t="s">
        <v>79</v>
      </c>
      <c r="J136" s="38">
        <v>1553200</v>
      </c>
      <c r="K136" s="84">
        <v>2020</v>
      </c>
      <c r="L136" s="85">
        <v>12</v>
      </c>
      <c r="N136" s="208" t="s">
        <v>44</v>
      </c>
    </row>
    <row r="137" spans="1:14">
      <c r="A137" s="36" t="s">
        <v>33</v>
      </c>
      <c r="B137" s="37">
        <v>44257</v>
      </c>
      <c r="C137" s="36" t="s">
        <v>120</v>
      </c>
      <c r="D137" s="36" t="s">
        <v>121</v>
      </c>
      <c r="E137" s="36" t="s">
        <v>122</v>
      </c>
      <c r="G137" s="87">
        <v>340909</v>
      </c>
      <c r="H137" s="87">
        <v>34090.9</v>
      </c>
      <c r="I137" s="87">
        <v>374999.9</v>
      </c>
      <c r="K137" s="188">
        <v>2021</v>
      </c>
      <c r="L137" s="85">
        <v>3</v>
      </c>
      <c r="M137" s="36" t="s">
        <v>123</v>
      </c>
      <c r="N137" s="208" t="s">
        <v>44</v>
      </c>
    </row>
    <row r="138" spans="1:14">
      <c r="A138" s="36" t="s">
        <v>32</v>
      </c>
      <c r="B138" s="37">
        <v>44257</v>
      </c>
      <c r="C138" s="36" t="s">
        <v>185</v>
      </c>
      <c r="D138" s="36" t="s">
        <v>186</v>
      </c>
      <c r="E138" s="36" t="s">
        <v>77</v>
      </c>
      <c r="J138" s="38">
        <v>5863000</v>
      </c>
      <c r="K138" s="85">
        <v>2021</v>
      </c>
      <c r="L138" s="85">
        <v>1</v>
      </c>
      <c r="N138" s="208" t="s">
        <v>44</v>
      </c>
    </row>
    <row r="139" spans="1:14">
      <c r="A139" s="36" t="s">
        <v>32</v>
      </c>
      <c r="B139" s="37">
        <v>44258</v>
      </c>
      <c r="C139" s="36" t="s">
        <v>204</v>
      </c>
      <c r="D139" s="36" t="s">
        <v>205</v>
      </c>
      <c r="E139" s="36" t="s">
        <v>77</v>
      </c>
      <c r="J139" s="38">
        <v>3198750</v>
      </c>
      <c r="K139" s="85">
        <v>2021</v>
      </c>
      <c r="L139" s="85">
        <v>1</v>
      </c>
      <c r="N139" s="208" t="s">
        <v>44</v>
      </c>
    </row>
    <row r="140" spans="1:14">
      <c r="A140" s="36" t="s">
        <v>33</v>
      </c>
      <c r="B140" s="37">
        <v>44259</v>
      </c>
      <c r="C140" s="36" t="s">
        <v>120</v>
      </c>
      <c r="D140" s="36" t="s">
        <v>121</v>
      </c>
      <c r="E140" s="36" t="s">
        <v>77</v>
      </c>
      <c r="J140" s="38">
        <v>375000</v>
      </c>
      <c r="K140" s="188">
        <v>2021</v>
      </c>
      <c r="L140" s="85">
        <v>3</v>
      </c>
      <c r="N140" s="208" t="s">
        <v>44</v>
      </c>
    </row>
    <row r="141" spans="1:14">
      <c r="A141" s="36" t="s">
        <v>33</v>
      </c>
      <c r="B141" s="37">
        <v>44259</v>
      </c>
      <c r="C141" s="36" t="s">
        <v>124</v>
      </c>
      <c r="D141" s="36" t="s">
        <v>229</v>
      </c>
      <c r="E141" s="36" t="s">
        <v>125</v>
      </c>
      <c r="G141" s="87">
        <v>2360909</v>
      </c>
      <c r="H141" s="87">
        <v>236090.90000000002</v>
      </c>
      <c r="I141" s="87">
        <v>2596999.9</v>
      </c>
      <c r="K141" s="84">
        <v>2021</v>
      </c>
      <c r="L141" s="85">
        <v>3</v>
      </c>
      <c r="M141" s="36" t="s">
        <v>107</v>
      </c>
      <c r="N141" s="208" t="s">
        <v>44</v>
      </c>
    </row>
    <row r="142" spans="1:14">
      <c r="A142" s="36" t="s">
        <v>33</v>
      </c>
      <c r="B142" s="37">
        <v>44259</v>
      </c>
      <c r="C142" s="36" t="s">
        <v>124</v>
      </c>
      <c r="D142" s="36" t="s">
        <v>229</v>
      </c>
      <c r="E142" s="36" t="s">
        <v>77</v>
      </c>
      <c r="J142" s="38">
        <v>2597000</v>
      </c>
      <c r="K142" s="84">
        <v>2021</v>
      </c>
      <c r="L142" s="85">
        <v>3</v>
      </c>
      <c r="M142" s="36" t="s">
        <v>107</v>
      </c>
      <c r="N142" s="208" t="s">
        <v>44</v>
      </c>
    </row>
    <row r="143" spans="1:14">
      <c r="A143" s="36" t="s">
        <v>33</v>
      </c>
      <c r="B143" s="37">
        <v>44259</v>
      </c>
      <c r="C143" s="36" t="s">
        <v>115</v>
      </c>
      <c r="D143" s="36" t="s">
        <v>371</v>
      </c>
      <c r="E143" s="36" t="s">
        <v>77</v>
      </c>
      <c r="J143" s="38">
        <v>1722000</v>
      </c>
      <c r="K143" s="84">
        <v>2021</v>
      </c>
      <c r="L143" s="85">
        <v>2</v>
      </c>
      <c r="M143" s="36" t="s">
        <v>107</v>
      </c>
      <c r="N143" s="208" t="s">
        <v>44</v>
      </c>
    </row>
    <row r="144" spans="1:14">
      <c r="A144" s="36" t="s">
        <v>33</v>
      </c>
      <c r="B144" s="37">
        <v>44259</v>
      </c>
      <c r="C144" s="36" t="s">
        <v>103</v>
      </c>
      <c r="D144" s="36" t="s">
        <v>205</v>
      </c>
      <c r="E144" s="36" t="s">
        <v>77</v>
      </c>
      <c r="J144" s="38">
        <v>1152142</v>
      </c>
      <c r="K144" s="84">
        <v>2021</v>
      </c>
      <c r="L144" s="85">
        <v>1</v>
      </c>
      <c r="N144" s="208" t="s">
        <v>44</v>
      </c>
    </row>
    <row r="145" spans="1:14">
      <c r="A145" s="36" t="s">
        <v>33</v>
      </c>
      <c r="B145" s="37">
        <v>44262</v>
      </c>
      <c r="C145" s="36" t="s">
        <v>126</v>
      </c>
      <c r="D145" s="36" t="s">
        <v>127</v>
      </c>
      <c r="E145" s="36" t="s">
        <v>128</v>
      </c>
      <c r="G145" s="87">
        <v>750000</v>
      </c>
      <c r="H145" s="87">
        <v>75000</v>
      </c>
      <c r="I145" s="87">
        <v>825000</v>
      </c>
      <c r="K145" s="84">
        <v>2021</v>
      </c>
      <c r="L145" s="85">
        <v>3</v>
      </c>
      <c r="N145" s="208" t="s">
        <v>44</v>
      </c>
    </row>
    <row r="146" spans="1:14">
      <c r="A146" s="36" t="s">
        <v>33</v>
      </c>
      <c r="B146" s="37">
        <v>44263</v>
      </c>
      <c r="C146" s="36" t="s">
        <v>106</v>
      </c>
      <c r="D146" s="36" t="s">
        <v>107</v>
      </c>
      <c r="E146" s="36" t="s">
        <v>108</v>
      </c>
      <c r="G146" s="87">
        <v>818182</v>
      </c>
      <c r="H146" s="87">
        <v>81818.200000000012</v>
      </c>
      <c r="I146" s="87">
        <v>900000.2</v>
      </c>
      <c r="K146" s="84">
        <v>2021</v>
      </c>
      <c r="L146" s="85">
        <v>3</v>
      </c>
      <c r="N146" s="208" t="s">
        <v>44</v>
      </c>
    </row>
    <row r="147" spans="1:14">
      <c r="A147" s="36" t="s">
        <v>33</v>
      </c>
      <c r="B147" s="37">
        <v>44263</v>
      </c>
      <c r="C147" s="36" t="s">
        <v>106</v>
      </c>
      <c r="D147" s="36" t="s">
        <v>107</v>
      </c>
      <c r="E147" s="36" t="s">
        <v>77</v>
      </c>
      <c r="J147" s="38">
        <v>900000</v>
      </c>
      <c r="K147" s="84">
        <v>2021</v>
      </c>
      <c r="L147" s="85">
        <v>3</v>
      </c>
      <c r="N147" s="208" t="s">
        <v>44</v>
      </c>
    </row>
    <row r="148" spans="1:14">
      <c r="A148" s="36" t="s">
        <v>32</v>
      </c>
      <c r="B148" s="37">
        <v>44263</v>
      </c>
      <c r="C148" s="36" t="s">
        <v>303</v>
      </c>
      <c r="D148" s="36" t="s">
        <v>304</v>
      </c>
      <c r="E148" s="36" t="s">
        <v>77</v>
      </c>
      <c r="J148" s="38">
        <v>5426960</v>
      </c>
      <c r="K148" s="85">
        <v>2021</v>
      </c>
      <c r="L148" s="85">
        <v>1</v>
      </c>
      <c r="N148" s="208" t="s">
        <v>44</v>
      </c>
    </row>
    <row r="149" spans="1:14">
      <c r="A149" s="36" t="s">
        <v>33</v>
      </c>
      <c r="B149" s="37">
        <v>44263</v>
      </c>
      <c r="C149" s="36" t="s">
        <v>129</v>
      </c>
      <c r="E149" s="36" t="s">
        <v>130</v>
      </c>
      <c r="G149" s="87">
        <v>590000</v>
      </c>
      <c r="H149" s="87">
        <v>59000</v>
      </c>
      <c r="I149" s="87">
        <v>649000</v>
      </c>
      <c r="K149" s="84">
        <v>2021</v>
      </c>
      <c r="L149" s="85">
        <v>3</v>
      </c>
      <c r="N149" s="208" t="s">
        <v>44</v>
      </c>
    </row>
    <row r="150" spans="1:14">
      <c r="A150" s="36" t="s">
        <v>33</v>
      </c>
      <c r="B150" s="37">
        <v>44263</v>
      </c>
      <c r="C150" s="36" t="s">
        <v>129</v>
      </c>
      <c r="E150" s="36" t="s">
        <v>77</v>
      </c>
      <c r="J150" s="38">
        <v>649000</v>
      </c>
      <c r="K150" s="84">
        <v>2021</v>
      </c>
      <c r="L150" s="85">
        <v>3</v>
      </c>
      <c r="N150" s="208" t="s">
        <v>44</v>
      </c>
    </row>
    <row r="151" spans="1:14">
      <c r="A151" s="36" t="s">
        <v>33</v>
      </c>
      <c r="B151" s="37">
        <v>44265</v>
      </c>
      <c r="C151" s="36" t="s">
        <v>131</v>
      </c>
      <c r="E151" s="36" t="s">
        <v>132</v>
      </c>
      <c r="G151" s="87">
        <v>329000</v>
      </c>
      <c r="H151" s="87">
        <v>32900</v>
      </c>
      <c r="I151" s="87">
        <v>361900</v>
      </c>
      <c r="K151" s="84">
        <v>2021</v>
      </c>
      <c r="L151" s="85">
        <v>3</v>
      </c>
      <c r="N151" s="208" t="s">
        <v>44</v>
      </c>
    </row>
    <row r="152" spans="1:14">
      <c r="A152" s="36" t="s">
        <v>32</v>
      </c>
      <c r="B152" s="37">
        <v>44265</v>
      </c>
      <c r="C152" s="36" t="s">
        <v>180</v>
      </c>
      <c r="D152" s="36" t="s">
        <v>344</v>
      </c>
      <c r="E152" s="36" t="s">
        <v>77</v>
      </c>
      <c r="J152" s="38">
        <v>46530000</v>
      </c>
      <c r="K152" s="85">
        <v>2021</v>
      </c>
      <c r="L152" s="85">
        <v>2</v>
      </c>
      <c r="N152" s="208" t="s">
        <v>44</v>
      </c>
    </row>
    <row r="153" spans="1:14">
      <c r="A153" s="36" t="s">
        <v>32</v>
      </c>
      <c r="B153" s="37">
        <v>44265</v>
      </c>
      <c r="C153" s="36" t="s">
        <v>81</v>
      </c>
      <c r="D153" s="36" t="s">
        <v>296</v>
      </c>
      <c r="E153" s="36" t="s">
        <v>77</v>
      </c>
      <c r="J153" s="38">
        <v>1012000</v>
      </c>
      <c r="K153" s="85">
        <v>2021</v>
      </c>
      <c r="L153" s="85">
        <v>2</v>
      </c>
      <c r="N153" s="208" t="s">
        <v>44</v>
      </c>
    </row>
    <row r="154" spans="1:14">
      <c r="A154" s="36" t="s">
        <v>32</v>
      </c>
      <c r="B154" s="37">
        <v>44265</v>
      </c>
      <c r="C154" s="36" t="s">
        <v>281</v>
      </c>
      <c r="D154" s="36" t="s">
        <v>112</v>
      </c>
      <c r="E154" s="36" t="s">
        <v>77</v>
      </c>
      <c r="J154" s="38">
        <v>5301120</v>
      </c>
      <c r="K154" s="85">
        <v>2021</v>
      </c>
      <c r="L154" s="85">
        <v>1</v>
      </c>
      <c r="N154" s="208" t="s">
        <v>44</v>
      </c>
    </row>
    <row r="155" spans="1:14">
      <c r="A155" s="36" t="s">
        <v>33</v>
      </c>
      <c r="B155" s="37">
        <v>44265</v>
      </c>
      <c r="C155" s="36" t="s">
        <v>133</v>
      </c>
      <c r="D155" s="36" t="s">
        <v>134</v>
      </c>
      <c r="E155" s="36" t="s">
        <v>135</v>
      </c>
      <c r="G155" s="87">
        <v>1818182</v>
      </c>
      <c r="H155" s="87">
        <v>181818.2</v>
      </c>
      <c r="I155" s="87">
        <v>2000000.2</v>
      </c>
      <c r="K155" s="84">
        <v>2021</v>
      </c>
      <c r="L155" s="85">
        <v>3</v>
      </c>
      <c r="N155" s="208" t="s">
        <v>44</v>
      </c>
    </row>
    <row r="156" spans="1:14">
      <c r="A156" s="36" t="s">
        <v>33</v>
      </c>
      <c r="B156" s="37">
        <v>44265</v>
      </c>
      <c r="C156" s="36" t="s">
        <v>133</v>
      </c>
      <c r="D156" s="36" t="s">
        <v>134</v>
      </c>
      <c r="E156" s="36" t="s">
        <v>77</v>
      </c>
      <c r="J156" s="38">
        <v>2000000</v>
      </c>
      <c r="K156" s="84">
        <v>2021</v>
      </c>
      <c r="L156" s="85">
        <v>3</v>
      </c>
      <c r="N156" s="208" t="s">
        <v>44</v>
      </c>
    </row>
    <row r="157" spans="1:14">
      <c r="A157" s="36" t="s">
        <v>33</v>
      </c>
      <c r="B157" s="37">
        <v>44266</v>
      </c>
      <c r="C157" s="36" t="s">
        <v>131</v>
      </c>
      <c r="E157" s="36" t="s">
        <v>77</v>
      </c>
      <c r="J157" s="38">
        <v>361900</v>
      </c>
      <c r="K157" s="84">
        <v>2021</v>
      </c>
      <c r="L157" s="85">
        <v>3</v>
      </c>
      <c r="N157" s="208" t="s">
        <v>44</v>
      </c>
    </row>
    <row r="158" spans="1:14">
      <c r="A158" s="36" t="s">
        <v>32</v>
      </c>
      <c r="B158" s="37">
        <v>44266</v>
      </c>
      <c r="C158" s="36" t="s">
        <v>169</v>
      </c>
      <c r="D158" s="36" t="s">
        <v>170</v>
      </c>
      <c r="E158" s="36" t="s">
        <v>77</v>
      </c>
      <c r="J158" s="38">
        <v>759000</v>
      </c>
      <c r="K158" s="85">
        <v>2021</v>
      </c>
      <c r="L158" s="85">
        <v>2</v>
      </c>
      <c r="N158" s="208" t="s">
        <v>44</v>
      </c>
    </row>
    <row r="159" spans="1:14">
      <c r="A159" s="36" t="s">
        <v>32</v>
      </c>
      <c r="B159" s="37">
        <v>44267</v>
      </c>
      <c r="C159" s="36" t="s">
        <v>268</v>
      </c>
      <c r="D159" s="36" t="s">
        <v>261</v>
      </c>
      <c r="E159" s="36" t="s">
        <v>77</v>
      </c>
      <c r="J159" s="38">
        <v>1602920</v>
      </c>
      <c r="K159" s="85">
        <v>2021</v>
      </c>
      <c r="L159" s="85">
        <v>2</v>
      </c>
      <c r="N159" s="208" t="s">
        <v>44</v>
      </c>
    </row>
    <row r="160" spans="1:14">
      <c r="A160" s="36" t="s">
        <v>32</v>
      </c>
      <c r="B160" s="37">
        <v>44267</v>
      </c>
      <c r="C160" s="36" t="s">
        <v>268</v>
      </c>
      <c r="D160" s="36" t="s">
        <v>261</v>
      </c>
      <c r="E160" s="36" t="s">
        <v>271</v>
      </c>
      <c r="J160" s="38">
        <v>11000</v>
      </c>
      <c r="K160" s="85">
        <v>2021</v>
      </c>
      <c r="L160" s="85">
        <v>2</v>
      </c>
      <c r="M160" s="36" t="s">
        <v>272</v>
      </c>
      <c r="N160" s="208" t="s">
        <v>44</v>
      </c>
    </row>
    <row r="161" spans="1:14">
      <c r="A161" s="36" t="s">
        <v>32</v>
      </c>
      <c r="B161" s="37">
        <v>44267</v>
      </c>
      <c r="C161" s="36" t="s">
        <v>268</v>
      </c>
      <c r="D161" s="36" t="s">
        <v>273</v>
      </c>
      <c r="E161" s="36" t="s">
        <v>77</v>
      </c>
      <c r="J161" s="38">
        <v>4144000</v>
      </c>
      <c r="K161" s="85">
        <v>2021</v>
      </c>
      <c r="L161" s="85">
        <v>2</v>
      </c>
      <c r="N161" s="208" t="s">
        <v>44</v>
      </c>
    </row>
    <row r="162" spans="1:14">
      <c r="A162" s="36" t="s">
        <v>32</v>
      </c>
      <c r="B162" s="37">
        <v>44270</v>
      </c>
      <c r="C162" s="36" t="s">
        <v>291</v>
      </c>
      <c r="D162" s="36" t="s">
        <v>292</v>
      </c>
      <c r="E162" s="36" t="s">
        <v>77</v>
      </c>
      <c r="J162" s="38">
        <v>7874350</v>
      </c>
      <c r="K162" s="85">
        <v>2021</v>
      </c>
      <c r="L162" s="85">
        <v>2</v>
      </c>
      <c r="N162" s="208" t="s">
        <v>44</v>
      </c>
    </row>
    <row r="163" spans="1:14">
      <c r="A163" s="36" t="s">
        <v>32</v>
      </c>
      <c r="B163" s="37">
        <v>44270</v>
      </c>
      <c r="C163" s="36" t="s">
        <v>268</v>
      </c>
      <c r="D163" s="36" t="s">
        <v>273</v>
      </c>
      <c r="E163" s="36" t="s">
        <v>77</v>
      </c>
      <c r="J163" s="38">
        <v>25000</v>
      </c>
      <c r="K163" s="85">
        <v>2021</v>
      </c>
      <c r="L163" s="85">
        <v>2</v>
      </c>
      <c r="N163" s="208" t="s">
        <v>44</v>
      </c>
    </row>
    <row r="164" spans="1:14">
      <c r="A164" s="36" t="s">
        <v>33</v>
      </c>
      <c r="B164" s="37">
        <v>44271</v>
      </c>
      <c r="C164" s="36" t="s">
        <v>136</v>
      </c>
      <c r="D164" s="36" t="s">
        <v>137</v>
      </c>
      <c r="E164" s="36" t="s">
        <v>138</v>
      </c>
      <c r="G164" s="87">
        <v>135000</v>
      </c>
      <c r="H164" s="87">
        <v>13500</v>
      </c>
      <c r="I164" s="87">
        <v>148500</v>
      </c>
      <c r="K164" s="84">
        <v>2021</v>
      </c>
      <c r="L164" s="85">
        <v>3</v>
      </c>
      <c r="N164" s="208" t="s">
        <v>44</v>
      </c>
    </row>
    <row r="165" spans="1:14">
      <c r="A165" s="36" t="s">
        <v>33</v>
      </c>
      <c r="B165" s="37">
        <v>44271</v>
      </c>
      <c r="C165" s="36" t="s">
        <v>136</v>
      </c>
      <c r="D165" s="36" t="s">
        <v>137</v>
      </c>
      <c r="E165" s="36" t="s">
        <v>77</v>
      </c>
      <c r="J165" s="38">
        <v>148500</v>
      </c>
      <c r="K165" s="84">
        <v>2021</v>
      </c>
      <c r="L165" s="85">
        <v>3</v>
      </c>
      <c r="N165" s="208" t="s">
        <v>44</v>
      </c>
    </row>
    <row r="166" spans="1:14">
      <c r="A166" s="36" t="s">
        <v>32</v>
      </c>
      <c r="B166" s="37">
        <v>44273</v>
      </c>
      <c r="C166" s="36" t="s">
        <v>169</v>
      </c>
      <c r="D166" s="36" t="s">
        <v>170</v>
      </c>
      <c r="E166" s="36" t="s">
        <v>76</v>
      </c>
      <c r="G166" s="87">
        <v>4000000</v>
      </c>
      <c r="H166" s="87">
        <v>400000</v>
      </c>
      <c r="I166" s="87">
        <v>4400000</v>
      </c>
      <c r="K166" s="85">
        <v>2021</v>
      </c>
      <c r="L166" s="85">
        <v>3</v>
      </c>
      <c r="N166" s="208" t="s">
        <v>44</v>
      </c>
    </row>
    <row r="167" spans="1:14">
      <c r="A167" s="36" t="s">
        <v>33</v>
      </c>
      <c r="B167" s="37">
        <v>44274</v>
      </c>
      <c r="C167" s="36" t="s">
        <v>131</v>
      </c>
      <c r="D167" s="36" t="s">
        <v>139</v>
      </c>
      <c r="E167" s="36" t="s">
        <v>140</v>
      </c>
      <c r="G167" s="87">
        <v>180000</v>
      </c>
      <c r="H167" s="87">
        <v>18000</v>
      </c>
      <c r="I167" s="87">
        <v>198000</v>
      </c>
      <c r="K167" s="84">
        <v>2021</v>
      </c>
      <c r="L167" s="85">
        <v>3</v>
      </c>
      <c r="N167" s="208" t="s">
        <v>44</v>
      </c>
    </row>
    <row r="168" spans="1:14">
      <c r="A168" s="36" t="s">
        <v>33</v>
      </c>
      <c r="B168" s="37">
        <v>44275</v>
      </c>
      <c r="C168" s="36" t="s">
        <v>141</v>
      </c>
      <c r="D168" s="36" t="s">
        <v>142</v>
      </c>
      <c r="E168" s="36" t="s">
        <v>143</v>
      </c>
      <c r="G168" s="87">
        <v>60000</v>
      </c>
      <c r="H168" s="87">
        <v>6000</v>
      </c>
      <c r="I168" s="87">
        <v>66000</v>
      </c>
      <c r="K168" s="84">
        <v>2021</v>
      </c>
      <c r="L168" s="85">
        <v>3</v>
      </c>
      <c r="N168" s="208" t="s">
        <v>44</v>
      </c>
    </row>
    <row r="169" spans="1:14">
      <c r="A169" s="36" t="s">
        <v>32</v>
      </c>
      <c r="B169" s="37">
        <v>44275</v>
      </c>
      <c r="C169" s="36" t="s">
        <v>185</v>
      </c>
      <c r="D169" s="36" t="s">
        <v>187</v>
      </c>
      <c r="E169" s="36" t="s">
        <v>77</v>
      </c>
      <c r="J169" s="38">
        <v>6613200</v>
      </c>
      <c r="K169" s="85">
        <v>2021</v>
      </c>
      <c r="L169" s="85">
        <v>2</v>
      </c>
      <c r="N169" s="208" t="s">
        <v>44</v>
      </c>
    </row>
    <row r="170" spans="1:14">
      <c r="A170" s="36" t="s">
        <v>33</v>
      </c>
      <c r="B170" s="37">
        <v>44277</v>
      </c>
      <c r="C170" s="36" t="s">
        <v>131</v>
      </c>
      <c r="D170" s="36" t="s">
        <v>139</v>
      </c>
      <c r="E170" s="36" t="s">
        <v>77</v>
      </c>
      <c r="J170" s="38">
        <v>198000</v>
      </c>
      <c r="K170" s="84">
        <v>2021</v>
      </c>
      <c r="L170" s="85">
        <v>3</v>
      </c>
      <c r="N170" s="208" t="s">
        <v>44</v>
      </c>
    </row>
    <row r="171" spans="1:14">
      <c r="A171" s="36" t="s">
        <v>33</v>
      </c>
      <c r="B171" s="37">
        <v>44277</v>
      </c>
      <c r="C171" s="36" t="s">
        <v>144</v>
      </c>
      <c r="D171" s="36" t="s">
        <v>145</v>
      </c>
      <c r="E171" s="36" t="s">
        <v>146</v>
      </c>
      <c r="G171" s="87">
        <v>300000</v>
      </c>
      <c r="H171" s="87">
        <v>30000</v>
      </c>
      <c r="I171" s="87">
        <v>330000</v>
      </c>
      <c r="K171" s="84">
        <v>2021</v>
      </c>
      <c r="L171" s="85">
        <v>3</v>
      </c>
      <c r="N171" s="208" t="s">
        <v>44</v>
      </c>
    </row>
    <row r="172" spans="1:14">
      <c r="A172" s="36" t="s">
        <v>33</v>
      </c>
      <c r="B172" s="37">
        <v>44277</v>
      </c>
      <c r="C172" s="36" t="s">
        <v>144</v>
      </c>
      <c r="D172" s="36" t="s">
        <v>145</v>
      </c>
      <c r="E172" s="36" t="s">
        <v>77</v>
      </c>
      <c r="J172" s="38">
        <v>330000</v>
      </c>
      <c r="K172" s="84">
        <v>2021</v>
      </c>
      <c r="L172" s="85">
        <v>3</v>
      </c>
      <c r="N172" s="208" t="s">
        <v>44</v>
      </c>
    </row>
    <row r="173" spans="1:14">
      <c r="A173" s="36" t="s">
        <v>32</v>
      </c>
      <c r="B173" s="37">
        <v>44280</v>
      </c>
      <c r="C173" s="36" t="s">
        <v>169</v>
      </c>
      <c r="D173" s="36" t="s">
        <v>170</v>
      </c>
      <c r="E173" s="36" t="s">
        <v>77</v>
      </c>
      <c r="J173" s="38">
        <v>4400000</v>
      </c>
      <c r="K173" s="85">
        <v>2021</v>
      </c>
      <c r="L173" s="85">
        <v>3</v>
      </c>
      <c r="N173" s="208" t="s">
        <v>44</v>
      </c>
    </row>
    <row r="174" spans="1:14">
      <c r="A174" s="36" t="s">
        <v>32</v>
      </c>
      <c r="B174" s="37">
        <v>44284</v>
      </c>
      <c r="C174" s="36" t="s">
        <v>209</v>
      </c>
      <c r="D174" s="36" t="s">
        <v>197</v>
      </c>
      <c r="E174" s="36" t="s">
        <v>77</v>
      </c>
      <c r="J174" s="38">
        <v>17151090</v>
      </c>
      <c r="K174" s="85">
        <v>2021</v>
      </c>
      <c r="L174" s="85">
        <v>2</v>
      </c>
      <c r="N174" s="208" t="s">
        <v>44</v>
      </c>
    </row>
    <row r="175" spans="1:14">
      <c r="A175" s="36" t="s">
        <v>32</v>
      </c>
      <c r="B175" s="37">
        <v>44284</v>
      </c>
      <c r="C175" s="36" t="s">
        <v>185</v>
      </c>
      <c r="D175" s="36" t="s">
        <v>186</v>
      </c>
      <c r="E175" s="36" t="s">
        <v>77</v>
      </c>
      <c r="J175" s="38">
        <v>15687100</v>
      </c>
      <c r="K175" s="85">
        <v>2021</v>
      </c>
      <c r="L175" s="85">
        <v>2</v>
      </c>
      <c r="N175" s="208" t="s">
        <v>44</v>
      </c>
    </row>
    <row r="176" spans="1:14">
      <c r="A176" s="36" t="s">
        <v>32</v>
      </c>
      <c r="B176" s="37">
        <v>44286</v>
      </c>
      <c r="C176" s="36" t="s">
        <v>174</v>
      </c>
      <c r="D176" s="36" t="s">
        <v>368</v>
      </c>
      <c r="E176" s="36" t="s">
        <v>77</v>
      </c>
      <c r="J176" s="38">
        <v>4202880</v>
      </c>
      <c r="K176" s="85">
        <v>2021</v>
      </c>
      <c r="L176" s="85">
        <v>2</v>
      </c>
      <c r="N176" s="208" t="s">
        <v>44</v>
      </c>
    </row>
    <row r="177" spans="1:14">
      <c r="A177" s="36" t="s">
        <v>32</v>
      </c>
      <c r="B177" s="37">
        <v>44286</v>
      </c>
      <c r="C177" s="36" t="s">
        <v>209</v>
      </c>
      <c r="D177" s="36" t="s">
        <v>197</v>
      </c>
      <c r="E177" s="36" t="s">
        <v>76</v>
      </c>
      <c r="F177" s="89">
        <v>62.5</v>
      </c>
      <c r="G177" s="87">
        <v>31672000</v>
      </c>
      <c r="H177" s="87">
        <v>3167200</v>
      </c>
      <c r="I177" s="87">
        <v>34839200</v>
      </c>
      <c r="K177" s="85">
        <v>2021</v>
      </c>
      <c r="L177" s="85">
        <v>3</v>
      </c>
      <c r="N177" s="208" t="s">
        <v>44</v>
      </c>
    </row>
    <row r="178" spans="1:14">
      <c r="A178" s="36" t="s">
        <v>33</v>
      </c>
      <c r="B178" s="37">
        <v>44286</v>
      </c>
      <c r="C178" s="36" t="s">
        <v>96</v>
      </c>
      <c r="D178" s="36" t="s">
        <v>200</v>
      </c>
      <c r="E178" s="36" t="s">
        <v>77</v>
      </c>
      <c r="J178" s="38">
        <v>869000</v>
      </c>
      <c r="K178" s="85">
        <v>2021</v>
      </c>
      <c r="L178" s="85">
        <v>2</v>
      </c>
      <c r="N178" s="208" t="s">
        <v>44</v>
      </c>
    </row>
    <row r="179" spans="1:14">
      <c r="A179" s="36" t="s">
        <v>33</v>
      </c>
      <c r="B179" s="37">
        <v>44286</v>
      </c>
      <c r="C179" s="36" t="s">
        <v>96</v>
      </c>
      <c r="D179" s="36" t="s">
        <v>186</v>
      </c>
      <c r="E179" s="36" t="s">
        <v>77</v>
      </c>
      <c r="J179" s="38">
        <v>165000</v>
      </c>
      <c r="K179" s="84">
        <v>2021</v>
      </c>
      <c r="L179" s="85">
        <v>2</v>
      </c>
      <c r="N179" s="208" t="s">
        <v>44</v>
      </c>
    </row>
    <row r="180" spans="1:14">
      <c r="A180" s="36" t="s">
        <v>33</v>
      </c>
      <c r="B180" s="37">
        <v>44286</v>
      </c>
      <c r="C180" s="36" t="s">
        <v>96</v>
      </c>
      <c r="D180" s="36" t="s">
        <v>200</v>
      </c>
      <c r="E180" s="36" t="s">
        <v>97</v>
      </c>
      <c r="G180" s="87">
        <v>130000</v>
      </c>
      <c r="H180" s="87">
        <v>13000</v>
      </c>
      <c r="I180" s="87">
        <v>143000</v>
      </c>
      <c r="K180" s="84">
        <v>2021</v>
      </c>
      <c r="L180" s="85">
        <v>3</v>
      </c>
      <c r="N180" s="208" t="s">
        <v>44</v>
      </c>
    </row>
    <row r="181" spans="1:14">
      <c r="A181" s="36" t="s">
        <v>33</v>
      </c>
      <c r="B181" s="37">
        <v>44286</v>
      </c>
      <c r="C181" s="36" t="s">
        <v>96</v>
      </c>
      <c r="D181" s="36" t="s">
        <v>150</v>
      </c>
      <c r="E181" s="36" t="s">
        <v>97</v>
      </c>
      <c r="G181" s="87">
        <v>150000</v>
      </c>
      <c r="H181" s="87">
        <v>15000</v>
      </c>
      <c r="I181" s="87">
        <v>165000</v>
      </c>
      <c r="K181" s="84">
        <v>2021</v>
      </c>
      <c r="L181" s="85">
        <v>3</v>
      </c>
      <c r="M181" s="146"/>
      <c r="N181" s="208" t="s">
        <v>44</v>
      </c>
    </row>
    <row r="182" spans="1:14">
      <c r="A182" s="36" t="s">
        <v>32</v>
      </c>
      <c r="B182" s="37">
        <v>44286</v>
      </c>
      <c r="C182" s="36" t="s">
        <v>180</v>
      </c>
      <c r="D182" s="36" t="s">
        <v>344</v>
      </c>
      <c r="E182" s="36" t="s">
        <v>76</v>
      </c>
      <c r="F182" s="89">
        <v>65</v>
      </c>
      <c r="G182" s="87">
        <v>15275000</v>
      </c>
      <c r="H182" s="87">
        <v>1527500</v>
      </c>
      <c r="I182" s="87">
        <v>16802500</v>
      </c>
      <c r="K182" s="85">
        <v>2021</v>
      </c>
      <c r="L182" s="85">
        <v>3</v>
      </c>
      <c r="N182" s="208" t="s">
        <v>44</v>
      </c>
    </row>
    <row r="183" spans="1:14">
      <c r="A183" s="36" t="s">
        <v>32</v>
      </c>
      <c r="B183" s="37">
        <v>44286</v>
      </c>
      <c r="C183" s="36" t="s">
        <v>81</v>
      </c>
      <c r="D183" s="36" t="s">
        <v>296</v>
      </c>
      <c r="E183" s="36" t="s">
        <v>78</v>
      </c>
      <c r="F183" s="89">
        <v>4</v>
      </c>
      <c r="G183" s="87">
        <v>920000</v>
      </c>
      <c r="H183" s="87">
        <v>92000</v>
      </c>
      <c r="I183" s="87">
        <v>1012000</v>
      </c>
      <c r="K183" s="85">
        <v>2021</v>
      </c>
      <c r="L183" s="85">
        <v>3</v>
      </c>
      <c r="N183" s="208" t="s">
        <v>44</v>
      </c>
    </row>
    <row r="184" spans="1:14">
      <c r="A184" s="36" t="s">
        <v>32</v>
      </c>
      <c r="B184" s="37">
        <v>44286</v>
      </c>
      <c r="C184" s="36" t="s">
        <v>204</v>
      </c>
      <c r="D184" s="36" t="s">
        <v>205</v>
      </c>
      <c r="E184" s="36" t="s">
        <v>76</v>
      </c>
      <c r="F184" s="89">
        <v>49</v>
      </c>
      <c r="G184" s="87">
        <v>13857898</v>
      </c>
      <c r="H184" s="87">
        <v>1385789</v>
      </c>
      <c r="I184" s="87">
        <v>15243687</v>
      </c>
      <c r="K184" s="85">
        <v>2021</v>
      </c>
      <c r="L184" s="85">
        <v>3</v>
      </c>
      <c r="N184" s="208" t="s">
        <v>44</v>
      </c>
    </row>
    <row r="185" spans="1:14">
      <c r="A185" s="36" t="s">
        <v>32</v>
      </c>
      <c r="B185" s="37">
        <v>44286</v>
      </c>
      <c r="C185" s="36" t="s">
        <v>281</v>
      </c>
      <c r="D185" s="36" t="s">
        <v>112</v>
      </c>
      <c r="E185" s="36" t="s">
        <v>77</v>
      </c>
      <c r="J185" s="38">
        <v>9334600</v>
      </c>
      <c r="K185" s="85">
        <v>2021</v>
      </c>
      <c r="L185" s="85">
        <v>2</v>
      </c>
      <c r="N185" s="208" t="s">
        <v>44</v>
      </c>
    </row>
    <row r="186" spans="1:14">
      <c r="A186" s="36" t="s">
        <v>32</v>
      </c>
      <c r="B186" s="37">
        <v>44286</v>
      </c>
      <c r="C186" s="36" t="s">
        <v>281</v>
      </c>
      <c r="D186" s="36" t="s">
        <v>110</v>
      </c>
      <c r="E186" s="36" t="s">
        <v>77</v>
      </c>
      <c r="J186" s="38">
        <v>8536000</v>
      </c>
      <c r="K186" s="85">
        <v>2021</v>
      </c>
      <c r="L186" s="85">
        <v>2</v>
      </c>
      <c r="N186" s="208" t="s">
        <v>44</v>
      </c>
    </row>
    <row r="187" spans="1:14">
      <c r="A187" s="36" t="s">
        <v>32</v>
      </c>
      <c r="B187" s="37">
        <v>44286</v>
      </c>
      <c r="C187" s="36" t="s">
        <v>281</v>
      </c>
      <c r="D187" s="36" t="s">
        <v>112</v>
      </c>
      <c r="E187" s="36" t="s">
        <v>78</v>
      </c>
      <c r="F187" s="89">
        <v>19</v>
      </c>
      <c r="G187" s="87">
        <v>1600000</v>
      </c>
      <c r="H187" s="87">
        <v>160000</v>
      </c>
      <c r="I187" s="87">
        <v>1760000</v>
      </c>
      <c r="K187" s="85">
        <v>2021</v>
      </c>
      <c r="L187" s="85">
        <v>3</v>
      </c>
      <c r="N187" s="208" t="s">
        <v>44</v>
      </c>
    </row>
    <row r="188" spans="1:14">
      <c r="A188" s="36" t="s">
        <v>33</v>
      </c>
      <c r="B188" s="37">
        <v>44286</v>
      </c>
      <c r="C188" s="36" t="s">
        <v>124</v>
      </c>
      <c r="D188" s="36" t="s">
        <v>229</v>
      </c>
      <c r="E188" s="36" t="s">
        <v>125</v>
      </c>
      <c r="G188" s="87">
        <v>2940000</v>
      </c>
      <c r="H188" s="87">
        <v>294000</v>
      </c>
      <c r="I188" s="87">
        <v>3234000</v>
      </c>
      <c r="K188" s="85">
        <v>2021</v>
      </c>
      <c r="L188" s="85">
        <v>3</v>
      </c>
      <c r="M188" s="36" t="s">
        <v>107</v>
      </c>
      <c r="N188" s="208" t="s">
        <v>44</v>
      </c>
    </row>
    <row r="189" spans="1:14">
      <c r="A189" s="36" t="s">
        <v>32</v>
      </c>
      <c r="B189" s="37">
        <v>44286</v>
      </c>
      <c r="C189" s="36" t="s">
        <v>285</v>
      </c>
      <c r="D189" s="36" t="s">
        <v>286</v>
      </c>
      <c r="E189" s="36" t="s">
        <v>78</v>
      </c>
      <c r="F189" s="89">
        <v>11</v>
      </c>
      <c r="G189" s="87">
        <v>8170000</v>
      </c>
      <c r="H189" s="87">
        <v>817000</v>
      </c>
      <c r="I189" s="87">
        <v>8987000</v>
      </c>
      <c r="K189" s="85">
        <v>2021</v>
      </c>
      <c r="L189" s="85">
        <v>3</v>
      </c>
      <c r="N189" s="208" t="s">
        <v>44</v>
      </c>
    </row>
    <row r="190" spans="1:14">
      <c r="A190" s="36" t="s">
        <v>32</v>
      </c>
      <c r="B190" s="37">
        <v>44286</v>
      </c>
      <c r="C190" s="36" t="s">
        <v>277</v>
      </c>
      <c r="D190" s="36" t="s">
        <v>278</v>
      </c>
      <c r="E190" s="36" t="s">
        <v>76</v>
      </c>
      <c r="F190" s="89">
        <v>14</v>
      </c>
      <c r="G190" s="87">
        <v>6885480</v>
      </c>
      <c r="H190" s="87">
        <v>688548</v>
      </c>
      <c r="I190" s="87">
        <v>7574028</v>
      </c>
      <c r="K190" s="85">
        <v>2021</v>
      </c>
      <c r="L190" s="85">
        <v>3</v>
      </c>
      <c r="N190" s="208" t="s">
        <v>44</v>
      </c>
    </row>
    <row r="191" spans="1:14">
      <c r="A191" s="36" t="s">
        <v>32</v>
      </c>
      <c r="B191" s="37">
        <v>44286</v>
      </c>
      <c r="C191" s="36" t="s">
        <v>181</v>
      </c>
      <c r="D191" s="36" t="s">
        <v>372</v>
      </c>
      <c r="E191" s="36" t="s">
        <v>76</v>
      </c>
      <c r="G191" s="87">
        <v>3583000</v>
      </c>
      <c r="H191" s="87">
        <v>358300</v>
      </c>
      <c r="I191" s="87">
        <v>3941300</v>
      </c>
      <c r="K191" s="85">
        <v>2021</v>
      </c>
      <c r="L191" s="85">
        <v>3</v>
      </c>
      <c r="N191" s="208" t="s">
        <v>44</v>
      </c>
    </row>
    <row r="192" spans="1:14">
      <c r="A192" s="36" t="s">
        <v>32</v>
      </c>
      <c r="B192" s="37">
        <v>44286</v>
      </c>
      <c r="C192" s="36" t="s">
        <v>181</v>
      </c>
      <c r="D192" s="36" t="s">
        <v>373</v>
      </c>
      <c r="E192" s="36" t="s">
        <v>76</v>
      </c>
      <c r="F192" s="89">
        <v>18</v>
      </c>
      <c r="G192" s="87">
        <v>4526000</v>
      </c>
      <c r="H192" s="87">
        <v>452600</v>
      </c>
      <c r="I192" s="87">
        <v>4978600</v>
      </c>
      <c r="K192" s="85">
        <v>2021</v>
      </c>
      <c r="L192" s="85">
        <v>3</v>
      </c>
      <c r="N192" s="208" t="s">
        <v>44</v>
      </c>
    </row>
    <row r="193" spans="1:14">
      <c r="A193" s="36" t="s">
        <v>33</v>
      </c>
      <c r="B193" s="37">
        <v>44286</v>
      </c>
      <c r="C193" s="36" t="s">
        <v>119</v>
      </c>
      <c r="D193" s="36" t="s">
        <v>374</v>
      </c>
      <c r="E193" s="36" t="s">
        <v>79</v>
      </c>
      <c r="J193" s="38">
        <v>20064000</v>
      </c>
      <c r="K193" s="85">
        <v>2021</v>
      </c>
      <c r="L193" s="85">
        <v>2</v>
      </c>
      <c r="N193" s="208" t="s">
        <v>44</v>
      </c>
    </row>
    <row r="194" spans="1:14">
      <c r="A194" s="36" t="s">
        <v>33</v>
      </c>
      <c r="B194" s="37">
        <v>44286</v>
      </c>
      <c r="C194" s="36" t="s">
        <v>119</v>
      </c>
      <c r="D194" s="36" t="s">
        <v>374</v>
      </c>
      <c r="E194" s="36" t="s">
        <v>76</v>
      </c>
      <c r="G194" s="87">
        <v>1363000</v>
      </c>
      <c r="H194" s="87">
        <v>136300</v>
      </c>
      <c r="I194" s="87">
        <v>1499300</v>
      </c>
      <c r="K194" s="84">
        <v>2021</v>
      </c>
      <c r="L194" s="85">
        <v>3</v>
      </c>
      <c r="N194" s="208" t="s">
        <v>44</v>
      </c>
    </row>
    <row r="195" spans="1:14">
      <c r="A195" s="36" t="s">
        <v>32</v>
      </c>
      <c r="B195" s="37">
        <v>44286</v>
      </c>
      <c r="C195" s="36" t="s">
        <v>85</v>
      </c>
      <c r="D195" s="36" t="s">
        <v>182</v>
      </c>
      <c r="E195" s="36" t="s">
        <v>77</v>
      </c>
      <c r="J195" s="38">
        <v>19474616</v>
      </c>
      <c r="K195" s="85">
        <v>2021</v>
      </c>
      <c r="L195" s="85">
        <v>2</v>
      </c>
      <c r="N195" s="208" t="s">
        <v>44</v>
      </c>
    </row>
    <row r="196" spans="1:14">
      <c r="A196" s="36" t="s">
        <v>32</v>
      </c>
      <c r="B196" s="37">
        <v>44286</v>
      </c>
      <c r="C196" s="36" t="s">
        <v>85</v>
      </c>
      <c r="D196" s="36" t="s">
        <v>314</v>
      </c>
      <c r="E196" s="36" t="s">
        <v>148</v>
      </c>
      <c r="J196" s="38">
        <v>5115000</v>
      </c>
      <c r="K196" s="85">
        <v>2021</v>
      </c>
      <c r="L196" s="85">
        <v>2</v>
      </c>
      <c r="N196" s="208" t="s">
        <v>44</v>
      </c>
    </row>
    <row r="197" spans="1:14">
      <c r="A197" s="36" t="s">
        <v>32</v>
      </c>
      <c r="B197" s="37">
        <v>44286</v>
      </c>
      <c r="C197" s="36" t="s">
        <v>85</v>
      </c>
      <c r="D197" s="36" t="s">
        <v>182</v>
      </c>
      <c r="E197" s="36" t="s">
        <v>78</v>
      </c>
      <c r="F197" s="89">
        <v>82</v>
      </c>
      <c r="G197" s="87">
        <v>13875000</v>
      </c>
      <c r="H197" s="87">
        <v>1387500</v>
      </c>
      <c r="I197" s="87">
        <v>15262500</v>
      </c>
      <c r="K197" s="85">
        <v>2021</v>
      </c>
      <c r="L197" s="85">
        <v>3</v>
      </c>
      <c r="N197" s="208" t="s">
        <v>44</v>
      </c>
    </row>
    <row r="198" spans="1:14">
      <c r="A198" s="36" t="s">
        <v>32</v>
      </c>
      <c r="B198" s="37">
        <v>44286</v>
      </c>
      <c r="C198" s="36" t="s">
        <v>85</v>
      </c>
      <c r="D198" s="36" t="s">
        <v>156</v>
      </c>
      <c r="E198" s="36" t="s">
        <v>78</v>
      </c>
      <c r="F198" s="89">
        <v>166</v>
      </c>
      <c r="G198" s="87">
        <v>39600000</v>
      </c>
      <c r="H198" s="87">
        <v>3960000</v>
      </c>
      <c r="I198" s="87">
        <v>43560000</v>
      </c>
      <c r="K198" s="85">
        <v>2021</v>
      </c>
      <c r="L198" s="85">
        <v>3</v>
      </c>
      <c r="N198" s="208" t="s">
        <v>44</v>
      </c>
    </row>
    <row r="199" spans="1:14">
      <c r="A199" s="36" t="s">
        <v>33</v>
      </c>
      <c r="B199" s="37">
        <v>44286</v>
      </c>
      <c r="C199" s="36" t="s">
        <v>147</v>
      </c>
      <c r="D199" s="36" t="s">
        <v>94</v>
      </c>
      <c r="E199" s="36" t="s">
        <v>148</v>
      </c>
      <c r="J199" s="38">
        <v>528000</v>
      </c>
      <c r="K199" s="84">
        <v>2021</v>
      </c>
      <c r="L199" s="85">
        <v>2</v>
      </c>
      <c r="N199" s="208" t="s">
        <v>44</v>
      </c>
    </row>
    <row r="200" spans="1:14">
      <c r="A200" s="36" t="s">
        <v>33</v>
      </c>
      <c r="B200" s="37">
        <v>44286</v>
      </c>
      <c r="C200" s="36" t="s">
        <v>98</v>
      </c>
      <c r="D200" s="36" t="s">
        <v>182</v>
      </c>
      <c r="E200" s="36" t="s">
        <v>99</v>
      </c>
      <c r="G200" s="87">
        <v>660000</v>
      </c>
      <c r="H200" s="87">
        <v>66000</v>
      </c>
      <c r="I200" s="87">
        <v>726000</v>
      </c>
      <c r="K200" s="85">
        <v>2021</v>
      </c>
      <c r="L200" s="85">
        <v>3</v>
      </c>
      <c r="N200" s="208" t="s">
        <v>44</v>
      </c>
    </row>
    <row r="201" spans="1:14">
      <c r="A201" s="36" t="s">
        <v>32</v>
      </c>
      <c r="B201" s="37">
        <v>44286</v>
      </c>
      <c r="C201" s="36" t="s">
        <v>169</v>
      </c>
      <c r="D201" s="36" t="s">
        <v>170</v>
      </c>
      <c r="E201" s="36" t="s">
        <v>76</v>
      </c>
      <c r="G201" s="87">
        <v>7500000</v>
      </c>
      <c r="H201" s="87">
        <v>750000</v>
      </c>
      <c r="I201" s="87">
        <v>8250000</v>
      </c>
      <c r="K201" s="85">
        <v>2021</v>
      </c>
      <c r="L201" s="85">
        <v>3</v>
      </c>
      <c r="N201" s="208" t="s">
        <v>44</v>
      </c>
    </row>
    <row r="202" spans="1:14">
      <c r="A202" s="36" t="s">
        <v>32</v>
      </c>
      <c r="B202" s="37">
        <v>44286</v>
      </c>
      <c r="C202" s="36" t="s">
        <v>291</v>
      </c>
      <c r="D202" s="36" t="s">
        <v>292</v>
      </c>
      <c r="E202" s="36" t="s">
        <v>78</v>
      </c>
      <c r="F202" s="89">
        <v>9.5</v>
      </c>
      <c r="G202" s="87">
        <v>3076500</v>
      </c>
      <c r="H202" s="87">
        <v>307650</v>
      </c>
      <c r="I202" s="87">
        <v>3384150</v>
      </c>
      <c r="K202" s="85">
        <v>2021</v>
      </c>
      <c r="L202" s="85">
        <v>3</v>
      </c>
      <c r="N202" s="208" t="s">
        <v>44</v>
      </c>
    </row>
    <row r="203" spans="1:14">
      <c r="A203" s="36" t="s">
        <v>32</v>
      </c>
      <c r="B203" s="37">
        <v>44286</v>
      </c>
      <c r="C203" s="36" t="s">
        <v>206</v>
      </c>
      <c r="D203" s="36" t="s">
        <v>207</v>
      </c>
      <c r="E203" s="36" t="s">
        <v>78</v>
      </c>
      <c r="F203" s="89">
        <v>4</v>
      </c>
      <c r="G203" s="87">
        <v>6201349</v>
      </c>
      <c r="H203" s="87">
        <v>620134</v>
      </c>
      <c r="I203" s="87">
        <v>6821483</v>
      </c>
      <c r="K203" s="85">
        <v>2021</v>
      </c>
      <c r="L203" s="85">
        <v>3</v>
      </c>
      <c r="N203" s="208" t="s">
        <v>44</v>
      </c>
    </row>
    <row r="204" spans="1:14">
      <c r="A204" s="36" t="s">
        <v>32</v>
      </c>
      <c r="B204" s="37">
        <v>44286</v>
      </c>
      <c r="C204" s="36" t="s">
        <v>206</v>
      </c>
      <c r="D204" s="36" t="s">
        <v>208</v>
      </c>
      <c r="E204" s="36" t="s">
        <v>78</v>
      </c>
      <c r="F204" s="89">
        <v>6</v>
      </c>
      <c r="G204" s="87">
        <v>9719600</v>
      </c>
      <c r="H204" s="87">
        <v>971960</v>
      </c>
      <c r="I204" s="87">
        <v>10691560</v>
      </c>
      <c r="K204" s="85">
        <v>2021</v>
      </c>
      <c r="L204" s="85">
        <v>3</v>
      </c>
      <c r="N204" s="208" t="s">
        <v>44</v>
      </c>
    </row>
    <row r="205" spans="1:14">
      <c r="A205" s="36" t="s">
        <v>32</v>
      </c>
      <c r="B205" s="37">
        <v>44286</v>
      </c>
      <c r="C205" s="36" t="s">
        <v>287</v>
      </c>
      <c r="D205" s="36" t="s">
        <v>150</v>
      </c>
      <c r="E205" s="36" t="s">
        <v>77</v>
      </c>
      <c r="J205" s="38">
        <v>2221560</v>
      </c>
      <c r="K205" s="85">
        <v>2021</v>
      </c>
      <c r="L205" s="85">
        <v>2</v>
      </c>
      <c r="N205" s="208" t="s">
        <v>44</v>
      </c>
    </row>
    <row r="206" spans="1:14">
      <c r="A206" s="36" t="s">
        <v>32</v>
      </c>
      <c r="B206" s="37">
        <v>44286</v>
      </c>
      <c r="C206" s="36" t="s">
        <v>287</v>
      </c>
      <c r="D206" s="36" t="s">
        <v>150</v>
      </c>
      <c r="E206" s="36" t="s">
        <v>78</v>
      </c>
      <c r="F206" s="89">
        <v>5</v>
      </c>
      <c r="G206" s="87">
        <v>2342000</v>
      </c>
      <c r="H206" s="87">
        <v>234200</v>
      </c>
      <c r="I206" s="87">
        <v>2576200</v>
      </c>
      <c r="K206" s="85">
        <v>2021</v>
      </c>
      <c r="L206" s="85">
        <v>3</v>
      </c>
      <c r="N206" s="208" t="s">
        <v>44</v>
      </c>
    </row>
    <row r="207" spans="1:14">
      <c r="A207" s="36" t="s">
        <v>33</v>
      </c>
      <c r="B207" s="37">
        <v>44286</v>
      </c>
      <c r="C207" s="36" t="s">
        <v>226</v>
      </c>
      <c r="D207" s="36" t="s">
        <v>227</v>
      </c>
      <c r="E207" s="36" t="s">
        <v>228</v>
      </c>
      <c r="G207" s="87">
        <v>1510000</v>
      </c>
      <c r="H207" s="87">
        <v>151000</v>
      </c>
      <c r="I207" s="87">
        <v>1661000</v>
      </c>
      <c r="K207" s="85">
        <v>2021</v>
      </c>
      <c r="L207" s="85">
        <v>3</v>
      </c>
      <c r="N207" s="208" t="s">
        <v>44</v>
      </c>
    </row>
    <row r="208" spans="1:14">
      <c r="A208" s="36" t="s">
        <v>32</v>
      </c>
      <c r="B208" s="37">
        <v>44286</v>
      </c>
      <c r="C208" s="36" t="s">
        <v>185</v>
      </c>
      <c r="D208" s="36" t="s">
        <v>187</v>
      </c>
      <c r="E208" s="36" t="s">
        <v>78</v>
      </c>
      <c r="F208" s="89">
        <v>7.5</v>
      </c>
      <c r="G208" s="87">
        <v>3672000</v>
      </c>
      <c r="H208" s="87">
        <v>367200</v>
      </c>
      <c r="I208" s="87">
        <v>4039200</v>
      </c>
      <c r="K208" s="85">
        <v>2021</v>
      </c>
      <c r="L208" s="85">
        <v>3</v>
      </c>
      <c r="N208" s="208" t="s">
        <v>44</v>
      </c>
    </row>
    <row r="209" spans="1:14">
      <c r="A209" s="36" t="s">
        <v>32</v>
      </c>
      <c r="B209" s="37">
        <v>44286</v>
      </c>
      <c r="C209" s="36" t="s">
        <v>268</v>
      </c>
      <c r="D209" s="36" t="s">
        <v>261</v>
      </c>
      <c r="E209" s="36" t="s">
        <v>76</v>
      </c>
      <c r="F209" s="89">
        <v>36</v>
      </c>
      <c r="G209" s="87">
        <v>10434400</v>
      </c>
      <c r="H209" s="87">
        <v>1043440</v>
      </c>
      <c r="I209" s="87">
        <v>11477840</v>
      </c>
      <c r="K209" s="85">
        <v>2021</v>
      </c>
      <c r="L209" s="85">
        <v>3</v>
      </c>
      <c r="N209" s="208" t="s">
        <v>44</v>
      </c>
    </row>
    <row r="210" spans="1:14">
      <c r="A210" s="36" t="s">
        <v>32</v>
      </c>
      <c r="B210" s="37">
        <v>44286</v>
      </c>
      <c r="C210" s="36" t="s">
        <v>268</v>
      </c>
      <c r="D210" s="36" t="s">
        <v>273</v>
      </c>
      <c r="E210" s="36" t="s">
        <v>76</v>
      </c>
      <c r="F210" s="89">
        <v>7.5</v>
      </c>
      <c r="G210" s="87">
        <v>1992000</v>
      </c>
      <c r="H210" s="87">
        <v>199200</v>
      </c>
      <c r="I210" s="87">
        <v>2191200</v>
      </c>
      <c r="K210" s="85">
        <v>2021</v>
      </c>
      <c r="L210" s="85">
        <v>3</v>
      </c>
      <c r="N210" s="208" t="s">
        <v>44</v>
      </c>
    </row>
    <row r="211" spans="1:14">
      <c r="A211" s="36" t="s">
        <v>32</v>
      </c>
      <c r="B211" s="37">
        <v>44286</v>
      </c>
      <c r="C211" s="36" t="s">
        <v>293</v>
      </c>
      <c r="D211" s="36" t="s">
        <v>294</v>
      </c>
      <c r="E211" s="36" t="s">
        <v>295</v>
      </c>
      <c r="G211" s="87">
        <v>1500000</v>
      </c>
      <c r="H211" s="87">
        <v>150000</v>
      </c>
      <c r="I211" s="87">
        <v>1650000</v>
      </c>
      <c r="K211" s="85">
        <v>2021</v>
      </c>
      <c r="L211" s="85">
        <v>3</v>
      </c>
      <c r="N211" s="208" t="s">
        <v>44</v>
      </c>
    </row>
    <row r="212" spans="1:14">
      <c r="A212" s="36" t="s">
        <v>32</v>
      </c>
      <c r="B212" s="37">
        <v>44286</v>
      </c>
      <c r="C212" s="36" t="s">
        <v>288</v>
      </c>
      <c r="D212" s="36" t="s">
        <v>289</v>
      </c>
      <c r="E212" s="36" t="s">
        <v>78</v>
      </c>
      <c r="F212" s="89">
        <v>9</v>
      </c>
      <c r="G212" s="87">
        <v>11007450</v>
      </c>
      <c r="H212" s="87">
        <v>1100745</v>
      </c>
      <c r="I212" s="87">
        <v>12108195</v>
      </c>
      <c r="K212" s="85">
        <v>2021</v>
      </c>
      <c r="L212" s="85">
        <v>3</v>
      </c>
      <c r="N212" s="208" t="s">
        <v>44</v>
      </c>
    </row>
    <row r="213" spans="1:14">
      <c r="A213" s="36" t="s">
        <v>32</v>
      </c>
      <c r="B213" s="37">
        <v>44286</v>
      </c>
      <c r="C213" s="36" t="s">
        <v>188</v>
      </c>
      <c r="D213" s="36" t="s">
        <v>189</v>
      </c>
      <c r="E213" s="36" t="s">
        <v>77</v>
      </c>
      <c r="J213" s="38">
        <v>10145520</v>
      </c>
      <c r="K213" s="85">
        <v>2021</v>
      </c>
      <c r="L213" s="85">
        <v>2</v>
      </c>
      <c r="N213" s="208" t="s">
        <v>44</v>
      </c>
    </row>
    <row r="214" spans="1:14">
      <c r="A214" s="36" t="s">
        <v>32</v>
      </c>
      <c r="B214" s="37">
        <v>44286</v>
      </c>
      <c r="C214" s="36" t="s">
        <v>188</v>
      </c>
      <c r="D214" s="36" t="s">
        <v>139</v>
      </c>
      <c r="E214" s="36" t="s">
        <v>76</v>
      </c>
      <c r="F214" s="89">
        <v>80.5</v>
      </c>
      <c r="G214" s="87">
        <v>25900000</v>
      </c>
      <c r="H214" s="87">
        <v>2590000</v>
      </c>
      <c r="I214" s="87">
        <v>28490000</v>
      </c>
      <c r="K214" s="84">
        <v>2021</v>
      </c>
      <c r="L214" s="85">
        <v>3</v>
      </c>
      <c r="N214" s="208" t="s">
        <v>44</v>
      </c>
    </row>
    <row r="215" spans="1:14">
      <c r="A215" s="36" t="s">
        <v>32</v>
      </c>
      <c r="B215" s="37">
        <v>44286</v>
      </c>
      <c r="C215" s="36" t="s">
        <v>188</v>
      </c>
      <c r="D215" s="36" t="s">
        <v>139</v>
      </c>
      <c r="E215" s="36" t="s">
        <v>77</v>
      </c>
      <c r="J215" s="38">
        <v>28490000</v>
      </c>
      <c r="K215" s="84">
        <v>2021</v>
      </c>
      <c r="L215" s="85">
        <v>3</v>
      </c>
      <c r="N215" s="208" t="s">
        <v>44</v>
      </c>
    </row>
    <row r="216" spans="1:14">
      <c r="A216" s="36" t="s">
        <v>19</v>
      </c>
      <c r="B216" s="37">
        <v>44286</v>
      </c>
      <c r="C216" s="36" t="s">
        <v>223</v>
      </c>
      <c r="D216" s="36" t="s">
        <v>224</v>
      </c>
      <c r="E216" s="36" t="s">
        <v>225</v>
      </c>
      <c r="G216" s="87">
        <v>1818182</v>
      </c>
      <c r="H216" s="87">
        <v>181818.2</v>
      </c>
      <c r="I216" s="87">
        <v>2000000.2</v>
      </c>
      <c r="K216" s="84">
        <v>2021</v>
      </c>
      <c r="L216" s="85">
        <v>3</v>
      </c>
      <c r="N216" s="208" t="s">
        <v>44</v>
      </c>
    </row>
    <row r="217" spans="1:14">
      <c r="A217" s="36" t="s">
        <v>32</v>
      </c>
      <c r="B217" s="37">
        <v>44286</v>
      </c>
      <c r="C217" s="36" t="s">
        <v>175</v>
      </c>
      <c r="D217" s="36" t="s">
        <v>178</v>
      </c>
      <c r="E217" s="36" t="s">
        <v>148</v>
      </c>
      <c r="J217" s="87">
        <v>2200000</v>
      </c>
      <c r="K217" s="85">
        <v>2021</v>
      </c>
      <c r="L217" s="85">
        <v>9</v>
      </c>
      <c r="N217" s="208" t="s">
        <v>44</v>
      </c>
    </row>
    <row r="218" spans="1:14">
      <c r="A218" s="36" t="s">
        <v>33</v>
      </c>
      <c r="B218" s="37">
        <v>44286</v>
      </c>
      <c r="C218" s="36" t="s">
        <v>115</v>
      </c>
      <c r="D218" s="36" t="s">
        <v>371</v>
      </c>
      <c r="E218" s="36" t="s">
        <v>230</v>
      </c>
      <c r="G218" s="87">
        <v>823636</v>
      </c>
      <c r="H218" s="87">
        <v>82364</v>
      </c>
      <c r="I218" s="87">
        <v>906000</v>
      </c>
      <c r="K218" s="85">
        <v>2021</v>
      </c>
      <c r="L218" s="85">
        <v>3</v>
      </c>
      <c r="M218" s="36" t="s">
        <v>107</v>
      </c>
      <c r="N218" s="208" t="s">
        <v>44</v>
      </c>
    </row>
    <row r="219" spans="1:14">
      <c r="A219" s="36" t="s">
        <v>33</v>
      </c>
      <c r="B219" s="37">
        <v>44286</v>
      </c>
      <c r="C219" s="36" t="s">
        <v>115</v>
      </c>
      <c r="D219" s="36" t="s">
        <v>371</v>
      </c>
      <c r="E219" s="36" t="s">
        <v>231</v>
      </c>
      <c r="G219" s="87">
        <v>714545</v>
      </c>
      <c r="H219" s="87">
        <v>71455</v>
      </c>
      <c r="I219" s="87">
        <v>786000</v>
      </c>
      <c r="K219" s="85">
        <v>2021</v>
      </c>
      <c r="L219" s="85">
        <v>3</v>
      </c>
      <c r="M219" s="36" t="s">
        <v>107</v>
      </c>
      <c r="N219" s="208" t="s">
        <v>44</v>
      </c>
    </row>
    <row r="220" spans="1:14">
      <c r="A220" s="36" t="s">
        <v>33</v>
      </c>
      <c r="B220" s="37">
        <v>44286</v>
      </c>
      <c r="C220" s="36" t="s">
        <v>115</v>
      </c>
      <c r="D220" s="36" t="s">
        <v>371</v>
      </c>
      <c r="E220" s="36" t="s">
        <v>232</v>
      </c>
      <c r="G220" s="87">
        <v>114545</v>
      </c>
      <c r="H220" s="87">
        <v>11455</v>
      </c>
      <c r="I220" s="87">
        <v>126000</v>
      </c>
      <c r="K220" s="85">
        <v>2021</v>
      </c>
      <c r="L220" s="85">
        <v>3</v>
      </c>
      <c r="M220" s="36" t="s">
        <v>107</v>
      </c>
      <c r="N220" s="208" t="s">
        <v>44</v>
      </c>
    </row>
    <row r="221" spans="1:14">
      <c r="A221" s="36" t="s">
        <v>33</v>
      </c>
      <c r="B221" s="37">
        <v>44286</v>
      </c>
      <c r="C221" s="36" t="s">
        <v>115</v>
      </c>
      <c r="D221" s="36" t="s">
        <v>371</v>
      </c>
      <c r="E221" s="36" t="s">
        <v>233</v>
      </c>
      <c r="G221" s="87">
        <v>229091</v>
      </c>
      <c r="H221" s="87">
        <v>22909</v>
      </c>
      <c r="I221" s="87">
        <v>252000</v>
      </c>
      <c r="K221" s="85">
        <v>2021</v>
      </c>
      <c r="L221" s="85">
        <v>3</v>
      </c>
      <c r="M221" s="36" t="s">
        <v>107</v>
      </c>
      <c r="N221" s="208" t="s">
        <v>44</v>
      </c>
    </row>
    <row r="222" spans="1:14">
      <c r="A222" s="36" t="s">
        <v>33</v>
      </c>
      <c r="B222" s="37">
        <v>44286</v>
      </c>
      <c r="C222" s="36" t="s">
        <v>82</v>
      </c>
      <c r="D222" s="36" t="s">
        <v>156</v>
      </c>
      <c r="E222" s="36" t="s">
        <v>356</v>
      </c>
      <c r="G222" s="87">
        <v>2200000</v>
      </c>
      <c r="H222" s="87">
        <v>220000</v>
      </c>
      <c r="I222" s="87">
        <v>2420000</v>
      </c>
      <c r="K222" s="85">
        <v>2021</v>
      </c>
      <c r="L222" s="85">
        <v>3</v>
      </c>
      <c r="N222" s="208" t="s">
        <v>44</v>
      </c>
    </row>
    <row r="223" spans="1:14">
      <c r="A223" s="36" t="s">
        <v>33</v>
      </c>
      <c r="B223" s="37">
        <v>44286</v>
      </c>
      <c r="C223" s="36" t="s">
        <v>103</v>
      </c>
      <c r="D223" s="36" t="s">
        <v>151</v>
      </c>
      <c r="E223" s="36" t="s">
        <v>375</v>
      </c>
      <c r="G223" s="87">
        <v>1034000</v>
      </c>
      <c r="H223" s="87">
        <v>103400</v>
      </c>
      <c r="I223" s="87">
        <v>1137400</v>
      </c>
      <c r="K223" s="84">
        <v>2021</v>
      </c>
      <c r="L223" s="85">
        <v>3</v>
      </c>
      <c r="N223" s="208" t="s">
        <v>44</v>
      </c>
    </row>
    <row r="224" spans="1:14">
      <c r="A224" s="36" t="s">
        <v>33</v>
      </c>
      <c r="B224" s="37">
        <v>44286</v>
      </c>
      <c r="C224" s="36" t="s">
        <v>103</v>
      </c>
      <c r="D224" s="36" t="s">
        <v>152</v>
      </c>
      <c r="E224" s="36" t="s">
        <v>153</v>
      </c>
      <c r="G224" s="87">
        <v>1553335</v>
      </c>
      <c r="H224" s="87">
        <v>155333</v>
      </c>
      <c r="I224" s="87">
        <v>1708668</v>
      </c>
      <c r="K224" s="84">
        <v>2021</v>
      </c>
      <c r="L224" s="85">
        <v>3</v>
      </c>
      <c r="N224" s="208" t="s">
        <v>44</v>
      </c>
    </row>
    <row r="225" spans="1:14">
      <c r="A225" s="36" t="s">
        <v>33</v>
      </c>
      <c r="B225" s="37">
        <v>44286</v>
      </c>
      <c r="C225" s="36" t="s">
        <v>103</v>
      </c>
      <c r="D225" s="36" t="s">
        <v>205</v>
      </c>
      <c r="E225" s="36" t="s">
        <v>154</v>
      </c>
      <c r="G225" s="87">
        <v>4338366</v>
      </c>
      <c r="H225" s="87">
        <v>433836</v>
      </c>
      <c r="I225" s="87">
        <v>4772202</v>
      </c>
      <c r="K225" s="84">
        <v>2021</v>
      </c>
      <c r="L225" s="85">
        <v>3</v>
      </c>
      <c r="N225" s="208" t="s">
        <v>44</v>
      </c>
    </row>
    <row r="226" spans="1:14">
      <c r="A226" s="36" t="s">
        <v>33</v>
      </c>
      <c r="B226" s="37">
        <v>44286</v>
      </c>
      <c r="C226" s="36" t="s">
        <v>155</v>
      </c>
      <c r="D226" s="36" t="s">
        <v>156</v>
      </c>
      <c r="E226" s="36" t="s">
        <v>157</v>
      </c>
      <c r="G226" s="87">
        <v>1500000</v>
      </c>
      <c r="H226" s="87">
        <v>150000</v>
      </c>
      <c r="I226" s="87">
        <v>1650000</v>
      </c>
      <c r="K226" s="85">
        <v>2021</v>
      </c>
      <c r="L226" s="85">
        <v>3</v>
      </c>
      <c r="N226" s="208" t="s">
        <v>44</v>
      </c>
    </row>
    <row r="227" spans="1:14">
      <c r="A227" s="36" t="s">
        <v>32</v>
      </c>
      <c r="B227" s="37">
        <v>44286</v>
      </c>
      <c r="C227" s="36" t="s">
        <v>283</v>
      </c>
      <c r="D227" s="36" t="s">
        <v>284</v>
      </c>
      <c r="E227" s="36" t="s">
        <v>78</v>
      </c>
      <c r="F227" s="89">
        <v>71.5</v>
      </c>
      <c r="G227" s="87">
        <v>24637500</v>
      </c>
      <c r="H227" s="87">
        <v>2463750</v>
      </c>
      <c r="I227" s="87">
        <v>27101250</v>
      </c>
      <c r="K227" s="85">
        <v>2021</v>
      </c>
      <c r="L227" s="85">
        <v>3</v>
      </c>
      <c r="N227" s="208" t="s">
        <v>44</v>
      </c>
    </row>
    <row r="228" spans="1:14">
      <c r="A228" s="36" t="s">
        <v>32</v>
      </c>
      <c r="B228" s="37">
        <v>44287</v>
      </c>
      <c r="C228" s="36" t="s">
        <v>204</v>
      </c>
      <c r="D228" s="36" t="s">
        <v>205</v>
      </c>
      <c r="E228" s="36" t="s">
        <v>77</v>
      </c>
      <c r="J228" s="38">
        <v>27627371</v>
      </c>
      <c r="K228" s="85">
        <v>2021</v>
      </c>
      <c r="L228" s="85">
        <v>2</v>
      </c>
      <c r="N228" s="208" t="s">
        <v>44</v>
      </c>
    </row>
    <row r="229" spans="1:14">
      <c r="A229" s="36" t="s">
        <v>33</v>
      </c>
      <c r="B229" s="37">
        <v>44287</v>
      </c>
      <c r="C229" s="36" t="s">
        <v>119</v>
      </c>
      <c r="D229" s="36" t="s">
        <v>372</v>
      </c>
      <c r="E229" s="36" t="s">
        <v>76</v>
      </c>
      <c r="G229" s="87">
        <v>3583200</v>
      </c>
      <c r="H229" s="87">
        <v>358320</v>
      </c>
      <c r="I229" s="87">
        <v>3941520</v>
      </c>
      <c r="K229" s="84">
        <v>2021</v>
      </c>
      <c r="L229" s="85">
        <v>4</v>
      </c>
      <c r="M229" s="36" t="s">
        <v>159</v>
      </c>
      <c r="N229" s="208" t="s">
        <v>44</v>
      </c>
    </row>
    <row r="230" spans="1:14">
      <c r="A230" s="36" t="s">
        <v>32</v>
      </c>
      <c r="B230" s="37">
        <v>44287</v>
      </c>
      <c r="C230" s="36" t="s">
        <v>169</v>
      </c>
      <c r="D230" s="36" t="s">
        <v>170</v>
      </c>
      <c r="E230" s="36" t="s">
        <v>77</v>
      </c>
      <c r="J230" s="38">
        <v>8250000</v>
      </c>
      <c r="K230" s="85">
        <v>2021</v>
      </c>
      <c r="L230" s="85">
        <v>3</v>
      </c>
      <c r="N230" s="208" t="s">
        <v>44</v>
      </c>
    </row>
    <row r="231" spans="1:14">
      <c r="A231" s="36" t="s">
        <v>33</v>
      </c>
      <c r="B231" s="37">
        <v>44287</v>
      </c>
      <c r="C231" s="36" t="s">
        <v>226</v>
      </c>
      <c r="D231" s="36" t="s">
        <v>227</v>
      </c>
      <c r="E231" s="36" t="s">
        <v>77</v>
      </c>
      <c r="J231" s="38">
        <v>1661000</v>
      </c>
      <c r="K231" s="85">
        <v>2021</v>
      </c>
      <c r="L231" s="85">
        <v>3</v>
      </c>
      <c r="N231" s="208" t="s">
        <v>44</v>
      </c>
    </row>
    <row r="232" spans="1:14">
      <c r="A232" s="36" t="s">
        <v>33</v>
      </c>
      <c r="B232" s="37">
        <v>44287</v>
      </c>
      <c r="C232" s="36" t="s">
        <v>103</v>
      </c>
      <c r="D232" s="36" t="s">
        <v>205</v>
      </c>
      <c r="E232" s="36" t="s">
        <v>77</v>
      </c>
      <c r="J232" s="38">
        <v>7963198</v>
      </c>
      <c r="K232" s="84">
        <v>2021</v>
      </c>
      <c r="L232" s="85">
        <v>2</v>
      </c>
      <c r="N232" s="208" t="s">
        <v>44</v>
      </c>
    </row>
    <row r="233" spans="1:14">
      <c r="A233" s="36" t="s">
        <v>33</v>
      </c>
      <c r="B233" s="37">
        <v>44287</v>
      </c>
      <c r="C233" s="36" t="s">
        <v>158</v>
      </c>
      <c r="D233" s="36" t="s">
        <v>139</v>
      </c>
      <c r="E233" s="36" t="s">
        <v>125</v>
      </c>
      <c r="G233" s="87">
        <v>378000</v>
      </c>
      <c r="H233" s="87">
        <v>37800</v>
      </c>
      <c r="I233" s="87">
        <v>415800</v>
      </c>
      <c r="K233" s="84">
        <v>2021</v>
      </c>
      <c r="L233" s="85">
        <v>4</v>
      </c>
      <c r="N233" s="208" t="s">
        <v>44</v>
      </c>
    </row>
    <row r="234" spans="1:14">
      <c r="A234" s="36" t="s">
        <v>32</v>
      </c>
      <c r="B234" s="37">
        <v>44287</v>
      </c>
      <c r="C234" s="36" t="s">
        <v>283</v>
      </c>
      <c r="D234" s="36" t="s">
        <v>284</v>
      </c>
      <c r="E234" s="36" t="s">
        <v>77</v>
      </c>
      <c r="J234" s="38">
        <v>27101250</v>
      </c>
      <c r="K234" s="85">
        <v>2021</v>
      </c>
      <c r="L234" s="85">
        <v>3</v>
      </c>
      <c r="N234" s="208" t="s">
        <v>44</v>
      </c>
    </row>
    <row r="235" spans="1:14">
      <c r="A235" s="36" t="s">
        <v>33</v>
      </c>
      <c r="B235" s="37">
        <v>44288</v>
      </c>
      <c r="C235" s="36" t="s">
        <v>124</v>
      </c>
      <c r="D235" s="36" t="s">
        <v>229</v>
      </c>
      <c r="E235" s="36" t="s">
        <v>77</v>
      </c>
      <c r="J235" s="38">
        <v>3234000</v>
      </c>
      <c r="K235" s="85">
        <v>2021</v>
      </c>
      <c r="L235" s="85">
        <v>3</v>
      </c>
      <c r="M235" s="36" t="s">
        <v>107</v>
      </c>
      <c r="N235" s="208" t="s">
        <v>44</v>
      </c>
    </row>
    <row r="236" spans="1:14">
      <c r="A236" s="36" t="s">
        <v>19</v>
      </c>
      <c r="B236" s="37">
        <v>44288</v>
      </c>
      <c r="C236" s="36" t="s">
        <v>223</v>
      </c>
      <c r="D236" s="36" t="s">
        <v>224</v>
      </c>
      <c r="E236" s="36" t="s">
        <v>148</v>
      </c>
      <c r="J236" s="38">
        <v>2000000</v>
      </c>
      <c r="K236" s="84">
        <v>2021</v>
      </c>
      <c r="L236" s="85">
        <v>3</v>
      </c>
      <c r="N236" s="208" t="s">
        <v>44</v>
      </c>
    </row>
    <row r="237" spans="1:14">
      <c r="A237" s="36" t="s">
        <v>33</v>
      </c>
      <c r="B237" s="37">
        <v>44288</v>
      </c>
      <c r="C237" s="36" t="s">
        <v>115</v>
      </c>
      <c r="D237" s="36" t="s">
        <v>371</v>
      </c>
      <c r="E237" s="36" t="s">
        <v>77</v>
      </c>
      <c r="J237" s="38">
        <v>2070000</v>
      </c>
      <c r="K237" s="85">
        <v>2021</v>
      </c>
      <c r="L237" s="85">
        <v>3</v>
      </c>
      <c r="M237" s="36" t="s">
        <v>107</v>
      </c>
      <c r="N237" s="208" t="s">
        <v>44</v>
      </c>
    </row>
    <row r="238" spans="1:14">
      <c r="A238" s="36" t="s">
        <v>33</v>
      </c>
      <c r="B238" s="37">
        <v>44298</v>
      </c>
      <c r="C238" s="36" t="s">
        <v>120</v>
      </c>
      <c r="D238" s="36" t="s">
        <v>121</v>
      </c>
      <c r="E238" s="36" t="s">
        <v>122</v>
      </c>
      <c r="G238" s="87">
        <v>545455</v>
      </c>
      <c r="H238" s="87">
        <v>545455</v>
      </c>
      <c r="I238" s="87">
        <v>600000</v>
      </c>
      <c r="K238" s="85">
        <v>2021</v>
      </c>
      <c r="L238" s="85">
        <v>4</v>
      </c>
      <c r="N238" s="208" t="s">
        <v>44</v>
      </c>
    </row>
    <row r="239" spans="1:14">
      <c r="A239" s="36" t="s">
        <v>32</v>
      </c>
      <c r="B239" s="37">
        <v>44298</v>
      </c>
      <c r="C239" s="36" t="s">
        <v>180</v>
      </c>
      <c r="D239" s="36" t="s">
        <v>344</v>
      </c>
      <c r="E239" s="36" t="s">
        <v>77</v>
      </c>
      <c r="J239" s="38">
        <v>16802500</v>
      </c>
      <c r="K239" s="85">
        <v>2021</v>
      </c>
      <c r="L239" s="85">
        <v>3</v>
      </c>
      <c r="N239" s="208" t="s">
        <v>44</v>
      </c>
    </row>
    <row r="240" spans="1:14">
      <c r="A240" s="36" t="s">
        <v>32</v>
      </c>
      <c r="B240" s="37">
        <v>44298</v>
      </c>
      <c r="C240" s="36" t="s">
        <v>268</v>
      </c>
      <c r="D240" s="36" t="s">
        <v>261</v>
      </c>
      <c r="E240" s="36" t="s">
        <v>77</v>
      </c>
      <c r="J240" s="38">
        <v>11411840</v>
      </c>
      <c r="K240" s="85">
        <v>2021</v>
      </c>
      <c r="L240" s="85">
        <v>3</v>
      </c>
      <c r="N240" s="208" t="s">
        <v>44</v>
      </c>
    </row>
    <row r="241" spans="1:14">
      <c r="A241" s="36" t="s">
        <v>32</v>
      </c>
      <c r="B241" s="37">
        <v>44298</v>
      </c>
      <c r="C241" s="36" t="s">
        <v>268</v>
      </c>
      <c r="D241" s="36" t="s">
        <v>261</v>
      </c>
      <c r="E241" s="36" t="s">
        <v>271</v>
      </c>
      <c r="J241" s="38">
        <v>66000</v>
      </c>
      <c r="K241" s="85">
        <v>2021</v>
      </c>
      <c r="L241" s="85">
        <v>3</v>
      </c>
      <c r="M241" s="36" t="s">
        <v>272</v>
      </c>
      <c r="N241" s="208" t="s">
        <v>44</v>
      </c>
    </row>
    <row r="242" spans="1:14">
      <c r="A242" s="36" t="s">
        <v>32</v>
      </c>
      <c r="B242" s="37">
        <v>44298</v>
      </c>
      <c r="C242" s="36" t="s">
        <v>268</v>
      </c>
      <c r="D242" s="36" t="s">
        <v>273</v>
      </c>
      <c r="E242" s="36" t="s">
        <v>77</v>
      </c>
      <c r="J242" s="38">
        <v>2161200</v>
      </c>
      <c r="K242" s="85">
        <v>2021</v>
      </c>
      <c r="L242" s="85">
        <v>3</v>
      </c>
      <c r="N242" s="208" t="s">
        <v>44</v>
      </c>
    </row>
    <row r="243" spans="1:14">
      <c r="A243" s="36" t="s">
        <v>32</v>
      </c>
      <c r="B243" s="37">
        <v>44298</v>
      </c>
      <c r="C243" s="36" t="s">
        <v>268</v>
      </c>
      <c r="D243" s="36" t="s">
        <v>273</v>
      </c>
      <c r="E243" s="36" t="s">
        <v>274</v>
      </c>
      <c r="J243" s="38">
        <v>30000</v>
      </c>
      <c r="K243" s="85">
        <v>2021</v>
      </c>
      <c r="L243" s="85">
        <v>3</v>
      </c>
      <c r="M243" s="36" t="s">
        <v>275</v>
      </c>
      <c r="N243" s="208" t="s">
        <v>44</v>
      </c>
    </row>
    <row r="244" spans="1:14">
      <c r="A244" s="36" t="s">
        <v>33</v>
      </c>
      <c r="B244" s="37">
        <v>44299</v>
      </c>
      <c r="C244" s="36" t="s">
        <v>120</v>
      </c>
      <c r="D244" s="36" t="s">
        <v>121</v>
      </c>
      <c r="E244" s="36" t="s">
        <v>77</v>
      </c>
      <c r="J244" s="38">
        <v>600000</v>
      </c>
      <c r="K244" s="85">
        <v>2021</v>
      </c>
      <c r="L244" s="85">
        <v>4</v>
      </c>
      <c r="M244" s="36" t="s">
        <v>194</v>
      </c>
      <c r="N244" s="208" t="s">
        <v>44</v>
      </c>
    </row>
    <row r="245" spans="1:14">
      <c r="A245" s="36" t="s">
        <v>32</v>
      </c>
      <c r="B245" s="37">
        <v>44299</v>
      </c>
      <c r="C245" s="36" t="s">
        <v>169</v>
      </c>
      <c r="D245" s="36" t="s">
        <v>170</v>
      </c>
      <c r="E245" s="36" t="s">
        <v>76</v>
      </c>
      <c r="G245" s="87">
        <v>2500000</v>
      </c>
      <c r="H245" s="87">
        <v>250000</v>
      </c>
      <c r="I245" s="87">
        <v>2750000</v>
      </c>
      <c r="K245" s="85">
        <v>2021</v>
      </c>
      <c r="L245" s="85">
        <v>4</v>
      </c>
      <c r="N245" s="208" t="s">
        <v>44</v>
      </c>
    </row>
    <row r="246" spans="1:14">
      <c r="A246" s="36" t="s">
        <v>32</v>
      </c>
      <c r="B246" s="37">
        <v>44301</v>
      </c>
      <c r="C246" s="36" t="s">
        <v>277</v>
      </c>
      <c r="D246" s="36" t="s">
        <v>278</v>
      </c>
      <c r="E246" s="36" t="s">
        <v>77</v>
      </c>
      <c r="J246" s="38">
        <v>2783000</v>
      </c>
      <c r="K246" s="85">
        <v>2021</v>
      </c>
      <c r="L246" s="85">
        <v>2</v>
      </c>
      <c r="N246" s="208" t="s">
        <v>44</v>
      </c>
    </row>
    <row r="247" spans="1:14">
      <c r="A247" s="36" t="s">
        <v>32</v>
      </c>
      <c r="B247" s="37">
        <v>44301</v>
      </c>
      <c r="C247" s="36" t="s">
        <v>291</v>
      </c>
      <c r="D247" s="36" t="s">
        <v>292</v>
      </c>
      <c r="E247" s="36" t="s">
        <v>77</v>
      </c>
      <c r="J247" s="38">
        <v>3384150</v>
      </c>
      <c r="K247" s="85">
        <v>2021</v>
      </c>
      <c r="L247" s="85">
        <v>3</v>
      </c>
      <c r="N247" s="208" t="s">
        <v>44</v>
      </c>
    </row>
    <row r="248" spans="1:14">
      <c r="A248" s="36" t="s">
        <v>32</v>
      </c>
      <c r="B248" s="37">
        <v>44304</v>
      </c>
      <c r="C248" s="36" t="s">
        <v>169</v>
      </c>
      <c r="D248" s="36" t="s">
        <v>170</v>
      </c>
      <c r="E248" s="36" t="s">
        <v>77</v>
      </c>
      <c r="J248" s="38">
        <v>2750000</v>
      </c>
      <c r="K248" s="85">
        <v>2021</v>
      </c>
      <c r="L248" s="85">
        <v>4</v>
      </c>
      <c r="N248" s="208" t="s">
        <v>44</v>
      </c>
    </row>
    <row r="249" spans="1:14">
      <c r="A249" s="36" t="s">
        <v>32</v>
      </c>
      <c r="B249" s="37">
        <v>44307</v>
      </c>
      <c r="C249" s="36" t="s">
        <v>185</v>
      </c>
      <c r="D249" s="36" t="s">
        <v>187</v>
      </c>
      <c r="E249" s="36" t="s">
        <v>77</v>
      </c>
      <c r="J249" s="38">
        <v>4039200</v>
      </c>
      <c r="K249" s="85">
        <v>2021</v>
      </c>
      <c r="L249" s="85">
        <v>3</v>
      </c>
      <c r="N249" s="208" t="s">
        <v>44</v>
      </c>
    </row>
    <row r="250" spans="1:14">
      <c r="A250" s="36" t="s">
        <v>19</v>
      </c>
      <c r="B250" s="37">
        <v>44307</v>
      </c>
      <c r="C250" s="36" t="s">
        <v>223</v>
      </c>
      <c r="D250" s="36" t="s">
        <v>224</v>
      </c>
      <c r="E250" s="36" t="s">
        <v>225</v>
      </c>
      <c r="G250" s="87">
        <v>2727273</v>
      </c>
      <c r="H250" s="87">
        <v>272727</v>
      </c>
      <c r="I250" s="87">
        <v>3000000</v>
      </c>
      <c r="K250" s="84">
        <v>2021</v>
      </c>
      <c r="L250" s="85">
        <v>4</v>
      </c>
      <c r="N250" s="208" t="s">
        <v>44</v>
      </c>
    </row>
    <row r="251" spans="1:14">
      <c r="A251" s="36" t="s">
        <v>19</v>
      </c>
      <c r="B251" s="37">
        <v>44307</v>
      </c>
      <c r="C251" s="36" t="s">
        <v>223</v>
      </c>
      <c r="D251" s="36" t="s">
        <v>224</v>
      </c>
      <c r="E251" s="36" t="s">
        <v>148</v>
      </c>
      <c r="J251" s="38">
        <v>3000000</v>
      </c>
      <c r="K251" s="84">
        <v>2021</v>
      </c>
      <c r="L251" s="85">
        <v>4</v>
      </c>
      <c r="N251" s="208" t="s">
        <v>44</v>
      </c>
    </row>
    <row r="252" spans="1:14">
      <c r="A252" s="36" t="s">
        <v>32</v>
      </c>
      <c r="B252" s="37">
        <v>44309</v>
      </c>
      <c r="C252" s="36" t="s">
        <v>81</v>
      </c>
      <c r="D252" s="36" t="s">
        <v>296</v>
      </c>
      <c r="E252" s="36" t="s">
        <v>77</v>
      </c>
      <c r="J252" s="38">
        <v>1012000</v>
      </c>
      <c r="K252" s="85">
        <v>2021</v>
      </c>
      <c r="L252" s="85">
        <v>3</v>
      </c>
      <c r="N252" s="208" t="s">
        <v>44</v>
      </c>
    </row>
    <row r="253" spans="1:14">
      <c r="A253" s="36" t="s">
        <v>33</v>
      </c>
      <c r="B253" s="37">
        <v>44310</v>
      </c>
      <c r="C253" s="36" t="s">
        <v>160</v>
      </c>
      <c r="D253" s="36" t="s">
        <v>161</v>
      </c>
      <c r="E253" s="36" t="s">
        <v>157</v>
      </c>
      <c r="G253" s="87">
        <v>60000</v>
      </c>
      <c r="H253" s="87">
        <v>6000</v>
      </c>
      <c r="I253" s="87">
        <v>66000</v>
      </c>
      <c r="K253" s="84">
        <v>2021</v>
      </c>
      <c r="L253" s="85">
        <v>4</v>
      </c>
      <c r="N253" s="208" t="s">
        <v>44</v>
      </c>
    </row>
    <row r="254" spans="1:14">
      <c r="A254" s="36" t="s">
        <v>32</v>
      </c>
      <c r="B254" s="37">
        <v>44313</v>
      </c>
      <c r="C254" s="36" t="s">
        <v>285</v>
      </c>
      <c r="D254" s="36" t="s">
        <v>286</v>
      </c>
      <c r="E254" s="36" t="s">
        <v>77</v>
      </c>
      <c r="J254" s="38">
        <v>8987000</v>
      </c>
      <c r="K254" s="85">
        <v>2021</v>
      </c>
      <c r="L254" s="85">
        <v>3</v>
      </c>
      <c r="N254" s="208" t="s">
        <v>44</v>
      </c>
    </row>
    <row r="255" spans="1:14">
      <c r="A255" s="36" t="s">
        <v>32</v>
      </c>
      <c r="B255" s="37">
        <v>44313</v>
      </c>
      <c r="C255" s="36" t="s">
        <v>169</v>
      </c>
      <c r="D255" s="36" t="s">
        <v>170</v>
      </c>
      <c r="E255" s="36" t="s">
        <v>76</v>
      </c>
      <c r="G255" s="87">
        <v>1100000</v>
      </c>
      <c r="H255" s="87">
        <v>110000</v>
      </c>
      <c r="I255" s="87">
        <v>1210000</v>
      </c>
      <c r="K255" s="85">
        <v>2021</v>
      </c>
      <c r="L255" s="85">
        <v>4</v>
      </c>
      <c r="N255" s="208" t="s">
        <v>44</v>
      </c>
    </row>
    <row r="256" spans="1:14">
      <c r="A256" s="36" t="s">
        <v>32</v>
      </c>
      <c r="B256" s="37">
        <v>44313</v>
      </c>
      <c r="C256" s="36" t="s">
        <v>171</v>
      </c>
      <c r="D256" s="36" t="s">
        <v>172</v>
      </c>
      <c r="E256" s="36" t="s">
        <v>78</v>
      </c>
      <c r="F256" s="89">
        <v>27</v>
      </c>
      <c r="G256" s="87">
        <v>14093440</v>
      </c>
      <c r="H256" s="87">
        <v>1409344</v>
      </c>
      <c r="I256" s="87">
        <v>15502784</v>
      </c>
      <c r="K256" s="85">
        <v>2021</v>
      </c>
      <c r="L256" s="85">
        <v>4</v>
      </c>
      <c r="N256" s="208" t="s">
        <v>44</v>
      </c>
    </row>
    <row r="257" spans="1:14">
      <c r="A257" s="36" t="s">
        <v>32</v>
      </c>
      <c r="B257" s="37">
        <v>44314</v>
      </c>
      <c r="C257" s="36" t="s">
        <v>171</v>
      </c>
      <c r="D257" s="36" t="s">
        <v>173</v>
      </c>
      <c r="E257" s="36" t="s">
        <v>76</v>
      </c>
      <c r="F257" s="89">
        <v>27.5</v>
      </c>
      <c r="G257" s="87">
        <v>15807000</v>
      </c>
      <c r="H257" s="87">
        <v>1580700</v>
      </c>
      <c r="I257" s="87">
        <v>17387700</v>
      </c>
      <c r="K257" s="85">
        <v>2021</v>
      </c>
      <c r="L257" s="85">
        <v>4</v>
      </c>
      <c r="N257" s="208" t="s">
        <v>44</v>
      </c>
    </row>
    <row r="258" spans="1:14">
      <c r="A258" s="36" t="s">
        <v>32</v>
      </c>
      <c r="B258" s="37">
        <v>44314</v>
      </c>
      <c r="C258" s="36" t="s">
        <v>171</v>
      </c>
      <c r="D258" s="36" t="s">
        <v>173</v>
      </c>
      <c r="E258" s="36" t="s">
        <v>77</v>
      </c>
      <c r="J258" s="38">
        <v>17387700</v>
      </c>
      <c r="K258" s="85">
        <v>2021</v>
      </c>
      <c r="L258" s="85">
        <v>4</v>
      </c>
      <c r="N258" s="208" t="s">
        <v>44</v>
      </c>
    </row>
    <row r="259" spans="1:14">
      <c r="A259" s="36" t="s">
        <v>32</v>
      </c>
      <c r="B259" s="37">
        <v>44315</v>
      </c>
      <c r="C259" s="36" t="s">
        <v>209</v>
      </c>
      <c r="D259" s="36" t="s">
        <v>197</v>
      </c>
      <c r="E259" s="36" t="s">
        <v>77</v>
      </c>
      <c r="J259" s="38">
        <v>34839200</v>
      </c>
      <c r="K259" s="85">
        <v>2021</v>
      </c>
      <c r="L259" s="85">
        <v>3</v>
      </c>
      <c r="N259" s="208" t="s">
        <v>44</v>
      </c>
    </row>
    <row r="260" spans="1:14">
      <c r="A260" s="36" t="s">
        <v>32</v>
      </c>
      <c r="B260" s="37">
        <v>44315</v>
      </c>
      <c r="C260" s="36" t="s">
        <v>181</v>
      </c>
      <c r="D260" s="36" t="s">
        <v>372</v>
      </c>
      <c r="E260" s="36" t="s">
        <v>77</v>
      </c>
      <c r="J260" s="38">
        <v>3941300</v>
      </c>
      <c r="K260" s="85">
        <v>2021</v>
      </c>
      <c r="L260" s="85">
        <v>3</v>
      </c>
      <c r="N260" s="208" t="s">
        <v>44</v>
      </c>
    </row>
    <row r="261" spans="1:14">
      <c r="A261" s="36" t="s">
        <v>32</v>
      </c>
      <c r="B261" s="37">
        <v>44315</v>
      </c>
      <c r="C261" s="36" t="s">
        <v>169</v>
      </c>
      <c r="D261" s="36" t="s">
        <v>170</v>
      </c>
      <c r="E261" s="36" t="s">
        <v>77</v>
      </c>
      <c r="J261" s="38">
        <v>1210000</v>
      </c>
      <c r="K261" s="85">
        <v>2021</v>
      </c>
      <c r="L261" s="85">
        <v>4</v>
      </c>
      <c r="N261" s="208" t="s">
        <v>44</v>
      </c>
    </row>
    <row r="262" spans="1:14">
      <c r="A262" s="36" t="s">
        <v>19</v>
      </c>
      <c r="B262" s="37">
        <v>44315</v>
      </c>
      <c r="C262" s="36" t="s">
        <v>223</v>
      </c>
      <c r="D262" s="36" t="s">
        <v>224</v>
      </c>
      <c r="E262" s="36" t="s">
        <v>148</v>
      </c>
      <c r="J262" s="38">
        <v>3000000</v>
      </c>
      <c r="K262" s="84">
        <v>2021</v>
      </c>
      <c r="L262" s="85">
        <v>4</v>
      </c>
      <c r="N262" s="208" t="s">
        <v>44</v>
      </c>
    </row>
    <row r="263" spans="1:14">
      <c r="A263" s="36" t="s">
        <v>32</v>
      </c>
      <c r="B263" s="37">
        <v>44316</v>
      </c>
      <c r="C263" s="36" t="s">
        <v>174</v>
      </c>
      <c r="D263" s="36" t="s">
        <v>368</v>
      </c>
      <c r="E263" s="36" t="s">
        <v>76</v>
      </c>
      <c r="F263" s="89">
        <v>6</v>
      </c>
      <c r="G263" s="87">
        <v>4512000</v>
      </c>
      <c r="H263" s="87">
        <v>451200</v>
      </c>
      <c r="I263" s="87">
        <v>4963200</v>
      </c>
      <c r="K263" s="85">
        <v>2021</v>
      </c>
      <c r="L263" s="85">
        <v>4</v>
      </c>
      <c r="N263" s="208" t="s">
        <v>44</v>
      </c>
    </row>
    <row r="264" spans="1:14">
      <c r="A264" s="36" t="s">
        <v>32</v>
      </c>
      <c r="B264" s="37">
        <v>44316</v>
      </c>
      <c r="C264" s="36" t="s">
        <v>209</v>
      </c>
      <c r="D264" s="36" t="s">
        <v>197</v>
      </c>
      <c r="E264" s="36" t="s">
        <v>76</v>
      </c>
      <c r="F264" s="89">
        <v>57.5</v>
      </c>
      <c r="G264" s="87">
        <v>21367200</v>
      </c>
      <c r="H264" s="87">
        <v>2136720</v>
      </c>
      <c r="I264" s="87">
        <v>23503920</v>
      </c>
      <c r="K264" s="85">
        <v>2021</v>
      </c>
      <c r="L264" s="85">
        <v>4</v>
      </c>
      <c r="N264" s="208" t="s">
        <v>44</v>
      </c>
    </row>
    <row r="265" spans="1:14">
      <c r="A265" s="36" t="s">
        <v>33</v>
      </c>
      <c r="B265" s="37">
        <v>44316</v>
      </c>
      <c r="C265" s="36" t="s">
        <v>96</v>
      </c>
      <c r="D265" s="36" t="s">
        <v>150</v>
      </c>
      <c r="E265" s="36" t="s">
        <v>77</v>
      </c>
      <c r="J265" s="38">
        <v>165000</v>
      </c>
      <c r="K265" s="84">
        <v>2021</v>
      </c>
      <c r="L265" s="85">
        <v>3</v>
      </c>
      <c r="N265" s="208" t="s">
        <v>44</v>
      </c>
    </row>
    <row r="266" spans="1:14">
      <c r="A266" s="36" t="s">
        <v>33</v>
      </c>
      <c r="B266" s="37">
        <v>44316</v>
      </c>
      <c r="C266" s="36" t="s">
        <v>96</v>
      </c>
      <c r="D266" s="36" t="s">
        <v>200</v>
      </c>
      <c r="E266" s="36" t="s">
        <v>77</v>
      </c>
      <c r="J266" s="38">
        <v>143000</v>
      </c>
      <c r="K266" s="84">
        <v>2021</v>
      </c>
      <c r="L266" s="85">
        <v>3</v>
      </c>
      <c r="M266" s="146"/>
      <c r="N266" s="208" t="s">
        <v>44</v>
      </c>
    </row>
    <row r="267" spans="1:14">
      <c r="A267" s="36" t="s">
        <v>33</v>
      </c>
      <c r="B267" s="37">
        <v>44316</v>
      </c>
      <c r="C267" s="36" t="s">
        <v>96</v>
      </c>
      <c r="D267" s="36" t="s">
        <v>197</v>
      </c>
      <c r="E267" s="36" t="s">
        <v>97</v>
      </c>
      <c r="G267" s="87">
        <v>160000</v>
      </c>
      <c r="H267" s="87">
        <v>16000</v>
      </c>
      <c r="I267" s="87">
        <v>176000</v>
      </c>
      <c r="K267" s="85">
        <v>2021</v>
      </c>
      <c r="L267" s="85">
        <v>4</v>
      </c>
      <c r="N267" s="208" t="s">
        <v>44</v>
      </c>
    </row>
    <row r="268" spans="1:14">
      <c r="A268" s="36" t="s">
        <v>33</v>
      </c>
      <c r="B268" s="37">
        <v>44316</v>
      </c>
      <c r="C268" s="36" t="s">
        <v>196</v>
      </c>
      <c r="D268" s="36" t="s">
        <v>197</v>
      </c>
      <c r="E268" s="36" t="s">
        <v>198</v>
      </c>
      <c r="G268" s="87">
        <v>3000000</v>
      </c>
      <c r="H268" s="87">
        <v>300000</v>
      </c>
      <c r="I268" s="87">
        <v>3300000</v>
      </c>
      <c r="K268" s="85">
        <v>2021</v>
      </c>
      <c r="L268" s="85">
        <v>4</v>
      </c>
      <c r="N268" s="208" t="s">
        <v>44</v>
      </c>
    </row>
    <row r="269" spans="1:14">
      <c r="A269" s="36" t="s">
        <v>32</v>
      </c>
      <c r="B269" s="37">
        <v>44316</v>
      </c>
      <c r="C269" s="36" t="s">
        <v>180</v>
      </c>
      <c r="D269" s="36" t="s">
        <v>344</v>
      </c>
      <c r="E269" s="36" t="s">
        <v>76</v>
      </c>
      <c r="F269" s="89">
        <v>39</v>
      </c>
      <c r="G269" s="87">
        <v>9165000</v>
      </c>
      <c r="H269" s="87">
        <v>916500</v>
      </c>
      <c r="I269" s="87">
        <v>10081500</v>
      </c>
      <c r="K269" s="85">
        <v>2021</v>
      </c>
      <c r="L269" s="85">
        <v>4</v>
      </c>
      <c r="N269" s="208" t="s">
        <v>44</v>
      </c>
    </row>
    <row r="270" spans="1:14">
      <c r="A270" s="36" t="s">
        <v>33</v>
      </c>
      <c r="B270" s="37">
        <v>44316</v>
      </c>
      <c r="C270" s="36" t="s">
        <v>141</v>
      </c>
      <c r="D270" s="36" t="s">
        <v>142</v>
      </c>
      <c r="E270" s="36" t="s">
        <v>143</v>
      </c>
      <c r="G270" s="87">
        <v>60000</v>
      </c>
      <c r="H270" s="87">
        <v>6000</v>
      </c>
      <c r="I270" s="87">
        <v>66000</v>
      </c>
      <c r="K270" s="84">
        <v>2021</v>
      </c>
      <c r="L270" s="85">
        <v>3</v>
      </c>
      <c r="N270" s="208" t="s">
        <v>44</v>
      </c>
    </row>
    <row r="271" spans="1:14">
      <c r="A271" s="36" t="s">
        <v>32</v>
      </c>
      <c r="B271" s="37">
        <v>44316</v>
      </c>
      <c r="C271" s="36" t="s">
        <v>204</v>
      </c>
      <c r="D271" s="36" t="s">
        <v>205</v>
      </c>
      <c r="E271" s="36" t="s">
        <v>77</v>
      </c>
      <c r="J271" s="38">
        <v>15243687</v>
      </c>
      <c r="K271" s="85">
        <v>2021</v>
      </c>
      <c r="L271" s="85">
        <v>3</v>
      </c>
      <c r="N271" s="208" t="s">
        <v>44</v>
      </c>
    </row>
    <row r="272" spans="1:14">
      <c r="A272" s="36" t="s">
        <v>32</v>
      </c>
      <c r="B272" s="37">
        <v>44316</v>
      </c>
      <c r="C272" s="36" t="s">
        <v>204</v>
      </c>
      <c r="D272" s="36" t="s">
        <v>205</v>
      </c>
      <c r="E272" s="36" t="s">
        <v>76</v>
      </c>
      <c r="F272" s="89">
        <v>76.5</v>
      </c>
      <c r="G272" s="87">
        <v>25698292</v>
      </c>
      <c r="H272" s="87">
        <v>2569829.2000000002</v>
      </c>
      <c r="I272" s="87">
        <v>28268121.199999999</v>
      </c>
      <c r="K272" s="85">
        <v>2021</v>
      </c>
      <c r="L272" s="85">
        <v>4</v>
      </c>
      <c r="N272" s="208" t="s">
        <v>44</v>
      </c>
    </row>
    <row r="273" spans="1:14">
      <c r="A273" s="36" t="s">
        <v>32</v>
      </c>
      <c r="B273" s="37">
        <v>44316</v>
      </c>
      <c r="C273" s="36" t="s">
        <v>281</v>
      </c>
      <c r="D273" s="36" t="s">
        <v>112</v>
      </c>
      <c r="E273" s="36" t="s">
        <v>77</v>
      </c>
      <c r="J273" s="38">
        <v>1760000</v>
      </c>
      <c r="K273" s="85">
        <v>2021</v>
      </c>
      <c r="L273" s="85">
        <v>3</v>
      </c>
      <c r="N273" s="208" t="s">
        <v>44</v>
      </c>
    </row>
    <row r="274" spans="1:14">
      <c r="A274" s="36" t="s">
        <v>32</v>
      </c>
      <c r="B274" s="37">
        <v>44316</v>
      </c>
      <c r="C274" s="36" t="s">
        <v>281</v>
      </c>
      <c r="D274" s="36" t="s">
        <v>112</v>
      </c>
      <c r="E274" s="36" t="s">
        <v>78</v>
      </c>
      <c r="F274" s="89">
        <v>15</v>
      </c>
      <c r="G274" s="87">
        <v>1070000</v>
      </c>
      <c r="H274" s="87">
        <v>107000</v>
      </c>
      <c r="I274" s="87">
        <v>1177000</v>
      </c>
      <c r="K274" s="85">
        <v>2021</v>
      </c>
      <c r="L274" s="85">
        <v>4</v>
      </c>
      <c r="N274" s="208" t="s">
        <v>44</v>
      </c>
    </row>
    <row r="275" spans="1:14">
      <c r="A275" s="36" t="s">
        <v>32</v>
      </c>
      <c r="B275" s="37">
        <v>44316</v>
      </c>
      <c r="C275" s="36" t="s">
        <v>281</v>
      </c>
      <c r="D275" s="36" t="s">
        <v>110</v>
      </c>
      <c r="E275" s="36" t="s">
        <v>78</v>
      </c>
      <c r="F275" s="89">
        <v>22</v>
      </c>
      <c r="G275" s="87">
        <v>4560000</v>
      </c>
      <c r="H275" s="87">
        <v>456000</v>
      </c>
      <c r="I275" s="87">
        <v>5016000</v>
      </c>
      <c r="K275" s="85">
        <v>2021</v>
      </c>
      <c r="L275" s="85">
        <v>4</v>
      </c>
      <c r="N275" s="208" t="s">
        <v>44</v>
      </c>
    </row>
    <row r="276" spans="1:14">
      <c r="A276" s="36" t="s">
        <v>33</v>
      </c>
      <c r="B276" s="37">
        <v>44316</v>
      </c>
      <c r="C276" s="36" t="s">
        <v>126</v>
      </c>
      <c r="D276" s="36" t="s">
        <v>127</v>
      </c>
      <c r="E276" s="36" t="s">
        <v>148</v>
      </c>
      <c r="J276" s="38">
        <v>825000</v>
      </c>
      <c r="K276" s="84">
        <v>2021</v>
      </c>
      <c r="L276" s="85">
        <v>3</v>
      </c>
      <c r="N276" s="208" t="s">
        <v>44</v>
      </c>
    </row>
    <row r="277" spans="1:14">
      <c r="A277" s="36" t="s">
        <v>33</v>
      </c>
      <c r="B277" s="37">
        <v>44316</v>
      </c>
      <c r="C277" s="36" t="s">
        <v>124</v>
      </c>
      <c r="D277" s="36" t="s">
        <v>229</v>
      </c>
      <c r="E277" s="36" t="s">
        <v>125</v>
      </c>
      <c r="G277" s="87">
        <v>3455455</v>
      </c>
      <c r="H277" s="87">
        <v>345545.4</v>
      </c>
      <c r="I277" s="87">
        <v>3801000</v>
      </c>
      <c r="K277" s="84">
        <v>2021</v>
      </c>
      <c r="L277" s="85">
        <v>4</v>
      </c>
      <c r="M277" s="36" t="s">
        <v>107</v>
      </c>
      <c r="N277" s="208" t="s">
        <v>44</v>
      </c>
    </row>
    <row r="278" spans="1:14">
      <c r="A278" s="36" t="s">
        <v>32</v>
      </c>
      <c r="B278" s="37">
        <v>44316</v>
      </c>
      <c r="C278" s="36" t="s">
        <v>277</v>
      </c>
      <c r="D278" s="36" t="s">
        <v>278</v>
      </c>
      <c r="E278" s="36" t="s">
        <v>78</v>
      </c>
      <c r="F278" s="89">
        <v>8</v>
      </c>
      <c r="G278" s="87">
        <v>2609400</v>
      </c>
      <c r="H278" s="87">
        <v>260940</v>
      </c>
      <c r="I278" s="87">
        <v>2870340</v>
      </c>
      <c r="K278" s="85">
        <v>2021</v>
      </c>
      <c r="L278" s="85">
        <v>4</v>
      </c>
      <c r="N278" s="208" t="s">
        <v>44</v>
      </c>
    </row>
    <row r="279" spans="1:14">
      <c r="A279" s="36" t="s">
        <v>32</v>
      </c>
      <c r="B279" s="37">
        <v>44316</v>
      </c>
      <c r="C279" s="36" t="s">
        <v>277</v>
      </c>
      <c r="D279" s="36" t="s">
        <v>278</v>
      </c>
      <c r="E279" s="36" t="s">
        <v>269</v>
      </c>
      <c r="F279" s="89">
        <v>15</v>
      </c>
      <c r="G279" s="87">
        <v>4643130</v>
      </c>
      <c r="H279" s="87">
        <v>464313</v>
      </c>
      <c r="I279" s="87">
        <v>5107443</v>
      </c>
      <c r="K279" s="85">
        <v>2021</v>
      </c>
      <c r="L279" s="85">
        <v>4</v>
      </c>
      <c r="N279" s="208" t="s">
        <v>44</v>
      </c>
    </row>
    <row r="280" spans="1:14">
      <c r="A280" s="36" t="s">
        <v>33</v>
      </c>
      <c r="B280" s="37">
        <v>44316</v>
      </c>
      <c r="C280" s="36" t="s">
        <v>167</v>
      </c>
      <c r="D280" s="36" t="s">
        <v>139</v>
      </c>
      <c r="E280" s="36" t="s">
        <v>165</v>
      </c>
      <c r="G280" s="87">
        <v>720000</v>
      </c>
      <c r="H280" s="87">
        <v>72000</v>
      </c>
      <c r="I280" s="87">
        <v>792000</v>
      </c>
      <c r="K280" s="85">
        <v>2021</v>
      </c>
      <c r="L280" s="85">
        <v>4</v>
      </c>
      <c r="N280" s="208" t="s">
        <v>44</v>
      </c>
    </row>
    <row r="281" spans="1:14">
      <c r="A281" s="36" t="s">
        <v>32</v>
      </c>
      <c r="B281" s="37">
        <v>44316</v>
      </c>
      <c r="C281" s="36" t="s">
        <v>181</v>
      </c>
      <c r="D281" s="36" t="s">
        <v>373</v>
      </c>
      <c r="E281" s="36" t="s">
        <v>77</v>
      </c>
      <c r="J281" s="38">
        <v>4978600</v>
      </c>
      <c r="K281" s="85">
        <v>2021</v>
      </c>
      <c r="L281" s="85">
        <v>3</v>
      </c>
      <c r="N281" s="208" t="s">
        <v>44</v>
      </c>
    </row>
    <row r="282" spans="1:14">
      <c r="A282" s="36" t="s">
        <v>32</v>
      </c>
      <c r="B282" s="37">
        <v>44316</v>
      </c>
      <c r="C282" s="36" t="s">
        <v>181</v>
      </c>
      <c r="D282" s="36" t="s">
        <v>372</v>
      </c>
      <c r="E282" s="36" t="s">
        <v>76</v>
      </c>
      <c r="G282" s="87">
        <v>28545000</v>
      </c>
      <c r="H282" s="87">
        <v>2854500</v>
      </c>
      <c r="I282" s="87">
        <v>31399500</v>
      </c>
      <c r="K282" s="85">
        <v>2021</v>
      </c>
      <c r="L282" s="85">
        <v>4</v>
      </c>
      <c r="N282" s="208" t="s">
        <v>44</v>
      </c>
    </row>
    <row r="283" spans="1:14">
      <c r="A283" s="36" t="s">
        <v>32</v>
      </c>
      <c r="B283" s="37">
        <v>44316</v>
      </c>
      <c r="C283" s="36" t="s">
        <v>181</v>
      </c>
      <c r="D283" s="36" t="s">
        <v>373</v>
      </c>
      <c r="E283" s="36" t="s">
        <v>76</v>
      </c>
      <c r="F283" s="89">
        <v>32</v>
      </c>
      <c r="G283" s="87">
        <v>13359000</v>
      </c>
      <c r="H283" s="87">
        <v>1335900</v>
      </c>
      <c r="I283" s="87">
        <v>14694900</v>
      </c>
      <c r="K283" s="85">
        <v>2021</v>
      </c>
      <c r="L283" s="85">
        <v>4</v>
      </c>
      <c r="N283" s="208" t="s">
        <v>44</v>
      </c>
    </row>
    <row r="284" spans="1:14">
      <c r="A284" s="36" t="s">
        <v>32</v>
      </c>
      <c r="B284" s="37">
        <v>44316</v>
      </c>
      <c r="C284" s="36" t="s">
        <v>181</v>
      </c>
      <c r="D284" s="36" t="s">
        <v>376</v>
      </c>
      <c r="E284" s="36" t="s">
        <v>76</v>
      </c>
      <c r="F284" s="89">
        <v>258.5</v>
      </c>
      <c r="G284" s="87">
        <v>61500000</v>
      </c>
      <c r="H284" s="87">
        <v>6150000</v>
      </c>
      <c r="I284" s="87">
        <v>67650000</v>
      </c>
      <c r="K284" s="85">
        <v>2021</v>
      </c>
      <c r="L284" s="85">
        <v>4</v>
      </c>
      <c r="N284" s="208" t="s">
        <v>44</v>
      </c>
    </row>
    <row r="285" spans="1:14">
      <c r="A285" s="36" t="s">
        <v>33</v>
      </c>
      <c r="B285" s="37">
        <v>44316</v>
      </c>
      <c r="C285" s="36" t="s">
        <v>119</v>
      </c>
      <c r="D285" s="36" t="s">
        <v>199</v>
      </c>
      <c r="E285" s="36" t="s">
        <v>77</v>
      </c>
      <c r="J285" s="38">
        <v>1499300</v>
      </c>
      <c r="K285" s="84">
        <v>2021</v>
      </c>
      <c r="L285" s="85">
        <v>3</v>
      </c>
      <c r="N285" s="208" t="s">
        <v>44</v>
      </c>
    </row>
    <row r="286" spans="1:14">
      <c r="A286" s="36" t="s">
        <v>33</v>
      </c>
      <c r="B286" s="37">
        <v>44316</v>
      </c>
      <c r="C286" s="36" t="s">
        <v>119</v>
      </c>
      <c r="D286" s="36" t="s">
        <v>372</v>
      </c>
      <c r="E286" s="36" t="s">
        <v>77</v>
      </c>
      <c r="J286" s="38">
        <v>3941520</v>
      </c>
      <c r="K286" s="84">
        <v>2021</v>
      </c>
      <c r="L286" s="85">
        <v>4</v>
      </c>
      <c r="M286" s="36" t="s">
        <v>159</v>
      </c>
      <c r="N286" s="208" t="s">
        <v>44</v>
      </c>
    </row>
    <row r="287" spans="1:14">
      <c r="A287" s="36" t="s">
        <v>33</v>
      </c>
      <c r="B287" s="37">
        <v>44316</v>
      </c>
      <c r="C287" s="36" t="s">
        <v>119</v>
      </c>
      <c r="D287" s="36" t="s">
        <v>372</v>
      </c>
      <c r="E287" s="36" t="s">
        <v>76</v>
      </c>
      <c r="G287" s="87">
        <v>25059300</v>
      </c>
      <c r="H287" s="87">
        <v>2505930</v>
      </c>
      <c r="I287" s="87">
        <v>27565230</v>
      </c>
      <c r="K287" s="85">
        <v>2021</v>
      </c>
      <c r="L287" s="85">
        <v>4</v>
      </c>
      <c r="M287" s="36" t="s">
        <v>159</v>
      </c>
      <c r="N287" s="208" t="s">
        <v>44</v>
      </c>
    </row>
    <row r="288" spans="1:14">
      <c r="A288" s="36" t="s">
        <v>33</v>
      </c>
      <c r="B288" s="37">
        <v>44316</v>
      </c>
      <c r="C288" s="36" t="s">
        <v>119</v>
      </c>
      <c r="D288" s="36" t="s">
        <v>372</v>
      </c>
      <c r="E288" s="36" t="s">
        <v>76</v>
      </c>
      <c r="G288" s="87">
        <v>2693000</v>
      </c>
      <c r="H288" s="87">
        <v>269300</v>
      </c>
      <c r="I288" s="87">
        <v>2962300</v>
      </c>
      <c r="K288" s="85">
        <v>2021</v>
      </c>
      <c r="L288" s="85">
        <v>4</v>
      </c>
      <c r="N288" s="208" t="s">
        <v>44</v>
      </c>
    </row>
    <row r="289" spans="1:14">
      <c r="A289" s="36" t="s">
        <v>32</v>
      </c>
      <c r="B289" s="37">
        <v>44316</v>
      </c>
      <c r="C289" s="36" t="s">
        <v>264</v>
      </c>
      <c r="D289" s="36" t="s">
        <v>265</v>
      </c>
      <c r="E289" s="36" t="s">
        <v>76</v>
      </c>
      <c r="F289" s="89">
        <v>43</v>
      </c>
      <c r="G289" s="87">
        <v>10690000</v>
      </c>
      <c r="H289" s="87">
        <v>1069000</v>
      </c>
      <c r="I289" s="87">
        <v>11759000</v>
      </c>
      <c r="K289" s="85">
        <v>2021</v>
      </c>
      <c r="L289" s="85">
        <v>4</v>
      </c>
      <c r="N289" s="208" t="s">
        <v>44</v>
      </c>
    </row>
    <row r="290" spans="1:14">
      <c r="A290" s="36" t="s">
        <v>32</v>
      </c>
      <c r="B290" s="37">
        <v>44316</v>
      </c>
      <c r="C290" s="36" t="s">
        <v>264</v>
      </c>
      <c r="D290" s="36" t="s">
        <v>266</v>
      </c>
      <c r="E290" s="36" t="s">
        <v>267</v>
      </c>
      <c r="F290" s="89">
        <v>23</v>
      </c>
      <c r="G290" s="87">
        <v>8338000</v>
      </c>
      <c r="H290" s="87">
        <v>833800</v>
      </c>
      <c r="I290" s="87">
        <v>9171800</v>
      </c>
      <c r="K290" s="85">
        <v>2021</v>
      </c>
      <c r="L290" s="85">
        <v>4</v>
      </c>
      <c r="N290" s="208" t="s">
        <v>44</v>
      </c>
    </row>
    <row r="291" spans="1:14">
      <c r="A291" s="36" t="s">
        <v>32</v>
      </c>
      <c r="B291" s="37">
        <v>44316</v>
      </c>
      <c r="C291" s="36" t="s">
        <v>85</v>
      </c>
      <c r="D291" s="36" t="s">
        <v>182</v>
      </c>
      <c r="E291" s="36" t="s">
        <v>77</v>
      </c>
      <c r="J291" s="38">
        <v>15262500</v>
      </c>
      <c r="K291" s="85">
        <v>2021</v>
      </c>
      <c r="L291" s="85">
        <v>3</v>
      </c>
      <c r="N291" s="208" t="s">
        <v>44</v>
      </c>
    </row>
    <row r="292" spans="1:14">
      <c r="A292" s="36" t="s">
        <v>32</v>
      </c>
      <c r="B292" s="37">
        <v>44316</v>
      </c>
      <c r="C292" s="36" t="s">
        <v>85</v>
      </c>
      <c r="D292" s="36" t="s">
        <v>156</v>
      </c>
      <c r="E292" s="36" t="s">
        <v>77</v>
      </c>
      <c r="J292" s="38">
        <v>43560000</v>
      </c>
      <c r="K292" s="85">
        <v>2021</v>
      </c>
      <c r="L292" s="85">
        <v>3</v>
      </c>
      <c r="N292" s="208" t="s">
        <v>44</v>
      </c>
    </row>
    <row r="293" spans="1:14">
      <c r="A293" s="36" t="s">
        <v>32</v>
      </c>
      <c r="B293" s="37">
        <v>44316</v>
      </c>
      <c r="C293" s="36" t="s">
        <v>85</v>
      </c>
      <c r="D293" s="36" t="s">
        <v>182</v>
      </c>
      <c r="E293" s="36" t="s">
        <v>78</v>
      </c>
      <c r="F293" s="89">
        <v>48</v>
      </c>
      <c r="G293" s="87">
        <v>10634100</v>
      </c>
      <c r="H293" s="87">
        <v>1063410</v>
      </c>
      <c r="I293" s="87">
        <v>11697510</v>
      </c>
      <c r="K293" s="85">
        <v>2021</v>
      </c>
      <c r="L293" s="85">
        <v>4</v>
      </c>
      <c r="N293" s="208" t="s">
        <v>44</v>
      </c>
    </row>
    <row r="294" spans="1:14">
      <c r="A294" s="36" t="s">
        <v>32</v>
      </c>
      <c r="B294" s="37">
        <v>44316</v>
      </c>
      <c r="C294" s="36" t="s">
        <v>85</v>
      </c>
      <c r="D294" s="36" t="s">
        <v>156</v>
      </c>
      <c r="E294" s="36" t="s">
        <v>78</v>
      </c>
      <c r="F294" s="89">
        <v>248.5</v>
      </c>
      <c r="G294" s="87">
        <v>36000000</v>
      </c>
      <c r="H294" s="87">
        <v>3600000</v>
      </c>
      <c r="I294" s="87">
        <v>39600000</v>
      </c>
      <c r="K294" s="85">
        <v>2021</v>
      </c>
      <c r="L294" s="85">
        <v>4</v>
      </c>
      <c r="N294" s="208" t="s">
        <v>44</v>
      </c>
    </row>
    <row r="295" spans="1:14">
      <c r="A295" s="36" t="s">
        <v>32</v>
      </c>
      <c r="B295" s="37">
        <v>44316</v>
      </c>
      <c r="C295" s="36" t="s">
        <v>282</v>
      </c>
      <c r="D295" s="36" t="s">
        <v>161</v>
      </c>
      <c r="E295" s="36" t="s">
        <v>78</v>
      </c>
      <c r="F295" s="89">
        <v>5</v>
      </c>
      <c r="G295" s="87">
        <v>2923200</v>
      </c>
      <c r="H295" s="87">
        <v>292320</v>
      </c>
      <c r="I295" s="87">
        <v>3215520</v>
      </c>
      <c r="K295" s="85">
        <v>2021</v>
      </c>
      <c r="L295" s="85">
        <v>4</v>
      </c>
      <c r="N295" s="208" t="s">
        <v>44</v>
      </c>
    </row>
    <row r="296" spans="1:14">
      <c r="A296" s="36" t="s">
        <v>33</v>
      </c>
      <c r="B296" s="37">
        <v>44316</v>
      </c>
      <c r="C296" s="36" t="s">
        <v>147</v>
      </c>
      <c r="D296" s="36" t="s">
        <v>94</v>
      </c>
      <c r="E296" s="36" t="s">
        <v>148</v>
      </c>
      <c r="J296" s="38">
        <v>726000</v>
      </c>
      <c r="K296" s="84">
        <v>2021</v>
      </c>
      <c r="L296" s="85">
        <v>3</v>
      </c>
      <c r="N296" s="208" t="s">
        <v>44</v>
      </c>
    </row>
    <row r="297" spans="1:14">
      <c r="A297" s="36" t="s">
        <v>33</v>
      </c>
      <c r="B297" s="37">
        <v>44316</v>
      </c>
      <c r="C297" s="36" t="s">
        <v>147</v>
      </c>
      <c r="D297" s="36" t="s">
        <v>94</v>
      </c>
      <c r="E297" s="36" t="s">
        <v>149</v>
      </c>
      <c r="G297" s="87">
        <v>360000</v>
      </c>
      <c r="H297" s="87">
        <v>36000</v>
      </c>
      <c r="I297" s="87">
        <v>396000</v>
      </c>
      <c r="K297" s="84">
        <v>2021</v>
      </c>
      <c r="L297" s="85">
        <v>4</v>
      </c>
      <c r="N297" s="208" t="s">
        <v>44</v>
      </c>
    </row>
    <row r="298" spans="1:14">
      <c r="A298" s="36" t="s">
        <v>33</v>
      </c>
      <c r="B298" s="37">
        <v>44316</v>
      </c>
      <c r="C298" s="36" t="s">
        <v>147</v>
      </c>
      <c r="D298" s="36" t="s">
        <v>94</v>
      </c>
      <c r="E298" s="36" t="s">
        <v>148</v>
      </c>
      <c r="J298" s="38">
        <v>396000</v>
      </c>
      <c r="K298" s="84">
        <v>2021</v>
      </c>
      <c r="L298" s="85">
        <v>4</v>
      </c>
      <c r="N298" s="208" t="s">
        <v>44</v>
      </c>
    </row>
    <row r="299" spans="1:14">
      <c r="A299" s="36" t="s">
        <v>32</v>
      </c>
      <c r="B299" s="37">
        <v>44316</v>
      </c>
      <c r="C299" s="36" t="s">
        <v>171</v>
      </c>
      <c r="D299" s="36" t="s">
        <v>172</v>
      </c>
      <c r="E299" s="36" t="s">
        <v>77</v>
      </c>
      <c r="J299" s="38">
        <v>15502784</v>
      </c>
      <c r="K299" s="85">
        <v>2021</v>
      </c>
      <c r="L299" s="85">
        <v>4</v>
      </c>
      <c r="N299" s="208" t="s">
        <v>44</v>
      </c>
    </row>
    <row r="300" spans="1:14">
      <c r="A300" s="36" t="s">
        <v>32</v>
      </c>
      <c r="B300" s="37">
        <v>44316</v>
      </c>
      <c r="C300" s="36" t="s">
        <v>206</v>
      </c>
      <c r="D300" s="36" t="s">
        <v>207</v>
      </c>
      <c r="E300" s="36" t="s">
        <v>77</v>
      </c>
      <c r="J300" s="38">
        <v>6821483</v>
      </c>
      <c r="K300" s="85">
        <v>2021</v>
      </c>
      <c r="L300" s="85">
        <v>3</v>
      </c>
      <c r="N300" s="208" t="s">
        <v>44</v>
      </c>
    </row>
    <row r="301" spans="1:14">
      <c r="A301" s="36" t="s">
        <v>32</v>
      </c>
      <c r="B301" s="37">
        <v>44316</v>
      </c>
      <c r="C301" s="36" t="s">
        <v>206</v>
      </c>
      <c r="D301" s="36" t="s">
        <v>207</v>
      </c>
      <c r="E301" s="36" t="s">
        <v>78</v>
      </c>
      <c r="F301" s="89">
        <v>17</v>
      </c>
      <c r="G301" s="87">
        <v>4077000</v>
      </c>
      <c r="H301" s="87">
        <v>407700</v>
      </c>
      <c r="I301" s="87">
        <v>4484700</v>
      </c>
      <c r="K301" s="85">
        <v>2021</v>
      </c>
      <c r="L301" s="85">
        <v>4</v>
      </c>
      <c r="N301" s="208" t="s">
        <v>44</v>
      </c>
    </row>
    <row r="302" spans="1:14">
      <c r="A302" s="36" t="s">
        <v>32</v>
      </c>
      <c r="B302" s="37">
        <v>44316</v>
      </c>
      <c r="C302" s="36" t="s">
        <v>206</v>
      </c>
      <c r="D302" s="36" t="s">
        <v>208</v>
      </c>
      <c r="E302" s="36" t="s">
        <v>78</v>
      </c>
      <c r="F302" s="89">
        <v>14.5</v>
      </c>
      <c r="G302" s="87">
        <v>1500000</v>
      </c>
      <c r="H302" s="87">
        <v>150000</v>
      </c>
      <c r="I302" s="87">
        <v>1650000</v>
      </c>
      <c r="K302" s="85">
        <v>2021</v>
      </c>
      <c r="L302" s="85">
        <v>4</v>
      </c>
      <c r="N302" s="208" t="s">
        <v>44</v>
      </c>
    </row>
    <row r="303" spans="1:14">
      <c r="A303" s="36" t="s">
        <v>32</v>
      </c>
      <c r="B303" s="37">
        <v>44316</v>
      </c>
      <c r="C303" s="36" t="s">
        <v>287</v>
      </c>
      <c r="D303" s="36" t="s">
        <v>150</v>
      </c>
      <c r="E303" s="36" t="s">
        <v>77</v>
      </c>
      <c r="J303" s="38">
        <v>2576200</v>
      </c>
      <c r="K303" s="85">
        <v>2021</v>
      </c>
      <c r="L303" s="85">
        <v>3</v>
      </c>
      <c r="N303" s="208" t="s">
        <v>44</v>
      </c>
    </row>
    <row r="304" spans="1:14">
      <c r="A304" s="36" t="s">
        <v>32</v>
      </c>
      <c r="B304" s="37">
        <v>44316</v>
      </c>
      <c r="C304" s="36" t="s">
        <v>280</v>
      </c>
      <c r="D304" s="36" t="s">
        <v>377</v>
      </c>
      <c r="E304" s="36" t="s">
        <v>76</v>
      </c>
      <c r="F304" s="89">
        <v>6.5</v>
      </c>
      <c r="G304" s="87">
        <v>2971200</v>
      </c>
      <c r="H304" s="87">
        <v>297120</v>
      </c>
      <c r="I304" s="87">
        <v>3268320</v>
      </c>
      <c r="K304" s="85">
        <v>2021</v>
      </c>
      <c r="L304" s="85">
        <v>4</v>
      </c>
      <c r="N304" s="208" t="s">
        <v>44</v>
      </c>
    </row>
    <row r="305" spans="1:14">
      <c r="A305" s="36" t="s">
        <v>33</v>
      </c>
      <c r="B305" s="37">
        <v>44316</v>
      </c>
      <c r="C305" s="36" t="s">
        <v>226</v>
      </c>
      <c r="D305" s="36" t="s">
        <v>227</v>
      </c>
      <c r="E305" s="36" t="s">
        <v>228</v>
      </c>
      <c r="G305" s="87">
        <v>1755455</v>
      </c>
      <c r="H305" s="87">
        <v>175545</v>
      </c>
      <c r="I305" s="87">
        <v>1931000</v>
      </c>
      <c r="K305" s="85">
        <v>2021</v>
      </c>
      <c r="L305" s="85">
        <v>4</v>
      </c>
      <c r="N305" s="208" t="s">
        <v>44</v>
      </c>
    </row>
    <row r="306" spans="1:14">
      <c r="A306" s="36" t="s">
        <v>32</v>
      </c>
      <c r="B306" s="37">
        <v>44316</v>
      </c>
      <c r="C306" s="36" t="s">
        <v>185</v>
      </c>
      <c r="D306" s="36" t="s">
        <v>186</v>
      </c>
      <c r="E306" s="36" t="s">
        <v>76</v>
      </c>
      <c r="F306" s="89">
        <v>40</v>
      </c>
      <c r="G306" s="87">
        <v>9397500</v>
      </c>
      <c r="H306" s="87">
        <v>939750</v>
      </c>
      <c r="I306" s="87">
        <v>10337250</v>
      </c>
      <c r="K306" s="85">
        <v>2021</v>
      </c>
      <c r="L306" s="85">
        <v>4</v>
      </c>
      <c r="N306" s="208" t="s">
        <v>44</v>
      </c>
    </row>
    <row r="307" spans="1:14">
      <c r="A307" s="36" t="s">
        <v>32</v>
      </c>
      <c r="B307" s="37">
        <v>44316</v>
      </c>
      <c r="C307" s="36" t="s">
        <v>185</v>
      </c>
      <c r="D307" s="36" t="s">
        <v>187</v>
      </c>
      <c r="E307" s="36" t="s">
        <v>78</v>
      </c>
      <c r="F307" s="89">
        <v>5.5</v>
      </c>
      <c r="G307" s="87">
        <v>3339000</v>
      </c>
      <c r="H307" s="87">
        <v>333900</v>
      </c>
      <c r="I307" s="87">
        <v>3672900</v>
      </c>
      <c r="K307" s="85">
        <v>2021</v>
      </c>
      <c r="L307" s="85">
        <v>4</v>
      </c>
      <c r="N307" s="208" t="s">
        <v>44</v>
      </c>
    </row>
    <row r="308" spans="1:14">
      <c r="A308" s="36" t="s">
        <v>32</v>
      </c>
      <c r="B308" s="37">
        <v>44316</v>
      </c>
      <c r="C308" s="36" t="s">
        <v>268</v>
      </c>
      <c r="D308" s="36" t="s">
        <v>261</v>
      </c>
      <c r="E308" s="36" t="s">
        <v>76</v>
      </c>
      <c r="F308" s="89">
        <v>35</v>
      </c>
      <c r="G308" s="87">
        <v>7129300</v>
      </c>
      <c r="H308" s="87">
        <v>712930</v>
      </c>
      <c r="I308" s="87">
        <v>7842230</v>
      </c>
      <c r="K308" s="85">
        <v>2021</v>
      </c>
      <c r="L308" s="85">
        <v>4</v>
      </c>
      <c r="N308" s="208" t="s">
        <v>44</v>
      </c>
    </row>
    <row r="309" spans="1:14">
      <c r="A309" s="36" t="s">
        <v>32</v>
      </c>
      <c r="B309" s="37">
        <v>44316</v>
      </c>
      <c r="C309" s="36" t="s">
        <v>268</v>
      </c>
      <c r="D309" s="36" t="s">
        <v>273</v>
      </c>
      <c r="E309" s="36" t="s">
        <v>76</v>
      </c>
      <c r="G309" s="87">
        <v>2122400</v>
      </c>
      <c r="H309" s="87">
        <v>212240</v>
      </c>
      <c r="I309" s="87">
        <v>2334640</v>
      </c>
      <c r="K309" s="85">
        <v>2021</v>
      </c>
      <c r="L309" s="85">
        <v>4</v>
      </c>
      <c r="N309" s="208" t="s">
        <v>44</v>
      </c>
    </row>
    <row r="310" spans="1:14">
      <c r="A310" s="36" t="s">
        <v>32</v>
      </c>
      <c r="B310" s="37">
        <v>44316</v>
      </c>
      <c r="C310" s="36" t="s">
        <v>188</v>
      </c>
      <c r="D310" s="36" t="s">
        <v>189</v>
      </c>
      <c r="E310" s="36" t="s">
        <v>76</v>
      </c>
      <c r="F310" s="89">
        <v>40.5</v>
      </c>
      <c r="G310" s="87">
        <v>9591100</v>
      </c>
      <c r="H310" s="87">
        <v>959110</v>
      </c>
      <c r="I310" s="87">
        <v>10550210</v>
      </c>
      <c r="K310" s="85">
        <v>2021</v>
      </c>
      <c r="L310" s="85">
        <v>4</v>
      </c>
      <c r="N310" s="208" t="s">
        <v>44</v>
      </c>
    </row>
    <row r="311" spans="1:14">
      <c r="A311" s="36" t="s">
        <v>32</v>
      </c>
      <c r="B311" s="37">
        <v>44316</v>
      </c>
      <c r="C311" s="36" t="s">
        <v>188</v>
      </c>
      <c r="D311" s="36" t="s">
        <v>139</v>
      </c>
      <c r="E311" s="36" t="s">
        <v>76</v>
      </c>
      <c r="F311" s="89">
        <v>21</v>
      </c>
      <c r="G311" s="87">
        <v>8400000</v>
      </c>
      <c r="H311" s="87">
        <v>840000</v>
      </c>
      <c r="I311" s="87">
        <v>9240000</v>
      </c>
      <c r="K311" s="85">
        <v>2021</v>
      </c>
      <c r="L311" s="85">
        <v>4</v>
      </c>
      <c r="N311" s="208" t="s">
        <v>44</v>
      </c>
    </row>
    <row r="312" spans="1:14">
      <c r="A312" s="36" t="s">
        <v>32</v>
      </c>
      <c r="B312" s="37">
        <v>44316</v>
      </c>
      <c r="C312" s="36" t="s">
        <v>188</v>
      </c>
      <c r="D312" s="36" t="s">
        <v>190</v>
      </c>
      <c r="E312" s="36" t="s">
        <v>76</v>
      </c>
      <c r="F312" s="89">
        <v>13.5</v>
      </c>
      <c r="G312" s="87">
        <v>4639800</v>
      </c>
      <c r="H312" s="87">
        <v>463980</v>
      </c>
      <c r="I312" s="87">
        <v>5103780</v>
      </c>
      <c r="K312" s="85">
        <v>2021</v>
      </c>
      <c r="L312" s="85">
        <v>4</v>
      </c>
      <c r="N312" s="208" t="s">
        <v>44</v>
      </c>
    </row>
    <row r="313" spans="1:14">
      <c r="A313" s="36" t="s">
        <v>32</v>
      </c>
      <c r="B313" s="37">
        <v>44316</v>
      </c>
      <c r="C313" s="36" t="s">
        <v>188</v>
      </c>
      <c r="D313" s="36" t="s">
        <v>191</v>
      </c>
      <c r="E313" s="36" t="s">
        <v>76</v>
      </c>
      <c r="F313" s="89">
        <v>6</v>
      </c>
      <c r="G313" s="87">
        <v>4500000</v>
      </c>
      <c r="H313" s="87">
        <v>450000</v>
      </c>
      <c r="I313" s="87">
        <v>4950000</v>
      </c>
      <c r="K313" s="85">
        <v>2021</v>
      </c>
      <c r="L313" s="85">
        <v>4</v>
      </c>
      <c r="N313" s="208" t="s">
        <v>44</v>
      </c>
    </row>
    <row r="314" spans="1:14">
      <c r="A314" s="36" t="s">
        <v>32</v>
      </c>
      <c r="B314" s="37">
        <v>44316</v>
      </c>
      <c r="C314" s="36" t="s">
        <v>188</v>
      </c>
      <c r="D314" s="36" t="s">
        <v>192</v>
      </c>
      <c r="E314" s="36" t="s">
        <v>76</v>
      </c>
      <c r="F314" s="89">
        <v>12</v>
      </c>
      <c r="G314" s="87">
        <v>12788300</v>
      </c>
      <c r="H314" s="87">
        <v>1278830</v>
      </c>
      <c r="I314" s="87">
        <v>14067130</v>
      </c>
      <c r="K314" s="85">
        <v>2021</v>
      </c>
      <c r="L314" s="85">
        <v>4</v>
      </c>
      <c r="N314" s="208" t="s">
        <v>44</v>
      </c>
    </row>
    <row r="315" spans="1:14">
      <c r="A315" s="36" t="s">
        <v>32</v>
      </c>
      <c r="B315" s="37">
        <v>44316</v>
      </c>
      <c r="C315" s="36" t="s">
        <v>188</v>
      </c>
      <c r="D315" s="36" t="s">
        <v>193</v>
      </c>
      <c r="E315" s="36" t="s">
        <v>76</v>
      </c>
      <c r="F315" s="89">
        <v>16.5</v>
      </c>
      <c r="G315" s="87">
        <v>3103200</v>
      </c>
      <c r="H315" s="87">
        <v>310320</v>
      </c>
      <c r="I315" s="87">
        <v>3413520</v>
      </c>
      <c r="K315" s="85">
        <v>2021</v>
      </c>
      <c r="L315" s="85">
        <v>4</v>
      </c>
      <c r="N315" s="208" t="s">
        <v>44</v>
      </c>
    </row>
    <row r="316" spans="1:14">
      <c r="A316" s="36" t="s">
        <v>19</v>
      </c>
      <c r="B316" s="37">
        <v>44316</v>
      </c>
      <c r="C316" s="36" t="s">
        <v>223</v>
      </c>
      <c r="D316" s="36" t="s">
        <v>224</v>
      </c>
      <c r="E316" s="36" t="s">
        <v>225</v>
      </c>
      <c r="G316" s="87">
        <v>2727273</v>
      </c>
      <c r="H316" s="87">
        <v>272727</v>
      </c>
      <c r="I316" s="87">
        <v>3000000</v>
      </c>
      <c r="K316" s="84">
        <v>2021</v>
      </c>
      <c r="L316" s="85">
        <v>4</v>
      </c>
      <c r="N316" s="208" t="s">
        <v>44</v>
      </c>
    </row>
    <row r="317" spans="1:14">
      <c r="A317" s="36" t="s">
        <v>32</v>
      </c>
      <c r="B317" s="37">
        <v>44316</v>
      </c>
      <c r="C317" s="36" t="s">
        <v>175</v>
      </c>
      <c r="D317" s="36" t="s">
        <v>177</v>
      </c>
      <c r="E317" s="36" t="s">
        <v>76</v>
      </c>
      <c r="F317" s="89">
        <v>21.5</v>
      </c>
      <c r="G317" s="87">
        <v>7764900</v>
      </c>
      <c r="H317" s="87">
        <v>776490</v>
      </c>
      <c r="I317" s="87">
        <v>8541390</v>
      </c>
      <c r="K317" s="85">
        <v>2021</v>
      </c>
      <c r="L317" s="85">
        <v>4</v>
      </c>
      <c r="N317" s="208" t="s">
        <v>44</v>
      </c>
    </row>
    <row r="318" spans="1:14">
      <c r="A318" s="36" t="s">
        <v>32</v>
      </c>
      <c r="B318" s="37">
        <v>44316</v>
      </c>
      <c r="C318" s="36" t="s">
        <v>175</v>
      </c>
      <c r="D318" s="36" t="s">
        <v>178</v>
      </c>
      <c r="E318" s="36" t="s">
        <v>76</v>
      </c>
      <c r="F318" s="89">
        <v>30.5</v>
      </c>
      <c r="G318" s="87">
        <v>10783800</v>
      </c>
      <c r="H318" s="87">
        <v>1078380</v>
      </c>
      <c r="I318" s="87">
        <v>11862180</v>
      </c>
      <c r="K318" s="85">
        <v>2021</v>
      </c>
      <c r="L318" s="85">
        <v>4</v>
      </c>
      <c r="N318" s="208" t="s">
        <v>44</v>
      </c>
    </row>
    <row r="319" spans="1:14">
      <c r="A319" s="36" t="s">
        <v>32</v>
      </c>
      <c r="B319" s="37">
        <v>44316</v>
      </c>
      <c r="C319" s="36" t="s">
        <v>175</v>
      </c>
      <c r="D319" s="36" t="s">
        <v>179</v>
      </c>
      <c r="E319" s="36" t="s">
        <v>76</v>
      </c>
      <c r="F319" s="89">
        <v>61.5</v>
      </c>
      <c r="G319" s="87">
        <v>20182400</v>
      </c>
      <c r="H319" s="87">
        <v>2018240</v>
      </c>
      <c r="I319" s="87">
        <v>22200640</v>
      </c>
      <c r="K319" s="85">
        <v>2021</v>
      </c>
      <c r="L319" s="85">
        <v>4</v>
      </c>
      <c r="N319" s="208" t="s">
        <v>44</v>
      </c>
    </row>
    <row r="320" spans="1:14">
      <c r="A320" s="36" t="s">
        <v>33</v>
      </c>
      <c r="B320" s="37">
        <v>44316</v>
      </c>
      <c r="C320" s="36" t="s">
        <v>115</v>
      </c>
      <c r="D320" s="36" t="s">
        <v>371</v>
      </c>
      <c r="E320" s="36" t="s">
        <v>237</v>
      </c>
      <c r="G320" s="87">
        <v>992727</v>
      </c>
      <c r="H320" s="87">
        <v>99273</v>
      </c>
      <c r="I320" s="87">
        <v>1092000</v>
      </c>
      <c r="K320" s="85">
        <v>2021</v>
      </c>
      <c r="L320" s="85">
        <v>4</v>
      </c>
      <c r="M320" s="36" t="s">
        <v>107</v>
      </c>
      <c r="N320" s="208" t="s">
        <v>44</v>
      </c>
    </row>
    <row r="321" spans="1:14">
      <c r="A321" s="36" t="s">
        <v>33</v>
      </c>
      <c r="B321" s="37">
        <v>44316</v>
      </c>
      <c r="C321" s="36" t="s">
        <v>115</v>
      </c>
      <c r="D321" s="36" t="s">
        <v>371</v>
      </c>
      <c r="E321" s="36" t="s">
        <v>238</v>
      </c>
      <c r="G321" s="87">
        <v>867272</v>
      </c>
      <c r="H321" s="87">
        <v>86728</v>
      </c>
      <c r="I321" s="87">
        <v>954000</v>
      </c>
      <c r="K321" s="85">
        <v>2021</v>
      </c>
      <c r="L321" s="85">
        <v>4</v>
      </c>
      <c r="M321" s="36" t="s">
        <v>107</v>
      </c>
      <c r="N321" s="208" t="s">
        <v>44</v>
      </c>
    </row>
    <row r="322" spans="1:14">
      <c r="A322" s="36" t="s">
        <v>33</v>
      </c>
      <c r="B322" s="37">
        <v>44316</v>
      </c>
      <c r="C322" s="36" t="s">
        <v>115</v>
      </c>
      <c r="D322" s="36" t="s">
        <v>371</v>
      </c>
      <c r="E322" s="36" t="s">
        <v>239</v>
      </c>
      <c r="G322" s="87">
        <v>185454</v>
      </c>
      <c r="H322" s="87">
        <v>18546</v>
      </c>
      <c r="I322" s="87">
        <v>204000</v>
      </c>
      <c r="K322" s="85">
        <v>2021</v>
      </c>
      <c r="L322" s="85">
        <v>4</v>
      </c>
      <c r="M322" s="36" t="s">
        <v>107</v>
      </c>
      <c r="N322" s="208" t="s">
        <v>44</v>
      </c>
    </row>
    <row r="323" spans="1:14">
      <c r="A323" s="36" t="s">
        <v>33</v>
      </c>
      <c r="B323" s="37">
        <v>44316</v>
      </c>
      <c r="C323" s="36" t="s">
        <v>115</v>
      </c>
      <c r="D323" s="36" t="s">
        <v>371</v>
      </c>
      <c r="E323" s="36" t="s">
        <v>240</v>
      </c>
      <c r="G323" s="87">
        <v>414545</v>
      </c>
      <c r="H323" s="87">
        <v>41455</v>
      </c>
      <c r="I323" s="87">
        <v>456000</v>
      </c>
      <c r="K323" s="85">
        <v>2021</v>
      </c>
      <c r="L323" s="85">
        <v>4</v>
      </c>
      <c r="M323" s="36" t="s">
        <v>107</v>
      </c>
      <c r="N323" s="208" t="s">
        <v>44</v>
      </c>
    </row>
    <row r="324" spans="1:14">
      <c r="A324" s="36" t="s">
        <v>33</v>
      </c>
      <c r="B324" s="37">
        <v>44316</v>
      </c>
      <c r="C324" s="36" t="s">
        <v>168</v>
      </c>
      <c r="D324" s="36" t="s">
        <v>258</v>
      </c>
      <c r="E324" s="36" t="s">
        <v>125</v>
      </c>
      <c r="G324" s="87">
        <v>1065500</v>
      </c>
      <c r="H324" s="87">
        <v>106550</v>
      </c>
      <c r="I324" s="87">
        <v>1172050</v>
      </c>
      <c r="K324" s="85">
        <v>2021</v>
      </c>
      <c r="L324" s="85">
        <v>4</v>
      </c>
      <c r="N324" s="208" t="s">
        <v>44</v>
      </c>
    </row>
    <row r="325" spans="1:14">
      <c r="A325" s="36" t="s">
        <v>33</v>
      </c>
      <c r="B325" s="37">
        <v>44316</v>
      </c>
      <c r="C325" s="36" t="s">
        <v>166</v>
      </c>
      <c r="D325" s="36" t="s">
        <v>376</v>
      </c>
      <c r="E325" s="36" t="s">
        <v>125</v>
      </c>
      <c r="G325" s="87">
        <v>773636</v>
      </c>
      <c r="H325" s="87">
        <v>77363.600000000006</v>
      </c>
      <c r="I325" s="87">
        <v>850999.6</v>
      </c>
      <c r="K325" s="85">
        <v>2021</v>
      </c>
      <c r="L325" s="85">
        <v>4</v>
      </c>
      <c r="N325" s="208" t="s">
        <v>44</v>
      </c>
    </row>
    <row r="326" spans="1:14">
      <c r="A326" s="36" t="s">
        <v>19</v>
      </c>
      <c r="B326" s="37">
        <v>44316</v>
      </c>
      <c r="C326" s="36" t="s">
        <v>234</v>
      </c>
      <c r="D326" s="36" t="s">
        <v>235</v>
      </c>
      <c r="E326" s="36" t="s">
        <v>148</v>
      </c>
      <c r="J326" s="38">
        <v>2420000</v>
      </c>
      <c r="K326" s="84">
        <v>2021</v>
      </c>
      <c r="L326" s="85">
        <v>3</v>
      </c>
      <c r="N326" s="208" t="s">
        <v>44</v>
      </c>
    </row>
    <row r="327" spans="1:14">
      <c r="A327" s="36" t="s">
        <v>19</v>
      </c>
      <c r="B327" s="37">
        <v>44316</v>
      </c>
      <c r="C327" s="36" t="s">
        <v>234</v>
      </c>
      <c r="D327" s="36" t="s">
        <v>235</v>
      </c>
      <c r="E327" s="36" t="s">
        <v>236</v>
      </c>
      <c r="G327" s="87">
        <v>2044000</v>
      </c>
      <c r="H327" s="87">
        <v>204400</v>
      </c>
      <c r="I327" s="87">
        <v>2248400</v>
      </c>
      <c r="K327" s="84">
        <v>2021</v>
      </c>
      <c r="L327" s="85">
        <v>4</v>
      </c>
      <c r="N327" s="208" t="s">
        <v>44</v>
      </c>
    </row>
    <row r="328" spans="1:14">
      <c r="A328" s="36" t="s">
        <v>33</v>
      </c>
      <c r="B328" s="37">
        <v>44316</v>
      </c>
      <c r="C328" s="36" t="s">
        <v>103</v>
      </c>
      <c r="D328" s="36" t="s">
        <v>205</v>
      </c>
      <c r="E328" s="36" t="s">
        <v>77</v>
      </c>
      <c r="J328" s="38">
        <v>4772202</v>
      </c>
      <c r="K328" s="84">
        <v>2021</v>
      </c>
      <c r="L328" s="85">
        <v>3</v>
      </c>
      <c r="N328" s="208" t="s">
        <v>44</v>
      </c>
    </row>
    <row r="329" spans="1:14">
      <c r="A329" s="36" t="s">
        <v>33</v>
      </c>
      <c r="B329" s="37">
        <v>44316</v>
      </c>
      <c r="C329" s="36" t="s">
        <v>103</v>
      </c>
      <c r="D329" s="36" t="s">
        <v>152</v>
      </c>
      <c r="E329" s="36" t="s">
        <v>77</v>
      </c>
      <c r="J329" s="38">
        <v>1708668</v>
      </c>
      <c r="K329" s="84">
        <v>2021</v>
      </c>
      <c r="L329" s="85">
        <v>3</v>
      </c>
      <c r="N329" s="208" t="s">
        <v>44</v>
      </c>
    </row>
    <row r="330" spans="1:14">
      <c r="A330" s="36" t="s">
        <v>33</v>
      </c>
      <c r="B330" s="37">
        <v>44316</v>
      </c>
      <c r="C330" s="36" t="s">
        <v>103</v>
      </c>
      <c r="D330" s="36" t="s">
        <v>205</v>
      </c>
      <c r="E330" s="36" t="s">
        <v>241</v>
      </c>
      <c r="G330" s="87">
        <v>4863023</v>
      </c>
      <c r="H330" s="87">
        <v>486302.30000000005</v>
      </c>
      <c r="I330" s="87">
        <v>5349325.3</v>
      </c>
      <c r="K330" s="85">
        <v>2021</v>
      </c>
      <c r="L330" s="85">
        <v>4</v>
      </c>
      <c r="N330" s="208" t="s">
        <v>44</v>
      </c>
    </row>
    <row r="331" spans="1:14">
      <c r="A331" s="36" t="s">
        <v>33</v>
      </c>
      <c r="B331" s="37">
        <v>44316</v>
      </c>
      <c r="C331" s="36" t="s">
        <v>103</v>
      </c>
      <c r="D331" s="36" t="s">
        <v>152</v>
      </c>
      <c r="E331" s="36" t="s">
        <v>242</v>
      </c>
      <c r="G331" s="87">
        <v>1188000</v>
      </c>
      <c r="H331" s="87">
        <v>118800</v>
      </c>
      <c r="I331" s="87">
        <v>1306800</v>
      </c>
      <c r="K331" s="85">
        <v>2021</v>
      </c>
      <c r="L331" s="85">
        <v>4</v>
      </c>
      <c r="N331" s="208" t="s">
        <v>44</v>
      </c>
    </row>
    <row r="332" spans="1:14">
      <c r="A332" s="36" t="s">
        <v>33</v>
      </c>
      <c r="B332" s="37">
        <v>44316</v>
      </c>
      <c r="C332" s="36" t="s">
        <v>103</v>
      </c>
      <c r="D332" s="36" t="s">
        <v>151</v>
      </c>
      <c r="E332" s="36" t="s">
        <v>243</v>
      </c>
      <c r="G332" s="87">
        <v>500000</v>
      </c>
      <c r="H332" s="87">
        <v>50000</v>
      </c>
      <c r="I332" s="87">
        <v>550000</v>
      </c>
      <c r="K332" s="85">
        <v>2021</v>
      </c>
      <c r="L332" s="85">
        <v>4</v>
      </c>
      <c r="N332" s="208" t="s">
        <v>44</v>
      </c>
    </row>
    <row r="333" spans="1:14">
      <c r="A333" s="36" t="s">
        <v>33</v>
      </c>
      <c r="B333" s="37">
        <v>44316</v>
      </c>
      <c r="C333" s="36" t="s">
        <v>103</v>
      </c>
      <c r="D333" s="36" t="s">
        <v>244</v>
      </c>
      <c r="E333" s="36" t="s">
        <v>245</v>
      </c>
      <c r="G333" s="87">
        <v>461250</v>
      </c>
      <c r="H333" s="87">
        <v>46125</v>
      </c>
      <c r="I333" s="87">
        <v>507375</v>
      </c>
      <c r="K333" s="85">
        <v>2021</v>
      </c>
      <c r="L333" s="85">
        <v>4</v>
      </c>
      <c r="N333" s="208" t="s">
        <v>44</v>
      </c>
    </row>
    <row r="334" spans="1:14">
      <c r="A334" s="36" t="s">
        <v>33</v>
      </c>
      <c r="B334" s="37">
        <v>44316</v>
      </c>
      <c r="C334" s="36" t="s">
        <v>155</v>
      </c>
      <c r="D334" s="36" t="s">
        <v>156</v>
      </c>
      <c r="E334" s="36" t="s">
        <v>148</v>
      </c>
      <c r="J334" s="38">
        <v>1650000</v>
      </c>
      <c r="K334" s="85">
        <v>2021</v>
      </c>
      <c r="L334" s="85">
        <v>3</v>
      </c>
      <c r="N334" s="208" t="s">
        <v>44</v>
      </c>
    </row>
    <row r="335" spans="1:14">
      <c r="A335" s="36" t="s">
        <v>33</v>
      </c>
      <c r="B335" s="37">
        <v>44316</v>
      </c>
      <c r="C335" s="36" t="s">
        <v>155</v>
      </c>
      <c r="D335" s="36" t="s">
        <v>156</v>
      </c>
      <c r="E335" s="36" t="s">
        <v>157</v>
      </c>
      <c r="G335" s="87">
        <v>1290000</v>
      </c>
      <c r="H335" s="87">
        <v>129000</v>
      </c>
      <c r="I335" s="87">
        <v>1419000</v>
      </c>
      <c r="K335" s="85">
        <v>2021</v>
      </c>
      <c r="L335" s="85">
        <v>4</v>
      </c>
      <c r="N335" s="208" t="s">
        <v>44</v>
      </c>
    </row>
    <row r="336" spans="1:14">
      <c r="A336" s="36" t="s">
        <v>33</v>
      </c>
      <c r="B336" s="37">
        <v>44316</v>
      </c>
      <c r="C336" s="36" t="s">
        <v>162</v>
      </c>
      <c r="D336" s="36" t="s">
        <v>163</v>
      </c>
      <c r="E336" s="36" t="s">
        <v>164</v>
      </c>
      <c r="G336" s="87">
        <v>165000</v>
      </c>
      <c r="H336" s="87">
        <v>16500</v>
      </c>
      <c r="I336" s="87">
        <v>181500</v>
      </c>
      <c r="K336" s="84">
        <v>2021</v>
      </c>
      <c r="L336" s="85">
        <v>4</v>
      </c>
      <c r="N336" s="208" t="s">
        <v>44</v>
      </c>
    </row>
    <row r="337" spans="1:14">
      <c r="A337" s="36" t="s">
        <v>33</v>
      </c>
      <c r="B337" s="37">
        <v>44316</v>
      </c>
      <c r="C337" s="36" t="s">
        <v>158</v>
      </c>
      <c r="D337" s="36" t="s">
        <v>139</v>
      </c>
      <c r="E337" s="36" t="s">
        <v>77</v>
      </c>
      <c r="J337" s="38">
        <v>415800</v>
      </c>
      <c r="K337" s="84">
        <v>2021</v>
      </c>
      <c r="L337" s="85">
        <v>4</v>
      </c>
      <c r="N337" s="208" t="s">
        <v>44</v>
      </c>
    </row>
    <row r="338" spans="1:14">
      <c r="A338" s="36" t="s">
        <v>32</v>
      </c>
      <c r="B338" s="37">
        <v>44317</v>
      </c>
      <c r="C338" s="36" t="s">
        <v>339</v>
      </c>
      <c r="D338" s="36" t="s">
        <v>340</v>
      </c>
      <c r="E338" s="36" t="s">
        <v>341</v>
      </c>
      <c r="F338" s="89">
        <v>12</v>
      </c>
      <c r="G338" s="87">
        <v>2300000</v>
      </c>
      <c r="H338" s="87">
        <v>230000</v>
      </c>
      <c r="I338" s="87">
        <v>2530000</v>
      </c>
      <c r="K338" s="85">
        <v>2021</v>
      </c>
      <c r="L338" s="85">
        <v>5</v>
      </c>
      <c r="M338" s="36" t="s">
        <v>342</v>
      </c>
      <c r="N338" s="208" t="s">
        <v>44</v>
      </c>
    </row>
    <row r="339" spans="1:14">
      <c r="A339" s="36" t="s">
        <v>32</v>
      </c>
      <c r="B339" s="37">
        <v>44317</v>
      </c>
      <c r="C339" s="36" t="s">
        <v>204</v>
      </c>
      <c r="D339" s="36" t="s">
        <v>337</v>
      </c>
      <c r="E339" s="36" t="s">
        <v>78</v>
      </c>
      <c r="F339" s="89">
        <v>16.5</v>
      </c>
      <c r="G339" s="87">
        <v>4335750</v>
      </c>
      <c r="H339" s="87">
        <v>433575</v>
      </c>
      <c r="I339" s="87">
        <v>4769325</v>
      </c>
      <c r="K339" s="85">
        <v>2021</v>
      </c>
      <c r="L339" s="85">
        <v>5</v>
      </c>
      <c r="M339" s="36" t="s">
        <v>336</v>
      </c>
      <c r="N339" s="208" t="s">
        <v>44</v>
      </c>
    </row>
    <row r="340" spans="1:14">
      <c r="A340" s="36" t="s">
        <v>32</v>
      </c>
      <c r="B340" s="37">
        <v>44317</v>
      </c>
      <c r="C340" s="36" t="s">
        <v>334</v>
      </c>
      <c r="D340" s="36" t="s">
        <v>335</v>
      </c>
      <c r="E340" s="36" t="s">
        <v>76</v>
      </c>
      <c r="F340" s="89">
        <v>78.5</v>
      </c>
      <c r="G340" s="87">
        <v>18285000</v>
      </c>
      <c r="H340" s="87">
        <v>1828500</v>
      </c>
      <c r="I340" s="87">
        <v>20113500</v>
      </c>
      <c r="K340" s="85">
        <v>2021</v>
      </c>
      <c r="L340" s="85">
        <v>5</v>
      </c>
      <c r="M340" s="36" t="s">
        <v>336</v>
      </c>
      <c r="N340" s="208" t="s">
        <v>44</v>
      </c>
    </row>
    <row r="341" spans="1:14">
      <c r="A341" s="36" t="s">
        <v>32</v>
      </c>
      <c r="B341" s="37">
        <v>44317</v>
      </c>
      <c r="C341" s="36" t="s">
        <v>103</v>
      </c>
      <c r="D341" s="36" t="s">
        <v>333</v>
      </c>
      <c r="E341" s="36" t="s">
        <v>78</v>
      </c>
      <c r="F341" s="89">
        <v>14</v>
      </c>
      <c r="G341" s="87">
        <v>2200000</v>
      </c>
      <c r="H341" s="87">
        <v>220000</v>
      </c>
      <c r="I341" s="87">
        <v>2420000</v>
      </c>
      <c r="K341" s="85">
        <v>2021</v>
      </c>
      <c r="L341" s="85">
        <v>5</v>
      </c>
      <c r="N341" s="208" t="s">
        <v>44</v>
      </c>
    </row>
    <row r="342" spans="1:14">
      <c r="A342" s="36" t="s">
        <v>19</v>
      </c>
      <c r="B342" s="37">
        <v>44319</v>
      </c>
      <c r="C342" s="36" t="s">
        <v>216</v>
      </c>
      <c r="E342" s="36" t="s">
        <v>217</v>
      </c>
      <c r="G342" s="87">
        <v>299000</v>
      </c>
      <c r="H342" s="87">
        <v>29900</v>
      </c>
      <c r="I342" s="87">
        <v>328900</v>
      </c>
      <c r="K342" s="84">
        <v>2021</v>
      </c>
      <c r="L342" s="85">
        <v>5</v>
      </c>
      <c r="M342" s="36" t="s">
        <v>218</v>
      </c>
      <c r="N342" s="208" t="s">
        <v>44</v>
      </c>
    </row>
    <row r="343" spans="1:14">
      <c r="A343" s="36" t="s">
        <v>33</v>
      </c>
      <c r="B343" s="37">
        <v>44319</v>
      </c>
      <c r="C343" s="36" t="s">
        <v>162</v>
      </c>
      <c r="D343" s="36" t="s">
        <v>163</v>
      </c>
      <c r="E343" s="36" t="s">
        <v>148</v>
      </c>
      <c r="J343" s="38">
        <v>181500</v>
      </c>
      <c r="K343" s="84">
        <v>2021</v>
      </c>
      <c r="L343" s="85">
        <v>4</v>
      </c>
      <c r="N343" s="208" t="s">
        <v>44</v>
      </c>
    </row>
    <row r="344" spans="1:14">
      <c r="A344" s="36" t="s">
        <v>33</v>
      </c>
      <c r="B344" s="37">
        <v>44320</v>
      </c>
      <c r="C344" s="36" t="s">
        <v>124</v>
      </c>
      <c r="D344" s="36" t="s">
        <v>229</v>
      </c>
      <c r="E344" s="36" t="s">
        <v>77</v>
      </c>
      <c r="J344" s="38">
        <v>3801000</v>
      </c>
      <c r="K344" s="85">
        <v>2021</v>
      </c>
      <c r="L344" s="85">
        <v>4</v>
      </c>
      <c r="M344" s="36" t="s">
        <v>107</v>
      </c>
      <c r="N344" s="208" t="s">
        <v>44</v>
      </c>
    </row>
    <row r="345" spans="1:14">
      <c r="A345" s="36" t="s">
        <v>33</v>
      </c>
      <c r="B345" s="37">
        <v>44320</v>
      </c>
      <c r="C345" s="36" t="s">
        <v>167</v>
      </c>
      <c r="D345" s="36" t="s">
        <v>139</v>
      </c>
      <c r="E345" s="36" t="s">
        <v>148</v>
      </c>
      <c r="J345" s="38">
        <v>792000</v>
      </c>
      <c r="K345" s="85">
        <v>2021</v>
      </c>
      <c r="L345" s="85">
        <v>4</v>
      </c>
      <c r="N345" s="208" t="s">
        <v>44</v>
      </c>
    </row>
    <row r="346" spans="1:14">
      <c r="A346" s="36" t="s">
        <v>33</v>
      </c>
      <c r="B346" s="37">
        <v>44320</v>
      </c>
      <c r="C346" s="36" t="s">
        <v>226</v>
      </c>
      <c r="D346" s="36" t="s">
        <v>227</v>
      </c>
      <c r="E346" s="36" t="s">
        <v>77</v>
      </c>
      <c r="J346" s="38">
        <v>1931000</v>
      </c>
      <c r="K346" s="85">
        <v>2021</v>
      </c>
      <c r="L346" s="85">
        <v>4</v>
      </c>
      <c r="N346" s="208" t="s">
        <v>44</v>
      </c>
    </row>
    <row r="347" spans="1:14">
      <c r="A347" s="36" t="s">
        <v>33</v>
      </c>
      <c r="B347" s="37">
        <v>44320</v>
      </c>
      <c r="C347" s="36" t="s">
        <v>115</v>
      </c>
      <c r="D347" s="36" t="s">
        <v>371</v>
      </c>
      <c r="E347" s="36" t="s">
        <v>77</v>
      </c>
      <c r="J347" s="38">
        <v>2706000</v>
      </c>
      <c r="K347" s="85">
        <v>2021</v>
      </c>
      <c r="L347" s="85">
        <v>4</v>
      </c>
      <c r="M347" s="36" t="s">
        <v>107</v>
      </c>
      <c r="N347" s="208" t="s">
        <v>44</v>
      </c>
    </row>
    <row r="348" spans="1:14">
      <c r="A348" s="36" t="s">
        <v>33</v>
      </c>
      <c r="B348" s="37">
        <v>44320</v>
      </c>
      <c r="C348" s="36" t="s">
        <v>168</v>
      </c>
      <c r="D348" s="36" t="s">
        <v>258</v>
      </c>
      <c r="E348" s="36" t="s">
        <v>148</v>
      </c>
      <c r="J348" s="38">
        <v>1172050</v>
      </c>
      <c r="K348" s="85">
        <v>2021</v>
      </c>
      <c r="L348" s="85">
        <v>4</v>
      </c>
      <c r="N348" s="208" t="s">
        <v>44</v>
      </c>
    </row>
    <row r="349" spans="1:14">
      <c r="A349" s="36" t="s">
        <v>33</v>
      </c>
      <c r="B349" s="37">
        <v>44320</v>
      </c>
      <c r="C349" s="36" t="s">
        <v>166</v>
      </c>
      <c r="D349" s="36" t="s">
        <v>376</v>
      </c>
      <c r="E349" s="36" t="s">
        <v>148</v>
      </c>
      <c r="J349" s="38">
        <v>851000</v>
      </c>
      <c r="K349" s="85">
        <v>2021</v>
      </c>
      <c r="L349" s="85">
        <v>4</v>
      </c>
      <c r="N349" s="208" t="s">
        <v>44</v>
      </c>
    </row>
    <row r="350" spans="1:14">
      <c r="A350" s="36" t="s">
        <v>19</v>
      </c>
      <c r="B350" s="37">
        <v>44323</v>
      </c>
      <c r="C350" s="36" t="s">
        <v>216</v>
      </c>
      <c r="E350" s="36" t="s">
        <v>217</v>
      </c>
      <c r="G350" s="87">
        <v>302000</v>
      </c>
      <c r="H350" s="87">
        <v>30200</v>
      </c>
      <c r="I350" s="87">
        <v>332200</v>
      </c>
      <c r="K350" s="84">
        <v>2021</v>
      </c>
      <c r="L350" s="85">
        <v>5</v>
      </c>
      <c r="M350" s="36" t="s">
        <v>219</v>
      </c>
      <c r="N350" s="208" t="s">
        <v>44</v>
      </c>
    </row>
    <row r="351" spans="1:14">
      <c r="A351" s="36" t="s">
        <v>33</v>
      </c>
      <c r="B351" s="37">
        <v>44323</v>
      </c>
      <c r="C351" s="36" t="s">
        <v>120</v>
      </c>
      <c r="D351" s="36" t="s">
        <v>121</v>
      </c>
      <c r="E351" s="36" t="s">
        <v>122</v>
      </c>
      <c r="G351" s="87">
        <v>477272</v>
      </c>
      <c r="H351" s="87">
        <v>47728</v>
      </c>
      <c r="I351" s="87">
        <v>525000</v>
      </c>
      <c r="K351" s="85">
        <v>2021</v>
      </c>
      <c r="L351" s="85">
        <v>5</v>
      </c>
      <c r="N351" s="208" t="s">
        <v>44</v>
      </c>
    </row>
    <row r="352" spans="1:14">
      <c r="A352" s="36" t="s">
        <v>32</v>
      </c>
      <c r="B352" s="37">
        <v>44326</v>
      </c>
      <c r="C352" s="36" t="s">
        <v>180</v>
      </c>
      <c r="D352" s="36" t="s">
        <v>344</v>
      </c>
      <c r="E352" s="36" t="s">
        <v>77</v>
      </c>
      <c r="J352" s="38">
        <v>10081500</v>
      </c>
      <c r="K352" s="85">
        <v>2021</v>
      </c>
      <c r="L352" s="85">
        <v>4</v>
      </c>
      <c r="N352" s="208" t="s">
        <v>44</v>
      </c>
    </row>
    <row r="353" spans="1:14">
      <c r="A353" s="36" t="s">
        <v>19</v>
      </c>
      <c r="B353" s="37">
        <v>44327</v>
      </c>
      <c r="C353" s="36" t="s">
        <v>216</v>
      </c>
      <c r="E353" s="36" t="s">
        <v>148</v>
      </c>
      <c r="J353" s="38">
        <v>332200</v>
      </c>
      <c r="K353" s="84">
        <v>2021</v>
      </c>
      <c r="L353" s="85">
        <v>5</v>
      </c>
      <c r="N353" s="208" t="s">
        <v>44</v>
      </c>
    </row>
    <row r="354" spans="1:14">
      <c r="A354" s="36" t="s">
        <v>19</v>
      </c>
      <c r="B354" s="37">
        <v>44327</v>
      </c>
      <c r="C354" s="36" t="s">
        <v>216</v>
      </c>
      <c r="E354" s="36" t="s">
        <v>148</v>
      </c>
      <c r="J354" s="38">
        <v>328900</v>
      </c>
      <c r="K354" s="188">
        <v>2021</v>
      </c>
      <c r="L354" s="85">
        <v>5</v>
      </c>
      <c r="N354" s="208" t="s">
        <v>44</v>
      </c>
    </row>
    <row r="355" spans="1:14">
      <c r="A355" s="36" t="s">
        <v>33</v>
      </c>
      <c r="B355" s="37">
        <v>44327</v>
      </c>
      <c r="C355" s="36" t="s">
        <v>120</v>
      </c>
      <c r="D355" s="36" t="s">
        <v>121</v>
      </c>
      <c r="E355" s="36" t="s">
        <v>77</v>
      </c>
      <c r="J355" s="38">
        <v>525000</v>
      </c>
      <c r="K355" s="85">
        <v>2021</v>
      </c>
      <c r="L355" s="85">
        <v>5</v>
      </c>
      <c r="M355" s="36" t="s">
        <v>195</v>
      </c>
      <c r="N355" s="208" t="s">
        <v>44</v>
      </c>
    </row>
    <row r="356" spans="1:14">
      <c r="A356" s="36" t="s">
        <v>19</v>
      </c>
      <c r="B356" s="37">
        <v>44328</v>
      </c>
      <c r="C356" s="36" t="s">
        <v>223</v>
      </c>
      <c r="D356" s="36" t="s">
        <v>224</v>
      </c>
      <c r="E356" s="36" t="s">
        <v>225</v>
      </c>
      <c r="G356" s="87">
        <v>1818182</v>
      </c>
      <c r="H356" s="87">
        <v>181818.2</v>
      </c>
      <c r="I356" s="87">
        <v>2000000.2</v>
      </c>
      <c r="K356" s="84">
        <v>2021</v>
      </c>
      <c r="L356" s="85">
        <v>5</v>
      </c>
      <c r="N356" s="208" t="s">
        <v>44</v>
      </c>
    </row>
    <row r="357" spans="1:14">
      <c r="A357" s="36" t="s">
        <v>19</v>
      </c>
      <c r="B357" s="37">
        <v>44328</v>
      </c>
      <c r="C357" s="36" t="s">
        <v>223</v>
      </c>
      <c r="D357" s="36" t="s">
        <v>224</v>
      </c>
      <c r="E357" s="36" t="s">
        <v>148</v>
      </c>
      <c r="J357" s="38">
        <v>2000000</v>
      </c>
      <c r="K357" s="84">
        <v>2021</v>
      </c>
      <c r="L357" s="85">
        <v>5</v>
      </c>
      <c r="N357" s="208" t="s">
        <v>44</v>
      </c>
    </row>
    <row r="358" spans="1:14">
      <c r="A358" s="36" t="s">
        <v>19</v>
      </c>
      <c r="B358" s="37">
        <v>44329</v>
      </c>
      <c r="C358" s="36" t="s">
        <v>216</v>
      </c>
      <c r="E358" s="36" t="s">
        <v>220</v>
      </c>
      <c r="G358" s="87">
        <v>234000</v>
      </c>
      <c r="H358" s="87">
        <v>23400</v>
      </c>
      <c r="I358" s="87">
        <v>257400</v>
      </c>
      <c r="K358" s="85">
        <v>2021</v>
      </c>
      <c r="L358" s="85">
        <v>5</v>
      </c>
      <c r="M358" s="36" t="s">
        <v>221</v>
      </c>
      <c r="N358" s="208" t="s">
        <v>44</v>
      </c>
    </row>
    <row r="359" spans="1:14">
      <c r="A359" s="36" t="s">
        <v>32</v>
      </c>
      <c r="B359" s="37">
        <v>44329</v>
      </c>
      <c r="C359" s="36" t="s">
        <v>268</v>
      </c>
      <c r="D359" s="36" t="s">
        <v>261</v>
      </c>
      <c r="E359" s="36" t="s">
        <v>77</v>
      </c>
      <c r="J359" s="38">
        <v>7842230</v>
      </c>
      <c r="K359" s="85">
        <v>2021</v>
      </c>
      <c r="L359" s="85">
        <v>4</v>
      </c>
      <c r="N359" s="208" t="s">
        <v>44</v>
      </c>
    </row>
    <row r="360" spans="1:14">
      <c r="A360" s="36" t="s">
        <v>32</v>
      </c>
      <c r="B360" s="37">
        <v>44329</v>
      </c>
      <c r="C360" s="36" t="s">
        <v>268</v>
      </c>
      <c r="D360" s="36" t="s">
        <v>273</v>
      </c>
      <c r="E360" s="36" t="s">
        <v>77</v>
      </c>
      <c r="J360" s="38">
        <v>2256640</v>
      </c>
      <c r="K360" s="85">
        <v>2021</v>
      </c>
      <c r="L360" s="85">
        <v>4</v>
      </c>
      <c r="N360" s="208" t="s">
        <v>44</v>
      </c>
    </row>
    <row r="361" spans="1:14">
      <c r="A361" s="36" t="s">
        <v>32</v>
      </c>
      <c r="B361" s="37">
        <v>44329</v>
      </c>
      <c r="C361" s="36" t="s">
        <v>268</v>
      </c>
      <c r="D361" s="36" t="s">
        <v>273</v>
      </c>
      <c r="E361" s="36" t="s">
        <v>274</v>
      </c>
      <c r="J361" s="38">
        <v>78000</v>
      </c>
      <c r="K361" s="85">
        <v>2021</v>
      </c>
      <c r="L361" s="85">
        <v>4</v>
      </c>
      <c r="M361" s="36" t="s">
        <v>276</v>
      </c>
      <c r="N361" s="208" t="s">
        <v>44</v>
      </c>
    </row>
    <row r="362" spans="1:14">
      <c r="A362" s="36" t="s">
        <v>32</v>
      </c>
      <c r="B362" s="37">
        <v>44329</v>
      </c>
      <c r="C362" s="36" t="s">
        <v>330</v>
      </c>
      <c r="D362" s="36" t="s">
        <v>331</v>
      </c>
      <c r="E362" s="36" t="s">
        <v>332</v>
      </c>
      <c r="G362" s="87">
        <v>3000000</v>
      </c>
      <c r="H362" s="87">
        <v>300000</v>
      </c>
      <c r="I362" s="87">
        <v>3300000</v>
      </c>
      <c r="K362" s="85">
        <v>2021</v>
      </c>
      <c r="L362" s="85">
        <v>5</v>
      </c>
      <c r="N362" s="208" t="s">
        <v>44</v>
      </c>
    </row>
    <row r="363" spans="1:14">
      <c r="A363" s="36" t="s">
        <v>32</v>
      </c>
      <c r="B363" s="37">
        <v>44329</v>
      </c>
      <c r="C363" s="36" t="s">
        <v>330</v>
      </c>
      <c r="D363" s="36" t="s">
        <v>331</v>
      </c>
      <c r="E363" s="36" t="s">
        <v>77</v>
      </c>
      <c r="J363" s="38">
        <v>3300000</v>
      </c>
      <c r="K363" s="85">
        <v>2021</v>
      </c>
      <c r="L363" s="85">
        <v>5</v>
      </c>
      <c r="N363" s="208" t="s">
        <v>44</v>
      </c>
    </row>
    <row r="364" spans="1:14">
      <c r="A364" s="36" t="s">
        <v>32</v>
      </c>
      <c r="B364" s="37">
        <v>44329</v>
      </c>
      <c r="C364" s="36" t="s">
        <v>103</v>
      </c>
      <c r="D364" s="36" t="s">
        <v>333</v>
      </c>
      <c r="E364" s="36" t="s">
        <v>77</v>
      </c>
      <c r="J364" s="38">
        <v>2420000</v>
      </c>
      <c r="K364" s="85">
        <v>2021</v>
      </c>
      <c r="L364" s="85">
        <v>5</v>
      </c>
      <c r="N364" s="208" t="s">
        <v>44</v>
      </c>
    </row>
    <row r="365" spans="1:14">
      <c r="A365" s="36" t="s">
        <v>19</v>
      </c>
      <c r="B365" s="37">
        <v>44330</v>
      </c>
      <c r="C365" s="36" t="s">
        <v>216</v>
      </c>
      <c r="E365" s="36" t="s">
        <v>148</v>
      </c>
      <c r="J365" s="38">
        <v>257400</v>
      </c>
      <c r="K365" s="85">
        <v>2021</v>
      </c>
      <c r="L365" s="85">
        <v>5</v>
      </c>
      <c r="N365" s="208" t="s">
        <v>44</v>
      </c>
    </row>
    <row r="366" spans="1:14">
      <c r="A366" s="36" t="s">
        <v>32</v>
      </c>
      <c r="B366" s="37">
        <v>44334</v>
      </c>
      <c r="C366" s="36" t="s">
        <v>277</v>
      </c>
      <c r="D366" s="36" t="s">
        <v>278</v>
      </c>
      <c r="E366" s="36" t="s">
        <v>77</v>
      </c>
      <c r="J366" s="38">
        <v>7574028</v>
      </c>
      <c r="K366" s="85">
        <v>2021</v>
      </c>
      <c r="L366" s="85">
        <v>3</v>
      </c>
      <c r="M366" s="36" t="s">
        <v>279</v>
      </c>
      <c r="N366" s="208" t="s">
        <v>44</v>
      </c>
    </row>
    <row r="367" spans="1:14">
      <c r="A367" s="36" t="s">
        <v>32</v>
      </c>
      <c r="B367" s="37">
        <v>44334</v>
      </c>
      <c r="C367" s="36" t="s">
        <v>277</v>
      </c>
      <c r="D367" s="36" t="s">
        <v>278</v>
      </c>
      <c r="E367" s="36" t="s">
        <v>77</v>
      </c>
      <c r="J367" s="38">
        <v>2870340</v>
      </c>
      <c r="K367" s="85">
        <v>2021</v>
      </c>
      <c r="L367" s="85">
        <v>4</v>
      </c>
      <c r="N367" s="208" t="s">
        <v>44</v>
      </c>
    </row>
    <row r="368" spans="1:14">
      <c r="A368" s="36" t="s">
        <v>32</v>
      </c>
      <c r="B368" s="37">
        <v>44334</v>
      </c>
      <c r="C368" s="36" t="s">
        <v>277</v>
      </c>
      <c r="D368" s="36" t="s">
        <v>278</v>
      </c>
      <c r="E368" s="36" t="s">
        <v>77</v>
      </c>
      <c r="J368" s="38">
        <v>5107443</v>
      </c>
      <c r="K368" s="85">
        <v>2021</v>
      </c>
      <c r="L368" s="85">
        <v>4</v>
      </c>
      <c r="N368" s="208" t="s">
        <v>44</v>
      </c>
    </row>
    <row r="369" spans="1:14">
      <c r="A369" s="36" t="s">
        <v>33</v>
      </c>
      <c r="B369" s="37">
        <v>44334</v>
      </c>
      <c r="C369" s="36" t="s">
        <v>320</v>
      </c>
      <c r="D369" s="36" t="s">
        <v>378</v>
      </c>
      <c r="E369" s="36" t="s">
        <v>143</v>
      </c>
      <c r="G369" s="87">
        <v>120000</v>
      </c>
      <c r="H369" s="87">
        <v>12000</v>
      </c>
      <c r="I369" s="87">
        <v>132000</v>
      </c>
      <c r="K369" s="85">
        <v>2021</v>
      </c>
      <c r="L369" s="85">
        <v>5</v>
      </c>
      <c r="N369" s="208" t="s">
        <v>44</v>
      </c>
    </row>
    <row r="370" spans="1:14">
      <c r="A370" s="36" t="s">
        <v>32</v>
      </c>
      <c r="B370" s="37">
        <v>44336</v>
      </c>
      <c r="C370" s="36" t="s">
        <v>305</v>
      </c>
      <c r="D370" s="36" t="s">
        <v>101</v>
      </c>
      <c r="E370" s="36" t="s">
        <v>77</v>
      </c>
      <c r="J370" s="38">
        <v>275000</v>
      </c>
      <c r="K370" s="85">
        <v>2021</v>
      </c>
      <c r="L370" s="85">
        <v>1</v>
      </c>
      <c r="N370" s="208" t="s">
        <v>44</v>
      </c>
    </row>
    <row r="371" spans="1:14">
      <c r="A371" s="36" t="s">
        <v>18</v>
      </c>
      <c r="B371" s="37">
        <v>44337</v>
      </c>
      <c r="C371" s="36" t="s">
        <v>185</v>
      </c>
      <c r="D371" s="36" t="s">
        <v>187</v>
      </c>
      <c r="E371" s="36" t="s">
        <v>148</v>
      </c>
      <c r="J371" s="38">
        <v>3672900</v>
      </c>
      <c r="K371" s="85">
        <v>2021</v>
      </c>
      <c r="L371" s="85">
        <v>4</v>
      </c>
      <c r="N371" s="208" t="s">
        <v>44</v>
      </c>
    </row>
    <row r="372" spans="1:14">
      <c r="A372" s="36" t="s">
        <v>18</v>
      </c>
      <c r="B372" s="37">
        <v>44340</v>
      </c>
      <c r="C372" s="36" t="s">
        <v>181</v>
      </c>
      <c r="D372" s="36" t="s">
        <v>376</v>
      </c>
      <c r="E372" s="36" t="s">
        <v>148</v>
      </c>
      <c r="J372" s="38">
        <v>67650000</v>
      </c>
      <c r="K372" s="85">
        <v>2021</v>
      </c>
      <c r="L372" s="85">
        <v>4</v>
      </c>
      <c r="N372" s="208" t="s">
        <v>44</v>
      </c>
    </row>
    <row r="373" spans="1:14">
      <c r="A373" s="36" t="s">
        <v>33</v>
      </c>
      <c r="B373" s="37">
        <v>44341</v>
      </c>
      <c r="C373" s="36" t="s">
        <v>120</v>
      </c>
      <c r="D373" s="36" t="s">
        <v>121</v>
      </c>
      <c r="E373" s="36" t="s">
        <v>122</v>
      </c>
      <c r="G373" s="87">
        <v>477272</v>
      </c>
      <c r="H373" s="87">
        <v>47728</v>
      </c>
      <c r="I373" s="87">
        <v>525000</v>
      </c>
      <c r="K373" s="85">
        <v>2021</v>
      </c>
      <c r="L373" s="85">
        <v>5</v>
      </c>
      <c r="N373" s="208" t="s">
        <v>44</v>
      </c>
    </row>
    <row r="374" spans="1:14">
      <c r="A374" s="36" t="s">
        <v>32</v>
      </c>
      <c r="B374" s="37">
        <v>44341</v>
      </c>
      <c r="C374" s="36" t="s">
        <v>327</v>
      </c>
      <c r="D374" s="36" t="s">
        <v>379</v>
      </c>
      <c r="E374" s="36" t="s">
        <v>343</v>
      </c>
      <c r="G374" s="87">
        <v>1800000</v>
      </c>
      <c r="H374" s="87">
        <v>180000</v>
      </c>
      <c r="I374" s="87">
        <v>1980000</v>
      </c>
      <c r="K374" s="85">
        <v>2021</v>
      </c>
      <c r="L374" s="85">
        <v>5</v>
      </c>
      <c r="N374" s="208" t="s">
        <v>44</v>
      </c>
    </row>
    <row r="375" spans="1:14">
      <c r="A375" s="36" t="s">
        <v>33</v>
      </c>
      <c r="B375" s="37">
        <v>44342</v>
      </c>
      <c r="C375" s="36" t="s">
        <v>120</v>
      </c>
      <c r="D375" s="36" t="s">
        <v>121</v>
      </c>
      <c r="E375" s="36" t="s">
        <v>77</v>
      </c>
      <c r="J375" s="38">
        <v>525000</v>
      </c>
      <c r="K375" s="85">
        <v>2021</v>
      </c>
      <c r="L375" s="85">
        <v>5</v>
      </c>
      <c r="M375" s="36" t="s">
        <v>195</v>
      </c>
      <c r="N375" s="208" t="s">
        <v>44</v>
      </c>
    </row>
    <row r="376" spans="1:14">
      <c r="A376" s="36" t="s">
        <v>32</v>
      </c>
      <c r="B376" s="37">
        <v>44343</v>
      </c>
      <c r="C376" s="36" t="s">
        <v>188</v>
      </c>
      <c r="D376" s="36" t="s">
        <v>350</v>
      </c>
      <c r="E376" s="36" t="s">
        <v>76</v>
      </c>
      <c r="F376" s="89">
        <v>12</v>
      </c>
      <c r="G376" s="87">
        <v>3750000</v>
      </c>
      <c r="H376" s="87">
        <v>375000</v>
      </c>
      <c r="I376" s="87">
        <v>4125000</v>
      </c>
      <c r="K376" s="85">
        <v>2021</v>
      </c>
      <c r="L376" s="85">
        <v>5</v>
      </c>
      <c r="N376" s="208" t="s">
        <v>44</v>
      </c>
    </row>
    <row r="377" spans="1:14">
      <c r="A377" s="36" t="s">
        <v>32</v>
      </c>
      <c r="B377" s="37">
        <v>44343</v>
      </c>
      <c r="C377" s="36" t="s">
        <v>327</v>
      </c>
      <c r="D377" s="36" t="s">
        <v>379</v>
      </c>
      <c r="E377" s="36" t="s">
        <v>77</v>
      </c>
      <c r="J377" s="38">
        <v>1980000</v>
      </c>
      <c r="K377" s="85">
        <v>2021</v>
      </c>
      <c r="L377" s="85">
        <v>5</v>
      </c>
      <c r="N377" s="208" t="s">
        <v>44</v>
      </c>
    </row>
    <row r="378" spans="1:14">
      <c r="A378" s="36" t="s">
        <v>33</v>
      </c>
      <c r="B378" s="37">
        <v>44343</v>
      </c>
      <c r="C378" s="36" t="s">
        <v>201</v>
      </c>
      <c r="D378" s="36" t="s">
        <v>202</v>
      </c>
      <c r="E378" s="36" t="s">
        <v>203</v>
      </c>
      <c r="G378" s="87">
        <v>101818</v>
      </c>
      <c r="H378" s="87">
        <v>10181.800000000001</v>
      </c>
      <c r="I378" s="87">
        <v>111999.8</v>
      </c>
      <c r="K378" s="84">
        <v>2021</v>
      </c>
      <c r="L378" s="85">
        <v>5</v>
      </c>
      <c r="N378" s="208" t="s">
        <v>44</v>
      </c>
    </row>
    <row r="379" spans="1:14">
      <c r="A379" s="36" t="s">
        <v>33</v>
      </c>
      <c r="B379" s="37">
        <v>44343</v>
      </c>
      <c r="C379" s="36" t="s">
        <v>201</v>
      </c>
      <c r="D379" s="36" t="s">
        <v>202</v>
      </c>
      <c r="E379" s="36" t="s">
        <v>77</v>
      </c>
      <c r="J379" s="38">
        <v>112000</v>
      </c>
      <c r="K379" s="85">
        <v>2021</v>
      </c>
      <c r="L379" s="85">
        <v>5</v>
      </c>
      <c r="N379" s="208" t="s">
        <v>44</v>
      </c>
    </row>
    <row r="380" spans="1:14">
      <c r="A380" s="36" t="s">
        <v>32</v>
      </c>
      <c r="B380" s="37">
        <v>44344</v>
      </c>
      <c r="C380" s="36" t="s">
        <v>209</v>
      </c>
      <c r="D380" s="36" t="s">
        <v>197</v>
      </c>
      <c r="E380" s="36" t="s">
        <v>77</v>
      </c>
      <c r="J380" s="38">
        <v>23503920</v>
      </c>
      <c r="K380" s="85">
        <v>2021</v>
      </c>
      <c r="L380" s="85">
        <v>4</v>
      </c>
      <c r="N380" s="208" t="s">
        <v>44</v>
      </c>
    </row>
    <row r="381" spans="1:14">
      <c r="A381" s="36" t="s">
        <v>32</v>
      </c>
      <c r="B381" s="37">
        <v>44344</v>
      </c>
      <c r="C381" s="36" t="s">
        <v>264</v>
      </c>
      <c r="D381" s="36" t="s">
        <v>265</v>
      </c>
      <c r="E381" s="36" t="s">
        <v>77</v>
      </c>
      <c r="J381" s="38">
        <v>11000000</v>
      </c>
      <c r="K381" s="85">
        <v>2021</v>
      </c>
      <c r="L381" s="85">
        <v>4</v>
      </c>
      <c r="N381" s="208" t="s">
        <v>44</v>
      </c>
    </row>
    <row r="382" spans="1:14">
      <c r="A382" s="36" t="s">
        <v>32</v>
      </c>
      <c r="B382" s="37">
        <v>44344</v>
      </c>
      <c r="C382" s="36" t="s">
        <v>264</v>
      </c>
      <c r="D382" s="36" t="s">
        <v>265</v>
      </c>
      <c r="E382" s="36" t="s">
        <v>77</v>
      </c>
      <c r="J382" s="38">
        <v>759000</v>
      </c>
      <c r="K382" s="85">
        <v>2021</v>
      </c>
      <c r="L382" s="85">
        <v>4</v>
      </c>
      <c r="N382" s="208" t="s">
        <v>44</v>
      </c>
    </row>
    <row r="383" spans="1:14">
      <c r="A383" s="36" t="s">
        <v>32</v>
      </c>
      <c r="B383" s="37">
        <v>44344</v>
      </c>
      <c r="C383" s="36" t="s">
        <v>288</v>
      </c>
      <c r="D383" s="36" t="s">
        <v>289</v>
      </c>
      <c r="E383" s="36" t="s">
        <v>77</v>
      </c>
      <c r="J383" s="38">
        <v>12108195</v>
      </c>
      <c r="K383" s="85">
        <v>2021</v>
      </c>
      <c r="L383" s="85">
        <v>3</v>
      </c>
      <c r="N383" s="208" t="s">
        <v>44</v>
      </c>
    </row>
    <row r="384" spans="1:14">
      <c r="A384" s="36" t="s">
        <v>32</v>
      </c>
      <c r="B384" s="37">
        <v>44347</v>
      </c>
      <c r="C384" s="36" t="s">
        <v>353</v>
      </c>
      <c r="D384" s="36" t="s">
        <v>368</v>
      </c>
      <c r="E384" s="36" t="s">
        <v>76</v>
      </c>
      <c r="F384" s="89">
        <v>3</v>
      </c>
      <c r="G384" s="87">
        <v>3008000</v>
      </c>
      <c r="H384" s="87">
        <v>300800</v>
      </c>
      <c r="I384" s="87">
        <v>3308800</v>
      </c>
      <c r="K384" s="85">
        <v>2021</v>
      </c>
      <c r="L384" s="85">
        <v>5</v>
      </c>
      <c r="N384" s="208" t="s">
        <v>44</v>
      </c>
    </row>
    <row r="385" spans="1:14">
      <c r="A385" s="36" t="s">
        <v>18</v>
      </c>
      <c r="B385" s="37">
        <v>44347</v>
      </c>
      <c r="C385" s="36" t="s">
        <v>247</v>
      </c>
      <c r="D385" s="36" t="s">
        <v>200</v>
      </c>
      <c r="E385" s="36" t="s">
        <v>246</v>
      </c>
      <c r="F385" s="89">
        <v>52</v>
      </c>
      <c r="G385" s="87">
        <v>23829600</v>
      </c>
      <c r="H385" s="87">
        <v>2382960</v>
      </c>
      <c r="I385" s="87">
        <v>26212560</v>
      </c>
      <c r="K385" s="85">
        <v>2021</v>
      </c>
      <c r="L385" s="85">
        <v>5</v>
      </c>
      <c r="N385" s="208" t="s">
        <v>44</v>
      </c>
    </row>
    <row r="386" spans="1:14">
      <c r="A386" s="36" t="s">
        <v>33</v>
      </c>
      <c r="B386" s="37">
        <v>44347</v>
      </c>
      <c r="C386" s="36" t="s">
        <v>96</v>
      </c>
      <c r="D386" s="36" t="s">
        <v>200</v>
      </c>
      <c r="E386" s="36" t="s">
        <v>77</v>
      </c>
      <c r="J386" s="38">
        <v>176000</v>
      </c>
      <c r="K386" s="85">
        <v>2021</v>
      </c>
      <c r="L386" s="85">
        <v>4</v>
      </c>
      <c r="N386" s="208" t="s">
        <v>44</v>
      </c>
    </row>
    <row r="387" spans="1:14">
      <c r="A387" s="36" t="s">
        <v>33</v>
      </c>
      <c r="B387" s="37">
        <v>44347</v>
      </c>
      <c r="C387" s="36" t="s">
        <v>96</v>
      </c>
      <c r="D387" s="36" t="s">
        <v>197</v>
      </c>
      <c r="E387" s="36" t="s">
        <v>97</v>
      </c>
      <c r="G387" s="87">
        <v>160000</v>
      </c>
      <c r="H387" s="87">
        <v>16000</v>
      </c>
      <c r="I387" s="87">
        <v>176000</v>
      </c>
      <c r="K387" s="85">
        <v>2021</v>
      </c>
      <c r="L387" s="85">
        <v>5</v>
      </c>
      <c r="N387" s="208" t="s">
        <v>44</v>
      </c>
    </row>
    <row r="388" spans="1:14">
      <c r="A388" s="36" t="s">
        <v>32</v>
      </c>
      <c r="B388" s="37">
        <v>44347</v>
      </c>
      <c r="C388" s="36" t="s">
        <v>346</v>
      </c>
      <c r="D388" s="36" t="s">
        <v>378</v>
      </c>
      <c r="E388" s="36" t="s">
        <v>78</v>
      </c>
      <c r="F388" s="89">
        <v>14</v>
      </c>
      <c r="G388" s="87">
        <v>5197000</v>
      </c>
      <c r="H388" s="87">
        <v>519700</v>
      </c>
      <c r="I388" s="87">
        <v>5716700</v>
      </c>
      <c r="K388" s="85">
        <v>2021</v>
      </c>
      <c r="L388" s="85">
        <v>5</v>
      </c>
      <c r="N388" s="208" t="s">
        <v>44</v>
      </c>
    </row>
    <row r="389" spans="1:14">
      <c r="A389" s="36" t="s">
        <v>33</v>
      </c>
      <c r="B389" s="37">
        <v>44347</v>
      </c>
      <c r="C389" s="36" t="s">
        <v>196</v>
      </c>
      <c r="D389" s="36" t="s">
        <v>197</v>
      </c>
      <c r="E389" s="36" t="s">
        <v>148</v>
      </c>
      <c r="J389" s="38">
        <v>3300000</v>
      </c>
      <c r="K389" s="85">
        <v>2021</v>
      </c>
      <c r="L389" s="85">
        <v>4</v>
      </c>
      <c r="N389" s="208" t="s">
        <v>44</v>
      </c>
    </row>
    <row r="390" spans="1:14">
      <c r="A390" s="36" t="s">
        <v>32</v>
      </c>
      <c r="B390" s="37">
        <v>44347</v>
      </c>
      <c r="C390" s="36" t="s">
        <v>180</v>
      </c>
      <c r="D390" s="36" t="s">
        <v>344</v>
      </c>
      <c r="E390" s="36" t="s">
        <v>76</v>
      </c>
      <c r="F390" s="89">
        <v>98</v>
      </c>
      <c r="G390" s="87">
        <v>23030000</v>
      </c>
      <c r="H390" s="87">
        <v>2303000</v>
      </c>
      <c r="I390" s="87">
        <v>25333000</v>
      </c>
      <c r="K390" s="85">
        <v>2021</v>
      </c>
      <c r="L390" s="85">
        <v>5</v>
      </c>
      <c r="N390" s="208" t="s">
        <v>44</v>
      </c>
    </row>
    <row r="391" spans="1:14">
      <c r="A391" s="36" t="s">
        <v>33</v>
      </c>
      <c r="B391" s="37">
        <v>44347</v>
      </c>
      <c r="C391" s="36" t="s">
        <v>141</v>
      </c>
      <c r="D391" s="36" t="s">
        <v>142</v>
      </c>
      <c r="E391" s="36" t="s">
        <v>148</v>
      </c>
      <c r="J391" s="87">
        <v>66000</v>
      </c>
      <c r="K391" s="84">
        <v>2021</v>
      </c>
      <c r="L391" s="85">
        <v>3</v>
      </c>
      <c r="N391" s="208" t="s">
        <v>44</v>
      </c>
    </row>
    <row r="392" spans="1:14">
      <c r="A392" s="36" t="s">
        <v>33</v>
      </c>
      <c r="B392" s="37">
        <v>44347</v>
      </c>
      <c r="C392" s="36" t="s">
        <v>141</v>
      </c>
      <c r="D392" s="36" t="s">
        <v>142</v>
      </c>
      <c r="E392" s="36" t="s">
        <v>148</v>
      </c>
      <c r="J392" s="87">
        <v>66000</v>
      </c>
      <c r="K392" s="84">
        <v>2021</v>
      </c>
      <c r="L392" s="85">
        <v>3</v>
      </c>
      <c r="M392" s="36" t="s">
        <v>257</v>
      </c>
      <c r="N392" s="208" t="s">
        <v>44</v>
      </c>
    </row>
    <row r="393" spans="1:14">
      <c r="A393" s="36" t="s">
        <v>32</v>
      </c>
      <c r="B393" s="37">
        <v>44347</v>
      </c>
      <c r="C393" s="36" t="s">
        <v>204</v>
      </c>
      <c r="D393" s="36" t="s">
        <v>205</v>
      </c>
      <c r="E393" s="36" t="s">
        <v>77</v>
      </c>
      <c r="J393" s="38">
        <v>28268121</v>
      </c>
      <c r="K393" s="85">
        <v>2021</v>
      </c>
      <c r="L393" s="85">
        <v>4</v>
      </c>
      <c r="N393" s="208" t="s">
        <v>44</v>
      </c>
    </row>
    <row r="394" spans="1:14">
      <c r="A394" s="36" t="s">
        <v>32</v>
      </c>
      <c r="B394" s="37">
        <v>44347</v>
      </c>
      <c r="C394" s="36" t="s">
        <v>204</v>
      </c>
      <c r="D394" s="36" t="s">
        <v>205</v>
      </c>
      <c r="E394" s="36" t="s">
        <v>76</v>
      </c>
      <c r="F394" s="89">
        <v>21</v>
      </c>
      <c r="G394" s="87">
        <v>6346710</v>
      </c>
      <c r="H394" s="87">
        <v>634671</v>
      </c>
      <c r="I394" s="87">
        <v>6981381</v>
      </c>
      <c r="K394" s="85">
        <v>2021</v>
      </c>
      <c r="L394" s="85">
        <v>5</v>
      </c>
      <c r="N394" s="208" t="s">
        <v>44</v>
      </c>
    </row>
    <row r="395" spans="1:14">
      <c r="A395" s="36" t="s">
        <v>32</v>
      </c>
      <c r="B395" s="37">
        <v>44347</v>
      </c>
      <c r="C395" s="36" t="s">
        <v>204</v>
      </c>
      <c r="D395" s="36" t="s">
        <v>337</v>
      </c>
      <c r="E395" s="36" t="s">
        <v>77</v>
      </c>
      <c r="J395" s="38">
        <v>4769325</v>
      </c>
      <c r="K395" s="85">
        <v>2021</v>
      </c>
      <c r="L395" s="85">
        <v>5</v>
      </c>
      <c r="N395" s="208" t="s">
        <v>44</v>
      </c>
    </row>
    <row r="396" spans="1:14">
      <c r="A396" s="36" t="s">
        <v>32</v>
      </c>
      <c r="B396" s="37">
        <v>44347</v>
      </c>
      <c r="C396" s="36" t="s">
        <v>204</v>
      </c>
      <c r="D396" s="36" t="s">
        <v>337</v>
      </c>
      <c r="E396" s="36" t="s">
        <v>78</v>
      </c>
      <c r="F396" s="89">
        <v>4</v>
      </c>
      <c r="G396" s="87">
        <v>3125594</v>
      </c>
      <c r="H396" s="87">
        <v>312559.40000000002</v>
      </c>
      <c r="I396" s="87">
        <v>3438153.4</v>
      </c>
      <c r="K396" s="85">
        <v>2021</v>
      </c>
      <c r="L396" s="85">
        <v>5</v>
      </c>
      <c r="M396" s="36" t="s">
        <v>338</v>
      </c>
      <c r="N396" s="208" t="s">
        <v>44</v>
      </c>
    </row>
    <row r="397" spans="1:14">
      <c r="A397" s="36" t="s">
        <v>32</v>
      </c>
      <c r="B397" s="37">
        <v>44347</v>
      </c>
      <c r="C397" s="36" t="s">
        <v>204</v>
      </c>
      <c r="D397" s="36" t="s">
        <v>337</v>
      </c>
      <c r="E397" s="36" t="s">
        <v>77</v>
      </c>
      <c r="J397" s="38">
        <v>3438153</v>
      </c>
      <c r="K397" s="85">
        <v>2021</v>
      </c>
      <c r="L397" s="85">
        <v>5</v>
      </c>
      <c r="M397" s="36" t="s">
        <v>338</v>
      </c>
      <c r="N397" s="208" t="s">
        <v>44</v>
      </c>
    </row>
    <row r="398" spans="1:14">
      <c r="A398" s="36" t="s">
        <v>32</v>
      </c>
      <c r="B398" s="37">
        <v>44347</v>
      </c>
      <c r="C398" s="36" t="s">
        <v>281</v>
      </c>
      <c r="D398" s="36" t="s">
        <v>112</v>
      </c>
      <c r="E398" s="36" t="s">
        <v>77</v>
      </c>
      <c r="J398" s="38">
        <v>1177000</v>
      </c>
      <c r="K398" s="85">
        <v>2021</v>
      </c>
      <c r="L398" s="85">
        <v>4</v>
      </c>
      <c r="N398" s="208" t="s">
        <v>44</v>
      </c>
    </row>
    <row r="399" spans="1:14">
      <c r="A399" s="36" t="s">
        <v>32</v>
      </c>
      <c r="B399" s="37">
        <v>44347</v>
      </c>
      <c r="C399" s="36" t="s">
        <v>281</v>
      </c>
      <c r="D399" s="36" t="s">
        <v>110</v>
      </c>
      <c r="E399" s="36" t="s">
        <v>77</v>
      </c>
      <c r="J399" s="38">
        <v>5016000</v>
      </c>
      <c r="K399" s="85">
        <v>2021</v>
      </c>
      <c r="L399" s="85">
        <v>4</v>
      </c>
      <c r="N399" s="208" t="s">
        <v>44</v>
      </c>
    </row>
    <row r="400" spans="1:14">
      <c r="A400" s="36" t="s">
        <v>33</v>
      </c>
      <c r="B400" s="37">
        <v>44347</v>
      </c>
      <c r="C400" s="36" t="s">
        <v>260</v>
      </c>
      <c r="D400" s="36" t="s">
        <v>261</v>
      </c>
      <c r="E400" s="36" t="s">
        <v>262</v>
      </c>
      <c r="G400" s="87">
        <v>990000</v>
      </c>
      <c r="H400" s="87">
        <v>99000</v>
      </c>
      <c r="I400" s="87">
        <v>1089000</v>
      </c>
      <c r="K400" s="85">
        <v>2021</v>
      </c>
      <c r="L400" s="85">
        <v>5</v>
      </c>
      <c r="N400" s="208" t="s">
        <v>44</v>
      </c>
    </row>
    <row r="401" spans="1:14">
      <c r="A401" s="36" t="s">
        <v>32</v>
      </c>
      <c r="B401" s="37">
        <v>44347</v>
      </c>
      <c r="C401" s="36" t="s">
        <v>285</v>
      </c>
      <c r="D401" s="36" t="s">
        <v>286</v>
      </c>
      <c r="E401" s="36" t="s">
        <v>78</v>
      </c>
      <c r="F401" s="89">
        <v>10</v>
      </c>
      <c r="G401" s="87">
        <v>3105000</v>
      </c>
      <c r="H401" s="87">
        <v>310500</v>
      </c>
      <c r="I401" s="87">
        <v>3415500</v>
      </c>
      <c r="K401" s="85">
        <v>2021</v>
      </c>
      <c r="L401" s="85">
        <v>5</v>
      </c>
      <c r="N401" s="208" t="s">
        <v>44</v>
      </c>
    </row>
    <row r="402" spans="1:14">
      <c r="A402" s="36" t="s">
        <v>32</v>
      </c>
      <c r="B402" s="37">
        <v>44347</v>
      </c>
      <c r="C402" s="36" t="s">
        <v>277</v>
      </c>
      <c r="D402" s="36" t="s">
        <v>278</v>
      </c>
      <c r="E402" s="36" t="s">
        <v>76</v>
      </c>
      <c r="G402" s="87">
        <v>7955420</v>
      </c>
      <c r="H402" s="87">
        <v>795542</v>
      </c>
      <c r="I402" s="87">
        <v>8750962</v>
      </c>
      <c r="K402" s="85">
        <v>2021</v>
      </c>
      <c r="L402" s="85">
        <v>5</v>
      </c>
      <c r="N402" s="208" t="s">
        <v>44</v>
      </c>
    </row>
    <row r="403" spans="1:14">
      <c r="A403" s="36" t="s">
        <v>32</v>
      </c>
      <c r="B403" s="37">
        <v>44347</v>
      </c>
      <c r="C403" s="36" t="s">
        <v>299</v>
      </c>
      <c r="D403" s="36" t="s">
        <v>302</v>
      </c>
      <c r="E403" s="36" t="s">
        <v>345</v>
      </c>
      <c r="F403" s="89">
        <v>8</v>
      </c>
      <c r="G403" s="87">
        <v>1760000</v>
      </c>
      <c r="H403" s="87">
        <v>176000</v>
      </c>
      <c r="I403" s="87">
        <v>1936000</v>
      </c>
      <c r="K403" s="85">
        <v>2021</v>
      </c>
      <c r="L403" s="85">
        <v>5</v>
      </c>
      <c r="N403" s="208" t="s">
        <v>44</v>
      </c>
    </row>
    <row r="404" spans="1:14">
      <c r="A404" s="36" t="s">
        <v>32</v>
      </c>
      <c r="B404" s="37">
        <v>44347</v>
      </c>
      <c r="C404" s="36" t="s">
        <v>334</v>
      </c>
      <c r="D404" s="36" t="s">
        <v>348</v>
      </c>
      <c r="E404" s="36" t="s">
        <v>76</v>
      </c>
      <c r="F404" s="89">
        <v>27</v>
      </c>
      <c r="G404" s="87">
        <v>6210000</v>
      </c>
      <c r="H404" s="87">
        <v>621000</v>
      </c>
      <c r="I404" s="87">
        <v>6831000</v>
      </c>
      <c r="K404" s="85">
        <v>2021</v>
      </c>
      <c r="L404" s="85">
        <v>5</v>
      </c>
      <c r="N404" s="208" t="s">
        <v>44</v>
      </c>
    </row>
    <row r="405" spans="1:14">
      <c r="A405" s="36" t="s">
        <v>33</v>
      </c>
      <c r="B405" s="37">
        <v>44347</v>
      </c>
      <c r="C405" s="36" t="s">
        <v>167</v>
      </c>
      <c r="D405" s="36" t="s">
        <v>139</v>
      </c>
      <c r="E405" s="36" t="s">
        <v>165</v>
      </c>
      <c r="G405" s="87">
        <v>480000</v>
      </c>
      <c r="H405" s="87">
        <v>48000</v>
      </c>
      <c r="I405" s="87">
        <v>528000</v>
      </c>
      <c r="K405" s="85">
        <v>2021</v>
      </c>
      <c r="L405" s="85">
        <v>5</v>
      </c>
      <c r="N405" s="208" t="s">
        <v>44</v>
      </c>
    </row>
    <row r="406" spans="1:14">
      <c r="A406" s="36" t="s">
        <v>32</v>
      </c>
      <c r="B406" s="37">
        <v>44347</v>
      </c>
      <c r="C406" s="36" t="s">
        <v>181</v>
      </c>
      <c r="D406" s="36" t="s">
        <v>373</v>
      </c>
      <c r="E406" s="36" t="s">
        <v>77</v>
      </c>
      <c r="J406" s="38">
        <v>14694900</v>
      </c>
      <c r="K406" s="85">
        <v>2021</v>
      </c>
      <c r="L406" s="85">
        <v>4</v>
      </c>
      <c r="N406" s="208" t="s">
        <v>44</v>
      </c>
    </row>
    <row r="407" spans="1:14">
      <c r="A407" s="36" t="s">
        <v>32</v>
      </c>
      <c r="B407" s="37">
        <v>44347</v>
      </c>
      <c r="C407" s="36" t="s">
        <v>181</v>
      </c>
      <c r="D407" s="36" t="s">
        <v>372</v>
      </c>
      <c r="E407" s="36" t="s">
        <v>77</v>
      </c>
      <c r="J407" s="38">
        <v>31399500</v>
      </c>
      <c r="K407" s="85">
        <v>2021</v>
      </c>
      <c r="L407" s="85">
        <v>4</v>
      </c>
      <c r="N407" s="208" t="s">
        <v>44</v>
      </c>
    </row>
    <row r="408" spans="1:14">
      <c r="A408" s="36" t="s">
        <v>18</v>
      </c>
      <c r="B408" s="37">
        <v>44347</v>
      </c>
      <c r="C408" s="36" t="s">
        <v>211</v>
      </c>
      <c r="D408" s="36" t="s">
        <v>372</v>
      </c>
      <c r="E408" s="36" t="s">
        <v>246</v>
      </c>
      <c r="F408" s="89">
        <v>44</v>
      </c>
      <c r="G408" s="87">
        <v>15380000</v>
      </c>
      <c r="H408" s="87">
        <v>1538000</v>
      </c>
      <c r="I408" s="87">
        <v>16918000</v>
      </c>
      <c r="K408" s="85">
        <v>2021</v>
      </c>
      <c r="L408" s="85">
        <v>5</v>
      </c>
      <c r="N408" s="208" t="s">
        <v>44</v>
      </c>
    </row>
    <row r="409" spans="1:14">
      <c r="A409" s="36" t="s">
        <v>18</v>
      </c>
      <c r="B409" s="37">
        <v>44347</v>
      </c>
      <c r="C409" s="36" t="s">
        <v>211</v>
      </c>
      <c r="D409" s="36" t="s">
        <v>373</v>
      </c>
      <c r="E409" s="36" t="s">
        <v>246</v>
      </c>
      <c r="F409" s="89">
        <v>64</v>
      </c>
      <c r="G409" s="87">
        <v>31434000</v>
      </c>
      <c r="H409" s="87">
        <v>3143400</v>
      </c>
      <c r="I409" s="87">
        <v>34577400</v>
      </c>
      <c r="K409" s="85">
        <v>2021</v>
      </c>
      <c r="L409" s="85">
        <v>5</v>
      </c>
      <c r="N409" s="208" t="s">
        <v>44</v>
      </c>
    </row>
    <row r="410" spans="1:14">
      <c r="A410" s="36" t="s">
        <v>18</v>
      </c>
      <c r="B410" s="37">
        <v>44347</v>
      </c>
      <c r="C410" s="36" t="s">
        <v>211</v>
      </c>
      <c r="D410" s="36" t="s">
        <v>376</v>
      </c>
      <c r="E410" s="36" t="s">
        <v>246</v>
      </c>
      <c r="F410" s="89">
        <v>286</v>
      </c>
      <c r="G410" s="87">
        <v>66700000</v>
      </c>
      <c r="H410" s="87">
        <v>6670000</v>
      </c>
      <c r="I410" s="87">
        <v>73370000</v>
      </c>
      <c r="K410" s="85">
        <v>2021</v>
      </c>
      <c r="L410" s="85">
        <v>5</v>
      </c>
      <c r="N410" s="208" t="s">
        <v>44</v>
      </c>
    </row>
    <row r="411" spans="1:14">
      <c r="A411" s="36" t="s">
        <v>33</v>
      </c>
      <c r="B411" s="37">
        <v>44347</v>
      </c>
      <c r="C411" s="36" t="s">
        <v>119</v>
      </c>
      <c r="D411" s="36" t="s">
        <v>372</v>
      </c>
      <c r="E411" s="36" t="s">
        <v>77</v>
      </c>
      <c r="J411" s="87">
        <v>27565230</v>
      </c>
      <c r="K411" s="85">
        <v>2021</v>
      </c>
      <c r="L411" s="85">
        <v>4</v>
      </c>
      <c r="M411" s="36" t="s">
        <v>159</v>
      </c>
      <c r="N411" s="208" t="s">
        <v>44</v>
      </c>
    </row>
    <row r="412" spans="1:14">
      <c r="A412" s="36" t="s">
        <v>33</v>
      </c>
      <c r="B412" s="37">
        <v>44347</v>
      </c>
      <c r="C412" s="36" t="s">
        <v>119</v>
      </c>
      <c r="D412" s="36" t="s">
        <v>372</v>
      </c>
      <c r="E412" s="36" t="s">
        <v>77</v>
      </c>
      <c r="J412" s="87">
        <v>2962300</v>
      </c>
      <c r="K412" s="85">
        <v>2021</v>
      </c>
      <c r="L412" s="85">
        <v>4</v>
      </c>
      <c r="N412" s="208" t="s">
        <v>44</v>
      </c>
    </row>
    <row r="413" spans="1:14">
      <c r="A413" s="36" t="s">
        <v>33</v>
      </c>
      <c r="B413" s="37">
        <v>44347</v>
      </c>
      <c r="C413" s="36" t="s">
        <v>119</v>
      </c>
      <c r="D413" s="36" t="s">
        <v>372</v>
      </c>
      <c r="E413" s="36" t="s">
        <v>76</v>
      </c>
      <c r="G413" s="87">
        <v>14039500</v>
      </c>
      <c r="H413" s="87">
        <v>1403950</v>
      </c>
      <c r="I413" s="87">
        <v>15443450</v>
      </c>
      <c r="K413" s="85">
        <v>2021</v>
      </c>
      <c r="L413" s="85">
        <v>5</v>
      </c>
      <c r="M413" s="36" t="s">
        <v>159</v>
      </c>
      <c r="N413" s="208" t="s">
        <v>44</v>
      </c>
    </row>
    <row r="414" spans="1:14">
      <c r="A414" s="36" t="s">
        <v>32</v>
      </c>
      <c r="B414" s="37">
        <v>44347</v>
      </c>
      <c r="C414" s="36" t="s">
        <v>264</v>
      </c>
      <c r="D414" s="36" t="s">
        <v>266</v>
      </c>
      <c r="E414" s="36" t="s">
        <v>78</v>
      </c>
      <c r="F414" s="89">
        <v>35.5</v>
      </c>
      <c r="G414" s="87">
        <v>9764000</v>
      </c>
      <c r="H414" s="87">
        <v>976400</v>
      </c>
      <c r="I414" s="87">
        <v>10740400</v>
      </c>
      <c r="K414" s="85">
        <v>2021</v>
      </c>
      <c r="L414" s="85">
        <v>5</v>
      </c>
      <c r="N414" s="208" t="s">
        <v>44</v>
      </c>
    </row>
    <row r="415" spans="1:14">
      <c r="A415" s="36" t="s">
        <v>32</v>
      </c>
      <c r="B415" s="37">
        <v>44347</v>
      </c>
      <c r="C415" s="36" t="s">
        <v>85</v>
      </c>
      <c r="D415" s="36" t="s">
        <v>156</v>
      </c>
      <c r="E415" s="36" t="s">
        <v>77</v>
      </c>
      <c r="J415" s="38">
        <v>39600000</v>
      </c>
      <c r="K415" s="85">
        <v>2021</v>
      </c>
      <c r="L415" s="85">
        <v>4</v>
      </c>
      <c r="N415" s="208" t="s">
        <v>44</v>
      </c>
    </row>
    <row r="416" spans="1:14">
      <c r="A416" s="36" t="s">
        <v>32</v>
      </c>
      <c r="B416" s="37">
        <v>44347</v>
      </c>
      <c r="C416" s="36" t="s">
        <v>85</v>
      </c>
      <c r="D416" s="36" t="s">
        <v>182</v>
      </c>
      <c r="E416" s="36" t="s">
        <v>77</v>
      </c>
      <c r="J416" s="38">
        <v>11697510</v>
      </c>
      <c r="K416" s="85">
        <v>2021</v>
      </c>
      <c r="L416" s="85">
        <v>4</v>
      </c>
      <c r="N416" s="208" t="s">
        <v>44</v>
      </c>
    </row>
    <row r="417" spans="1:14">
      <c r="A417" s="36" t="s">
        <v>18</v>
      </c>
      <c r="B417" s="37">
        <v>44347</v>
      </c>
      <c r="C417" s="36" t="s">
        <v>248</v>
      </c>
      <c r="D417" s="36" t="s">
        <v>249</v>
      </c>
      <c r="E417" s="36" t="s">
        <v>250</v>
      </c>
      <c r="F417" s="89">
        <v>4</v>
      </c>
      <c r="G417" s="87">
        <v>6446160</v>
      </c>
      <c r="H417" s="87">
        <v>644616</v>
      </c>
      <c r="I417" s="87">
        <v>7090776</v>
      </c>
      <c r="K417" s="85">
        <v>2021</v>
      </c>
      <c r="L417" s="85">
        <v>5</v>
      </c>
      <c r="N417" s="208" t="s">
        <v>44</v>
      </c>
    </row>
    <row r="418" spans="1:14">
      <c r="A418" s="36" t="s">
        <v>33</v>
      </c>
      <c r="B418" s="37">
        <v>44347</v>
      </c>
      <c r="C418" s="36" t="s">
        <v>98</v>
      </c>
      <c r="D418" s="36" t="s">
        <v>182</v>
      </c>
      <c r="E418" s="36" t="s">
        <v>99</v>
      </c>
      <c r="G418" s="87">
        <v>660000</v>
      </c>
      <c r="H418" s="87">
        <v>66000</v>
      </c>
      <c r="I418" s="87">
        <v>726000</v>
      </c>
      <c r="K418" s="85">
        <v>2021</v>
      </c>
      <c r="L418" s="85">
        <v>5</v>
      </c>
      <c r="N418" s="208" t="s">
        <v>44</v>
      </c>
    </row>
    <row r="419" spans="1:14">
      <c r="A419" s="36" t="s">
        <v>32</v>
      </c>
      <c r="B419" s="37">
        <v>44347</v>
      </c>
      <c r="C419" s="36" t="s">
        <v>291</v>
      </c>
      <c r="D419" s="36" t="s">
        <v>292</v>
      </c>
      <c r="E419" s="36" t="s">
        <v>78</v>
      </c>
      <c r="F419" s="89">
        <v>8</v>
      </c>
      <c r="G419" s="87">
        <v>2726800</v>
      </c>
      <c r="H419" s="87">
        <v>272680</v>
      </c>
      <c r="I419" s="87">
        <v>2999480</v>
      </c>
      <c r="K419" s="85">
        <v>2021</v>
      </c>
      <c r="L419" s="85">
        <v>5</v>
      </c>
      <c r="N419" s="208" t="s">
        <v>44</v>
      </c>
    </row>
    <row r="420" spans="1:14">
      <c r="A420" s="36" t="s">
        <v>32</v>
      </c>
      <c r="B420" s="37">
        <v>44347</v>
      </c>
      <c r="C420" s="36" t="s">
        <v>206</v>
      </c>
      <c r="D420" s="36" t="s">
        <v>208</v>
      </c>
      <c r="E420" s="36" t="s">
        <v>246</v>
      </c>
      <c r="F420" s="89">
        <v>6</v>
      </c>
      <c r="G420" s="87">
        <v>2200000</v>
      </c>
      <c r="H420" s="87">
        <v>220000</v>
      </c>
      <c r="I420" s="87">
        <v>2420000</v>
      </c>
      <c r="K420" s="85">
        <v>2021</v>
      </c>
      <c r="L420" s="85">
        <v>5</v>
      </c>
      <c r="N420" s="208" t="s">
        <v>44</v>
      </c>
    </row>
    <row r="421" spans="1:14">
      <c r="A421" s="36" t="s">
        <v>32</v>
      </c>
      <c r="B421" s="37">
        <v>44347</v>
      </c>
      <c r="C421" s="36" t="s">
        <v>206</v>
      </c>
      <c r="D421" s="36" t="s">
        <v>207</v>
      </c>
      <c r="E421" s="36" t="s">
        <v>246</v>
      </c>
      <c r="F421" s="89">
        <v>6</v>
      </c>
      <c r="G421" s="87">
        <v>1926000</v>
      </c>
      <c r="H421" s="87">
        <v>192600</v>
      </c>
      <c r="I421" s="87">
        <v>2118600</v>
      </c>
      <c r="K421" s="85">
        <v>2021</v>
      </c>
      <c r="L421" s="85">
        <v>5</v>
      </c>
      <c r="N421" s="208" t="s">
        <v>44</v>
      </c>
    </row>
    <row r="422" spans="1:14">
      <c r="A422" s="36" t="s">
        <v>33</v>
      </c>
      <c r="B422" s="37">
        <v>44347</v>
      </c>
      <c r="C422" s="36" t="s">
        <v>226</v>
      </c>
      <c r="D422" s="36" t="s">
        <v>227</v>
      </c>
      <c r="E422" s="36" t="s">
        <v>228</v>
      </c>
      <c r="G422" s="87">
        <v>1506363</v>
      </c>
      <c r="H422" s="87">
        <v>150637</v>
      </c>
      <c r="I422" s="87">
        <v>1657000</v>
      </c>
      <c r="K422" s="85">
        <v>2021</v>
      </c>
      <c r="L422" s="85">
        <v>5</v>
      </c>
      <c r="N422" s="208" t="s">
        <v>44</v>
      </c>
    </row>
    <row r="423" spans="1:14">
      <c r="A423" s="36" t="s">
        <v>32</v>
      </c>
      <c r="B423" s="37">
        <v>44347</v>
      </c>
      <c r="C423" s="36" t="s">
        <v>185</v>
      </c>
      <c r="D423" s="36" t="s">
        <v>186</v>
      </c>
      <c r="E423" s="36" t="s">
        <v>77</v>
      </c>
      <c r="J423" s="38">
        <v>10337250</v>
      </c>
      <c r="K423" s="85">
        <v>2021</v>
      </c>
      <c r="L423" s="85">
        <v>4</v>
      </c>
      <c r="N423" s="208" t="s">
        <v>44</v>
      </c>
    </row>
    <row r="424" spans="1:14">
      <c r="A424" s="36" t="s">
        <v>18</v>
      </c>
      <c r="B424" s="37">
        <v>44347</v>
      </c>
      <c r="C424" s="36" t="s">
        <v>251</v>
      </c>
      <c r="D424" s="36" t="s">
        <v>252</v>
      </c>
      <c r="E424" s="36" t="s">
        <v>246</v>
      </c>
      <c r="F424" s="89">
        <v>31.5</v>
      </c>
      <c r="G424" s="87">
        <v>17449600</v>
      </c>
      <c r="H424" s="87">
        <v>1744960</v>
      </c>
      <c r="I424" s="87">
        <v>19194560</v>
      </c>
      <c r="K424" s="85">
        <v>2021</v>
      </c>
      <c r="L424" s="85">
        <v>5</v>
      </c>
      <c r="N424" s="208" t="s">
        <v>44</v>
      </c>
    </row>
    <row r="425" spans="1:14">
      <c r="A425" s="36" t="s">
        <v>32</v>
      </c>
      <c r="B425" s="37">
        <v>44347</v>
      </c>
      <c r="C425" s="36" t="s">
        <v>188</v>
      </c>
      <c r="D425" s="36" t="s">
        <v>189</v>
      </c>
      <c r="E425" s="36" t="s">
        <v>77</v>
      </c>
      <c r="J425" s="38">
        <v>10550210</v>
      </c>
      <c r="K425" s="85">
        <v>2021</v>
      </c>
      <c r="L425" s="85">
        <v>4</v>
      </c>
      <c r="N425" s="208" t="s">
        <v>44</v>
      </c>
    </row>
    <row r="426" spans="1:14">
      <c r="A426" s="36" t="s">
        <v>32</v>
      </c>
      <c r="B426" s="37">
        <v>44347</v>
      </c>
      <c r="C426" s="36" t="s">
        <v>188</v>
      </c>
      <c r="D426" s="36" t="s">
        <v>349</v>
      </c>
      <c r="E426" s="36" t="s">
        <v>76</v>
      </c>
      <c r="F426" s="89">
        <v>6</v>
      </c>
      <c r="G426" s="87">
        <v>2590000</v>
      </c>
      <c r="H426" s="87">
        <v>259000</v>
      </c>
      <c r="I426" s="87">
        <v>2849000</v>
      </c>
      <c r="K426" s="85">
        <v>2021</v>
      </c>
      <c r="L426" s="85">
        <v>5</v>
      </c>
      <c r="N426" s="208" t="s">
        <v>44</v>
      </c>
    </row>
    <row r="427" spans="1:14">
      <c r="A427" s="36" t="s">
        <v>32</v>
      </c>
      <c r="B427" s="37">
        <v>44347</v>
      </c>
      <c r="C427" s="36" t="s">
        <v>188</v>
      </c>
      <c r="D427" s="36" t="s">
        <v>190</v>
      </c>
      <c r="E427" s="36" t="s">
        <v>76</v>
      </c>
      <c r="F427" s="89">
        <v>1</v>
      </c>
      <c r="G427" s="87">
        <v>3090000</v>
      </c>
      <c r="H427" s="87">
        <v>309000</v>
      </c>
      <c r="I427" s="87">
        <v>3399000</v>
      </c>
      <c r="K427" s="85">
        <v>2021</v>
      </c>
      <c r="L427" s="85">
        <v>5</v>
      </c>
      <c r="N427" s="208" t="s">
        <v>44</v>
      </c>
    </row>
    <row r="428" spans="1:14">
      <c r="A428" s="36" t="s">
        <v>32</v>
      </c>
      <c r="B428" s="37">
        <v>44347</v>
      </c>
      <c r="C428" s="36" t="s">
        <v>188</v>
      </c>
      <c r="D428" s="36" t="s">
        <v>191</v>
      </c>
      <c r="E428" s="36" t="s">
        <v>76</v>
      </c>
      <c r="F428" s="89">
        <v>9</v>
      </c>
      <c r="G428" s="87">
        <v>4500000</v>
      </c>
      <c r="H428" s="87">
        <v>450000</v>
      </c>
      <c r="I428" s="87">
        <v>4950000</v>
      </c>
      <c r="K428" s="85">
        <v>2021</v>
      </c>
      <c r="L428" s="85">
        <v>5</v>
      </c>
      <c r="N428" s="208" t="s">
        <v>44</v>
      </c>
    </row>
    <row r="429" spans="1:14">
      <c r="A429" s="36" t="s">
        <v>32</v>
      </c>
      <c r="B429" s="37">
        <v>44347</v>
      </c>
      <c r="C429" s="36" t="s">
        <v>188</v>
      </c>
      <c r="D429" s="36" t="s">
        <v>189</v>
      </c>
      <c r="E429" s="36" t="s">
        <v>76</v>
      </c>
      <c r="F429" s="89">
        <v>4</v>
      </c>
      <c r="G429" s="87">
        <v>2620000</v>
      </c>
      <c r="H429" s="87">
        <v>262000</v>
      </c>
      <c r="I429" s="87">
        <v>2882000</v>
      </c>
      <c r="K429" s="85">
        <v>2021</v>
      </c>
      <c r="L429" s="85">
        <v>5</v>
      </c>
      <c r="N429" s="208" t="s">
        <v>44</v>
      </c>
    </row>
    <row r="430" spans="1:14">
      <c r="A430" s="36" t="s">
        <v>32</v>
      </c>
      <c r="B430" s="37">
        <v>44347</v>
      </c>
      <c r="C430" s="36" t="s">
        <v>188</v>
      </c>
      <c r="D430" s="36" t="s">
        <v>192</v>
      </c>
      <c r="E430" s="36" t="s">
        <v>76</v>
      </c>
      <c r="F430" s="89">
        <v>35</v>
      </c>
      <c r="G430" s="87">
        <v>7270000</v>
      </c>
      <c r="H430" s="87">
        <v>727000</v>
      </c>
      <c r="I430" s="87">
        <v>7997000</v>
      </c>
      <c r="K430" s="85">
        <v>2021</v>
      </c>
      <c r="L430" s="85">
        <v>5</v>
      </c>
      <c r="N430" s="208" t="s">
        <v>44</v>
      </c>
    </row>
    <row r="431" spans="1:14">
      <c r="A431" s="36" t="s">
        <v>32</v>
      </c>
      <c r="B431" s="37">
        <v>44347</v>
      </c>
      <c r="C431" s="36" t="s">
        <v>188</v>
      </c>
      <c r="D431" s="36" t="s">
        <v>351</v>
      </c>
      <c r="E431" s="36" t="s">
        <v>76</v>
      </c>
      <c r="F431" s="89">
        <v>8</v>
      </c>
      <c r="G431" s="87">
        <v>4510000</v>
      </c>
      <c r="H431" s="87">
        <v>451000</v>
      </c>
      <c r="I431" s="87">
        <v>4961000</v>
      </c>
      <c r="K431" s="85">
        <v>2021</v>
      </c>
      <c r="L431" s="85">
        <v>5</v>
      </c>
      <c r="N431" s="208" t="s">
        <v>44</v>
      </c>
    </row>
    <row r="432" spans="1:14">
      <c r="A432" s="36" t="s">
        <v>32</v>
      </c>
      <c r="B432" s="37">
        <v>44347</v>
      </c>
      <c r="C432" s="36" t="s">
        <v>188</v>
      </c>
      <c r="D432" s="36" t="s">
        <v>193</v>
      </c>
      <c r="E432" s="36" t="s">
        <v>76</v>
      </c>
      <c r="F432" s="89">
        <v>13.5</v>
      </c>
      <c r="G432" s="87">
        <v>2960000</v>
      </c>
      <c r="H432" s="87">
        <v>296000</v>
      </c>
      <c r="I432" s="87">
        <v>3256000</v>
      </c>
      <c r="K432" s="85">
        <v>2021</v>
      </c>
      <c r="L432" s="85">
        <v>5</v>
      </c>
      <c r="N432" s="208" t="s">
        <v>44</v>
      </c>
    </row>
    <row r="433" spans="1:14">
      <c r="A433" s="36" t="s">
        <v>32</v>
      </c>
      <c r="B433" s="37">
        <v>44347</v>
      </c>
      <c r="C433" s="36" t="s">
        <v>188</v>
      </c>
      <c r="D433" s="36" t="s">
        <v>350</v>
      </c>
      <c r="E433" s="36" t="s">
        <v>77</v>
      </c>
      <c r="J433" s="38">
        <v>4125000</v>
      </c>
      <c r="K433" s="85">
        <v>2021</v>
      </c>
      <c r="L433" s="85">
        <v>5</v>
      </c>
      <c r="N433" s="208" t="s">
        <v>44</v>
      </c>
    </row>
    <row r="434" spans="1:14">
      <c r="A434" s="36" t="s">
        <v>32</v>
      </c>
      <c r="B434" s="37">
        <v>44347</v>
      </c>
      <c r="C434" s="36" t="s">
        <v>175</v>
      </c>
      <c r="D434" s="36" t="s">
        <v>179</v>
      </c>
      <c r="E434" s="36" t="s">
        <v>148</v>
      </c>
      <c r="J434" s="38">
        <v>22200640</v>
      </c>
      <c r="K434" s="85">
        <v>2021</v>
      </c>
      <c r="L434" s="85">
        <v>4</v>
      </c>
      <c r="N434" s="208" t="s">
        <v>44</v>
      </c>
    </row>
    <row r="435" spans="1:14">
      <c r="A435" s="36" t="s">
        <v>32</v>
      </c>
      <c r="B435" s="37">
        <v>44347</v>
      </c>
      <c r="C435" s="36" t="s">
        <v>175</v>
      </c>
      <c r="D435" s="36" t="s">
        <v>380</v>
      </c>
      <c r="E435" s="36" t="s">
        <v>76</v>
      </c>
      <c r="F435" s="89">
        <v>17.5</v>
      </c>
      <c r="G435" s="87">
        <v>6132600</v>
      </c>
      <c r="H435" s="87">
        <v>613260</v>
      </c>
      <c r="I435" s="87">
        <v>6745860</v>
      </c>
      <c r="K435" s="85">
        <v>2021</v>
      </c>
      <c r="L435" s="85">
        <v>5</v>
      </c>
      <c r="N435" s="208" t="s">
        <v>44</v>
      </c>
    </row>
    <row r="436" spans="1:14">
      <c r="A436" s="36" t="s">
        <v>33</v>
      </c>
      <c r="B436" s="37">
        <v>44347</v>
      </c>
      <c r="C436" s="36" t="s">
        <v>115</v>
      </c>
      <c r="D436" s="36" t="s">
        <v>371</v>
      </c>
      <c r="E436" s="36" t="s">
        <v>255</v>
      </c>
      <c r="G436" s="87">
        <v>174545</v>
      </c>
      <c r="H436" s="87">
        <v>17455</v>
      </c>
      <c r="I436" s="87">
        <v>191999.5</v>
      </c>
      <c r="K436" s="85">
        <v>2021</v>
      </c>
      <c r="L436" s="85">
        <v>5</v>
      </c>
      <c r="M436" s="36" t="s">
        <v>107</v>
      </c>
      <c r="N436" s="208" t="s">
        <v>44</v>
      </c>
    </row>
    <row r="437" spans="1:14">
      <c r="A437" s="36" t="s">
        <v>33</v>
      </c>
      <c r="B437" s="37">
        <v>44347</v>
      </c>
      <c r="C437" s="36" t="s">
        <v>115</v>
      </c>
      <c r="D437" s="36" t="s">
        <v>371</v>
      </c>
      <c r="E437" s="36" t="s">
        <v>256</v>
      </c>
      <c r="G437" s="87">
        <v>147272</v>
      </c>
      <c r="H437" s="87">
        <v>14728</v>
      </c>
      <c r="I437" s="87">
        <v>162000</v>
      </c>
      <c r="K437" s="85">
        <v>2021</v>
      </c>
      <c r="L437" s="85">
        <v>5</v>
      </c>
      <c r="M437" s="36" t="s">
        <v>107</v>
      </c>
      <c r="N437" s="208" t="s">
        <v>44</v>
      </c>
    </row>
    <row r="438" spans="1:14">
      <c r="A438" s="36" t="s">
        <v>33</v>
      </c>
      <c r="B438" s="37">
        <v>44347</v>
      </c>
      <c r="C438" s="36" t="s">
        <v>115</v>
      </c>
      <c r="D438" s="36" t="s">
        <v>371</v>
      </c>
      <c r="E438" s="36" t="s">
        <v>359</v>
      </c>
      <c r="G438" s="87">
        <v>1080000</v>
      </c>
      <c r="H438" s="87">
        <v>108000</v>
      </c>
      <c r="I438" s="87">
        <v>1188000</v>
      </c>
      <c r="K438" s="85">
        <v>2021</v>
      </c>
      <c r="L438" s="85">
        <v>5</v>
      </c>
      <c r="M438" s="36" t="s">
        <v>107</v>
      </c>
      <c r="N438" s="208" t="s">
        <v>44</v>
      </c>
    </row>
    <row r="439" spans="1:14">
      <c r="A439" s="36" t="s">
        <v>33</v>
      </c>
      <c r="B439" s="37">
        <v>44347</v>
      </c>
      <c r="C439" s="36" t="s">
        <v>115</v>
      </c>
      <c r="D439" s="36" t="s">
        <v>371</v>
      </c>
      <c r="E439" s="36" t="s">
        <v>360</v>
      </c>
      <c r="G439" s="87">
        <v>425455</v>
      </c>
      <c r="H439" s="87">
        <v>42545</v>
      </c>
      <c r="I439" s="87">
        <v>468000</v>
      </c>
      <c r="K439" s="85">
        <v>2021</v>
      </c>
      <c r="L439" s="85">
        <v>5</v>
      </c>
      <c r="M439" s="36" t="s">
        <v>107</v>
      </c>
      <c r="N439" s="208" t="s">
        <v>44</v>
      </c>
    </row>
    <row r="440" spans="1:14">
      <c r="A440" s="36" t="s">
        <v>33</v>
      </c>
      <c r="B440" s="37">
        <v>44347</v>
      </c>
      <c r="C440" s="36" t="s">
        <v>327</v>
      </c>
      <c r="D440" s="36" t="s">
        <v>249</v>
      </c>
      <c r="E440" s="36" t="s">
        <v>328</v>
      </c>
      <c r="G440" s="87">
        <v>1924400</v>
      </c>
      <c r="H440" s="87">
        <v>192440</v>
      </c>
      <c r="I440" s="87">
        <v>2116840</v>
      </c>
      <c r="K440" s="85">
        <v>2021</v>
      </c>
      <c r="L440" s="85">
        <v>5</v>
      </c>
      <c r="N440" s="208" t="s">
        <v>44</v>
      </c>
    </row>
    <row r="441" spans="1:14">
      <c r="A441" s="36" t="s">
        <v>33</v>
      </c>
      <c r="B441" s="37">
        <v>44347</v>
      </c>
      <c r="C441" s="36" t="s">
        <v>168</v>
      </c>
      <c r="D441" s="36" t="s">
        <v>258</v>
      </c>
      <c r="E441" s="36" t="s">
        <v>259</v>
      </c>
      <c r="G441" s="87">
        <v>984000</v>
      </c>
      <c r="H441" s="87">
        <v>98400</v>
      </c>
      <c r="I441" s="87">
        <v>1082400</v>
      </c>
      <c r="K441" s="85">
        <v>2021</v>
      </c>
      <c r="L441" s="85">
        <v>5</v>
      </c>
      <c r="N441" s="208" t="s">
        <v>44</v>
      </c>
    </row>
    <row r="442" spans="1:14">
      <c r="A442" s="36" t="s">
        <v>19</v>
      </c>
      <c r="B442" s="37">
        <v>44347</v>
      </c>
      <c r="C442" s="36" t="s">
        <v>381</v>
      </c>
      <c r="D442" s="36" t="s">
        <v>376</v>
      </c>
      <c r="E442" s="36" t="s">
        <v>164</v>
      </c>
      <c r="G442" s="87">
        <v>1462545</v>
      </c>
      <c r="H442" s="87">
        <v>146254.5</v>
      </c>
      <c r="I442" s="87">
        <v>1608799.5</v>
      </c>
      <c r="K442" s="85">
        <v>2021</v>
      </c>
      <c r="L442" s="85">
        <v>5</v>
      </c>
      <c r="N442" s="208" t="s">
        <v>44</v>
      </c>
    </row>
    <row r="443" spans="1:14">
      <c r="A443" s="36" t="s">
        <v>33</v>
      </c>
      <c r="B443" s="37">
        <v>44347</v>
      </c>
      <c r="C443" s="36" t="s">
        <v>82</v>
      </c>
      <c r="D443" s="36" t="s">
        <v>319</v>
      </c>
      <c r="E443" s="36" t="s">
        <v>111</v>
      </c>
      <c r="G443" s="87">
        <v>660000</v>
      </c>
      <c r="H443" s="87">
        <v>66000</v>
      </c>
      <c r="I443" s="87">
        <v>726000</v>
      </c>
      <c r="K443" s="85">
        <v>2021</v>
      </c>
      <c r="L443" s="85">
        <v>5</v>
      </c>
      <c r="N443" s="208" t="s">
        <v>44</v>
      </c>
    </row>
    <row r="444" spans="1:14">
      <c r="A444" s="36" t="s">
        <v>33</v>
      </c>
      <c r="B444" s="37">
        <v>44347</v>
      </c>
      <c r="C444" s="36" t="s">
        <v>103</v>
      </c>
      <c r="D444" s="36" t="s">
        <v>205</v>
      </c>
      <c r="E444" s="36" t="s">
        <v>77</v>
      </c>
      <c r="J444" s="38">
        <v>5349325</v>
      </c>
      <c r="K444" s="85">
        <v>2021</v>
      </c>
      <c r="L444" s="85">
        <v>4</v>
      </c>
      <c r="N444" s="208" t="s">
        <v>44</v>
      </c>
    </row>
    <row r="445" spans="1:14">
      <c r="A445" s="36" t="s">
        <v>33</v>
      </c>
      <c r="B445" s="37">
        <v>44347</v>
      </c>
      <c r="C445" s="36" t="s">
        <v>103</v>
      </c>
      <c r="D445" s="36" t="s">
        <v>244</v>
      </c>
      <c r="E445" s="36" t="s">
        <v>77</v>
      </c>
      <c r="J445" s="38">
        <v>507375</v>
      </c>
      <c r="K445" s="85">
        <v>2021</v>
      </c>
      <c r="L445" s="85">
        <v>4</v>
      </c>
      <c r="N445" s="208" t="s">
        <v>44</v>
      </c>
    </row>
    <row r="446" spans="1:14">
      <c r="A446" s="36" t="s">
        <v>33</v>
      </c>
      <c r="B446" s="37">
        <v>44347</v>
      </c>
      <c r="C446" s="36" t="s">
        <v>103</v>
      </c>
      <c r="D446" s="36" t="s">
        <v>205</v>
      </c>
      <c r="E446" s="36" t="s">
        <v>263</v>
      </c>
      <c r="G446" s="87">
        <v>885870</v>
      </c>
      <c r="H446" s="87">
        <v>88587</v>
      </c>
      <c r="I446" s="87">
        <v>974457</v>
      </c>
      <c r="K446" s="85">
        <v>2021</v>
      </c>
      <c r="L446" s="85">
        <v>5</v>
      </c>
      <c r="N446" s="208" t="s">
        <v>44</v>
      </c>
    </row>
    <row r="447" spans="1:14">
      <c r="A447" s="36" t="s">
        <v>33</v>
      </c>
      <c r="B447" s="37">
        <v>44347</v>
      </c>
      <c r="C447" s="36" t="s">
        <v>103</v>
      </c>
      <c r="D447" s="36" t="s">
        <v>244</v>
      </c>
      <c r="E447" s="36" t="s">
        <v>263</v>
      </c>
      <c r="G447" s="87">
        <v>332510</v>
      </c>
      <c r="H447" s="87">
        <v>33251</v>
      </c>
      <c r="I447" s="87">
        <v>365761</v>
      </c>
      <c r="K447" s="85">
        <v>2021</v>
      </c>
      <c r="L447" s="85">
        <v>5</v>
      </c>
      <c r="N447" s="208" t="s">
        <v>44</v>
      </c>
    </row>
    <row r="448" spans="1:14">
      <c r="A448" s="36" t="s">
        <v>33</v>
      </c>
      <c r="B448" s="37">
        <v>44347</v>
      </c>
      <c r="C448" s="36" t="s">
        <v>155</v>
      </c>
      <c r="D448" s="36" t="s">
        <v>156</v>
      </c>
      <c r="E448" s="36" t="s">
        <v>157</v>
      </c>
      <c r="G448" s="87">
        <v>1290000</v>
      </c>
      <c r="H448" s="87">
        <v>129000</v>
      </c>
      <c r="I448" s="87">
        <v>1419000</v>
      </c>
      <c r="K448" s="85">
        <v>2021</v>
      </c>
      <c r="L448" s="85">
        <v>5</v>
      </c>
      <c r="N448" s="208" t="s">
        <v>44</v>
      </c>
    </row>
    <row r="449" spans="1:14">
      <c r="A449" s="36" t="s">
        <v>32</v>
      </c>
      <c r="B449" s="37">
        <v>44347</v>
      </c>
      <c r="C449" s="36" t="s">
        <v>352</v>
      </c>
      <c r="D449" s="36" t="s">
        <v>382</v>
      </c>
      <c r="E449" s="36" t="s">
        <v>76</v>
      </c>
      <c r="F449" s="89">
        <v>28</v>
      </c>
      <c r="G449" s="87">
        <v>12600000</v>
      </c>
      <c r="H449" s="87">
        <v>1260000</v>
      </c>
      <c r="I449" s="87">
        <v>13860000</v>
      </c>
      <c r="K449" s="85">
        <v>2021</v>
      </c>
      <c r="L449" s="85">
        <v>5</v>
      </c>
      <c r="N449" s="208" t="s">
        <v>44</v>
      </c>
    </row>
    <row r="450" spans="1:14">
      <c r="A450" s="36" t="s">
        <v>32</v>
      </c>
      <c r="B450" s="37">
        <v>44348</v>
      </c>
      <c r="C450" s="36" t="s">
        <v>334</v>
      </c>
      <c r="D450" s="36" t="s">
        <v>335</v>
      </c>
      <c r="E450" s="36" t="s">
        <v>77</v>
      </c>
      <c r="J450" s="38">
        <v>20113500</v>
      </c>
      <c r="K450" s="85">
        <v>2021</v>
      </c>
      <c r="L450" s="85">
        <v>5</v>
      </c>
      <c r="N450" s="208" t="s">
        <v>44</v>
      </c>
    </row>
    <row r="451" spans="1:14">
      <c r="A451" s="36" t="s">
        <v>32</v>
      </c>
      <c r="B451" s="37">
        <v>44348</v>
      </c>
      <c r="C451" s="36" t="s">
        <v>85</v>
      </c>
      <c r="D451" s="36" t="s">
        <v>383</v>
      </c>
      <c r="E451" s="36" t="s">
        <v>267</v>
      </c>
      <c r="G451" s="87">
        <v>3000000</v>
      </c>
      <c r="H451" s="87">
        <v>300000</v>
      </c>
      <c r="I451" s="87">
        <v>3300000</v>
      </c>
      <c r="K451" s="85">
        <v>2021</v>
      </c>
      <c r="L451" s="85">
        <v>6</v>
      </c>
      <c r="N451" s="208" t="s">
        <v>44</v>
      </c>
    </row>
    <row r="452" spans="1:14">
      <c r="A452" s="36" t="s">
        <v>32</v>
      </c>
      <c r="B452" s="37">
        <v>44348</v>
      </c>
      <c r="C452" s="36" t="s">
        <v>85</v>
      </c>
      <c r="D452" s="36" t="s">
        <v>156</v>
      </c>
      <c r="E452" s="36" t="s">
        <v>267</v>
      </c>
      <c r="F452" s="89">
        <v>156</v>
      </c>
      <c r="G452" s="87">
        <v>35880000</v>
      </c>
      <c r="H452" s="87">
        <v>3588000</v>
      </c>
      <c r="I452" s="87">
        <v>39468000</v>
      </c>
      <c r="K452" s="85">
        <v>2021</v>
      </c>
      <c r="L452" s="85">
        <v>6</v>
      </c>
      <c r="N452" s="208" t="s">
        <v>44</v>
      </c>
    </row>
    <row r="453" spans="1:14">
      <c r="A453" s="36" t="s">
        <v>32</v>
      </c>
      <c r="B453" s="37">
        <v>44348</v>
      </c>
      <c r="C453" s="36" t="s">
        <v>85</v>
      </c>
      <c r="D453" s="36" t="s">
        <v>182</v>
      </c>
      <c r="E453" s="36" t="s">
        <v>267</v>
      </c>
      <c r="F453" s="89">
        <v>42</v>
      </c>
      <c r="G453" s="87">
        <v>10080000</v>
      </c>
      <c r="H453" s="87">
        <v>1008000</v>
      </c>
      <c r="I453" s="87">
        <v>11088000</v>
      </c>
      <c r="K453" s="85">
        <v>2021</v>
      </c>
      <c r="L453" s="85">
        <v>6</v>
      </c>
      <c r="N453" s="208" t="s">
        <v>44</v>
      </c>
    </row>
    <row r="454" spans="1:14">
      <c r="A454" s="36" t="s">
        <v>19</v>
      </c>
      <c r="B454" s="37">
        <v>44348</v>
      </c>
      <c r="C454" s="36" t="s">
        <v>234</v>
      </c>
      <c r="D454" s="36" t="s">
        <v>235</v>
      </c>
      <c r="E454" s="36" t="s">
        <v>148</v>
      </c>
      <c r="J454" s="38">
        <v>2248400</v>
      </c>
      <c r="K454" s="84">
        <v>2021</v>
      </c>
      <c r="L454" s="85">
        <v>4</v>
      </c>
      <c r="N454" s="208" t="s">
        <v>44</v>
      </c>
    </row>
    <row r="455" spans="1:14">
      <c r="A455" s="36" t="s">
        <v>33</v>
      </c>
      <c r="B455" s="37">
        <v>44348</v>
      </c>
      <c r="C455" s="36" t="s">
        <v>155</v>
      </c>
      <c r="D455" s="36" t="s">
        <v>156</v>
      </c>
      <c r="E455" s="36" t="s">
        <v>148</v>
      </c>
      <c r="J455" s="38">
        <v>1419000</v>
      </c>
      <c r="K455" s="85">
        <v>2021</v>
      </c>
      <c r="L455" s="85">
        <v>4</v>
      </c>
      <c r="N455" s="208" t="s">
        <v>44</v>
      </c>
    </row>
    <row r="456" spans="1:14">
      <c r="A456" s="36" t="s">
        <v>33</v>
      </c>
      <c r="B456" s="37">
        <v>44349</v>
      </c>
      <c r="C456" s="36" t="s">
        <v>124</v>
      </c>
      <c r="D456" s="36" t="s">
        <v>229</v>
      </c>
      <c r="E456" s="36" t="s">
        <v>77</v>
      </c>
      <c r="J456" s="38">
        <v>4718000</v>
      </c>
      <c r="K456" s="85">
        <v>2021</v>
      </c>
      <c r="L456" s="85">
        <v>5</v>
      </c>
      <c r="M456" s="36" t="s">
        <v>107</v>
      </c>
      <c r="N456" s="208" t="s">
        <v>44</v>
      </c>
    </row>
    <row r="457" spans="1:14">
      <c r="A457" s="36" t="s">
        <v>33</v>
      </c>
      <c r="B457" s="37">
        <v>44349</v>
      </c>
      <c r="C457" s="36" t="s">
        <v>160</v>
      </c>
      <c r="D457" s="36" t="s">
        <v>161</v>
      </c>
      <c r="E457" s="36" t="s">
        <v>148</v>
      </c>
      <c r="J457" s="38">
        <v>66000</v>
      </c>
      <c r="K457" s="84">
        <v>2021</v>
      </c>
      <c r="L457" s="85">
        <v>4</v>
      </c>
      <c r="N457" s="208" t="s">
        <v>44</v>
      </c>
    </row>
    <row r="458" spans="1:14">
      <c r="A458" s="36" t="s">
        <v>32</v>
      </c>
      <c r="B458" s="37">
        <v>44349</v>
      </c>
      <c r="C458" s="36" t="s">
        <v>206</v>
      </c>
      <c r="D458" s="36" t="s">
        <v>208</v>
      </c>
      <c r="E458" s="36" t="s">
        <v>77</v>
      </c>
      <c r="J458" s="38">
        <v>10691560</v>
      </c>
      <c r="K458" s="85">
        <v>2021</v>
      </c>
      <c r="L458" s="85">
        <v>3</v>
      </c>
      <c r="N458" s="208" t="s">
        <v>44</v>
      </c>
    </row>
    <row r="459" spans="1:14">
      <c r="A459" s="36" t="s">
        <v>32</v>
      </c>
      <c r="B459" s="37">
        <v>44349</v>
      </c>
      <c r="C459" s="36" t="s">
        <v>206</v>
      </c>
      <c r="D459" s="36" t="s">
        <v>207</v>
      </c>
      <c r="E459" s="36" t="s">
        <v>77</v>
      </c>
      <c r="J459" s="38">
        <v>4484700</v>
      </c>
      <c r="K459" s="85">
        <v>2021</v>
      </c>
      <c r="L459" s="85">
        <v>4</v>
      </c>
      <c r="N459" s="208" t="s">
        <v>44</v>
      </c>
    </row>
    <row r="460" spans="1:14">
      <c r="A460" s="36" t="s">
        <v>32</v>
      </c>
      <c r="B460" s="37">
        <v>44349</v>
      </c>
      <c r="C460" s="36" t="s">
        <v>206</v>
      </c>
      <c r="D460" s="36" t="s">
        <v>208</v>
      </c>
      <c r="E460" s="36" t="s">
        <v>77</v>
      </c>
      <c r="J460" s="38">
        <v>1650000</v>
      </c>
      <c r="K460" s="85">
        <v>2021</v>
      </c>
      <c r="L460" s="85">
        <v>4</v>
      </c>
      <c r="N460" s="208" t="s">
        <v>44</v>
      </c>
    </row>
    <row r="461" spans="1:14">
      <c r="A461" s="36" t="s">
        <v>33</v>
      </c>
      <c r="B461" s="37">
        <v>44349</v>
      </c>
      <c r="C461" s="36" t="s">
        <v>226</v>
      </c>
      <c r="D461" s="36" t="s">
        <v>227</v>
      </c>
      <c r="E461" s="36" t="s">
        <v>77</v>
      </c>
      <c r="J461" s="38">
        <v>1657000</v>
      </c>
      <c r="K461" s="85">
        <v>2021</v>
      </c>
      <c r="L461" s="85">
        <v>5</v>
      </c>
      <c r="N461" s="208" t="s">
        <v>44</v>
      </c>
    </row>
    <row r="462" spans="1:14">
      <c r="A462" s="36" t="s">
        <v>19</v>
      </c>
      <c r="B462" s="37">
        <v>44349</v>
      </c>
      <c r="C462" s="36" t="s">
        <v>223</v>
      </c>
      <c r="D462" s="36" t="s">
        <v>224</v>
      </c>
      <c r="E462" s="36" t="s">
        <v>225</v>
      </c>
      <c r="G462" s="87">
        <v>1818182</v>
      </c>
      <c r="H462" s="87">
        <v>181818.2</v>
      </c>
      <c r="I462" s="87">
        <v>2000000.2</v>
      </c>
      <c r="K462" s="84">
        <v>2021</v>
      </c>
      <c r="L462" s="85">
        <v>6</v>
      </c>
      <c r="N462" s="208" t="s">
        <v>44</v>
      </c>
    </row>
    <row r="463" spans="1:14">
      <c r="A463" s="36" t="s">
        <v>19</v>
      </c>
      <c r="B463" s="37">
        <v>44349</v>
      </c>
      <c r="C463" s="36" t="s">
        <v>223</v>
      </c>
      <c r="D463" s="36" t="s">
        <v>224</v>
      </c>
      <c r="E463" s="36" t="s">
        <v>148</v>
      </c>
      <c r="J463" s="38">
        <v>2000000</v>
      </c>
      <c r="K463" s="84">
        <v>2021</v>
      </c>
      <c r="L463" s="85">
        <v>6</v>
      </c>
      <c r="N463" s="208" t="s">
        <v>44</v>
      </c>
    </row>
    <row r="464" spans="1:14">
      <c r="A464" s="36" t="s">
        <v>33</v>
      </c>
      <c r="B464" s="37">
        <v>44349</v>
      </c>
      <c r="C464" s="36" t="s">
        <v>115</v>
      </c>
      <c r="D464" s="36" t="s">
        <v>371</v>
      </c>
      <c r="E464" s="36" t="s">
        <v>77</v>
      </c>
      <c r="J464" s="38">
        <v>2010000</v>
      </c>
      <c r="K464" s="85">
        <v>2021</v>
      </c>
      <c r="L464" s="85">
        <v>5</v>
      </c>
      <c r="M464" s="36" t="s">
        <v>107</v>
      </c>
      <c r="N464" s="208" t="s">
        <v>44</v>
      </c>
    </row>
    <row r="465" spans="1:14">
      <c r="A465" s="36" t="s">
        <v>33</v>
      </c>
      <c r="B465" s="37">
        <v>44349</v>
      </c>
      <c r="C465" s="36" t="s">
        <v>166</v>
      </c>
      <c r="D465" s="36" t="s">
        <v>376</v>
      </c>
      <c r="E465" s="36" t="s">
        <v>148</v>
      </c>
      <c r="J465" s="38">
        <v>1608800</v>
      </c>
      <c r="K465" s="85">
        <v>2021</v>
      </c>
      <c r="L465" s="85">
        <v>5</v>
      </c>
      <c r="N465" s="208" t="s">
        <v>44</v>
      </c>
    </row>
    <row r="466" spans="1:14">
      <c r="A466" s="36" t="s">
        <v>33</v>
      </c>
      <c r="B466" s="37">
        <v>44350</v>
      </c>
      <c r="C466" s="36" t="s">
        <v>260</v>
      </c>
      <c r="D466" s="36" t="s">
        <v>261</v>
      </c>
      <c r="E466" s="36" t="s">
        <v>148</v>
      </c>
      <c r="J466" s="38">
        <v>1089000</v>
      </c>
      <c r="K466" s="85">
        <v>2021</v>
      </c>
      <c r="L466" s="85">
        <v>5</v>
      </c>
      <c r="N466" s="208" t="s">
        <v>44</v>
      </c>
    </row>
    <row r="467" spans="1:14">
      <c r="A467" s="36" t="s">
        <v>33</v>
      </c>
      <c r="B467" s="37">
        <v>44350</v>
      </c>
      <c r="C467" s="36" t="s">
        <v>168</v>
      </c>
      <c r="D467" s="36" t="s">
        <v>258</v>
      </c>
      <c r="E467" s="36" t="s">
        <v>148</v>
      </c>
      <c r="J467" s="38">
        <v>1082400</v>
      </c>
      <c r="K467" s="85">
        <v>2021</v>
      </c>
      <c r="L467" s="85">
        <v>5</v>
      </c>
      <c r="N467" s="208" t="s">
        <v>44</v>
      </c>
    </row>
    <row r="468" spans="1:14">
      <c r="A468" s="36" t="s">
        <v>33</v>
      </c>
      <c r="B468" s="37">
        <v>44350</v>
      </c>
      <c r="C468" s="36" t="s">
        <v>103</v>
      </c>
      <c r="D468" s="36" t="s">
        <v>151</v>
      </c>
      <c r="E468" s="36" t="s">
        <v>148</v>
      </c>
      <c r="J468" s="38">
        <v>1137400</v>
      </c>
      <c r="K468" s="84">
        <v>2021</v>
      </c>
      <c r="L468" s="85">
        <v>3</v>
      </c>
      <c r="N468" s="208" t="s">
        <v>44</v>
      </c>
    </row>
    <row r="469" spans="1:14">
      <c r="A469" s="36" t="s">
        <v>33</v>
      </c>
      <c r="B469" s="37">
        <v>44350</v>
      </c>
      <c r="C469" s="36" t="s">
        <v>103</v>
      </c>
      <c r="D469" s="36" t="s">
        <v>152</v>
      </c>
      <c r="E469" s="36" t="s">
        <v>77</v>
      </c>
      <c r="J469" s="38">
        <v>1306800</v>
      </c>
      <c r="K469" s="85">
        <v>2021</v>
      </c>
      <c r="L469" s="85">
        <v>4</v>
      </c>
      <c r="N469" s="208" t="s">
        <v>44</v>
      </c>
    </row>
    <row r="470" spans="1:14">
      <c r="A470" s="36" t="s">
        <v>33</v>
      </c>
      <c r="B470" s="37">
        <v>44350</v>
      </c>
      <c r="C470" s="36" t="s">
        <v>103</v>
      </c>
      <c r="D470" s="36" t="s">
        <v>151</v>
      </c>
      <c r="E470" s="36" t="s">
        <v>77</v>
      </c>
      <c r="J470" s="38">
        <v>550000</v>
      </c>
      <c r="K470" s="85">
        <v>2021</v>
      </c>
      <c r="L470" s="85">
        <v>4</v>
      </c>
      <c r="N470" s="208" t="s">
        <v>44</v>
      </c>
    </row>
    <row r="471" spans="1:14">
      <c r="A471" s="36" t="s">
        <v>32</v>
      </c>
      <c r="B471" s="37">
        <v>44351</v>
      </c>
      <c r="C471" s="36" t="s">
        <v>174</v>
      </c>
      <c r="D471" s="36" t="s">
        <v>368</v>
      </c>
      <c r="E471" s="36" t="s">
        <v>77</v>
      </c>
      <c r="J471" s="38">
        <v>4963200</v>
      </c>
      <c r="K471" s="85">
        <v>2021</v>
      </c>
      <c r="L471" s="85">
        <v>4</v>
      </c>
      <c r="N471" s="208" t="s">
        <v>44</v>
      </c>
    </row>
    <row r="472" spans="1:14">
      <c r="A472" s="36" t="s">
        <v>32</v>
      </c>
      <c r="B472" s="37">
        <v>44351</v>
      </c>
      <c r="C472" s="36" t="s">
        <v>264</v>
      </c>
      <c r="D472" s="36" t="s">
        <v>266</v>
      </c>
      <c r="E472" s="36" t="s">
        <v>77</v>
      </c>
      <c r="J472" s="38">
        <v>9171800</v>
      </c>
      <c r="K472" s="85">
        <v>2021</v>
      </c>
      <c r="L472" s="85">
        <v>4</v>
      </c>
      <c r="N472" s="208" t="s">
        <v>44</v>
      </c>
    </row>
    <row r="473" spans="1:14">
      <c r="A473" s="36" t="s">
        <v>19</v>
      </c>
      <c r="B473" s="37">
        <v>44354</v>
      </c>
      <c r="C473" s="36" t="s">
        <v>216</v>
      </c>
      <c r="E473" s="36" t="s">
        <v>222</v>
      </c>
      <c r="G473" s="87">
        <v>193000</v>
      </c>
      <c r="H473" s="87">
        <v>19300</v>
      </c>
      <c r="I473" s="87">
        <v>212300</v>
      </c>
      <c r="K473" s="85">
        <v>2021</v>
      </c>
      <c r="L473" s="85">
        <v>6</v>
      </c>
      <c r="N473" s="208" t="s">
        <v>44</v>
      </c>
    </row>
    <row r="474" spans="1:14">
      <c r="A474" s="36" t="s">
        <v>33</v>
      </c>
      <c r="B474" s="37">
        <v>44354</v>
      </c>
      <c r="C474" s="36" t="s">
        <v>322</v>
      </c>
      <c r="D474" s="36" t="s">
        <v>369</v>
      </c>
      <c r="E474" s="36" t="s">
        <v>79</v>
      </c>
      <c r="J474" s="38">
        <v>1500000</v>
      </c>
      <c r="K474" s="85">
        <v>2021</v>
      </c>
      <c r="L474" s="85">
        <v>1</v>
      </c>
      <c r="N474" s="208" t="s">
        <v>44</v>
      </c>
    </row>
    <row r="475" spans="1:14">
      <c r="A475" s="36" t="s">
        <v>33</v>
      </c>
      <c r="B475" s="37">
        <v>44354</v>
      </c>
      <c r="C475" s="36" t="s">
        <v>81</v>
      </c>
      <c r="D475" s="36" t="s">
        <v>113</v>
      </c>
      <c r="E475" s="36" t="s">
        <v>79</v>
      </c>
      <c r="J475" s="38">
        <v>3300000</v>
      </c>
      <c r="K475" s="85">
        <v>2021</v>
      </c>
      <c r="L475" s="85">
        <v>2</v>
      </c>
      <c r="N475" s="208" t="s">
        <v>44</v>
      </c>
    </row>
    <row r="476" spans="1:14">
      <c r="A476" s="36" t="s">
        <v>19</v>
      </c>
      <c r="B476" s="37">
        <v>44355</v>
      </c>
      <c r="C476" s="36" t="s">
        <v>216</v>
      </c>
      <c r="E476" s="36" t="s">
        <v>148</v>
      </c>
      <c r="J476" s="38">
        <v>212300</v>
      </c>
      <c r="K476" s="84">
        <v>2021</v>
      </c>
      <c r="L476" s="85">
        <v>6</v>
      </c>
      <c r="N476" s="208" t="s">
        <v>44</v>
      </c>
    </row>
    <row r="477" spans="1:14">
      <c r="A477" s="36" t="s">
        <v>32</v>
      </c>
      <c r="B477" s="37">
        <v>44355</v>
      </c>
      <c r="C477" s="36" t="s">
        <v>285</v>
      </c>
      <c r="D477" s="36" t="s">
        <v>286</v>
      </c>
      <c r="E477" s="36" t="s">
        <v>77</v>
      </c>
      <c r="J477" s="38">
        <v>3415500</v>
      </c>
      <c r="K477" s="85">
        <v>2021</v>
      </c>
      <c r="L477" s="85">
        <v>5</v>
      </c>
      <c r="N477" s="208" t="s">
        <v>44</v>
      </c>
    </row>
    <row r="478" spans="1:14">
      <c r="A478" s="36" t="s">
        <v>33</v>
      </c>
      <c r="B478" s="37">
        <v>44356</v>
      </c>
      <c r="C478" s="36" t="s">
        <v>131</v>
      </c>
      <c r="E478" s="36" t="s">
        <v>324</v>
      </c>
      <c r="G478" s="87">
        <v>235000</v>
      </c>
      <c r="H478" s="87">
        <v>23500</v>
      </c>
      <c r="I478" s="87">
        <v>258500</v>
      </c>
      <c r="K478" s="85">
        <v>2021</v>
      </c>
      <c r="L478" s="85">
        <v>6</v>
      </c>
      <c r="M478" s="36" t="s">
        <v>325</v>
      </c>
      <c r="N478" s="208" t="s">
        <v>44</v>
      </c>
    </row>
    <row r="479" spans="1:14">
      <c r="A479" s="36" t="s">
        <v>33</v>
      </c>
      <c r="B479" s="37">
        <v>44357</v>
      </c>
      <c r="C479" s="36" t="s">
        <v>131</v>
      </c>
      <c r="E479" s="36" t="s">
        <v>326</v>
      </c>
      <c r="G479" s="87">
        <v>46000</v>
      </c>
      <c r="H479" s="87">
        <v>4600</v>
      </c>
      <c r="I479" s="87">
        <v>50600</v>
      </c>
      <c r="K479" s="85">
        <v>2021</v>
      </c>
      <c r="L479" s="85">
        <v>6</v>
      </c>
      <c r="N479" s="208" t="s">
        <v>44</v>
      </c>
    </row>
    <row r="480" spans="1:14">
      <c r="A480" s="36" t="s">
        <v>32</v>
      </c>
      <c r="B480" s="37">
        <v>44357</v>
      </c>
      <c r="C480" s="36" t="s">
        <v>180</v>
      </c>
      <c r="D480" s="36" t="s">
        <v>344</v>
      </c>
      <c r="E480" s="36" t="s">
        <v>77</v>
      </c>
      <c r="J480" s="38">
        <v>25333000</v>
      </c>
      <c r="K480" s="85">
        <v>2021</v>
      </c>
      <c r="L480" s="85">
        <v>5</v>
      </c>
      <c r="N480" s="208" t="s">
        <v>44</v>
      </c>
    </row>
    <row r="481" spans="1:14">
      <c r="A481" s="36" t="s">
        <v>32</v>
      </c>
      <c r="B481" s="37">
        <v>44357</v>
      </c>
      <c r="C481" s="36" t="s">
        <v>175</v>
      </c>
      <c r="D481" s="36" t="s">
        <v>178</v>
      </c>
      <c r="E481" s="36" t="s">
        <v>148</v>
      </c>
      <c r="J481" s="38">
        <v>11862180</v>
      </c>
      <c r="K481" s="85">
        <v>2021</v>
      </c>
      <c r="L481" s="85">
        <v>4</v>
      </c>
      <c r="N481" s="208" t="s">
        <v>44</v>
      </c>
    </row>
    <row r="482" spans="1:14">
      <c r="A482" s="36" t="s">
        <v>33</v>
      </c>
      <c r="B482" s="37">
        <v>44358</v>
      </c>
      <c r="C482" s="36" t="s">
        <v>131</v>
      </c>
      <c r="E482" s="36" t="s">
        <v>77</v>
      </c>
      <c r="J482" s="38">
        <v>258500</v>
      </c>
      <c r="K482" s="85">
        <v>2021</v>
      </c>
      <c r="L482" s="85">
        <v>6</v>
      </c>
      <c r="N482" s="208" t="s">
        <v>44</v>
      </c>
    </row>
    <row r="483" spans="1:14">
      <c r="A483" s="36" t="s">
        <v>33</v>
      </c>
      <c r="B483" s="37">
        <v>44358</v>
      </c>
      <c r="C483" s="36" t="s">
        <v>131</v>
      </c>
      <c r="E483" s="36" t="s">
        <v>77</v>
      </c>
      <c r="J483" s="38">
        <v>50600</v>
      </c>
      <c r="K483" s="85">
        <v>2021</v>
      </c>
      <c r="L483" s="85">
        <v>6</v>
      </c>
      <c r="N483" s="208" t="s">
        <v>44</v>
      </c>
    </row>
    <row r="484" spans="1:14">
      <c r="A484" s="36" t="s">
        <v>32</v>
      </c>
      <c r="B484" s="37">
        <v>44358</v>
      </c>
      <c r="C484" s="36" t="s">
        <v>293</v>
      </c>
      <c r="D484" s="36" t="s">
        <v>294</v>
      </c>
      <c r="E484" s="36" t="s">
        <v>148</v>
      </c>
      <c r="J484" s="38">
        <v>1650000</v>
      </c>
      <c r="K484" s="85">
        <v>2021</v>
      </c>
      <c r="L484" s="85">
        <v>3</v>
      </c>
      <c r="N484" s="208" t="s">
        <v>44</v>
      </c>
    </row>
    <row r="485" spans="1:14">
      <c r="A485" s="36" t="s">
        <v>33</v>
      </c>
      <c r="B485" s="37">
        <v>44359</v>
      </c>
      <c r="C485" s="36" t="s">
        <v>144</v>
      </c>
      <c r="D485" s="36" t="s">
        <v>161</v>
      </c>
      <c r="E485" s="36" t="s">
        <v>329</v>
      </c>
      <c r="G485" s="87">
        <v>250000</v>
      </c>
      <c r="H485" s="87">
        <v>25000</v>
      </c>
      <c r="I485" s="87">
        <v>275000</v>
      </c>
      <c r="K485" s="85">
        <v>2021</v>
      </c>
      <c r="L485" s="85">
        <v>6</v>
      </c>
      <c r="N485" s="208" t="s">
        <v>44</v>
      </c>
    </row>
    <row r="486" spans="1:14">
      <c r="A486" s="36" t="s">
        <v>18</v>
      </c>
      <c r="B486" s="37">
        <v>44361</v>
      </c>
      <c r="C486" s="36" t="s">
        <v>251</v>
      </c>
      <c r="D486" s="36" t="s">
        <v>252</v>
      </c>
      <c r="E486" s="36" t="s">
        <v>148</v>
      </c>
      <c r="J486" s="38">
        <v>19139560</v>
      </c>
      <c r="K486" s="85">
        <v>2021</v>
      </c>
      <c r="L486" s="85">
        <v>5</v>
      </c>
      <c r="N486" s="208" t="s">
        <v>44</v>
      </c>
    </row>
    <row r="487" spans="1:14">
      <c r="A487" s="36" t="s">
        <v>18</v>
      </c>
      <c r="B487" s="37">
        <v>44361</v>
      </c>
      <c r="C487" s="36" t="s">
        <v>251</v>
      </c>
      <c r="D487" s="36" t="s">
        <v>252</v>
      </c>
      <c r="E487" s="36" t="s">
        <v>253</v>
      </c>
      <c r="J487" s="38">
        <v>55000</v>
      </c>
      <c r="K487" s="85">
        <v>2021</v>
      </c>
      <c r="L487" s="85">
        <v>5</v>
      </c>
      <c r="M487" s="36" t="s">
        <v>254</v>
      </c>
      <c r="N487" s="208" t="s">
        <v>44</v>
      </c>
    </row>
    <row r="488" spans="1:14">
      <c r="A488" s="36" t="s">
        <v>32</v>
      </c>
      <c r="B488" s="37">
        <v>44362</v>
      </c>
      <c r="C488" s="36" t="s">
        <v>188</v>
      </c>
      <c r="D488" s="36" t="s">
        <v>191</v>
      </c>
      <c r="E488" s="36" t="s">
        <v>77</v>
      </c>
      <c r="J488" s="38">
        <v>4950000</v>
      </c>
      <c r="K488" s="85">
        <v>2021</v>
      </c>
      <c r="L488" s="85">
        <v>4</v>
      </c>
      <c r="N488" s="208" t="s">
        <v>44</v>
      </c>
    </row>
    <row r="489" spans="1:14">
      <c r="A489" s="36" t="s">
        <v>32</v>
      </c>
      <c r="B489" s="37">
        <v>44368</v>
      </c>
      <c r="C489" s="36" t="s">
        <v>277</v>
      </c>
      <c r="D489" s="36" t="s">
        <v>278</v>
      </c>
      <c r="E489" s="36" t="s">
        <v>77</v>
      </c>
      <c r="J489" s="38">
        <v>8750962</v>
      </c>
      <c r="K489" s="85">
        <v>2021</v>
      </c>
      <c r="L489" s="85">
        <v>5</v>
      </c>
      <c r="N489" s="208" t="s">
        <v>44</v>
      </c>
    </row>
    <row r="490" spans="1:14">
      <c r="A490" s="36" t="s">
        <v>18</v>
      </c>
      <c r="B490" s="37">
        <v>44368</v>
      </c>
      <c r="C490" s="36" t="s">
        <v>211</v>
      </c>
      <c r="D490" s="36" t="s">
        <v>376</v>
      </c>
      <c r="E490" s="36" t="s">
        <v>77</v>
      </c>
      <c r="J490" s="38">
        <v>73370000</v>
      </c>
      <c r="K490" s="85">
        <v>2021</v>
      </c>
      <c r="L490" s="85">
        <v>5</v>
      </c>
      <c r="N490" s="208" t="s">
        <v>44</v>
      </c>
    </row>
    <row r="491" spans="1:14">
      <c r="A491" s="36" t="s">
        <v>32</v>
      </c>
      <c r="B491" s="37">
        <v>44369</v>
      </c>
      <c r="C491" s="36" t="s">
        <v>188</v>
      </c>
      <c r="D491" s="36" t="s">
        <v>139</v>
      </c>
      <c r="E491" s="36" t="s">
        <v>77</v>
      </c>
      <c r="J491" s="38">
        <v>9240000</v>
      </c>
      <c r="K491" s="85">
        <v>2021</v>
      </c>
      <c r="L491" s="85">
        <v>4</v>
      </c>
      <c r="N491" s="208" t="s">
        <v>44</v>
      </c>
    </row>
    <row r="492" spans="1:14">
      <c r="A492" s="36" t="s">
        <v>32</v>
      </c>
      <c r="B492" s="37">
        <v>44375</v>
      </c>
      <c r="C492" s="36" t="s">
        <v>209</v>
      </c>
      <c r="D492" s="36" t="s">
        <v>197</v>
      </c>
      <c r="E492" s="36" t="s">
        <v>77</v>
      </c>
      <c r="J492" s="38">
        <v>26212560</v>
      </c>
      <c r="K492" s="85">
        <v>2021</v>
      </c>
      <c r="L492" s="85">
        <v>5</v>
      </c>
      <c r="N492" s="208" t="s">
        <v>44</v>
      </c>
    </row>
    <row r="493" spans="1:14">
      <c r="A493" s="36" t="s">
        <v>32</v>
      </c>
      <c r="B493" s="37">
        <v>44375</v>
      </c>
      <c r="C493" s="36" t="s">
        <v>188</v>
      </c>
      <c r="D493" s="36" t="s">
        <v>193</v>
      </c>
      <c r="E493" s="36" t="s">
        <v>148</v>
      </c>
      <c r="J493" s="38">
        <v>3256000</v>
      </c>
      <c r="K493" s="85">
        <v>2021</v>
      </c>
      <c r="L493" s="85">
        <v>5</v>
      </c>
      <c r="N493" s="208" t="s">
        <v>44</v>
      </c>
    </row>
    <row r="494" spans="1:14">
      <c r="A494" s="36" t="s">
        <v>18</v>
      </c>
      <c r="B494" s="37">
        <v>44376</v>
      </c>
      <c r="C494" s="36" t="s">
        <v>384</v>
      </c>
      <c r="D494" s="36" t="s">
        <v>385</v>
      </c>
      <c r="E494" s="36" t="s">
        <v>246</v>
      </c>
      <c r="F494" s="89">
        <v>57</v>
      </c>
      <c r="G494" s="87">
        <v>13395000</v>
      </c>
      <c r="H494" s="87">
        <v>1339500</v>
      </c>
      <c r="I494" s="87">
        <v>14734500</v>
      </c>
      <c r="K494" s="85">
        <v>2021</v>
      </c>
      <c r="L494" s="85">
        <v>6</v>
      </c>
      <c r="N494" s="208" t="s">
        <v>44</v>
      </c>
    </row>
    <row r="495" spans="1:14">
      <c r="A495" s="36" t="s">
        <v>33</v>
      </c>
      <c r="B495" s="37">
        <v>44376</v>
      </c>
      <c r="C495" s="36" t="s">
        <v>144</v>
      </c>
      <c r="D495" s="36" t="s">
        <v>386</v>
      </c>
      <c r="E495" s="36" t="s">
        <v>387</v>
      </c>
      <c r="G495" s="87">
        <v>250000</v>
      </c>
      <c r="H495" s="87">
        <v>25000</v>
      </c>
      <c r="I495" s="87">
        <v>275000</v>
      </c>
      <c r="K495" s="85">
        <v>2021</v>
      </c>
      <c r="L495" s="85">
        <v>6</v>
      </c>
      <c r="N495" s="208" t="s">
        <v>44</v>
      </c>
    </row>
    <row r="496" spans="1:14">
      <c r="A496" s="36" t="s">
        <v>32</v>
      </c>
      <c r="B496" s="37">
        <v>44376</v>
      </c>
      <c r="C496" s="36" t="s">
        <v>188</v>
      </c>
      <c r="D496" s="36" t="s">
        <v>193</v>
      </c>
      <c r="E496" s="36" t="s">
        <v>148</v>
      </c>
      <c r="J496" s="38">
        <v>3413520</v>
      </c>
      <c r="K496" s="85">
        <v>2021</v>
      </c>
      <c r="L496" s="85">
        <v>4</v>
      </c>
      <c r="N496" s="208" t="s">
        <v>44</v>
      </c>
    </row>
    <row r="497" spans="1:14">
      <c r="A497" s="36" t="s">
        <v>18</v>
      </c>
      <c r="B497" s="37">
        <v>44377</v>
      </c>
      <c r="C497" s="36" t="s">
        <v>247</v>
      </c>
      <c r="D497" s="36" t="s">
        <v>388</v>
      </c>
      <c r="E497" s="36" t="s">
        <v>246</v>
      </c>
      <c r="F497" s="89">
        <v>9</v>
      </c>
      <c r="G497" s="87">
        <v>2848600</v>
      </c>
      <c r="H497" s="87">
        <v>284860</v>
      </c>
      <c r="I497" s="87">
        <v>3133460</v>
      </c>
      <c r="K497" s="85">
        <v>2021</v>
      </c>
      <c r="L497" s="85">
        <v>6</v>
      </c>
      <c r="N497" s="208" t="s">
        <v>44</v>
      </c>
    </row>
    <row r="498" spans="1:14">
      <c r="A498" s="36" t="s">
        <v>18</v>
      </c>
      <c r="B498" s="37">
        <v>44377</v>
      </c>
      <c r="C498" s="36" t="s">
        <v>247</v>
      </c>
      <c r="D498" s="36" t="s">
        <v>200</v>
      </c>
      <c r="E498" s="36" t="s">
        <v>246</v>
      </c>
      <c r="F498" s="89">
        <v>46.5</v>
      </c>
      <c r="G498" s="87">
        <v>13977000</v>
      </c>
      <c r="H498" s="87">
        <v>1397700</v>
      </c>
      <c r="I498" s="87">
        <v>15374700</v>
      </c>
      <c r="K498" s="85">
        <v>2021</v>
      </c>
      <c r="L498" s="85">
        <v>6</v>
      </c>
      <c r="N498" s="208" t="s">
        <v>44</v>
      </c>
    </row>
    <row r="499" spans="1:14">
      <c r="A499" s="36" t="s">
        <v>33</v>
      </c>
      <c r="B499" s="37">
        <v>44377</v>
      </c>
      <c r="C499" s="36" t="s">
        <v>96</v>
      </c>
      <c r="D499" s="36" t="s">
        <v>200</v>
      </c>
      <c r="E499" s="36" t="s">
        <v>77</v>
      </c>
      <c r="J499" s="38">
        <v>176000</v>
      </c>
      <c r="K499" s="85">
        <v>2021</v>
      </c>
      <c r="L499" s="85">
        <v>5</v>
      </c>
      <c r="N499" s="208" t="s">
        <v>44</v>
      </c>
    </row>
    <row r="500" spans="1:14">
      <c r="A500" s="36" t="s">
        <v>33</v>
      </c>
      <c r="B500" s="37">
        <v>44377</v>
      </c>
      <c r="C500" s="36" t="s">
        <v>96</v>
      </c>
      <c r="D500" s="36" t="s">
        <v>150</v>
      </c>
      <c r="E500" s="36" t="s">
        <v>389</v>
      </c>
      <c r="G500" s="87">
        <v>410000</v>
      </c>
      <c r="H500" s="87">
        <v>41000</v>
      </c>
      <c r="I500" s="87">
        <v>451000</v>
      </c>
      <c r="K500" s="85">
        <v>2021</v>
      </c>
      <c r="L500" s="85">
        <v>6</v>
      </c>
      <c r="N500" s="208" t="s">
        <v>44</v>
      </c>
    </row>
    <row r="501" spans="1:14">
      <c r="A501" s="36" t="s">
        <v>18</v>
      </c>
      <c r="B501" s="37">
        <v>44377</v>
      </c>
      <c r="C501" s="36" t="s">
        <v>390</v>
      </c>
      <c r="D501" s="36" t="s">
        <v>378</v>
      </c>
      <c r="E501" s="36" t="s">
        <v>246</v>
      </c>
      <c r="F501" s="89">
        <v>22</v>
      </c>
      <c r="G501" s="87">
        <v>6230000</v>
      </c>
      <c r="H501" s="87">
        <v>623000</v>
      </c>
      <c r="I501" s="87">
        <v>6853000</v>
      </c>
      <c r="K501" s="85">
        <v>2021</v>
      </c>
      <c r="L501" s="85">
        <v>6</v>
      </c>
      <c r="N501" s="208" t="s">
        <v>44</v>
      </c>
    </row>
    <row r="502" spans="1:14">
      <c r="A502" s="36" t="s">
        <v>32</v>
      </c>
      <c r="B502" s="37">
        <v>44377</v>
      </c>
      <c r="C502" s="36" t="s">
        <v>204</v>
      </c>
      <c r="D502" s="36" t="s">
        <v>205</v>
      </c>
      <c r="E502" s="36" t="s">
        <v>148</v>
      </c>
      <c r="J502" s="38">
        <v>6981381</v>
      </c>
      <c r="K502" s="85">
        <v>2021</v>
      </c>
      <c r="L502" s="85">
        <v>5</v>
      </c>
      <c r="N502" s="208" t="s">
        <v>44</v>
      </c>
    </row>
    <row r="503" spans="1:14">
      <c r="A503" s="36" t="s">
        <v>18</v>
      </c>
      <c r="B503" s="37">
        <v>44377</v>
      </c>
      <c r="C503" s="36" t="s">
        <v>391</v>
      </c>
      <c r="D503" s="36" t="s">
        <v>392</v>
      </c>
      <c r="E503" s="36" t="s">
        <v>246</v>
      </c>
      <c r="F503" s="89">
        <v>67</v>
      </c>
      <c r="G503" s="87">
        <v>23866528</v>
      </c>
      <c r="H503" s="87">
        <v>2386652.8000000003</v>
      </c>
      <c r="I503" s="87">
        <v>26253180.800000001</v>
      </c>
      <c r="K503" s="85">
        <v>2021</v>
      </c>
      <c r="L503" s="85">
        <v>6</v>
      </c>
      <c r="N503" s="208" t="s">
        <v>44</v>
      </c>
    </row>
    <row r="504" spans="1:14">
      <c r="A504" s="36" t="s">
        <v>18</v>
      </c>
      <c r="B504" s="37">
        <v>44377</v>
      </c>
      <c r="C504" s="36" t="s">
        <v>391</v>
      </c>
      <c r="D504" s="36" t="s">
        <v>393</v>
      </c>
      <c r="E504" s="36" t="s">
        <v>246</v>
      </c>
      <c r="F504" s="89">
        <v>40.5</v>
      </c>
      <c r="G504" s="87">
        <v>13283760</v>
      </c>
      <c r="H504" s="87">
        <v>1328376</v>
      </c>
      <c r="I504" s="87">
        <v>14612136</v>
      </c>
      <c r="K504" s="85">
        <v>2021</v>
      </c>
      <c r="L504" s="85">
        <v>6</v>
      </c>
      <c r="N504" s="208" t="s">
        <v>44</v>
      </c>
    </row>
    <row r="505" spans="1:14">
      <c r="A505" s="36" t="s">
        <v>32</v>
      </c>
      <c r="B505" s="37">
        <v>44377</v>
      </c>
      <c r="C505" s="36" t="s">
        <v>281</v>
      </c>
      <c r="D505" s="36" t="s">
        <v>110</v>
      </c>
      <c r="E505" s="36" t="s">
        <v>78</v>
      </c>
      <c r="F505" s="89">
        <v>4</v>
      </c>
      <c r="G505" s="87">
        <v>2880000</v>
      </c>
      <c r="H505" s="87">
        <v>288000</v>
      </c>
      <c r="I505" s="87">
        <v>3168000</v>
      </c>
      <c r="K505" s="85">
        <v>2021</v>
      </c>
      <c r="L505" s="85">
        <v>6</v>
      </c>
      <c r="N505" s="208" t="s">
        <v>44</v>
      </c>
    </row>
    <row r="506" spans="1:14">
      <c r="A506" s="36" t="s">
        <v>33</v>
      </c>
      <c r="B506" s="37">
        <v>44377</v>
      </c>
      <c r="C506" s="36" t="s">
        <v>260</v>
      </c>
      <c r="D506" s="36" t="s">
        <v>261</v>
      </c>
      <c r="E506" s="36" t="s">
        <v>394</v>
      </c>
      <c r="G506" s="87">
        <v>1038000</v>
      </c>
      <c r="H506" s="87">
        <v>103800</v>
      </c>
      <c r="I506" s="87">
        <v>1141800</v>
      </c>
      <c r="K506" s="85">
        <v>2021</v>
      </c>
      <c r="L506" s="85">
        <v>6</v>
      </c>
      <c r="N506" s="208" t="s">
        <v>44</v>
      </c>
    </row>
    <row r="507" spans="1:14">
      <c r="A507" s="36" t="s">
        <v>33</v>
      </c>
      <c r="B507" s="37">
        <v>44377</v>
      </c>
      <c r="C507" s="36" t="s">
        <v>144</v>
      </c>
      <c r="D507" s="36" t="s">
        <v>161</v>
      </c>
      <c r="E507" s="36" t="s">
        <v>77</v>
      </c>
      <c r="J507" s="38">
        <v>275000</v>
      </c>
      <c r="K507" s="85">
        <v>2021</v>
      </c>
      <c r="L507" s="85">
        <v>6</v>
      </c>
      <c r="N507" s="208" t="s">
        <v>44</v>
      </c>
    </row>
    <row r="508" spans="1:14">
      <c r="A508" s="36" t="s">
        <v>33</v>
      </c>
      <c r="B508" s="37">
        <v>44377</v>
      </c>
      <c r="C508" s="36" t="s">
        <v>144</v>
      </c>
      <c r="D508" s="36" t="s">
        <v>386</v>
      </c>
      <c r="E508" s="36" t="s">
        <v>77</v>
      </c>
      <c r="J508" s="38">
        <v>275000</v>
      </c>
      <c r="K508" s="85">
        <v>2021</v>
      </c>
      <c r="L508" s="85">
        <v>6</v>
      </c>
      <c r="N508" s="208" t="s">
        <v>44</v>
      </c>
    </row>
    <row r="509" spans="1:14">
      <c r="A509" s="36" t="s">
        <v>33</v>
      </c>
      <c r="B509" s="37">
        <v>44377</v>
      </c>
      <c r="C509" s="36" t="s">
        <v>395</v>
      </c>
      <c r="D509" s="36" t="s">
        <v>229</v>
      </c>
      <c r="E509" s="36" t="s">
        <v>164</v>
      </c>
      <c r="G509" s="87">
        <v>3830909</v>
      </c>
      <c r="H509" s="87">
        <v>383091</v>
      </c>
      <c r="I509" s="87">
        <v>4214000</v>
      </c>
      <c r="K509" s="85">
        <v>2021</v>
      </c>
      <c r="L509" s="85">
        <v>6</v>
      </c>
      <c r="M509" s="36" t="s">
        <v>107</v>
      </c>
      <c r="N509" s="208" t="s">
        <v>44</v>
      </c>
    </row>
    <row r="510" spans="1:14">
      <c r="A510" s="36" t="s">
        <v>32</v>
      </c>
      <c r="B510" s="37">
        <v>44377</v>
      </c>
      <c r="C510" s="36" t="s">
        <v>277</v>
      </c>
      <c r="D510" s="36" t="s">
        <v>278</v>
      </c>
      <c r="E510" s="36" t="s">
        <v>313</v>
      </c>
      <c r="G510" s="87">
        <v>5524460</v>
      </c>
      <c r="H510" s="87">
        <v>552446</v>
      </c>
      <c r="I510" s="87">
        <v>6076906</v>
      </c>
      <c r="K510" s="85">
        <v>2021</v>
      </c>
      <c r="L510" s="85">
        <v>6</v>
      </c>
      <c r="N510" s="208" t="s">
        <v>44</v>
      </c>
    </row>
    <row r="511" spans="1:14">
      <c r="A511" s="36" t="s">
        <v>32</v>
      </c>
      <c r="B511" s="37">
        <v>44377</v>
      </c>
      <c r="C511" s="36" t="s">
        <v>299</v>
      </c>
      <c r="D511" s="36" t="s">
        <v>302</v>
      </c>
      <c r="E511" s="36" t="s">
        <v>148</v>
      </c>
      <c r="J511" s="38">
        <v>1936000</v>
      </c>
      <c r="K511" s="85">
        <v>2021</v>
      </c>
      <c r="L511" s="85">
        <v>5</v>
      </c>
      <c r="N511" s="208" t="s">
        <v>44</v>
      </c>
    </row>
    <row r="512" spans="1:14">
      <c r="A512" s="36" t="s">
        <v>32</v>
      </c>
      <c r="B512" s="37">
        <v>44377</v>
      </c>
      <c r="C512" s="36" t="s">
        <v>299</v>
      </c>
      <c r="D512" s="36" t="s">
        <v>300</v>
      </c>
      <c r="E512" s="36" t="s">
        <v>78</v>
      </c>
      <c r="F512" s="89">
        <v>8</v>
      </c>
      <c r="G512" s="87">
        <v>3830000</v>
      </c>
      <c r="H512" s="87">
        <v>383000</v>
      </c>
      <c r="I512" s="87">
        <v>4213000</v>
      </c>
      <c r="K512" s="85">
        <v>2021</v>
      </c>
      <c r="L512" s="85">
        <v>6</v>
      </c>
      <c r="N512" s="208" t="s">
        <v>44</v>
      </c>
    </row>
    <row r="513" spans="1:14">
      <c r="A513" s="36" t="s">
        <v>33</v>
      </c>
      <c r="B513" s="37">
        <v>44377</v>
      </c>
      <c r="C513" s="36" t="s">
        <v>167</v>
      </c>
      <c r="D513" s="36" t="s">
        <v>139</v>
      </c>
      <c r="E513" s="36" t="s">
        <v>148</v>
      </c>
      <c r="J513" s="38">
        <v>528000</v>
      </c>
      <c r="K513" s="85">
        <v>2021</v>
      </c>
      <c r="L513" s="85">
        <v>5</v>
      </c>
      <c r="N513" s="208" t="s">
        <v>44</v>
      </c>
    </row>
    <row r="514" spans="1:14">
      <c r="A514" s="36" t="s">
        <v>33</v>
      </c>
      <c r="B514" s="37">
        <v>44377</v>
      </c>
      <c r="C514" s="36" t="s">
        <v>167</v>
      </c>
      <c r="D514" s="36" t="s">
        <v>139</v>
      </c>
      <c r="E514" s="36" t="s">
        <v>396</v>
      </c>
      <c r="G514" s="87">
        <v>120000</v>
      </c>
      <c r="H514" s="87">
        <v>12000</v>
      </c>
      <c r="I514" s="87">
        <v>132000</v>
      </c>
      <c r="K514" s="85">
        <v>2021</v>
      </c>
      <c r="L514" s="85">
        <v>6</v>
      </c>
      <c r="N514" s="208" t="s">
        <v>44</v>
      </c>
    </row>
    <row r="515" spans="1:14">
      <c r="A515" s="36" t="s">
        <v>18</v>
      </c>
      <c r="B515" s="37">
        <v>44377</v>
      </c>
      <c r="C515" s="36" t="s">
        <v>211</v>
      </c>
      <c r="D515" s="36" t="s">
        <v>373</v>
      </c>
      <c r="E515" s="36" t="s">
        <v>77</v>
      </c>
      <c r="J515" s="38">
        <v>34577400</v>
      </c>
      <c r="K515" s="85">
        <v>2021</v>
      </c>
      <c r="L515" s="85">
        <v>5</v>
      </c>
      <c r="N515" s="208" t="s">
        <v>44</v>
      </c>
    </row>
    <row r="516" spans="1:14">
      <c r="A516" s="36" t="s">
        <v>18</v>
      </c>
      <c r="B516" s="37">
        <v>44377</v>
      </c>
      <c r="C516" s="36" t="s">
        <v>211</v>
      </c>
      <c r="D516" s="36" t="s">
        <v>372</v>
      </c>
      <c r="E516" s="36" t="s">
        <v>77</v>
      </c>
      <c r="J516" s="38">
        <v>16918000</v>
      </c>
      <c r="K516" s="85">
        <v>2021</v>
      </c>
      <c r="L516" s="85">
        <v>5</v>
      </c>
      <c r="N516" s="208" t="s">
        <v>44</v>
      </c>
    </row>
    <row r="517" spans="1:14">
      <c r="A517" s="36" t="s">
        <v>18</v>
      </c>
      <c r="B517" s="37">
        <v>44377</v>
      </c>
      <c r="C517" s="36" t="s">
        <v>211</v>
      </c>
      <c r="D517" s="36" t="s">
        <v>373</v>
      </c>
      <c r="E517" s="36" t="s">
        <v>246</v>
      </c>
      <c r="F517" s="89">
        <v>182.5</v>
      </c>
      <c r="G517" s="87">
        <v>69841000</v>
      </c>
      <c r="H517" s="87">
        <v>6984100</v>
      </c>
      <c r="I517" s="87">
        <v>76825100</v>
      </c>
      <c r="K517" s="85">
        <v>2021</v>
      </c>
      <c r="L517" s="85">
        <v>6</v>
      </c>
      <c r="N517" s="208" t="s">
        <v>44</v>
      </c>
    </row>
    <row r="518" spans="1:14">
      <c r="A518" s="36" t="s">
        <v>18</v>
      </c>
      <c r="B518" s="37">
        <v>44377</v>
      </c>
      <c r="C518" s="36" t="s">
        <v>211</v>
      </c>
      <c r="D518" s="36" t="s">
        <v>376</v>
      </c>
      <c r="E518" s="36" t="s">
        <v>246</v>
      </c>
      <c r="F518" s="89">
        <v>112.5</v>
      </c>
      <c r="G518" s="87">
        <v>25875000</v>
      </c>
      <c r="H518" s="87">
        <v>2587500</v>
      </c>
      <c r="I518" s="87">
        <v>28462500</v>
      </c>
      <c r="K518" s="85">
        <v>2021</v>
      </c>
      <c r="L518" s="85">
        <v>6</v>
      </c>
      <c r="N518" s="208" t="s">
        <v>44</v>
      </c>
    </row>
    <row r="519" spans="1:14">
      <c r="A519" s="36" t="s">
        <v>18</v>
      </c>
      <c r="B519" s="37">
        <v>44377</v>
      </c>
      <c r="C519" s="36" t="s">
        <v>211</v>
      </c>
      <c r="D519" s="36" t="s">
        <v>372</v>
      </c>
      <c r="E519" s="36" t="s">
        <v>246</v>
      </c>
      <c r="G519" s="87">
        <v>25685000</v>
      </c>
      <c r="H519" s="87">
        <v>2568500</v>
      </c>
      <c r="I519" s="87">
        <v>28253500</v>
      </c>
      <c r="K519" s="85">
        <v>2021</v>
      </c>
      <c r="L519" s="85">
        <v>6</v>
      </c>
      <c r="N519" s="208" t="s">
        <v>44</v>
      </c>
    </row>
    <row r="520" spans="1:14">
      <c r="A520" s="36" t="s">
        <v>33</v>
      </c>
      <c r="B520" s="37">
        <v>44377</v>
      </c>
      <c r="C520" s="36" t="s">
        <v>119</v>
      </c>
      <c r="D520" s="36" t="s">
        <v>372</v>
      </c>
      <c r="E520" s="36" t="s">
        <v>77</v>
      </c>
      <c r="J520" s="38">
        <v>15443450</v>
      </c>
      <c r="K520" s="85">
        <v>2021</v>
      </c>
      <c r="L520" s="85">
        <v>5</v>
      </c>
      <c r="N520" s="208" t="s">
        <v>44</v>
      </c>
    </row>
    <row r="521" spans="1:14">
      <c r="A521" s="36" t="s">
        <v>19</v>
      </c>
      <c r="B521" s="37">
        <v>44377</v>
      </c>
      <c r="C521" s="36" t="s">
        <v>397</v>
      </c>
      <c r="D521" s="36" t="s">
        <v>372</v>
      </c>
      <c r="E521" s="36" t="s">
        <v>398</v>
      </c>
      <c r="G521" s="87">
        <v>23900500</v>
      </c>
      <c r="H521" s="87">
        <v>2390050</v>
      </c>
      <c r="I521" s="87">
        <v>26290550</v>
      </c>
      <c r="K521" s="85">
        <v>2021</v>
      </c>
      <c r="L521" s="85">
        <v>6</v>
      </c>
      <c r="M521" s="36" t="s">
        <v>159</v>
      </c>
      <c r="N521" s="208" t="s">
        <v>44</v>
      </c>
    </row>
    <row r="522" spans="1:14">
      <c r="A522" s="36" t="s">
        <v>32</v>
      </c>
      <c r="B522" s="37">
        <v>44377</v>
      </c>
      <c r="C522" s="36" t="s">
        <v>264</v>
      </c>
      <c r="D522" s="36" t="s">
        <v>266</v>
      </c>
      <c r="E522" s="36" t="s">
        <v>77</v>
      </c>
      <c r="J522" s="38">
        <v>10740400</v>
      </c>
      <c r="K522" s="85">
        <v>2021</v>
      </c>
      <c r="L522" s="85">
        <v>5</v>
      </c>
      <c r="N522" s="208" t="s">
        <v>44</v>
      </c>
    </row>
    <row r="523" spans="1:14">
      <c r="A523" s="36" t="s">
        <v>32</v>
      </c>
      <c r="B523" s="37">
        <v>44377</v>
      </c>
      <c r="C523" s="36" t="s">
        <v>85</v>
      </c>
      <c r="D523" s="36" t="s">
        <v>156</v>
      </c>
      <c r="E523" s="36" t="s">
        <v>77</v>
      </c>
      <c r="J523" s="38">
        <v>39468000</v>
      </c>
      <c r="K523" s="85">
        <v>2021</v>
      </c>
      <c r="L523" s="85">
        <v>6</v>
      </c>
      <c r="N523" s="208" t="s">
        <v>44</v>
      </c>
    </row>
    <row r="524" spans="1:14">
      <c r="A524" s="36" t="s">
        <v>32</v>
      </c>
      <c r="B524" s="37">
        <v>44377</v>
      </c>
      <c r="C524" s="36" t="s">
        <v>85</v>
      </c>
      <c r="D524" s="36" t="s">
        <v>182</v>
      </c>
      <c r="E524" s="36" t="s">
        <v>77</v>
      </c>
      <c r="J524" s="38">
        <v>11088000</v>
      </c>
      <c r="K524" s="85">
        <v>2021</v>
      </c>
      <c r="L524" s="85">
        <v>6</v>
      </c>
      <c r="N524" s="208" t="s">
        <v>44</v>
      </c>
    </row>
    <row r="525" spans="1:14">
      <c r="A525" s="36" t="s">
        <v>32</v>
      </c>
      <c r="B525" s="37">
        <v>44377</v>
      </c>
      <c r="C525" s="36" t="s">
        <v>85</v>
      </c>
      <c r="D525" s="36" t="s">
        <v>383</v>
      </c>
      <c r="E525" s="36" t="s">
        <v>148</v>
      </c>
      <c r="J525" s="38">
        <v>3300000</v>
      </c>
      <c r="K525" s="85">
        <v>2021</v>
      </c>
      <c r="L525" s="85">
        <v>6</v>
      </c>
      <c r="N525" s="208" t="s">
        <v>44</v>
      </c>
    </row>
    <row r="526" spans="1:14">
      <c r="A526" s="36" t="s">
        <v>18</v>
      </c>
      <c r="B526" s="37">
        <v>44377</v>
      </c>
      <c r="C526" s="36" t="s">
        <v>399</v>
      </c>
      <c r="D526" s="36" t="s">
        <v>235</v>
      </c>
      <c r="E526" s="36" t="s">
        <v>250</v>
      </c>
      <c r="F526" s="89">
        <v>120</v>
      </c>
      <c r="G526" s="87">
        <v>27600000</v>
      </c>
      <c r="H526" s="87">
        <v>2760000</v>
      </c>
      <c r="I526" s="87">
        <v>30360000</v>
      </c>
      <c r="K526" s="85">
        <v>2021</v>
      </c>
      <c r="L526" s="85">
        <v>6</v>
      </c>
      <c r="N526" s="208" t="s">
        <v>44</v>
      </c>
    </row>
    <row r="527" spans="1:14">
      <c r="A527" s="36" t="s">
        <v>18</v>
      </c>
      <c r="B527" s="37">
        <v>44377</v>
      </c>
      <c r="C527" s="36" t="s">
        <v>399</v>
      </c>
      <c r="D527" s="36" t="s">
        <v>94</v>
      </c>
      <c r="E527" s="36" t="s">
        <v>250</v>
      </c>
      <c r="F527" s="89">
        <v>17</v>
      </c>
      <c r="G527" s="87">
        <v>4080000</v>
      </c>
      <c r="H527" s="87">
        <v>408000</v>
      </c>
      <c r="I527" s="87">
        <v>4488000</v>
      </c>
      <c r="K527" s="85">
        <v>2021</v>
      </c>
      <c r="L527" s="85">
        <v>6</v>
      </c>
      <c r="N527" s="208" t="s">
        <v>44</v>
      </c>
    </row>
    <row r="528" spans="1:14">
      <c r="A528" s="36" t="s">
        <v>33</v>
      </c>
      <c r="B528" s="37">
        <v>44377</v>
      </c>
      <c r="C528" s="36" t="s">
        <v>147</v>
      </c>
      <c r="D528" s="36" t="s">
        <v>94</v>
      </c>
      <c r="E528" s="36" t="s">
        <v>148</v>
      </c>
      <c r="J528" s="38">
        <v>726000</v>
      </c>
      <c r="K528" s="85">
        <v>2021</v>
      </c>
      <c r="L528" s="85">
        <v>5</v>
      </c>
      <c r="N528" s="208" t="s">
        <v>44</v>
      </c>
    </row>
    <row r="529" spans="1:14">
      <c r="A529" s="36" t="s">
        <v>33</v>
      </c>
      <c r="B529" s="37">
        <v>44377</v>
      </c>
      <c r="C529" s="36" t="s">
        <v>98</v>
      </c>
      <c r="D529" s="36" t="s">
        <v>182</v>
      </c>
      <c r="E529" s="36" t="s">
        <v>99</v>
      </c>
      <c r="G529" s="87">
        <v>60000</v>
      </c>
      <c r="H529" s="87">
        <v>6000</v>
      </c>
      <c r="I529" s="87">
        <v>66000</v>
      </c>
      <c r="K529" s="85">
        <v>2021</v>
      </c>
      <c r="L529" s="85">
        <v>6</v>
      </c>
      <c r="N529" s="208" t="s">
        <v>44</v>
      </c>
    </row>
    <row r="530" spans="1:14">
      <c r="A530" s="36" t="s">
        <v>18</v>
      </c>
      <c r="B530" s="37">
        <v>44377</v>
      </c>
      <c r="C530" s="36" t="s">
        <v>400</v>
      </c>
      <c r="D530" s="36" t="s">
        <v>401</v>
      </c>
      <c r="E530" s="36" t="s">
        <v>246</v>
      </c>
      <c r="F530" s="89">
        <v>13</v>
      </c>
      <c r="G530" s="87">
        <v>2990000</v>
      </c>
      <c r="H530" s="87">
        <v>299000</v>
      </c>
      <c r="I530" s="87">
        <v>3289000</v>
      </c>
      <c r="K530" s="85">
        <v>2021</v>
      </c>
      <c r="L530" s="85">
        <v>6</v>
      </c>
      <c r="N530" s="208" t="s">
        <v>44</v>
      </c>
    </row>
    <row r="531" spans="1:14">
      <c r="A531" s="36" t="s">
        <v>18</v>
      </c>
      <c r="B531" s="37">
        <v>44377</v>
      </c>
      <c r="C531" s="36" t="s">
        <v>402</v>
      </c>
      <c r="D531" s="36" t="s">
        <v>208</v>
      </c>
      <c r="E531" s="36" t="s">
        <v>246</v>
      </c>
      <c r="F531" s="89">
        <v>12</v>
      </c>
      <c r="G531" s="87">
        <v>1904400</v>
      </c>
      <c r="H531" s="87">
        <v>190440</v>
      </c>
      <c r="I531" s="87">
        <v>2094840</v>
      </c>
      <c r="K531" s="85">
        <v>2021</v>
      </c>
      <c r="L531" s="85">
        <v>6</v>
      </c>
      <c r="N531" s="208" t="s">
        <v>44</v>
      </c>
    </row>
    <row r="532" spans="1:14">
      <c r="A532" s="36" t="s">
        <v>18</v>
      </c>
      <c r="B532" s="37">
        <v>44377</v>
      </c>
      <c r="C532" s="36" t="s">
        <v>403</v>
      </c>
      <c r="D532" s="36" t="s">
        <v>404</v>
      </c>
      <c r="E532" s="36" t="s">
        <v>246</v>
      </c>
      <c r="F532" s="89">
        <v>12</v>
      </c>
      <c r="G532" s="87">
        <v>4419600</v>
      </c>
      <c r="H532" s="87">
        <v>441960</v>
      </c>
      <c r="I532" s="87">
        <v>4861560</v>
      </c>
      <c r="K532" s="85">
        <v>2021</v>
      </c>
      <c r="L532" s="85">
        <v>6</v>
      </c>
      <c r="N532" s="208" t="s">
        <v>44</v>
      </c>
    </row>
    <row r="533" spans="1:14">
      <c r="A533" s="36" t="s">
        <v>18</v>
      </c>
      <c r="B533" s="37">
        <v>44377</v>
      </c>
      <c r="C533" s="36" t="s">
        <v>405</v>
      </c>
      <c r="D533" s="36" t="s">
        <v>377</v>
      </c>
      <c r="E533" s="36" t="s">
        <v>246</v>
      </c>
      <c r="F533" s="89">
        <v>5</v>
      </c>
      <c r="G533" s="87">
        <v>1980800</v>
      </c>
      <c r="H533" s="87">
        <v>198080</v>
      </c>
      <c r="I533" s="87">
        <v>2178880</v>
      </c>
      <c r="K533" s="85">
        <v>2021</v>
      </c>
      <c r="L533" s="85">
        <v>6</v>
      </c>
      <c r="N533" s="208" t="s">
        <v>44</v>
      </c>
    </row>
    <row r="534" spans="1:14">
      <c r="A534" s="36" t="s">
        <v>33</v>
      </c>
      <c r="B534" s="37">
        <v>44377</v>
      </c>
      <c r="C534" s="36" t="s">
        <v>226</v>
      </c>
      <c r="D534" s="36" t="s">
        <v>227</v>
      </c>
      <c r="E534" s="36" t="s">
        <v>135</v>
      </c>
      <c r="G534" s="87">
        <v>1865454</v>
      </c>
      <c r="H534" s="87">
        <v>186546</v>
      </c>
      <c r="I534" s="87">
        <v>2052000</v>
      </c>
      <c r="K534" s="85">
        <v>2021</v>
      </c>
      <c r="L534" s="85">
        <v>6</v>
      </c>
      <c r="N534" s="208" t="s">
        <v>44</v>
      </c>
    </row>
    <row r="535" spans="1:14">
      <c r="A535" s="36" t="s">
        <v>32</v>
      </c>
      <c r="B535" s="37">
        <v>44377</v>
      </c>
      <c r="C535" s="36" t="s">
        <v>268</v>
      </c>
      <c r="D535" s="36" t="s">
        <v>261</v>
      </c>
      <c r="E535" s="36" t="s">
        <v>76</v>
      </c>
      <c r="F535" s="89">
        <v>89.5</v>
      </c>
      <c r="G535" s="87">
        <v>13136700</v>
      </c>
      <c r="H535" s="87">
        <v>1313670</v>
      </c>
      <c r="I535" s="87">
        <v>14450370</v>
      </c>
      <c r="K535" s="85">
        <v>2021</v>
      </c>
      <c r="L535" s="85">
        <v>6</v>
      </c>
      <c r="N535" s="208" t="s">
        <v>44</v>
      </c>
    </row>
    <row r="536" spans="1:14">
      <c r="A536" s="36" t="s">
        <v>32</v>
      </c>
      <c r="B536" s="37">
        <v>44377</v>
      </c>
      <c r="C536" s="36" t="s">
        <v>288</v>
      </c>
      <c r="D536" s="36" t="s">
        <v>289</v>
      </c>
      <c r="E536" s="36" t="s">
        <v>78</v>
      </c>
      <c r="F536" s="89">
        <v>24.5</v>
      </c>
      <c r="G536" s="87">
        <v>1804500</v>
      </c>
      <c r="H536" s="87">
        <v>180450</v>
      </c>
      <c r="I536" s="87">
        <v>1984950</v>
      </c>
      <c r="K536" s="85">
        <v>2021</v>
      </c>
      <c r="L536" s="85">
        <v>6</v>
      </c>
      <c r="N536" s="208" t="s">
        <v>44</v>
      </c>
    </row>
    <row r="537" spans="1:14">
      <c r="A537" s="36" t="s">
        <v>32</v>
      </c>
      <c r="B537" s="37">
        <v>44377</v>
      </c>
      <c r="C537" s="36" t="s">
        <v>188</v>
      </c>
      <c r="D537" s="36" t="s">
        <v>349</v>
      </c>
      <c r="E537" s="36" t="s">
        <v>148</v>
      </c>
      <c r="J537" s="38">
        <v>2849000</v>
      </c>
      <c r="K537" s="85">
        <v>2021</v>
      </c>
      <c r="L537" s="85">
        <v>5</v>
      </c>
      <c r="N537" s="208" t="s">
        <v>44</v>
      </c>
    </row>
    <row r="538" spans="1:14">
      <c r="A538" s="36" t="s">
        <v>32</v>
      </c>
      <c r="B538" s="37">
        <v>44377</v>
      </c>
      <c r="C538" s="36" t="s">
        <v>188</v>
      </c>
      <c r="D538" s="36" t="s">
        <v>189</v>
      </c>
      <c r="E538" s="36" t="s">
        <v>77</v>
      </c>
      <c r="J538" s="38">
        <v>2882000</v>
      </c>
      <c r="K538" s="85">
        <v>2021</v>
      </c>
      <c r="L538" s="85">
        <v>5</v>
      </c>
      <c r="N538" s="208" t="s">
        <v>44</v>
      </c>
    </row>
    <row r="539" spans="1:14">
      <c r="A539" s="36" t="s">
        <v>32</v>
      </c>
      <c r="B539" s="37">
        <v>44377</v>
      </c>
      <c r="C539" s="36" t="s">
        <v>188</v>
      </c>
      <c r="D539" s="36" t="s">
        <v>192</v>
      </c>
      <c r="E539" s="36" t="s">
        <v>148</v>
      </c>
      <c r="J539" s="38">
        <v>7997000</v>
      </c>
      <c r="K539" s="85">
        <v>2021</v>
      </c>
      <c r="L539" s="85">
        <v>5</v>
      </c>
      <c r="N539" s="208" t="s">
        <v>44</v>
      </c>
    </row>
    <row r="540" spans="1:14">
      <c r="A540" s="36" t="s">
        <v>18</v>
      </c>
      <c r="B540" s="37">
        <v>44377</v>
      </c>
      <c r="C540" s="36" t="s">
        <v>406</v>
      </c>
      <c r="D540" s="36" t="s">
        <v>407</v>
      </c>
      <c r="E540" s="36" t="s">
        <v>246</v>
      </c>
      <c r="G540" s="87">
        <v>1500000</v>
      </c>
      <c r="H540" s="87">
        <v>150000</v>
      </c>
      <c r="I540" s="87">
        <v>1650000</v>
      </c>
      <c r="K540" s="85">
        <v>2021</v>
      </c>
      <c r="L540" s="85">
        <v>6</v>
      </c>
      <c r="N540" s="208" t="s">
        <v>44</v>
      </c>
    </row>
    <row r="541" spans="1:14">
      <c r="A541" s="36" t="s">
        <v>32</v>
      </c>
      <c r="B541" s="37">
        <v>44377</v>
      </c>
      <c r="C541" s="36" t="s">
        <v>188</v>
      </c>
      <c r="D541" s="36" t="s">
        <v>349</v>
      </c>
      <c r="E541" s="36" t="s">
        <v>76</v>
      </c>
      <c r="F541" s="89">
        <v>5.5</v>
      </c>
      <c r="G541" s="87">
        <v>1720000</v>
      </c>
      <c r="H541" s="87">
        <v>172000</v>
      </c>
      <c r="I541" s="87">
        <v>1892000</v>
      </c>
      <c r="K541" s="85">
        <v>2021</v>
      </c>
      <c r="L541" s="85">
        <v>6</v>
      </c>
      <c r="N541" s="208" t="s">
        <v>44</v>
      </c>
    </row>
    <row r="542" spans="1:14">
      <c r="A542" s="36" t="s">
        <v>32</v>
      </c>
      <c r="B542" s="37">
        <v>44377</v>
      </c>
      <c r="C542" s="36" t="s">
        <v>188</v>
      </c>
      <c r="D542" s="36" t="s">
        <v>192</v>
      </c>
      <c r="E542" s="36" t="s">
        <v>76</v>
      </c>
      <c r="F542" s="89">
        <v>31</v>
      </c>
      <c r="G542" s="87">
        <v>3140000</v>
      </c>
      <c r="H542" s="87">
        <v>314000</v>
      </c>
      <c r="I542" s="87">
        <v>3454000</v>
      </c>
      <c r="K542" s="85">
        <v>2021</v>
      </c>
      <c r="L542" s="85">
        <v>6</v>
      </c>
      <c r="N542" s="208" t="s">
        <v>44</v>
      </c>
    </row>
    <row r="543" spans="1:14">
      <c r="A543" s="36" t="s">
        <v>32</v>
      </c>
      <c r="B543" s="37">
        <v>44377</v>
      </c>
      <c r="C543" s="36" t="s">
        <v>188</v>
      </c>
      <c r="D543" s="36" t="s">
        <v>408</v>
      </c>
      <c r="E543" s="36" t="s">
        <v>76</v>
      </c>
      <c r="F543" s="89">
        <v>9</v>
      </c>
      <c r="G543" s="87">
        <v>3020000</v>
      </c>
      <c r="H543" s="87">
        <v>302000</v>
      </c>
      <c r="I543" s="87">
        <v>3322000</v>
      </c>
      <c r="K543" s="85">
        <v>2021</v>
      </c>
      <c r="L543" s="85">
        <v>6</v>
      </c>
      <c r="N543" s="208" t="s">
        <v>44</v>
      </c>
    </row>
    <row r="544" spans="1:14">
      <c r="A544" s="36" t="s">
        <v>32</v>
      </c>
      <c r="B544" s="37">
        <v>44377</v>
      </c>
      <c r="C544" s="36" t="s">
        <v>188</v>
      </c>
      <c r="D544" s="36" t="s">
        <v>193</v>
      </c>
      <c r="E544" s="36" t="s">
        <v>76</v>
      </c>
      <c r="F544" s="89">
        <v>12</v>
      </c>
      <c r="G544" s="87">
        <v>5110000</v>
      </c>
      <c r="H544" s="87">
        <v>511000</v>
      </c>
      <c r="I544" s="87">
        <v>5621000</v>
      </c>
      <c r="K544" s="85">
        <v>2021</v>
      </c>
      <c r="L544" s="85">
        <v>6</v>
      </c>
      <c r="N544" s="208" t="s">
        <v>44</v>
      </c>
    </row>
    <row r="545" spans="1:14">
      <c r="A545" s="36" t="s">
        <v>32</v>
      </c>
      <c r="B545" s="37">
        <v>44377</v>
      </c>
      <c r="C545" s="36" t="s">
        <v>188</v>
      </c>
      <c r="D545" s="36" t="s">
        <v>409</v>
      </c>
      <c r="E545" s="36" t="s">
        <v>76</v>
      </c>
      <c r="F545" s="89">
        <v>18</v>
      </c>
      <c r="G545" s="87">
        <v>5070000</v>
      </c>
      <c r="H545" s="87">
        <v>507000</v>
      </c>
      <c r="I545" s="87">
        <v>5577000</v>
      </c>
      <c r="K545" s="85">
        <v>2021</v>
      </c>
      <c r="L545" s="85">
        <v>6</v>
      </c>
      <c r="N545" s="208" t="s">
        <v>44</v>
      </c>
    </row>
    <row r="546" spans="1:14">
      <c r="A546" s="36" t="s">
        <v>32</v>
      </c>
      <c r="B546" s="37">
        <v>44377</v>
      </c>
      <c r="C546" s="36" t="s">
        <v>188</v>
      </c>
      <c r="D546" s="36" t="s">
        <v>410</v>
      </c>
      <c r="E546" s="36" t="s">
        <v>76</v>
      </c>
      <c r="F546" s="89">
        <v>25.5</v>
      </c>
      <c r="G546" s="87">
        <v>17590000</v>
      </c>
      <c r="H546" s="87">
        <v>1759000</v>
      </c>
      <c r="I546" s="87">
        <v>19349000</v>
      </c>
      <c r="K546" s="85">
        <v>2021</v>
      </c>
      <c r="L546" s="85">
        <v>6</v>
      </c>
      <c r="N546" s="208" t="s">
        <v>44</v>
      </c>
    </row>
    <row r="547" spans="1:14">
      <c r="A547" s="36" t="s">
        <v>32</v>
      </c>
      <c r="B547" s="37">
        <v>44377</v>
      </c>
      <c r="C547" s="36" t="s">
        <v>188</v>
      </c>
      <c r="D547" s="36" t="s">
        <v>351</v>
      </c>
      <c r="E547" s="36" t="s">
        <v>76</v>
      </c>
      <c r="F547" s="89">
        <v>6.5</v>
      </c>
      <c r="G547" s="87">
        <v>3010000</v>
      </c>
      <c r="H547" s="87">
        <v>301000</v>
      </c>
      <c r="I547" s="87">
        <v>3311000</v>
      </c>
      <c r="K547" s="85">
        <v>2021</v>
      </c>
      <c r="L547" s="85">
        <v>6</v>
      </c>
      <c r="N547" s="208" t="s">
        <v>44</v>
      </c>
    </row>
    <row r="548" spans="1:14">
      <c r="A548" s="36" t="s">
        <v>32</v>
      </c>
      <c r="B548" s="37">
        <v>44377</v>
      </c>
      <c r="C548" s="36" t="s">
        <v>188</v>
      </c>
      <c r="D548" s="36" t="s">
        <v>190</v>
      </c>
      <c r="E548" s="36" t="s">
        <v>76</v>
      </c>
      <c r="F548" s="89">
        <v>12</v>
      </c>
      <c r="G548" s="87">
        <v>1000000</v>
      </c>
      <c r="H548" s="87">
        <v>100000</v>
      </c>
      <c r="I548" s="87">
        <v>1100000</v>
      </c>
      <c r="K548" s="85">
        <v>2021</v>
      </c>
      <c r="L548" s="85">
        <v>6</v>
      </c>
      <c r="N548" s="208" t="s">
        <v>44</v>
      </c>
    </row>
    <row r="549" spans="1:14">
      <c r="A549" s="36" t="s">
        <v>32</v>
      </c>
      <c r="B549" s="37">
        <v>44377</v>
      </c>
      <c r="C549" s="36" t="s">
        <v>411</v>
      </c>
      <c r="D549" s="36" t="s">
        <v>412</v>
      </c>
      <c r="E549" s="36" t="s">
        <v>76</v>
      </c>
      <c r="F549" s="89">
        <v>18.5</v>
      </c>
      <c r="G549" s="87">
        <v>4440000</v>
      </c>
      <c r="H549" s="87">
        <v>444000</v>
      </c>
      <c r="I549" s="87">
        <v>4884000</v>
      </c>
      <c r="K549" s="85">
        <v>2021</v>
      </c>
      <c r="L549" s="85">
        <v>6</v>
      </c>
      <c r="N549" s="208" t="s">
        <v>44</v>
      </c>
    </row>
    <row r="550" spans="1:14">
      <c r="A550" s="36" t="s">
        <v>18</v>
      </c>
      <c r="B550" s="37">
        <v>44377</v>
      </c>
      <c r="C550" s="36" t="s">
        <v>413</v>
      </c>
      <c r="D550" s="36" t="s">
        <v>380</v>
      </c>
      <c r="E550" s="36" t="s">
        <v>246</v>
      </c>
      <c r="F550" s="89">
        <v>31</v>
      </c>
      <c r="G550" s="87">
        <v>14376500</v>
      </c>
      <c r="H550" s="87">
        <v>1437650</v>
      </c>
      <c r="I550" s="87">
        <v>15814150</v>
      </c>
      <c r="K550" s="85">
        <v>2021</v>
      </c>
      <c r="L550" s="85">
        <v>6</v>
      </c>
      <c r="N550" s="208" t="s">
        <v>44</v>
      </c>
    </row>
    <row r="551" spans="1:14">
      <c r="A551" s="36" t="s">
        <v>18</v>
      </c>
      <c r="B551" s="37">
        <v>44377</v>
      </c>
      <c r="C551" s="36" t="s">
        <v>413</v>
      </c>
      <c r="D551" s="36" t="s">
        <v>414</v>
      </c>
      <c r="E551" s="36" t="s">
        <v>246</v>
      </c>
      <c r="F551" s="89">
        <v>49</v>
      </c>
      <c r="G551" s="87">
        <v>10408000</v>
      </c>
      <c r="H551" s="87">
        <v>1040800</v>
      </c>
      <c r="I551" s="87">
        <v>11448800</v>
      </c>
      <c r="K551" s="85">
        <v>2021</v>
      </c>
      <c r="L551" s="85">
        <v>6</v>
      </c>
      <c r="N551" s="208" t="s">
        <v>44</v>
      </c>
    </row>
    <row r="552" spans="1:14">
      <c r="A552" s="36" t="s">
        <v>32</v>
      </c>
      <c r="B552" s="37">
        <v>44377</v>
      </c>
      <c r="C552" s="36" t="s">
        <v>415</v>
      </c>
      <c r="D552" s="36" t="s">
        <v>416</v>
      </c>
      <c r="E552" s="36" t="s">
        <v>78</v>
      </c>
      <c r="F552" s="89">
        <v>4</v>
      </c>
      <c r="G552" s="87">
        <v>1200000</v>
      </c>
      <c r="H552" s="87">
        <v>120000</v>
      </c>
      <c r="I552" s="87">
        <v>1320000</v>
      </c>
      <c r="K552" s="85">
        <v>2021</v>
      </c>
      <c r="L552" s="85">
        <v>6</v>
      </c>
      <c r="N552" s="208" t="s">
        <v>44</v>
      </c>
    </row>
    <row r="553" spans="1:14">
      <c r="A553" s="36" t="s">
        <v>33</v>
      </c>
      <c r="B553" s="37">
        <v>44377</v>
      </c>
      <c r="C553" s="36" t="s">
        <v>115</v>
      </c>
      <c r="D553" s="36" t="s">
        <v>371</v>
      </c>
      <c r="E553" s="36" t="s">
        <v>417</v>
      </c>
      <c r="G553" s="87">
        <v>758181</v>
      </c>
      <c r="H553" s="87">
        <v>75819</v>
      </c>
      <c r="I553" s="87">
        <v>834000</v>
      </c>
      <c r="K553" s="85">
        <v>2021</v>
      </c>
      <c r="L553" s="85">
        <v>6</v>
      </c>
      <c r="M553" s="36" t="s">
        <v>107</v>
      </c>
      <c r="N553" s="208" t="s">
        <v>44</v>
      </c>
    </row>
    <row r="554" spans="1:14">
      <c r="A554" s="36" t="s">
        <v>33</v>
      </c>
      <c r="B554" s="37">
        <v>44377</v>
      </c>
      <c r="C554" s="36" t="s">
        <v>115</v>
      </c>
      <c r="D554" s="36" t="s">
        <v>371</v>
      </c>
      <c r="E554" s="36" t="s">
        <v>418</v>
      </c>
      <c r="G554" s="87">
        <v>447272</v>
      </c>
      <c r="H554" s="87">
        <v>44728</v>
      </c>
      <c r="I554" s="87">
        <v>492000</v>
      </c>
      <c r="K554" s="85">
        <v>2021</v>
      </c>
      <c r="L554" s="85">
        <v>6</v>
      </c>
      <c r="M554" s="36" t="s">
        <v>107</v>
      </c>
      <c r="N554" s="208" t="s">
        <v>44</v>
      </c>
    </row>
    <row r="555" spans="1:14">
      <c r="A555" s="36" t="s">
        <v>33</v>
      </c>
      <c r="B555" s="37">
        <v>44377</v>
      </c>
      <c r="C555" s="36" t="s">
        <v>115</v>
      </c>
      <c r="D555" s="36" t="s">
        <v>371</v>
      </c>
      <c r="E555" s="36" t="s">
        <v>419</v>
      </c>
      <c r="G555" s="87">
        <v>114545</v>
      </c>
      <c r="H555" s="87">
        <v>11455</v>
      </c>
      <c r="I555" s="87">
        <v>126000</v>
      </c>
      <c r="K555" s="85">
        <v>2021</v>
      </c>
      <c r="L555" s="85">
        <v>6</v>
      </c>
      <c r="M555" s="36" t="s">
        <v>107</v>
      </c>
      <c r="N555" s="208" t="s">
        <v>44</v>
      </c>
    </row>
    <row r="556" spans="1:14">
      <c r="A556" s="36" t="s">
        <v>33</v>
      </c>
      <c r="B556" s="37">
        <v>44377</v>
      </c>
      <c r="C556" s="36" t="s">
        <v>115</v>
      </c>
      <c r="D556" s="36" t="s">
        <v>371</v>
      </c>
      <c r="E556" s="36" t="s">
        <v>420</v>
      </c>
      <c r="G556" s="87">
        <v>240000</v>
      </c>
      <c r="H556" s="87">
        <v>24000</v>
      </c>
      <c r="I556" s="87">
        <v>264000</v>
      </c>
      <c r="K556" s="85">
        <v>2021</v>
      </c>
      <c r="L556" s="85">
        <v>6</v>
      </c>
      <c r="M556" s="36" t="s">
        <v>107</v>
      </c>
      <c r="N556" s="208" t="s">
        <v>44</v>
      </c>
    </row>
    <row r="557" spans="1:14">
      <c r="A557" s="36" t="s">
        <v>33</v>
      </c>
      <c r="B557" s="37">
        <v>44377</v>
      </c>
      <c r="C557" s="36" t="s">
        <v>115</v>
      </c>
      <c r="D557" s="36" t="s">
        <v>371</v>
      </c>
      <c r="E557" s="36" t="s">
        <v>421</v>
      </c>
      <c r="G557" s="87">
        <v>447272</v>
      </c>
      <c r="H557" s="87">
        <v>44728</v>
      </c>
      <c r="I557" s="87">
        <v>492000</v>
      </c>
      <c r="K557" s="85">
        <v>2021</v>
      </c>
      <c r="L557" s="85">
        <v>6</v>
      </c>
      <c r="M557" s="36" t="s">
        <v>107</v>
      </c>
      <c r="N557" s="208" t="s">
        <v>44</v>
      </c>
    </row>
    <row r="558" spans="1:14">
      <c r="A558" s="36" t="s">
        <v>19</v>
      </c>
      <c r="B558" s="37">
        <v>44377</v>
      </c>
      <c r="C558" s="36" t="s">
        <v>422</v>
      </c>
      <c r="D558" s="36" t="s">
        <v>423</v>
      </c>
      <c r="E558" s="36" t="s">
        <v>164</v>
      </c>
      <c r="G558" s="87">
        <v>899000</v>
      </c>
      <c r="H558" s="87">
        <v>89900</v>
      </c>
      <c r="I558" s="87">
        <v>988900</v>
      </c>
      <c r="K558" s="85">
        <v>2021</v>
      </c>
      <c r="L558" s="85">
        <v>6</v>
      </c>
      <c r="N558" s="208" t="s">
        <v>44</v>
      </c>
    </row>
    <row r="559" spans="1:14">
      <c r="A559" s="36" t="s">
        <v>18</v>
      </c>
      <c r="B559" s="37">
        <v>44377</v>
      </c>
      <c r="C559" s="36" t="s">
        <v>424</v>
      </c>
      <c r="D559" s="36" t="s">
        <v>425</v>
      </c>
      <c r="E559" s="36" t="s">
        <v>246</v>
      </c>
      <c r="F559" s="89">
        <v>4</v>
      </c>
      <c r="G559" s="87">
        <v>3500000</v>
      </c>
      <c r="H559" s="87">
        <v>350000</v>
      </c>
      <c r="I559" s="87">
        <v>3850000</v>
      </c>
      <c r="K559" s="85">
        <v>2021</v>
      </c>
      <c r="L559" s="85">
        <v>6</v>
      </c>
      <c r="N559" s="208" t="s">
        <v>44</v>
      </c>
    </row>
    <row r="560" spans="1:14">
      <c r="A560" s="36" t="s">
        <v>19</v>
      </c>
      <c r="B560" s="37">
        <v>44377</v>
      </c>
      <c r="C560" s="36" t="s">
        <v>381</v>
      </c>
      <c r="D560" s="36" t="s">
        <v>376</v>
      </c>
      <c r="E560" s="36" t="s">
        <v>164</v>
      </c>
      <c r="G560" s="87">
        <v>343454</v>
      </c>
      <c r="H560" s="87">
        <v>34346</v>
      </c>
      <c r="I560" s="87">
        <v>377800</v>
      </c>
      <c r="K560" s="85">
        <v>2021</v>
      </c>
      <c r="L560" s="85">
        <v>6</v>
      </c>
      <c r="N560" s="208" t="s">
        <v>44</v>
      </c>
    </row>
    <row r="561" spans="1:14">
      <c r="A561" s="36" t="s">
        <v>33</v>
      </c>
      <c r="B561" s="37">
        <v>44377</v>
      </c>
      <c r="C561" s="36" t="s">
        <v>82</v>
      </c>
      <c r="D561" s="36" t="s">
        <v>156</v>
      </c>
      <c r="E561" s="36" t="s">
        <v>426</v>
      </c>
      <c r="G561" s="87">
        <v>274000</v>
      </c>
      <c r="H561" s="87">
        <v>27400</v>
      </c>
      <c r="I561" s="87">
        <v>301400</v>
      </c>
      <c r="K561" s="85">
        <v>2021</v>
      </c>
      <c r="L561" s="85">
        <v>6</v>
      </c>
      <c r="N561" s="208" t="s">
        <v>44</v>
      </c>
    </row>
    <row r="562" spans="1:14">
      <c r="A562" s="36" t="s">
        <v>33</v>
      </c>
      <c r="B562" s="37">
        <v>44377</v>
      </c>
      <c r="C562" s="36" t="s">
        <v>82</v>
      </c>
      <c r="D562" s="36" t="s">
        <v>427</v>
      </c>
      <c r="E562" s="36" t="s">
        <v>428</v>
      </c>
      <c r="G562" s="87">
        <v>1230000</v>
      </c>
      <c r="H562" s="87">
        <v>123000</v>
      </c>
      <c r="I562" s="87">
        <v>1353000</v>
      </c>
      <c r="K562" s="85">
        <v>2021</v>
      </c>
      <c r="L562" s="85">
        <v>6</v>
      </c>
      <c r="N562" s="208" t="s">
        <v>44</v>
      </c>
    </row>
    <row r="563" spans="1:14">
      <c r="A563" s="36" t="s">
        <v>33</v>
      </c>
      <c r="B563" s="37">
        <v>44377</v>
      </c>
      <c r="C563" s="36" t="s">
        <v>103</v>
      </c>
      <c r="D563" s="36" t="s">
        <v>205</v>
      </c>
      <c r="E563" s="36" t="s">
        <v>148</v>
      </c>
      <c r="J563" s="38">
        <v>974457</v>
      </c>
      <c r="K563" s="85">
        <v>2021</v>
      </c>
      <c r="L563" s="85">
        <v>5</v>
      </c>
      <c r="N563" s="208" t="s">
        <v>44</v>
      </c>
    </row>
    <row r="564" spans="1:14">
      <c r="A564" s="36" t="s">
        <v>33</v>
      </c>
      <c r="B564" s="37">
        <v>44377</v>
      </c>
      <c r="C564" s="36" t="s">
        <v>155</v>
      </c>
      <c r="D564" s="36" t="s">
        <v>156</v>
      </c>
      <c r="E564" s="36" t="s">
        <v>77</v>
      </c>
      <c r="J564" s="38">
        <v>1419000</v>
      </c>
      <c r="K564" s="85">
        <v>2021</v>
      </c>
      <c r="L564" s="85">
        <v>5</v>
      </c>
      <c r="N564" s="208" t="s">
        <v>44</v>
      </c>
    </row>
    <row r="565" spans="1:14">
      <c r="A565" s="36" t="s">
        <v>18</v>
      </c>
      <c r="B565" s="37">
        <v>44377</v>
      </c>
      <c r="C565" s="36" t="s">
        <v>429</v>
      </c>
      <c r="D565" s="36" t="s">
        <v>430</v>
      </c>
      <c r="E565" s="36" t="s">
        <v>431</v>
      </c>
      <c r="F565" s="89">
        <v>20</v>
      </c>
      <c r="G565" s="87">
        <v>9099000</v>
      </c>
      <c r="H565" s="87">
        <v>909900</v>
      </c>
      <c r="I565" s="87">
        <v>10008900</v>
      </c>
      <c r="K565" s="85">
        <v>2021</v>
      </c>
      <c r="L565" s="85">
        <v>6</v>
      </c>
      <c r="N565" s="208" t="s">
        <v>44</v>
      </c>
    </row>
    <row r="566" spans="1:14">
      <c r="A566" s="36" t="s">
        <v>33</v>
      </c>
      <c r="B566" s="37">
        <v>44379</v>
      </c>
      <c r="C566" s="36" t="s">
        <v>395</v>
      </c>
      <c r="D566" s="36" t="s">
        <v>229</v>
      </c>
      <c r="E566" s="36" t="s">
        <v>148</v>
      </c>
      <c r="J566" s="38">
        <v>4214000</v>
      </c>
      <c r="K566" s="85">
        <v>2021</v>
      </c>
      <c r="L566" s="85">
        <v>6</v>
      </c>
      <c r="M566" s="36" t="s">
        <v>107</v>
      </c>
      <c r="N566" s="208" t="s">
        <v>44</v>
      </c>
    </row>
    <row r="567" spans="1:14">
      <c r="A567" s="36" t="s">
        <v>32</v>
      </c>
      <c r="B567" s="37">
        <v>44379</v>
      </c>
      <c r="C567" s="36" t="s">
        <v>334</v>
      </c>
      <c r="D567" s="36" t="s">
        <v>335</v>
      </c>
      <c r="E567" s="36" t="s">
        <v>77</v>
      </c>
      <c r="J567" s="38">
        <v>6831000</v>
      </c>
      <c r="K567" s="85">
        <v>2021</v>
      </c>
      <c r="L567" s="85">
        <v>5</v>
      </c>
      <c r="N567" s="208" t="s">
        <v>44</v>
      </c>
    </row>
    <row r="568" spans="1:14">
      <c r="A568" s="36" t="s">
        <v>33</v>
      </c>
      <c r="B568" s="37">
        <v>44379</v>
      </c>
      <c r="C568" s="36" t="s">
        <v>226</v>
      </c>
      <c r="D568" s="36" t="s">
        <v>227</v>
      </c>
      <c r="E568" s="36" t="s">
        <v>77</v>
      </c>
      <c r="J568" s="38">
        <v>2052000</v>
      </c>
      <c r="K568" s="85">
        <v>2021</v>
      </c>
      <c r="L568" s="85">
        <v>6</v>
      </c>
      <c r="N568" s="208" t="s">
        <v>44</v>
      </c>
    </row>
    <row r="569" spans="1:14">
      <c r="A569" s="36" t="s">
        <v>32</v>
      </c>
      <c r="B569" s="37">
        <v>44379</v>
      </c>
      <c r="C569" s="36" t="s">
        <v>175</v>
      </c>
      <c r="D569" s="36" t="s">
        <v>380</v>
      </c>
      <c r="E569" s="36" t="s">
        <v>148</v>
      </c>
      <c r="J569" s="38">
        <v>6745860</v>
      </c>
      <c r="K569" s="85">
        <v>2021</v>
      </c>
      <c r="L569" s="85">
        <v>5</v>
      </c>
      <c r="N569" s="208" t="s">
        <v>44</v>
      </c>
    </row>
    <row r="570" spans="1:14">
      <c r="A570" s="36" t="s">
        <v>33</v>
      </c>
      <c r="B570" s="37">
        <v>44379</v>
      </c>
      <c r="C570" s="36" t="s">
        <v>115</v>
      </c>
      <c r="D570" s="36" t="s">
        <v>371</v>
      </c>
      <c r="E570" s="36" t="s">
        <v>148</v>
      </c>
      <c r="J570" s="38">
        <v>2208000</v>
      </c>
      <c r="K570" s="85">
        <v>2021</v>
      </c>
      <c r="L570" s="85">
        <v>6</v>
      </c>
      <c r="M570" s="36" t="s">
        <v>107</v>
      </c>
      <c r="N570" s="208" t="s">
        <v>44</v>
      </c>
    </row>
    <row r="571" spans="1:14">
      <c r="A571" s="36" t="s">
        <v>19</v>
      </c>
      <c r="B571" s="37">
        <v>44379</v>
      </c>
      <c r="C571" s="36" t="s">
        <v>381</v>
      </c>
      <c r="D571" s="36" t="s">
        <v>376</v>
      </c>
      <c r="E571" s="36" t="s">
        <v>148</v>
      </c>
      <c r="J571" s="38">
        <v>377800</v>
      </c>
      <c r="K571" s="85">
        <v>2021</v>
      </c>
      <c r="L571" s="85">
        <v>6</v>
      </c>
      <c r="N571" s="208" t="s">
        <v>44</v>
      </c>
    </row>
    <row r="572" spans="1:14">
      <c r="A572" s="36" t="s">
        <v>32</v>
      </c>
      <c r="B572" s="37">
        <v>44382</v>
      </c>
      <c r="C572" s="36" t="s">
        <v>291</v>
      </c>
      <c r="D572" s="36" t="s">
        <v>292</v>
      </c>
      <c r="E572" s="36" t="s">
        <v>77</v>
      </c>
      <c r="J572" s="38">
        <v>2999480</v>
      </c>
      <c r="K572" s="85">
        <v>2021</v>
      </c>
      <c r="L572" s="85">
        <v>5</v>
      </c>
      <c r="N572" s="208" t="s">
        <v>44</v>
      </c>
    </row>
    <row r="573" spans="1:14">
      <c r="A573" s="36" t="s">
        <v>19</v>
      </c>
      <c r="B573" s="37">
        <v>44382</v>
      </c>
      <c r="C573" s="36" t="s">
        <v>422</v>
      </c>
      <c r="D573" s="36" t="s">
        <v>423</v>
      </c>
      <c r="E573" s="36" t="s">
        <v>148</v>
      </c>
      <c r="J573" s="87">
        <v>988900</v>
      </c>
      <c r="K573" s="85">
        <v>2021</v>
      </c>
      <c r="L573" s="85">
        <v>6</v>
      </c>
      <c r="N573" s="208" t="s">
        <v>44</v>
      </c>
    </row>
    <row r="574" spans="1:14">
      <c r="A574" s="36" t="s">
        <v>33</v>
      </c>
      <c r="B574" s="37">
        <v>44382</v>
      </c>
      <c r="C574" s="36" t="s">
        <v>103</v>
      </c>
      <c r="D574" s="36" t="s">
        <v>244</v>
      </c>
      <c r="E574" s="36" t="s">
        <v>77</v>
      </c>
      <c r="J574" s="38">
        <v>365761</v>
      </c>
      <c r="K574" s="85">
        <v>2021</v>
      </c>
      <c r="L574" s="85">
        <v>5</v>
      </c>
      <c r="N574" s="208" t="s">
        <v>44</v>
      </c>
    </row>
    <row r="575" spans="1:14">
      <c r="A575" s="36" t="s">
        <v>33</v>
      </c>
      <c r="B575" s="37">
        <v>44382</v>
      </c>
      <c r="C575" s="36" t="s">
        <v>103</v>
      </c>
      <c r="D575" s="36" t="s">
        <v>393</v>
      </c>
      <c r="E575" s="36" t="s">
        <v>269</v>
      </c>
      <c r="G575" s="87">
        <v>3308400</v>
      </c>
      <c r="H575" s="87">
        <v>330840</v>
      </c>
      <c r="I575" s="87">
        <v>3639240</v>
      </c>
      <c r="K575" s="85">
        <v>2021</v>
      </c>
      <c r="L575" s="85">
        <v>7</v>
      </c>
      <c r="N575" s="208" t="s">
        <v>44</v>
      </c>
    </row>
    <row r="576" spans="1:14">
      <c r="A576" s="36" t="s">
        <v>33</v>
      </c>
      <c r="B576" s="37">
        <v>44382</v>
      </c>
      <c r="C576" s="36" t="s">
        <v>103</v>
      </c>
      <c r="D576" s="36" t="s">
        <v>205</v>
      </c>
      <c r="E576" s="36" t="s">
        <v>269</v>
      </c>
      <c r="G576" s="87">
        <v>5966632</v>
      </c>
      <c r="H576" s="87">
        <v>596663.20000000007</v>
      </c>
      <c r="I576" s="87">
        <v>6563295.2000000002</v>
      </c>
      <c r="K576" s="85">
        <v>2021</v>
      </c>
      <c r="L576" s="85">
        <v>7</v>
      </c>
      <c r="N576" s="208" t="s">
        <v>44</v>
      </c>
    </row>
    <row r="577" spans="1:14">
      <c r="A577" s="36" t="s">
        <v>32</v>
      </c>
      <c r="B577" s="37">
        <v>44383</v>
      </c>
      <c r="C577" s="36" t="s">
        <v>188</v>
      </c>
      <c r="D577" s="36" t="s">
        <v>190</v>
      </c>
      <c r="E577" s="36" t="s">
        <v>148</v>
      </c>
      <c r="J577" s="38">
        <v>3399000</v>
      </c>
      <c r="K577" s="85">
        <v>2021</v>
      </c>
      <c r="L577" s="85">
        <v>5</v>
      </c>
      <c r="N577" s="208" t="s">
        <v>44</v>
      </c>
    </row>
    <row r="578" spans="1:14">
      <c r="A578" s="36" t="s">
        <v>32</v>
      </c>
      <c r="B578" s="37">
        <v>44383</v>
      </c>
      <c r="C578" s="36" t="s">
        <v>188</v>
      </c>
      <c r="D578" s="36" t="s">
        <v>351</v>
      </c>
      <c r="E578" s="36" t="s">
        <v>148</v>
      </c>
      <c r="J578" s="38">
        <v>4961000</v>
      </c>
      <c r="K578" s="85">
        <v>2021</v>
      </c>
      <c r="L578" s="85">
        <v>5</v>
      </c>
      <c r="N578" s="208" t="s">
        <v>44</v>
      </c>
    </row>
    <row r="579" spans="1:14">
      <c r="A579" s="36" t="s">
        <v>33</v>
      </c>
      <c r="B579" s="37">
        <v>44384</v>
      </c>
      <c r="C579" s="36" t="s">
        <v>432</v>
      </c>
      <c r="D579" s="36" t="s">
        <v>433</v>
      </c>
      <c r="E579" s="36" t="s">
        <v>434</v>
      </c>
      <c r="G579" s="87">
        <v>468000</v>
      </c>
      <c r="H579" s="87">
        <v>46800</v>
      </c>
      <c r="I579" s="87">
        <v>514800</v>
      </c>
      <c r="K579" s="85">
        <v>2021</v>
      </c>
      <c r="L579" s="85">
        <v>7</v>
      </c>
      <c r="N579" s="208" t="s">
        <v>44</v>
      </c>
    </row>
    <row r="580" spans="1:14">
      <c r="A580" s="36" t="s">
        <v>33</v>
      </c>
      <c r="B580" s="37">
        <v>44384</v>
      </c>
      <c r="C580" s="36" t="s">
        <v>432</v>
      </c>
      <c r="D580" s="36" t="s">
        <v>433</v>
      </c>
      <c r="E580" s="36" t="s">
        <v>77</v>
      </c>
      <c r="J580" s="38">
        <v>514800</v>
      </c>
      <c r="K580" s="85">
        <v>2021</v>
      </c>
      <c r="L580" s="85">
        <v>7</v>
      </c>
      <c r="N580" s="208" t="s">
        <v>44</v>
      </c>
    </row>
    <row r="581" spans="1:14">
      <c r="A581" s="36" t="s">
        <v>32</v>
      </c>
      <c r="B581" s="37">
        <v>44384</v>
      </c>
      <c r="C581" s="36" t="s">
        <v>352</v>
      </c>
      <c r="D581" s="36" t="s">
        <v>382</v>
      </c>
      <c r="E581" s="36" t="s">
        <v>148</v>
      </c>
      <c r="J581" s="38">
        <v>12600000</v>
      </c>
      <c r="K581" s="85">
        <v>2021</v>
      </c>
      <c r="L581" s="85">
        <v>5</v>
      </c>
      <c r="N581" s="208" t="s">
        <v>44</v>
      </c>
    </row>
    <row r="582" spans="1:14">
      <c r="A582" s="36" t="s">
        <v>33</v>
      </c>
      <c r="B582" s="37">
        <v>44385</v>
      </c>
      <c r="C582" s="36" t="s">
        <v>260</v>
      </c>
      <c r="D582" s="36" t="s">
        <v>261</v>
      </c>
      <c r="E582" s="36" t="s">
        <v>77</v>
      </c>
      <c r="J582" s="38">
        <v>1141800</v>
      </c>
      <c r="K582" s="85">
        <v>2021</v>
      </c>
      <c r="L582" s="85">
        <v>6</v>
      </c>
      <c r="N582" s="208" t="s">
        <v>44</v>
      </c>
    </row>
    <row r="583" spans="1:14">
      <c r="A583" s="36" t="s">
        <v>32</v>
      </c>
      <c r="B583" s="37">
        <v>44385</v>
      </c>
      <c r="C583" s="36" t="s">
        <v>352</v>
      </c>
      <c r="D583" s="36" t="s">
        <v>382</v>
      </c>
      <c r="E583" s="36" t="s">
        <v>148</v>
      </c>
      <c r="J583" s="38">
        <v>1260000</v>
      </c>
      <c r="K583" s="85">
        <v>2021</v>
      </c>
      <c r="L583" s="85">
        <v>5</v>
      </c>
      <c r="N583" s="208" t="s">
        <v>44</v>
      </c>
    </row>
    <row r="584" spans="1:14">
      <c r="A584" s="36" t="s">
        <v>33</v>
      </c>
      <c r="B584" s="37">
        <v>44389</v>
      </c>
      <c r="C584" s="36" t="s">
        <v>120</v>
      </c>
      <c r="D584" s="36" t="s">
        <v>121</v>
      </c>
      <c r="E584" s="36" t="s">
        <v>122</v>
      </c>
      <c r="G584" s="87">
        <v>477272</v>
      </c>
      <c r="H584" s="87">
        <v>47728</v>
      </c>
      <c r="I584" s="87">
        <v>525000</v>
      </c>
      <c r="K584" s="85">
        <v>2021</v>
      </c>
      <c r="L584" s="85">
        <v>7</v>
      </c>
      <c r="N584" s="208" t="s">
        <v>44</v>
      </c>
    </row>
    <row r="585" spans="1:14">
      <c r="A585" s="36" t="s">
        <v>32</v>
      </c>
      <c r="B585" s="37">
        <v>44389</v>
      </c>
      <c r="C585" s="36" t="s">
        <v>180</v>
      </c>
      <c r="D585" s="36" t="s">
        <v>344</v>
      </c>
      <c r="E585" s="36" t="s">
        <v>77</v>
      </c>
      <c r="J585" s="38">
        <v>14734500</v>
      </c>
      <c r="K585" s="85">
        <v>2021</v>
      </c>
      <c r="L585" s="85">
        <v>6</v>
      </c>
      <c r="N585" s="208" t="s">
        <v>44</v>
      </c>
    </row>
    <row r="586" spans="1:14">
      <c r="A586" s="36" t="s">
        <v>33</v>
      </c>
      <c r="B586" s="37">
        <v>44389</v>
      </c>
      <c r="C586" s="36" t="s">
        <v>435</v>
      </c>
      <c r="D586" s="36" t="s">
        <v>436</v>
      </c>
      <c r="E586" s="36" t="s">
        <v>437</v>
      </c>
      <c r="G586" s="87">
        <v>90000</v>
      </c>
      <c r="H586" s="87">
        <v>9000</v>
      </c>
      <c r="I586" s="87">
        <v>99000</v>
      </c>
      <c r="K586" s="85">
        <v>2021</v>
      </c>
      <c r="L586" s="85">
        <v>7</v>
      </c>
      <c r="N586" s="208" t="s">
        <v>44</v>
      </c>
    </row>
    <row r="587" spans="1:14">
      <c r="A587" s="36" t="s">
        <v>33</v>
      </c>
      <c r="B587" s="37">
        <v>44390</v>
      </c>
      <c r="C587" s="36" t="s">
        <v>120</v>
      </c>
      <c r="D587" s="36" t="s">
        <v>121</v>
      </c>
      <c r="E587" s="36" t="s">
        <v>77</v>
      </c>
      <c r="J587" s="38">
        <v>525000</v>
      </c>
      <c r="K587" s="85">
        <v>2021</v>
      </c>
      <c r="L587" s="85">
        <v>7</v>
      </c>
      <c r="N587" s="208" t="s">
        <v>44</v>
      </c>
    </row>
    <row r="588" spans="1:14">
      <c r="A588" s="36" t="s">
        <v>33</v>
      </c>
      <c r="B588" s="37">
        <v>44390</v>
      </c>
      <c r="C588" s="36" t="s">
        <v>435</v>
      </c>
      <c r="D588" s="36" t="s">
        <v>436</v>
      </c>
      <c r="E588" s="36" t="s">
        <v>77</v>
      </c>
      <c r="J588" s="38">
        <v>99000</v>
      </c>
      <c r="K588" s="85">
        <v>2021</v>
      </c>
      <c r="L588" s="85">
        <v>7</v>
      </c>
      <c r="N588" s="208" t="s">
        <v>44</v>
      </c>
    </row>
    <row r="589" spans="1:14">
      <c r="A589" s="36" t="s">
        <v>32</v>
      </c>
      <c r="B589" s="37">
        <v>44390</v>
      </c>
      <c r="C589" s="36" t="s">
        <v>268</v>
      </c>
      <c r="D589" s="36" t="s">
        <v>261</v>
      </c>
      <c r="E589" s="36" t="s">
        <v>77</v>
      </c>
      <c r="J589" s="38">
        <v>14286370</v>
      </c>
      <c r="K589" s="85">
        <v>2021</v>
      </c>
      <c r="L589" s="85">
        <v>6</v>
      </c>
      <c r="N589" s="208" t="s">
        <v>44</v>
      </c>
    </row>
    <row r="590" spans="1:14">
      <c r="A590" s="36" t="s">
        <v>32</v>
      </c>
      <c r="B590" s="37">
        <v>44390</v>
      </c>
      <c r="C590" s="36" t="s">
        <v>268</v>
      </c>
      <c r="D590" s="36" t="s">
        <v>261</v>
      </c>
      <c r="E590" s="36" t="s">
        <v>438</v>
      </c>
      <c r="J590" s="38">
        <v>164000</v>
      </c>
      <c r="K590" s="85">
        <v>2021</v>
      </c>
      <c r="L590" s="85">
        <v>6</v>
      </c>
      <c r="N590" s="208" t="s">
        <v>44</v>
      </c>
    </row>
    <row r="591" spans="1:14">
      <c r="A591" s="36" t="s">
        <v>33</v>
      </c>
      <c r="B591" s="37">
        <v>44391</v>
      </c>
      <c r="C591" s="36" t="s">
        <v>131</v>
      </c>
      <c r="D591" s="36" t="s">
        <v>439</v>
      </c>
      <c r="E591" s="36" t="s">
        <v>440</v>
      </c>
      <c r="G591" s="87">
        <v>1590000</v>
      </c>
      <c r="H591" s="87">
        <v>159000</v>
      </c>
      <c r="I591" s="87">
        <v>1749000</v>
      </c>
      <c r="K591" s="85">
        <v>2021</v>
      </c>
      <c r="L591" s="85">
        <v>7</v>
      </c>
      <c r="N591" s="208" t="s">
        <v>44</v>
      </c>
    </row>
    <row r="592" spans="1:14">
      <c r="A592" s="36" t="s">
        <v>32</v>
      </c>
      <c r="B592" s="37">
        <v>44391</v>
      </c>
      <c r="C592" s="36" t="s">
        <v>180</v>
      </c>
      <c r="D592" s="36" t="s">
        <v>344</v>
      </c>
      <c r="E592" s="36" t="s">
        <v>76</v>
      </c>
      <c r="G592" s="87">
        <v>3000000</v>
      </c>
      <c r="H592" s="87">
        <v>300000</v>
      </c>
      <c r="I592" s="87">
        <v>3300000</v>
      </c>
      <c r="K592" s="85">
        <v>2021</v>
      </c>
      <c r="L592" s="85">
        <v>7</v>
      </c>
      <c r="N592" s="208" t="s">
        <v>44</v>
      </c>
    </row>
    <row r="593" spans="1:14">
      <c r="A593" s="36" t="s">
        <v>32</v>
      </c>
      <c r="B593" s="37">
        <v>44391</v>
      </c>
      <c r="C593" s="36" t="s">
        <v>441</v>
      </c>
      <c r="D593" s="36" t="s">
        <v>442</v>
      </c>
      <c r="E593" s="36" t="s">
        <v>78</v>
      </c>
      <c r="F593" s="89">
        <v>10</v>
      </c>
      <c r="G593" s="87">
        <v>6000000</v>
      </c>
      <c r="H593" s="87">
        <v>600000</v>
      </c>
      <c r="I593" s="87">
        <v>6600000</v>
      </c>
      <c r="K593" s="85">
        <v>2021</v>
      </c>
      <c r="L593" s="85">
        <v>7</v>
      </c>
      <c r="N593" s="208" t="s">
        <v>44</v>
      </c>
    </row>
    <row r="594" spans="1:14">
      <c r="A594" s="36" t="s">
        <v>33</v>
      </c>
      <c r="B594" s="37">
        <v>44391</v>
      </c>
      <c r="C594" s="36" t="s">
        <v>327</v>
      </c>
      <c r="D594" s="36" t="s">
        <v>443</v>
      </c>
      <c r="E594" s="36" t="s">
        <v>444</v>
      </c>
      <c r="G594" s="87">
        <v>2570500</v>
      </c>
      <c r="H594" s="87">
        <v>257050</v>
      </c>
      <c r="I594" s="87">
        <v>2827550</v>
      </c>
      <c r="K594" s="85">
        <v>2021</v>
      </c>
      <c r="L594" s="85">
        <v>7</v>
      </c>
      <c r="N594" s="208" t="s">
        <v>44</v>
      </c>
    </row>
    <row r="595" spans="1:14">
      <c r="A595" s="36" t="s">
        <v>18</v>
      </c>
      <c r="B595" s="37">
        <v>44392</v>
      </c>
      <c r="C595" s="36" t="s">
        <v>424</v>
      </c>
      <c r="D595" s="36" t="s">
        <v>425</v>
      </c>
      <c r="E595" s="36" t="s">
        <v>148</v>
      </c>
      <c r="J595" s="38">
        <v>3850000</v>
      </c>
      <c r="K595" s="85">
        <v>2021</v>
      </c>
      <c r="L595" s="85">
        <v>6</v>
      </c>
      <c r="N595" s="208" t="s">
        <v>44</v>
      </c>
    </row>
    <row r="596" spans="1:14">
      <c r="A596" s="36" t="s">
        <v>32</v>
      </c>
      <c r="B596" s="37">
        <v>44393</v>
      </c>
      <c r="C596" s="36" t="s">
        <v>346</v>
      </c>
      <c r="D596" s="36" t="s">
        <v>378</v>
      </c>
      <c r="E596" s="36" t="s">
        <v>148</v>
      </c>
      <c r="J596" s="38">
        <v>5716700</v>
      </c>
      <c r="K596" s="85">
        <v>2021</v>
      </c>
      <c r="L596" s="85">
        <v>5</v>
      </c>
      <c r="N596" s="208" t="s">
        <v>44</v>
      </c>
    </row>
    <row r="597" spans="1:14">
      <c r="A597" s="36" t="s">
        <v>33</v>
      </c>
      <c r="B597" s="37">
        <v>44393</v>
      </c>
      <c r="C597" s="36" t="s">
        <v>320</v>
      </c>
      <c r="D597" s="36" t="s">
        <v>378</v>
      </c>
      <c r="E597" s="36" t="s">
        <v>148</v>
      </c>
      <c r="J597" s="38">
        <v>132000</v>
      </c>
      <c r="K597" s="85">
        <v>2021</v>
      </c>
      <c r="L597" s="85">
        <v>5</v>
      </c>
      <c r="N597" s="208" t="s">
        <v>44</v>
      </c>
    </row>
    <row r="598" spans="1:14">
      <c r="A598" s="36" t="s">
        <v>32</v>
      </c>
      <c r="B598" s="37">
        <v>44393</v>
      </c>
      <c r="C598" s="36" t="s">
        <v>188</v>
      </c>
      <c r="D598" s="36" t="s">
        <v>350</v>
      </c>
      <c r="E598" s="36" t="s">
        <v>76</v>
      </c>
      <c r="F598" s="89">
        <v>4</v>
      </c>
      <c r="G598" s="87">
        <v>3750000</v>
      </c>
      <c r="H598" s="87">
        <v>375000</v>
      </c>
      <c r="I598" s="87">
        <v>4125000</v>
      </c>
      <c r="K598" s="85">
        <v>2021</v>
      </c>
      <c r="L598" s="85">
        <v>7</v>
      </c>
      <c r="N598" s="208" t="s">
        <v>44</v>
      </c>
    </row>
    <row r="599" spans="1:14">
      <c r="A599" s="36" t="s">
        <v>32</v>
      </c>
      <c r="B599" s="37">
        <v>44393</v>
      </c>
      <c r="C599" s="36" t="s">
        <v>188</v>
      </c>
      <c r="D599" s="36" t="s">
        <v>350</v>
      </c>
      <c r="E599" s="36" t="s">
        <v>77</v>
      </c>
      <c r="J599" s="38">
        <v>4125000</v>
      </c>
      <c r="K599" s="85">
        <v>2021</v>
      </c>
      <c r="L599" s="85">
        <v>7</v>
      </c>
      <c r="N599" s="208" t="s">
        <v>44</v>
      </c>
    </row>
    <row r="600" spans="1:14">
      <c r="A600" s="36" t="s">
        <v>33</v>
      </c>
      <c r="B600" s="37">
        <v>44393</v>
      </c>
      <c r="C600" s="36" t="s">
        <v>327</v>
      </c>
      <c r="D600" s="36" t="s">
        <v>443</v>
      </c>
      <c r="E600" s="36" t="s">
        <v>77</v>
      </c>
      <c r="J600" s="38">
        <v>2827550</v>
      </c>
      <c r="K600" s="85">
        <v>2021</v>
      </c>
      <c r="L600" s="85">
        <v>7</v>
      </c>
      <c r="N600" s="208" t="s">
        <v>44</v>
      </c>
    </row>
    <row r="601" spans="1:14">
      <c r="A601" s="36" t="s">
        <v>33</v>
      </c>
      <c r="B601" s="37">
        <v>44396</v>
      </c>
      <c r="C601" s="36" t="s">
        <v>144</v>
      </c>
      <c r="D601" s="36" t="s">
        <v>386</v>
      </c>
      <c r="E601" s="36" t="s">
        <v>445</v>
      </c>
      <c r="G601" s="87">
        <v>250000</v>
      </c>
      <c r="H601" s="87">
        <v>25000</v>
      </c>
      <c r="I601" s="87">
        <v>275000</v>
      </c>
      <c r="K601" s="85">
        <v>2021</v>
      </c>
      <c r="L601" s="85">
        <v>7</v>
      </c>
      <c r="N601" s="208" t="s">
        <v>44</v>
      </c>
    </row>
    <row r="602" spans="1:14">
      <c r="A602" s="36" t="s">
        <v>32</v>
      </c>
      <c r="B602" s="37">
        <v>44397</v>
      </c>
      <c r="C602" s="36" t="s">
        <v>277</v>
      </c>
      <c r="D602" s="36" t="s">
        <v>278</v>
      </c>
      <c r="E602" s="36" t="s">
        <v>77</v>
      </c>
      <c r="J602" s="38">
        <v>6076906</v>
      </c>
      <c r="K602" s="85">
        <v>2021</v>
      </c>
      <c r="L602" s="85">
        <v>6</v>
      </c>
      <c r="N602" s="208" t="s">
        <v>44</v>
      </c>
    </row>
    <row r="603" spans="1:14">
      <c r="A603" s="36" t="s">
        <v>32</v>
      </c>
      <c r="B603" s="37">
        <v>44398</v>
      </c>
      <c r="C603" s="36" t="s">
        <v>85</v>
      </c>
      <c r="D603" s="36" t="s">
        <v>156</v>
      </c>
      <c r="E603" s="36" t="s">
        <v>78</v>
      </c>
      <c r="F603" s="89">
        <v>-120</v>
      </c>
      <c r="G603" s="87">
        <v>-27600000</v>
      </c>
      <c r="H603" s="87">
        <v>-2760000</v>
      </c>
      <c r="I603" s="87">
        <v>-30360000</v>
      </c>
      <c r="K603" s="85">
        <v>2021</v>
      </c>
      <c r="L603" s="85">
        <v>6</v>
      </c>
      <c r="N603" s="208" t="s">
        <v>44</v>
      </c>
    </row>
    <row r="604" spans="1:14">
      <c r="A604" s="36" t="s">
        <v>32</v>
      </c>
      <c r="B604" s="37">
        <v>44398</v>
      </c>
      <c r="C604" s="36" t="s">
        <v>188</v>
      </c>
      <c r="D604" s="36" t="s">
        <v>139</v>
      </c>
      <c r="E604" s="36" t="s">
        <v>77</v>
      </c>
      <c r="J604" s="38">
        <v>1650000</v>
      </c>
      <c r="K604" s="85">
        <v>2021</v>
      </c>
      <c r="L604" s="85">
        <v>6</v>
      </c>
      <c r="N604" s="208" t="s">
        <v>44</v>
      </c>
    </row>
    <row r="605" spans="1:14">
      <c r="A605" s="36" t="s">
        <v>32</v>
      </c>
      <c r="B605" s="37">
        <v>44398</v>
      </c>
      <c r="C605" s="36" t="s">
        <v>188</v>
      </c>
      <c r="D605" s="36" t="s">
        <v>139</v>
      </c>
      <c r="E605" s="36" t="s">
        <v>76</v>
      </c>
      <c r="F605" s="89">
        <v>28</v>
      </c>
      <c r="G605" s="87">
        <v>25900000</v>
      </c>
      <c r="H605" s="87">
        <v>2590000</v>
      </c>
      <c r="I605" s="87">
        <v>28490000</v>
      </c>
      <c r="K605" s="85">
        <v>2021</v>
      </c>
      <c r="L605" s="85">
        <v>7</v>
      </c>
      <c r="N605" s="208" t="s">
        <v>44</v>
      </c>
    </row>
    <row r="606" spans="1:14">
      <c r="A606" s="36" t="s">
        <v>32</v>
      </c>
      <c r="B606" s="37">
        <v>44398</v>
      </c>
      <c r="C606" s="36" t="s">
        <v>188</v>
      </c>
      <c r="D606" s="36" t="s">
        <v>139</v>
      </c>
      <c r="E606" s="36" t="s">
        <v>77</v>
      </c>
      <c r="J606" s="38">
        <v>28490000</v>
      </c>
      <c r="K606" s="85">
        <v>2021</v>
      </c>
      <c r="L606" s="85">
        <v>7</v>
      </c>
      <c r="N606" s="208" t="s">
        <v>44</v>
      </c>
    </row>
    <row r="607" spans="1:14">
      <c r="A607" s="36" t="s">
        <v>33</v>
      </c>
      <c r="B607" s="37">
        <v>44398</v>
      </c>
      <c r="C607" s="36" t="s">
        <v>446</v>
      </c>
      <c r="D607" s="36" t="s">
        <v>139</v>
      </c>
      <c r="E607" s="36" t="s">
        <v>447</v>
      </c>
      <c r="G607" s="87">
        <v>1500000</v>
      </c>
      <c r="H607" s="87">
        <v>150000</v>
      </c>
      <c r="I607" s="87">
        <v>1650000</v>
      </c>
      <c r="K607" s="85">
        <v>2021</v>
      </c>
      <c r="L607" s="85">
        <v>7</v>
      </c>
      <c r="N607" s="208" t="s">
        <v>44</v>
      </c>
    </row>
    <row r="608" spans="1:14">
      <c r="A608" s="36" t="s">
        <v>33</v>
      </c>
      <c r="B608" s="37">
        <v>44398</v>
      </c>
      <c r="C608" s="36" t="s">
        <v>446</v>
      </c>
      <c r="D608" s="36" t="s">
        <v>139</v>
      </c>
      <c r="E608" s="36" t="s">
        <v>77</v>
      </c>
      <c r="J608" s="38">
        <v>1650000</v>
      </c>
      <c r="K608" s="85">
        <v>2021</v>
      </c>
      <c r="L608" s="85">
        <v>7</v>
      </c>
      <c r="N608" s="208" t="s">
        <v>44</v>
      </c>
    </row>
    <row r="609" spans="1:14">
      <c r="A609" s="36" t="s">
        <v>33</v>
      </c>
      <c r="B609" s="37">
        <v>44398</v>
      </c>
      <c r="C609" s="36" t="s">
        <v>446</v>
      </c>
      <c r="D609" s="36" t="s">
        <v>139</v>
      </c>
      <c r="E609" s="36" t="s">
        <v>447</v>
      </c>
      <c r="G609" s="87">
        <v>10000000</v>
      </c>
      <c r="H609" s="87">
        <v>1000000</v>
      </c>
      <c r="I609" s="87">
        <v>11000000</v>
      </c>
      <c r="K609" s="85">
        <v>2021</v>
      </c>
      <c r="L609" s="85">
        <v>7</v>
      </c>
      <c r="N609" s="208" t="s">
        <v>44</v>
      </c>
    </row>
    <row r="610" spans="1:14">
      <c r="A610" s="36" t="s">
        <v>33</v>
      </c>
      <c r="B610" s="37">
        <v>44398</v>
      </c>
      <c r="C610" s="36" t="s">
        <v>446</v>
      </c>
      <c r="D610" s="36" t="s">
        <v>139</v>
      </c>
      <c r="E610" s="36" t="s">
        <v>77</v>
      </c>
      <c r="J610" s="38">
        <v>11000000</v>
      </c>
      <c r="K610" s="85">
        <v>2021</v>
      </c>
      <c r="L610" s="85">
        <v>7</v>
      </c>
      <c r="N610" s="208" t="s">
        <v>44</v>
      </c>
    </row>
    <row r="611" spans="1:14">
      <c r="A611" s="36" t="s">
        <v>32</v>
      </c>
      <c r="B611" s="37">
        <v>44399</v>
      </c>
      <c r="C611" s="36" t="s">
        <v>206</v>
      </c>
      <c r="D611" s="36" t="s">
        <v>208</v>
      </c>
      <c r="E611" s="36" t="s">
        <v>77</v>
      </c>
      <c r="J611" s="38">
        <v>2420000</v>
      </c>
      <c r="K611" s="85">
        <v>2021</v>
      </c>
      <c r="L611" s="85">
        <v>5</v>
      </c>
      <c r="N611" s="208" t="s">
        <v>44</v>
      </c>
    </row>
    <row r="612" spans="1:14">
      <c r="A612" s="36" t="s">
        <v>33</v>
      </c>
      <c r="B612" s="37">
        <v>44401</v>
      </c>
      <c r="C612" s="36" t="s">
        <v>131</v>
      </c>
      <c r="D612" s="36" t="s">
        <v>139</v>
      </c>
      <c r="E612" s="36" t="s">
        <v>448</v>
      </c>
      <c r="G612" s="87">
        <v>201500</v>
      </c>
      <c r="H612" s="87">
        <v>20150</v>
      </c>
      <c r="I612" s="87">
        <v>221650</v>
      </c>
      <c r="K612" s="85">
        <v>2021</v>
      </c>
      <c r="L612" s="85">
        <v>7</v>
      </c>
      <c r="N612" s="208" t="s">
        <v>44</v>
      </c>
    </row>
    <row r="613" spans="1:14">
      <c r="A613" s="36" t="s">
        <v>33</v>
      </c>
      <c r="B613" s="37">
        <v>44404</v>
      </c>
      <c r="C613" s="36" t="s">
        <v>131</v>
      </c>
      <c r="D613" s="36" t="s">
        <v>139</v>
      </c>
      <c r="E613" s="36" t="s">
        <v>449</v>
      </c>
      <c r="G613" s="87">
        <v>640000</v>
      </c>
      <c r="H613" s="87">
        <v>64000</v>
      </c>
      <c r="I613" s="87">
        <v>704000</v>
      </c>
      <c r="K613" s="85">
        <v>2021</v>
      </c>
      <c r="L613" s="85">
        <v>7</v>
      </c>
      <c r="N613" s="208" t="s">
        <v>44</v>
      </c>
    </row>
    <row r="614" spans="1:14">
      <c r="A614" s="36" t="s">
        <v>33</v>
      </c>
      <c r="B614" s="37">
        <v>44405</v>
      </c>
      <c r="C614" s="36" t="s">
        <v>131</v>
      </c>
      <c r="D614" s="36" t="s">
        <v>439</v>
      </c>
      <c r="E614" s="36" t="s">
        <v>77</v>
      </c>
      <c r="J614" s="38">
        <v>1749000</v>
      </c>
      <c r="K614" s="85">
        <v>2021</v>
      </c>
      <c r="L614" s="85">
        <v>7</v>
      </c>
      <c r="N614" s="208" t="s">
        <v>44</v>
      </c>
    </row>
    <row r="615" spans="1:14">
      <c r="A615" s="36" t="s">
        <v>33</v>
      </c>
      <c r="B615" s="37">
        <v>44405</v>
      </c>
      <c r="C615" s="36" t="s">
        <v>131</v>
      </c>
      <c r="D615" s="36" t="s">
        <v>139</v>
      </c>
      <c r="E615" s="36" t="s">
        <v>77</v>
      </c>
      <c r="J615" s="38">
        <v>925650</v>
      </c>
      <c r="K615" s="85">
        <v>2021</v>
      </c>
      <c r="L615" s="85">
        <v>7</v>
      </c>
      <c r="N615" s="208" t="s">
        <v>44</v>
      </c>
    </row>
    <row r="616" spans="1:14">
      <c r="A616" s="36" t="s">
        <v>33</v>
      </c>
      <c r="B616" s="37">
        <v>44405</v>
      </c>
      <c r="C616" s="36" t="s">
        <v>144</v>
      </c>
      <c r="D616" s="36" t="s">
        <v>386</v>
      </c>
      <c r="E616" s="36" t="s">
        <v>445</v>
      </c>
      <c r="G616" s="87">
        <v>250000</v>
      </c>
      <c r="H616" s="87">
        <v>25000</v>
      </c>
      <c r="I616" s="87">
        <v>275000</v>
      </c>
      <c r="K616" s="85">
        <v>2021</v>
      </c>
      <c r="L616" s="85">
        <v>7</v>
      </c>
      <c r="N616" s="208" t="s">
        <v>44</v>
      </c>
    </row>
    <row r="617" spans="1:14">
      <c r="A617" s="36" t="s">
        <v>33</v>
      </c>
      <c r="B617" s="37">
        <v>44405</v>
      </c>
      <c r="C617" s="36" t="s">
        <v>144</v>
      </c>
      <c r="D617" s="36" t="s">
        <v>386</v>
      </c>
      <c r="E617" s="36" t="s">
        <v>77</v>
      </c>
      <c r="J617" s="38">
        <v>550000</v>
      </c>
      <c r="K617" s="85">
        <v>2021</v>
      </c>
      <c r="L617" s="85">
        <v>7</v>
      </c>
      <c r="N617" s="208" t="s">
        <v>44</v>
      </c>
    </row>
    <row r="618" spans="1:14">
      <c r="A618" s="36" t="s">
        <v>33</v>
      </c>
      <c r="B618" s="37">
        <v>44406</v>
      </c>
      <c r="C618" s="36" t="s">
        <v>120</v>
      </c>
      <c r="D618" s="36" t="s">
        <v>121</v>
      </c>
      <c r="E618" s="36" t="s">
        <v>122</v>
      </c>
      <c r="G618" s="87">
        <v>477272</v>
      </c>
      <c r="H618" s="87">
        <v>47728</v>
      </c>
      <c r="I618" s="87">
        <v>525000</v>
      </c>
      <c r="K618" s="85">
        <v>2021</v>
      </c>
      <c r="L618" s="85">
        <v>7</v>
      </c>
      <c r="N618" s="208" t="s">
        <v>44</v>
      </c>
    </row>
    <row r="619" spans="1:14">
      <c r="A619" s="36" t="s">
        <v>32</v>
      </c>
      <c r="B619" s="37">
        <v>44407</v>
      </c>
      <c r="C619" s="36" t="s">
        <v>174</v>
      </c>
      <c r="D619" s="36" t="s">
        <v>368</v>
      </c>
      <c r="E619" s="36" t="s">
        <v>77</v>
      </c>
      <c r="J619" s="38">
        <v>3308800</v>
      </c>
      <c r="K619" s="85">
        <v>2021</v>
      </c>
      <c r="L619" s="85">
        <v>5</v>
      </c>
      <c r="N619" s="208" t="s">
        <v>44</v>
      </c>
    </row>
    <row r="620" spans="1:14">
      <c r="A620" s="36" t="s">
        <v>18</v>
      </c>
      <c r="B620" s="37">
        <v>44407</v>
      </c>
      <c r="C620" s="36" t="s">
        <v>247</v>
      </c>
      <c r="D620" s="36" t="s">
        <v>388</v>
      </c>
      <c r="E620" s="36" t="s">
        <v>77</v>
      </c>
      <c r="J620" s="87">
        <v>3133460</v>
      </c>
      <c r="K620" s="85">
        <v>2021</v>
      </c>
      <c r="L620" s="85">
        <v>6</v>
      </c>
      <c r="N620" s="208" t="s">
        <v>44</v>
      </c>
    </row>
    <row r="621" spans="1:14">
      <c r="A621" s="36" t="s">
        <v>18</v>
      </c>
      <c r="B621" s="37">
        <v>44407</v>
      </c>
      <c r="C621" s="36" t="s">
        <v>247</v>
      </c>
      <c r="D621" s="36" t="s">
        <v>200</v>
      </c>
      <c r="E621" s="36" t="s">
        <v>77</v>
      </c>
      <c r="J621" s="87">
        <v>15374700</v>
      </c>
      <c r="K621" s="85">
        <v>2021</v>
      </c>
      <c r="L621" s="85">
        <v>6</v>
      </c>
      <c r="N621" s="208" t="s">
        <v>44</v>
      </c>
    </row>
    <row r="622" spans="1:14">
      <c r="A622" s="36" t="s">
        <v>33</v>
      </c>
      <c r="B622" s="37">
        <v>44407</v>
      </c>
      <c r="C622" s="36" t="s">
        <v>96</v>
      </c>
      <c r="D622" s="36" t="s">
        <v>150</v>
      </c>
      <c r="E622" s="36" t="s">
        <v>77</v>
      </c>
      <c r="J622" s="87">
        <v>451000</v>
      </c>
      <c r="K622" s="85">
        <v>2021</v>
      </c>
      <c r="L622" s="85">
        <v>6</v>
      </c>
      <c r="N622" s="208" t="s">
        <v>44</v>
      </c>
    </row>
    <row r="623" spans="1:14">
      <c r="A623" s="36" t="s">
        <v>33</v>
      </c>
      <c r="B623" s="37">
        <v>44407</v>
      </c>
      <c r="C623" s="36" t="s">
        <v>120</v>
      </c>
      <c r="D623" s="36" t="s">
        <v>121</v>
      </c>
      <c r="E623" s="36" t="s">
        <v>77</v>
      </c>
      <c r="J623" s="38">
        <v>525000</v>
      </c>
      <c r="K623" s="85">
        <v>2021</v>
      </c>
      <c r="L623" s="85">
        <v>7</v>
      </c>
      <c r="N623" s="208" t="s">
        <v>44</v>
      </c>
    </row>
    <row r="624" spans="1:14">
      <c r="A624" s="36" t="s">
        <v>32</v>
      </c>
      <c r="B624" s="37">
        <v>44407</v>
      </c>
      <c r="C624" s="36" t="s">
        <v>281</v>
      </c>
      <c r="D624" s="36" t="s">
        <v>110</v>
      </c>
      <c r="E624" s="36" t="s">
        <v>148</v>
      </c>
      <c r="J624" s="87">
        <v>3168000</v>
      </c>
      <c r="K624" s="85">
        <v>2021</v>
      </c>
      <c r="L624" s="85">
        <v>6</v>
      </c>
      <c r="N624" s="208" t="s">
        <v>44</v>
      </c>
    </row>
    <row r="625" spans="1:14">
      <c r="A625" s="36" t="s">
        <v>32</v>
      </c>
      <c r="B625" s="37">
        <v>44407</v>
      </c>
      <c r="C625" s="36" t="s">
        <v>299</v>
      </c>
      <c r="D625" s="36" t="s">
        <v>300</v>
      </c>
      <c r="E625" s="36" t="s">
        <v>148</v>
      </c>
      <c r="J625" s="38">
        <v>4213000</v>
      </c>
      <c r="K625" s="85">
        <v>2021</v>
      </c>
      <c r="L625" s="85">
        <v>6</v>
      </c>
      <c r="N625" s="208" t="s">
        <v>44</v>
      </c>
    </row>
    <row r="626" spans="1:14">
      <c r="A626" s="36" t="s">
        <v>33</v>
      </c>
      <c r="B626" s="37">
        <v>44407</v>
      </c>
      <c r="C626" s="36" t="s">
        <v>167</v>
      </c>
      <c r="D626" s="36" t="s">
        <v>139</v>
      </c>
      <c r="E626" s="36" t="s">
        <v>148</v>
      </c>
      <c r="J626" s="87">
        <v>132000</v>
      </c>
      <c r="K626" s="85">
        <v>2021</v>
      </c>
      <c r="L626" s="85">
        <v>6</v>
      </c>
      <c r="N626" s="208" t="s">
        <v>44</v>
      </c>
    </row>
    <row r="627" spans="1:14">
      <c r="A627" s="36" t="s">
        <v>18</v>
      </c>
      <c r="B627" s="37">
        <v>44407</v>
      </c>
      <c r="C627" s="36" t="s">
        <v>211</v>
      </c>
      <c r="D627" s="36" t="s">
        <v>373</v>
      </c>
      <c r="E627" s="36" t="s">
        <v>77</v>
      </c>
      <c r="J627" s="87">
        <v>76825100</v>
      </c>
      <c r="K627" s="85">
        <v>2021</v>
      </c>
      <c r="L627" s="85">
        <v>6</v>
      </c>
      <c r="N627" s="208" t="s">
        <v>44</v>
      </c>
    </row>
    <row r="628" spans="1:14">
      <c r="A628" s="36" t="s">
        <v>18</v>
      </c>
      <c r="B628" s="37">
        <v>44407</v>
      </c>
      <c r="C628" s="36" t="s">
        <v>211</v>
      </c>
      <c r="D628" s="36" t="s">
        <v>376</v>
      </c>
      <c r="E628" s="36" t="s">
        <v>77</v>
      </c>
      <c r="J628" s="87">
        <v>28462500</v>
      </c>
      <c r="K628" s="85">
        <v>2021</v>
      </c>
      <c r="L628" s="85">
        <v>6</v>
      </c>
      <c r="N628" s="208" t="s">
        <v>44</v>
      </c>
    </row>
    <row r="629" spans="1:14">
      <c r="A629" s="36" t="s">
        <v>18</v>
      </c>
      <c r="B629" s="37">
        <v>44407</v>
      </c>
      <c r="C629" s="36" t="s">
        <v>211</v>
      </c>
      <c r="D629" s="36" t="s">
        <v>372</v>
      </c>
      <c r="E629" s="36" t="s">
        <v>77</v>
      </c>
      <c r="J629" s="87">
        <v>28253500</v>
      </c>
      <c r="K629" s="85">
        <v>2021</v>
      </c>
      <c r="L629" s="85">
        <v>6</v>
      </c>
      <c r="N629" s="208" t="s">
        <v>44</v>
      </c>
    </row>
    <row r="630" spans="1:14">
      <c r="A630" s="36" t="s">
        <v>32</v>
      </c>
      <c r="B630" s="37">
        <v>44407</v>
      </c>
      <c r="C630" s="36" t="s">
        <v>85</v>
      </c>
      <c r="D630" s="36" t="s">
        <v>182</v>
      </c>
      <c r="E630" s="36" t="s">
        <v>77</v>
      </c>
      <c r="J630" s="38">
        <v>4488000</v>
      </c>
      <c r="K630" s="85">
        <v>2021</v>
      </c>
      <c r="L630" s="85">
        <v>6</v>
      </c>
      <c r="N630" s="208" t="s">
        <v>44</v>
      </c>
    </row>
    <row r="631" spans="1:14">
      <c r="A631" s="36" t="s">
        <v>18</v>
      </c>
      <c r="B631" s="37">
        <v>44407</v>
      </c>
      <c r="C631" s="36" t="s">
        <v>400</v>
      </c>
      <c r="D631" s="36" t="s">
        <v>401</v>
      </c>
      <c r="E631" s="36" t="s">
        <v>148</v>
      </c>
      <c r="J631" s="87">
        <v>3289000</v>
      </c>
      <c r="K631" s="85">
        <v>2021</v>
      </c>
      <c r="L631" s="85">
        <v>6</v>
      </c>
      <c r="N631" s="208" t="s">
        <v>44</v>
      </c>
    </row>
    <row r="632" spans="1:14">
      <c r="A632" s="36" t="s">
        <v>32</v>
      </c>
      <c r="B632" s="37">
        <v>44407</v>
      </c>
      <c r="C632" s="36" t="s">
        <v>287</v>
      </c>
      <c r="D632" s="36" t="s">
        <v>150</v>
      </c>
      <c r="E632" s="36" t="s">
        <v>77</v>
      </c>
      <c r="J632" s="38">
        <v>4861560</v>
      </c>
      <c r="K632" s="85">
        <v>2021</v>
      </c>
      <c r="L632" s="85">
        <v>6</v>
      </c>
      <c r="N632" s="208" t="s">
        <v>44</v>
      </c>
    </row>
    <row r="633" spans="1:14">
      <c r="A633" s="36" t="s">
        <v>32</v>
      </c>
      <c r="B633" s="37">
        <v>44407</v>
      </c>
      <c r="C633" s="36" t="s">
        <v>188</v>
      </c>
      <c r="D633" s="36" t="s">
        <v>409</v>
      </c>
      <c r="E633" s="36" t="s">
        <v>77</v>
      </c>
      <c r="J633" s="87">
        <v>5577000</v>
      </c>
      <c r="K633" s="85">
        <v>2021</v>
      </c>
      <c r="L633" s="85">
        <v>6</v>
      </c>
      <c r="N633" s="208" t="s">
        <v>44</v>
      </c>
    </row>
    <row r="634" spans="1:14">
      <c r="A634" s="36" t="s">
        <v>18</v>
      </c>
      <c r="B634" s="37">
        <v>44407</v>
      </c>
      <c r="C634" s="36" t="s">
        <v>413</v>
      </c>
      <c r="D634" s="36" t="s">
        <v>380</v>
      </c>
      <c r="E634" s="36" t="s">
        <v>148</v>
      </c>
      <c r="J634" s="87">
        <v>15814150</v>
      </c>
      <c r="K634" s="85">
        <v>2021</v>
      </c>
      <c r="L634" s="85">
        <v>6</v>
      </c>
      <c r="N634" s="208" t="s">
        <v>44</v>
      </c>
    </row>
    <row r="635" spans="1:14">
      <c r="A635" s="36" t="s">
        <v>18</v>
      </c>
      <c r="B635" s="37">
        <v>44407</v>
      </c>
      <c r="C635" s="36" t="s">
        <v>413</v>
      </c>
      <c r="D635" s="36" t="s">
        <v>414</v>
      </c>
      <c r="E635" s="36" t="s">
        <v>148</v>
      </c>
      <c r="J635" s="87">
        <v>11448800</v>
      </c>
      <c r="K635" s="85">
        <v>2021</v>
      </c>
      <c r="L635" s="85">
        <v>6</v>
      </c>
      <c r="N635" s="208" t="s">
        <v>44</v>
      </c>
    </row>
    <row r="636" spans="1:14">
      <c r="A636" s="36" t="s">
        <v>33</v>
      </c>
      <c r="B636" s="37">
        <v>44407</v>
      </c>
      <c r="C636" s="36" t="s">
        <v>82</v>
      </c>
      <c r="D636" s="36" t="s">
        <v>156</v>
      </c>
      <c r="E636" s="36" t="s">
        <v>148</v>
      </c>
      <c r="J636" s="38">
        <v>301400</v>
      </c>
      <c r="K636" s="85">
        <v>2021</v>
      </c>
      <c r="L636" s="85">
        <v>6</v>
      </c>
      <c r="N636" s="208" t="s">
        <v>44</v>
      </c>
    </row>
    <row r="637" spans="1:14">
      <c r="A637" s="36" t="s">
        <v>18</v>
      </c>
      <c r="B637" s="37">
        <v>44407</v>
      </c>
      <c r="C637" s="36" t="s">
        <v>429</v>
      </c>
      <c r="D637" s="36" t="s">
        <v>430</v>
      </c>
      <c r="E637" s="36" t="s">
        <v>148</v>
      </c>
      <c r="J637" s="38">
        <v>10008900</v>
      </c>
      <c r="K637" s="85">
        <v>2021</v>
      </c>
      <c r="L637" s="85">
        <v>6</v>
      </c>
      <c r="N637" s="208" t="s">
        <v>44</v>
      </c>
    </row>
    <row r="638" spans="1:14">
      <c r="A638" s="36" t="s">
        <v>32</v>
      </c>
      <c r="B638" s="37">
        <v>44408</v>
      </c>
      <c r="C638" s="36" t="s">
        <v>209</v>
      </c>
      <c r="D638" s="36" t="s">
        <v>197</v>
      </c>
      <c r="E638" s="36" t="s">
        <v>76</v>
      </c>
      <c r="G638" s="87">
        <v>9319500</v>
      </c>
      <c r="H638" s="87">
        <v>931950</v>
      </c>
      <c r="I638" s="87">
        <v>10251450</v>
      </c>
      <c r="K638" s="85">
        <v>2021</v>
      </c>
      <c r="L638" s="85">
        <v>7</v>
      </c>
      <c r="N638" s="208" t="s">
        <v>44</v>
      </c>
    </row>
    <row r="639" spans="1:14">
      <c r="A639" s="36" t="s">
        <v>32</v>
      </c>
      <c r="B639" s="37">
        <v>44408</v>
      </c>
      <c r="C639" s="36" t="s">
        <v>346</v>
      </c>
      <c r="D639" s="36" t="s">
        <v>347</v>
      </c>
      <c r="E639" s="36" t="s">
        <v>76</v>
      </c>
      <c r="G639" s="87">
        <v>6230000</v>
      </c>
      <c r="H639" s="87">
        <v>623000</v>
      </c>
      <c r="I639" s="87">
        <v>6853000</v>
      </c>
      <c r="K639" s="85">
        <v>2021</v>
      </c>
      <c r="L639" s="85">
        <v>7</v>
      </c>
      <c r="N639" s="208" t="s">
        <v>44</v>
      </c>
    </row>
    <row r="640" spans="1:14">
      <c r="A640" s="36" t="s">
        <v>32</v>
      </c>
      <c r="B640" s="37">
        <v>44408</v>
      </c>
      <c r="C640" s="36" t="s">
        <v>81</v>
      </c>
      <c r="D640" s="36" t="s">
        <v>450</v>
      </c>
      <c r="E640" s="36" t="s">
        <v>76</v>
      </c>
      <c r="G640" s="87">
        <v>2400000</v>
      </c>
      <c r="H640" s="87">
        <v>240000</v>
      </c>
      <c r="I640" s="87">
        <v>2640000</v>
      </c>
      <c r="K640" s="85">
        <v>2021</v>
      </c>
      <c r="L640" s="85">
        <v>7</v>
      </c>
      <c r="N640" s="208" t="s">
        <v>44</v>
      </c>
    </row>
    <row r="641" spans="1:14">
      <c r="A641" s="36" t="s">
        <v>32</v>
      </c>
      <c r="B641" s="37">
        <v>44408</v>
      </c>
      <c r="C641" s="36" t="s">
        <v>204</v>
      </c>
      <c r="D641" s="36" t="s">
        <v>205</v>
      </c>
      <c r="E641" s="36" t="s">
        <v>76</v>
      </c>
      <c r="G641" s="87">
        <v>4513800</v>
      </c>
      <c r="H641" s="87">
        <v>451380</v>
      </c>
      <c r="I641" s="87">
        <v>4965180</v>
      </c>
      <c r="K641" s="85">
        <v>2021</v>
      </c>
      <c r="L641" s="85">
        <v>7</v>
      </c>
      <c r="N641" s="208" t="s">
        <v>44</v>
      </c>
    </row>
    <row r="642" spans="1:14">
      <c r="A642" s="36" t="s">
        <v>32</v>
      </c>
      <c r="B642" s="37">
        <v>44408</v>
      </c>
      <c r="C642" s="36" t="s">
        <v>204</v>
      </c>
      <c r="D642" s="36" t="s">
        <v>337</v>
      </c>
      <c r="E642" s="36" t="s">
        <v>76</v>
      </c>
      <c r="G642" s="87">
        <v>4445056</v>
      </c>
      <c r="H642" s="87">
        <v>444505.60000000003</v>
      </c>
      <c r="I642" s="87">
        <v>4889561.5999999996</v>
      </c>
      <c r="K642" s="85">
        <v>2021</v>
      </c>
      <c r="L642" s="85">
        <v>7</v>
      </c>
      <c r="N642" s="208" t="s">
        <v>44</v>
      </c>
    </row>
    <row r="643" spans="1:14">
      <c r="A643" s="36" t="s">
        <v>32</v>
      </c>
      <c r="B643" s="37">
        <v>44408</v>
      </c>
      <c r="C643" s="36" t="s">
        <v>281</v>
      </c>
      <c r="D643" s="36" t="s">
        <v>112</v>
      </c>
      <c r="E643" s="36" t="s">
        <v>78</v>
      </c>
      <c r="G643" s="87">
        <v>2880000</v>
      </c>
      <c r="H643" s="87">
        <v>288000</v>
      </c>
      <c r="I643" s="87">
        <v>3168000</v>
      </c>
      <c r="K643" s="85">
        <v>2021</v>
      </c>
      <c r="L643" s="85">
        <v>7</v>
      </c>
      <c r="N643" s="208" t="s">
        <v>44</v>
      </c>
    </row>
    <row r="644" spans="1:14">
      <c r="A644" s="36" t="s">
        <v>32</v>
      </c>
      <c r="B644" s="37">
        <v>44408</v>
      </c>
      <c r="C644" s="36" t="s">
        <v>281</v>
      </c>
      <c r="D644" s="36" t="s">
        <v>451</v>
      </c>
      <c r="E644" s="36" t="s">
        <v>78</v>
      </c>
      <c r="G644" s="87">
        <v>1740000</v>
      </c>
      <c r="H644" s="87">
        <v>174000</v>
      </c>
      <c r="I644" s="87">
        <v>1914000</v>
      </c>
      <c r="K644" s="85">
        <v>2021</v>
      </c>
      <c r="L644" s="85">
        <v>7</v>
      </c>
      <c r="N644" s="208" t="s">
        <v>44</v>
      </c>
    </row>
    <row r="645" spans="1:14">
      <c r="A645" s="36" t="s">
        <v>32</v>
      </c>
      <c r="B645" s="37">
        <v>44408</v>
      </c>
      <c r="C645" s="36" t="s">
        <v>281</v>
      </c>
      <c r="D645" s="36" t="s">
        <v>452</v>
      </c>
      <c r="E645" s="36" t="s">
        <v>78</v>
      </c>
      <c r="G645" s="87">
        <v>6260000</v>
      </c>
      <c r="H645" s="87">
        <v>626000</v>
      </c>
      <c r="I645" s="87">
        <v>6886000</v>
      </c>
      <c r="K645" s="85">
        <v>2021</v>
      </c>
      <c r="L645" s="85">
        <v>7</v>
      </c>
      <c r="N645" s="208" t="s">
        <v>44</v>
      </c>
    </row>
    <row r="646" spans="1:14">
      <c r="A646" s="36" t="s">
        <v>33</v>
      </c>
      <c r="B646" s="37">
        <v>44408</v>
      </c>
      <c r="C646" s="36" t="s">
        <v>124</v>
      </c>
      <c r="D646" s="36" t="s">
        <v>229</v>
      </c>
      <c r="E646" s="36" t="s">
        <v>125</v>
      </c>
      <c r="G646" s="87">
        <v>4995455</v>
      </c>
      <c r="H646" s="87">
        <v>499545</v>
      </c>
      <c r="I646" s="87">
        <v>5495000</v>
      </c>
      <c r="K646" s="85">
        <v>2021</v>
      </c>
      <c r="L646" s="85">
        <v>7</v>
      </c>
      <c r="M646" s="36" t="s">
        <v>107</v>
      </c>
      <c r="N646" s="208" t="s">
        <v>44</v>
      </c>
    </row>
    <row r="647" spans="1:14">
      <c r="A647" s="36" t="s">
        <v>32</v>
      </c>
      <c r="B647" s="37">
        <v>44408</v>
      </c>
      <c r="C647" s="36" t="s">
        <v>277</v>
      </c>
      <c r="D647" s="36" t="s">
        <v>278</v>
      </c>
      <c r="E647" s="36" t="s">
        <v>76</v>
      </c>
      <c r="G647" s="87">
        <v>5909260</v>
      </c>
      <c r="H647" s="87">
        <v>590926</v>
      </c>
      <c r="I647" s="87">
        <v>6500186</v>
      </c>
      <c r="K647" s="85">
        <v>2021</v>
      </c>
      <c r="L647" s="85">
        <v>7</v>
      </c>
      <c r="N647" s="208" t="s">
        <v>44</v>
      </c>
    </row>
    <row r="648" spans="1:14">
      <c r="A648" s="36" t="s">
        <v>33</v>
      </c>
      <c r="B648" s="37">
        <v>44408</v>
      </c>
      <c r="C648" s="36" t="s">
        <v>167</v>
      </c>
      <c r="D648" s="36" t="s">
        <v>139</v>
      </c>
      <c r="E648" s="36" t="s">
        <v>396</v>
      </c>
      <c r="G648" s="87">
        <v>1860000</v>
      </c>
      <c r="H648" s="87">
        <v>186000</v>
      </c>
      <c r="I648" s="87">
        <v>2046000</v>
      </c>
      <c r="K648" s="85">
        <v>2021</v>
      </c>
      <c r="L648" s="85">
        <v>7</v>
      </c>
      <c r="N648" s="208" t="s">
        <v>44</v>
      </c>
    </row>
    <row r="649" spans="1:14">
      <c r="A649" s="36" t="s">
        <v>32</v>
      </c>
      <c r="B649" s="37">
        <v>44408</v>
      </c>
      <c r="C649" s="36" t="s">
        <v>181</v>
      </c>
      <c r="D649" s="36" t="s">
        <v>372</v>
      </c>
      <c r="E649" s="36" t="s">
        <v>76</v>
      </c>
      <c r="G649" s="87">
        <v>22532000</v>
      </c>
      <c r="H649" s="87">
        <v>2253200</v>
      </c>
      <c r="I649" s="87">
        <v>24785200</v>
      </c>
      <c r="K649" s="85">
        <v>2021</v>
      </c>
      <c r="L649" s="85">
        <v>7</v>
      </c>
      <c r="N649" s="208" t="s">
        <v>44</v>
      </c>
    </row>
    <row r="650" spans="1:14">
      <c r="A650" s="36" t="s">
        <v>32</v>
      </c>
      <c r="B650" s="37">
        <v>44408</v>
      </c>
      <c r="C650" s="36" t="s">
        <v>181</v>
      </c>
      <c r="D650" s="36" t="s">
        <v>453</v>
      </c>
      <c r="E650" s="36" t="s">
        <v>76</v>
      </c>
      <c r="G650" s="87">
        <v>53022000</v>
      </c>
      <c r="H650" s="87">
        <v>5302200</v>
      </c>
      <c r="I650" s="87">
        <v>58324200</v>
      </c>
      <c r="K650" s="85">
        <v>2021</v>
      </c>
      <c r="L650" s="85">
        <v>7</v>
      </c>
      <c r="N650" s="208" t="s">
        <v>44</v>
      </c>
    </row>
    <row r="651" spans="1:14">
      <c r="A651" s="36" t="s">
        <v>32</v>
      </c>
      <c r="B651" s="37">
        <v>44408</v>
      </c>
      <c r="C651" s="36" t="s">
        <v>181</v>
      </c>
      <c r="D651" s="36" t="s">
        <v>376</v>
      </c>
      <c r="E651" s="36" t="s">
        <v>76</v>
      </c>
      <c r="G651" s="87">
        <v>575000</v>
      </c>
      <c r="H651" s="87">
        <v>57500</v>
      </c>
      <c r="I651" s="87">
        <v>632500</v>
      </c>
      <c r="K651" s="85">
        <v>2021</v>
      </c>
      <c r="L651" s="85">
        <v>7</v>
      </c>
      <c r="N651" s="208" t="s">
        <v>44</v>
      </c>
    </row>
    <row r="652" spans="1:14">
      <c r="A652" s="36" t="s">
        <v>32</v>
      </c>
      <c r="B652" s="37">
        <v>44408</v>
      </c>
      <c r="C652" s="36" t="s">
        <v>181</v>
      </c>
      <c r="D652" s="36" t="s">
        <v>454</v>
      </c>
      <c r="E652" s="36" t="s">
        <v>76</v>
      </c>
      <c r="G652" s="87">
        <v>5296000</v>
      </c>
      <c r="H652" s="87">
        <v>529600</v>
      </c>
      <c r="I652" s="87">
        <v>5825600</v>
      </c>
      <c r="K652" s="85">
        <v>2021</v>
      </c>
      <c r="L652" s="85">
        <v>7</v>
      </c>
      <c r="N652" s="208" t="s">
        <v>44</v>
      </c>
    </row>
    <row r="653" spans="1:14">
      <c r="A653" s="36" t="s">
        <v>32</v>
      </c>
      <c r="B653" s="37">
        <v>44408</v>
      </c>
      <c r="C653" s="36" t="s">
        <v>181</v>
      </c>
      <c r="D653" s="36" t="s">
        <v>372</v>
      </c>
      <c r="E653" s="36" t="s">
        <v>148</v>
      </c>
      <c r="J653" s="87">
        <v>24785200</v>
      </c>
      <c r="K653" s="85">
        <v>2021</v>
      </c>
      <c r="L653" s="85">
        <v>7</v>
      </c>
      <c r="N653" s="208" t="s">
        <v>44</v>
      </c>
    </row>
    <row r="654" spans="1:14">
      <c r="A654" s="36" t="s">
        <v>32</v>
      </c>
      <c r="B654" s="37">
        <v>44408</v>
      </c>
      <c r="C654" s="36" t="s">
        <v>181</v>
      </c>
      <c r="D654" s="36" t="s">
        <v>453</v>
      </c>
      <c r="E654" s="36" t="s">
        <v>148</v>
      </c>
      <c r="J654" s="87">
        <v>58324200</v>
      </c>
      <c r="K654" s="85">
        <v>2021</v>
      </c>
      <c r="L654" s="85">
        <v>7</v>
      </c>
      <c r="N654" s="208" t="s">
        <v>44</v>
      </c>
    </row>
    <row r="655" spans="1:14">
      <c r="A655" s="36" t="s">
        <v>33</v>
      </c>
      <c r="B655" s="37">
        <v>44408</v>
      </c>
      <c r="C655" s="36" t="s">
        <v>119</v>
      </c>
      <c r="D655" s="36" t="s">
        <v>372</v>
      </c>
      <c r="E655" s="36" t="s">
        <v>76</v>
      </c>
      <c r="G655" s="87">
        <v>20868000</v>
      </c>
      <c r="H655" s="87">
        <v>2086800</v>
      </c>
      <c r="I655" s="87">
        <v>22954800</v>
      </c>
      <c r="K655" s="85">
        <v>2021</v>
      </c>
      <c r="L655" s="85">
        <v>7</v>
      </c>
      <c r="M655" s="36" t="s">
        <v>159</v>
      </c>
      <c r="N655" s="208" t="s">
        <v>44</v>
      </c>
    </row>
    <row r="656" spans="1:14">
      <c r="A656" s="36" t="s">
        <v>32</v>
      </c>
      <c r="B656" s="37">
        <v>44408</v>
      </c>
      <c r="C656" s="36" t="s">
        <v>264</v>
      </c>
      <c r="D656" s="36" t="s">
        <v>266</v>
      </c>
      <c r="E656" s="36" t="s">
        <v>76</v>
      </c>
      <c r="G656" s="87">
        <v>9360000</v>
      </c>
      <c r="H656" s="87">
        <v>936000</v>
      </c>
      <c r="I656" s="87">
        <v>10296000</v>
      </c>
      <c r="K656" s="85">
        <v>2021</v>
      </c>
      <c r="L656" s="85">
        <v>7</v>
      </c>
      <c r="N656" s="208" t="s">
        <v>44</v>
      </c>
    </row>
    <row r="657" spans="1:14">
      <c r="A657" s="36" t="s">
        <v>32</v>
      </c>
      <c r="B657" s="37">
        <v>44408</v>
      </c>
      <c r="C657" s="36" t="s">
        <v>85</v>
      </c>
      <c r="D657" s="36" t="s">
        <v>156</v>
      </c>
      <c r="E657" s="36" t="s">
        <v>78</v>
      </c>
      <c r="G657" s="87">
        <v>18170000</v>
      </c>
      <c r="H657" s="87">
        <v>1817000</v>
      </c>
      <c r="I657" s="87">
        <v>19987000</v>
      </c>
      <c r="K657" s="85">
        <v>2021</v>
      </c>
      <c r="L657" s="85">
        <v>7</v>
      </c>
      <c r="N657" s="208" t="s">
        <v>44</v>
      </c>
    </row>
    <row r="658" spans="1:14">
      <c r="A658" s="36" t="s">
        <v>32</v>
      </c>
      <c r="B658" s="37">
        <v>44408</v>
      </c>
      <c r="C658" s="36" t="s">
        <v>85</v>
      </c>
      <c r="D658" s="36" t="s">
        <v>182</v>
      </c>
      <c r="E658" s="36" t="s">
        <v>78</v>
      </c>
      <c r="G658" s="87">
        <v>13560000</v>
      </c>
      <c r="H658" s="87">
        <v>1356000</v>
      </c>
      <c r="I658" s="87">
        <v>14916000</v>
      </c>
      <c r="K658" s="85">
        <v>2021</v>
      </c>
      <c r="L658" s="85">
        <v>7</v>
      </c>
      <c r="M658" s="36" t="s">
        <v>455</v>
      </c>
      <c r="N658" s="208" t="s">
        <v>44</v>
      </c>
    </row>
    <row r="659" spans="1:14">
      <c r="A659" s="36" t="s">
        <v>32</v>
      </c>
      <c r="B659" s="37">
        <v>44408</v>
      </c>
      <c r="C659" s="36" t="s">
        <v>456</v>
      </c>
      <c r="D659" s="36" t="s">
        <v>457</v>
      </c>
      <c r="E659" s="36" t="s">
        <v>76</v>
      </c>
      <c r="F659" s="89">
        <v>27</v>
      </c>
      <c r="G659" s="87">
        <v>6210000</v>
      </c>
      <c r="H659" s="87">
        <v>621000</v>
      </c>
      <c r="I659" s="87">
        <v>6831000</v>
      </c>
      <c r="K659" s="85">
        <v>2021</v>
      </c>
      <c r="L659" s="85">
        <v>7</v>
      </c>
      <c r="N659" s="208" t="s">
        <v>44</v>
      </c>
    </row>
    <row r="660" spans="1:14">
      <c r="A660" s="36" t="s">
        <v>32</v>
      </c>
      <c r="B660" s="37">
        <v>44408</v>
      </c>
      <c r="C660" s="36" t="s">
        <v>171</v>
      </c>
      <c r="D660" s="36" t="s">
        <v>458</v>
      </c>
      <c r="E660" s="36" t="s">
        <v>76</v>
      </c>
      <c r="G660" s="87">
        <v>6256000</v>
      </c>
      <c r="H660" s="87">
        <v>625600</v>
      </c>
      <c r="I660" s="87">
        <v>6881600</v>
      </c>
      <c r="K660" s="85">
        <v>2021</v>
      </c>
      <c r="L660" s="85">
        <v>7</v>
      </c>
      <c r="N660" s="208" t="s">
        <v>44</v>
      </c>
    </row>
    <row r="661" spans="1:14">
      <c r="A661" s="36" t="s">
        <v>33</v>
      </c>
      <c r="B661" s="37">
        <v>44408</v>
      </c>
      <c r="C661" s="36" t="s">
        <v>226</v>
      </c>
      <c r="D661" s="36" t="s">
        <v>227</v>
      </c>
      <c r="E661" s="36" t="s">
        <v>228</v>
      </c>
      <c r="G661" s="87">
        <v>2397272</v>
      </c>
      <c r="H661" s="87">
        <v>239728</v>
      </c>
      <c r="I661" s="87">
        <v>2637000</v>
      </c>
      <c r="K661" s="85">
        <v>2021</v>
      </c>
      <c r="L661" s="85">
        <v>7</v>
      </c>
      <c r="N661" s="208" t="s">
        <v>44</v>
      </c>
    </row>
    <row r="662" spans="1:14">
      <c r="A662" s="36" t="s">
        <v>33</v>
      </c>
      <c r="B662" s="37">
        <v>44408</v>
      </c>
      <c r="C662" s="36" t="s">
        <v>226</v>
      </c>
      <c r="D662" s="36" t="s">
        <v>227</v>
      </c>
      <c r="E662" s="36" t="s">
        <v>77</v>
      </c>
      <c r="J662" s="38">
        <v>2637000</v>
      </c>
      <c r="K662" s="85">
        <v>2021</v>
      </c>
      <c r="L662" s="85">
        <v>7</v>
      </c>
      <c r="N662" s="208" t="s">
        <v>44</v>
      </c>
    </row>
    <row r="663" spans="1:14">
      <c r="A663" s="36" t="s">
        <v>32</v>
      </c>
      <c r="B663" s="37">
        <v>44408</v>
      </c>
      <c r="C663" s="36" t="s">
        <v>459</v>
      </c>
      <c r="D663" s="36" t="s">
        <v>261</v>
      </c>
      <c r="E663" s="36" t="s">
        <v>76</v>
      </c>
      <c r="G663" s="87">
        <v>8119700</v>
      </c>
      <c r="H663" s="87">
        <v>811970</v>
      </c>
      <c r="I663" s="87">
        <v>8931670</v>
      </c>
      <c r="K663" s="85">
        <v>2021</v>
      </c>
      <c r="L663" s="85">
        <v>7</v>
      </c>
      <c r="N663" s="208" t="s">
        <v>44</v>
      </c>
    </row>
    <row r="664" spans="1:14">
      <c r="A664" s="36" t="s">
        <v>32</v>
      </c>
      <c r="B664" s="37">
        <v>44408</v>
      </c>
      <c r="C664" s="36" t="s">
        <v>188</v>
      </c>
      <c r="D664" s="36" t="s">
        <v>349</v>
      </c>
      <c r="E664" s="36" t="s">
        <v>77</v>
      </c>
      <c r="J664" s="87">
        <v>1892000</v>
      </c>
      <c r="K664" s="85">
        <v>2021</v>
      </c>
      <c r="L664" s="85">
        <v>6</v>
      </c>
      <c r="N664" s="208" t="s">
        <v>44</v>
      </c>
    </row>
    <row r="665" spans="1:14">
      <c r="A665" s="36" t="s">
        <v>32</v>
      </c>
      <c r="B665" s="37">
        <v>44408</v>
      </c>
      <c r="C665" s="36" t="s">
        <v>188</v>
      </c>
      <c r="D665" s="36" t="s">
        <v>192</v>
      </c>
      <c r="E665" s="36" t="s">
        <v>77</v>
      </c>
      <c r="J665" s="87">
        <v>3454000</v>
      </c>
      <c r="K665" s="85">
        <v>2021</v>
      </c>
      <c r="L665" s="85">
        <v>6</v>
      </c>
      <c r="N665" s="208" t="s">
        <v>44</v>
      </c>
    </row>
    <row r="666" spans="1:14">
      <c r="A666" s="36" t="s">
        <v>32</v>
      </c>
      <c r="B666" s="37">
        <v>44408</v>
      </c>
      <c r="C666" s="36" t="s">
        <v>188</v>
      </c>
      <c r="D666" s="36" t="s">
        <v>408</v>
      </c>
      <c r="E666" s="36" t="s">
        <v>77</v>
      </c>
      <c r="J666" s="87">
        <v>3322000</v>
      </c>
      <c r="K666" s="85">
        <v>2021</v>
      </c>
      <c r="L666" s="85">
        <v>6</v>
      </c>
      <c r="N666" s="208" t="s">
        <v>44</v>
      </c>
    </row>
    <row r="667" spans="1:14">
      <c r="A667" s="36" t="s">
        <v>32</v>
      </c>
      <c r="B667" s="37">
        <v>44408</v>
      </c>
      <c r="C667" s="36" t="s">
        <v>188</v>
      </c>
      <c r="D667" s="36" t="s">
        <v>410</v>
      </c>
      <c r="E667" s="36" t="s">
        <v>77</v>
      </c>
      <c r="J667" s="87">
        <v>19349000</v>
      </c>
      <c r="K667" s="85">
        <v>2021</v>
      </c>
      <c r="L667" s="85">
        <v>6</v>
      </c>
      <c r="N667" s="208" t="s">
        <v>44</v>
      </c>
    </row>
    <row r="668" spans="1:14">
      <c r="A668" s="36" t="s">
        <v>32</v>
      </c>
      <c r="B668" s="37">
        <v>44408</v>
      </c>
      <c r="C668" s="36" t="s">
        <v>188</v>
      </c>
      <c r="D668" s="36" t="s">
        <v>443</v>
      </c>
      <c r="E668" s="36" t="s">
        <v>76</v>
      </c>
      <c r="G668" s="87">
        <v>12761400</v>
      </c>
      <c r="H668" s="87">
        <v>1276140</v>
      </c>
      <c r="I668" s="87">
        <v>14037540</v>
      </c>
      <c r="K668" s="85">
        <v>2021</v>
      </c>
      <c r="L668" s="85">
        <v>7</v>
      </c>
      <c r="N668" s="208" t="s">
        <v>44</v>
      </c>
    </row>
    <row r="669" spans="1:14">
      <c r="A669" s="36" t="s">
        <v>32</v>
      </c>
      <c r="B669" s="37">
        <v>44408</v>
      </c>
      <c r="C669" s="36" t="s">
        <v>188</v>
      </c>
      <c r="D669" s="36" t="s">
        <v>408</v>
      </c>
      <c r="E669" s="36" t="s">
        <v>76</v>
      </c>
      <c r="G669" s="87">
        <v>2010000</v>
      </c>
      <c r="H669" s="87">
        <v>201000</v>
      </c>
      <c r="I669" s="87">
        <v>2211000</v>
      </c>
      <c r="K669" s="85">
        <v>2021</v>
      </c>
      <c r="L669" s="85">
        <v>7</v>
      </c>
      <c r="N669" s="208" t="s">
        <v>44</v>
      </c>
    </row>
    <row r="670" spans="1:14">
      <c r="A670" s="36" t="s">
        <v>32</v>
      </c>
      <c r="B670" s="37">
        <v>44408</v>
      </c>
      <c r="C670" s="36" t="s">
        <v>188</v>
      </c>
      <c r="D670" s="36" t="s">
        <v>193</v>
      </c>
      <c r="E670" s="36" t="s">
        <v>76</v>
      </c>
      <c r="G670" s="87">
        <v>1970000</v>
      </c>
      <c r="H670" s="87">
        <v>197000</v>
      </c>
      <c r="I670" s="87">
        <v>2167000</v>
      </c>
      <c r="K670" s="85">
        <v>2021</v>
      </c>
      <c r="L670" s="85">
        <v>7</v>
      </c>
      <c r="N670" s="208" t="s">
        <v>44</v>
      </c>
    </row>
    <row r="671" spans="1:14">
      <c r="A671" s="36" t="s">
        <v>32</v>
      </c>
      <c r="B671" s="37">
        <v>44408</v>
      </c>
      <c r="C671" s="36" t="s">
        <v>188</v>
      </c>
      <c r="D671" s="36" t="s">
        <v>409</v>
      </c>
      <c r="E671" s="36" t="s">
        <v>76</v>
      </c>
      <c r="G671" s="87">
        <v>3380000</v>
      </c>
      <c r="H671" s="87">
        <v>338000</v>
      </c>
      <c r="I671" s="87">
        <v>3718000</v>
      </c>
      <c r="K671" s="85">
        <v>2021</v>
      </c>
      <c r="L671" s="85">
        <v>7</v>
      </c>
      <c r="N671" s="208" t="s">
        <v>44</v>
      </c>
    </row>
    <row r="672" spans="1:14">
      <c r="A672" s="36" t="s">
        <v>32</v>
      </c>
      <c r="B672" s="37">
        <v>44408</v>
      </c>
      <c r="C672" s="36" t="s">
        <v>188</v>
      </c>
      <c r="D672" s="36" t="s">
        <v>410</v>
      </c>
      <c r="E672" s="36" t="s">
        <v>76</v>
      </c>
      <c r="G672" s="87">
        <v>12480000</v>
      </c>
      <c r="H672" s="87">
        <v>1248000</v>
      </c>
      <c r="I672" s="87">
        <v>13728000</v>
      </c>
      <c r="K672" s="85">
        <v>2021</v>
      </c>
      <c r="L672" s="85">
        <v>7</v>
      </c>
      <c r="N672" s="208" t="s">
        <v>44</v>
      </c>
    </row>
    <row r="673" spans="1:14">
      <c r="A673" s="36" t="s">
        <v>32</v>
      </c>
      <c r="B673" s="37">
        <v>44408</v>
      </c>
      <c r="C673" s="36" t="s">
        <v>188</v>
      </c>
      <c r="D673" s="36" t="s">
        <v>460</v>
      </c>
      <c r="E673" s="36" t="s">
        <v>76</v>
      </c>
      <c r="G673" s="87">
        <v>5950000</v>
      </c>
      <c r="H673" s="87">
        <v>595000</v>
      </c>
      <c r="I673" s="87">
        <v>6545000</v>
      </c>
      <c r="K673" s="85">
        <v>2021</v>
      </c>
      <c r="L673" s="85">
        <v>7</v>
      </c>
      <c r="N673" s="208" t="s">
        <v>44</v>
      </c>
    </row>
    <row r="674" spans="1:14">
      <c r="A674" s="36" t="s">
        <v>32</v>
      </c>
      <c r="B674" s="37">
        <v>44408</v>
      </c>
      <c r="C674" s="36" t="s">
        <v>188</v>
      </c>
      <c r="D674" s="36" t="s">
        <v>461</v>
      </c>
      <c r="E674" s="36" t="s">
        <v>76</v>
      </c>
      <c r="G674" s="87">
        <v>3150000</v>
      </c>
      <c r="H674" s="87">
        <v>315000</v>
      </c>
      <c r="I674" s="87">
        <v>3465000</v>
      </c>
      <c r="K674" s="85">
        <v>2021</v>
      </c>
      <c r="L674" s="85">
        <v>7</v>
      </c>
      <c r="N674" s="208" t="s">
        <v>44</v>
      </c>
    </row>
    <row r="675" spans="1:14">
      <c r="A675" s="36" t="s">
        <v>32</v>
      </c>
      <c r="B675" s="37">
        <v>44408</v>
      </c>
      <c r="C675" s="36" t="s">
        <v>411</v>
      </c>
      <c r="D675" s="36" t="s">
        <v>462</v>
      </c>
      <c r="E675" s="36" t="s">
        <v>76</v>
      </c>
      <c r="G675" s="87">
        <v>10329000</v>
      </c>
      <c r="H675" s="87">
        <v>1032900</v>
      </c>
      <c r="I675" s="87">
        <v>11361900</v>
      </c>
      <c r="K675" s="85">
        <v>2021</v>
      </c>
      <c r="L675" s="85">
        <v>7</v>
      </c>
      <c r="N675" s="208" t="s">
        <v>44</v>
      </c>
    </row>
    <row r="676" spans="1:14">
      <c r="A676" s="36" t="s">
        <v>32</v>
      </c>
      <c r="B676" s="37">
        <v>44408</v>
      </c>
      <c r="C676" s="36" t="s">
        <v>175</v>
      </c>
      <c r="D676" s="36" t="s">
        <v>463</v>
      </c>
      <c r="E676" s="36" t="s">
        <v>76</v>
      </c>
      <c r="G676" s="87">
        <v>5311280</v>
      </c>
      <c r="H676" s="87">
        <v>531128</v>
      </c>
      <c r="I676" s="87">
        <v>5842408</v>
      </c>
      <c r="K676" s="85">
        <v>2021</v>
      </c>
      <c r="L676" s="85">
        <v>7</v>
      </c>
      <c r="N676" s="208" t="s">
        <v>44</v>
      </c>
    </row>
    <row r="677" spans="1:14">
      <c r="A677" s="36" t="s">
        <v>32</v>
      </c>
      <c r="B677" s="37">
        <v>44408</v>
      </c>
      <c r="C677" s="36" t="s">
        <v>175</v>
      </c>
      <c r="D677" s="36" t="s">
        <v>178</v>
      </c>
      <c r="E677" s="36" t="s">
        <v>76</v>
      </c>
      <c r="G677" s="87">
        <v>7189200</v>
      </c>
      <c r="H677" s="87">
        <v>718920</v>
      </c>
      <c r="I677" s="87">
        <v>7908120</v>
      </c>
      <c r="K677" s="85">
        <v>2021</v>
      </c>
      <c r="L677" s="85">
        <v>7</v>
      </c>
      <c r="N677" s="208" t="s">
        <v>44</v>
      </c>
    </row>
    <row r="678" spans="1:14">
      <c r="A678" s="36" t="s">
        <v>32</v>
      </c>
      <c r="B678" s="37">
        <v>44408</v>
      </c>
      <c r="C678" s="36" t="s">
        <v>175</v>
      </c>
      <c r="D678" s="36" t="s">
        <v>464</v>
      </c>
      <c r="E678" s="36" t="s">
        <v>76</v>
      </c>
      <c r="G678" s="87">
        <v>11305900</v>
      </c>
      <c r="H678" s="87">
        <v>1130590</v>
      </c>
      <c r="I678" s="87">
        <v>12436490</v>
      </c>
      <c r="K678" s="85">
        <v>2021</v>
      </c>
      <c r="L678" s="85">
        <v>7</v>
      </c>
      <c r="N678" s="208" t="s">
        <v>44</v>
      </c>
    </row>
    <row r="679" spans="1:14">
      <c r="A679" s="36" t="s">
        <v>32</v>
      </c>
      <c r="B679" s="37">
        <v>44408</v>
      </c>
      <c r="C679" s="36" t="s">
        <v>175</v>
      </c>
      <c r="D679" s="36" t="s">
        <v>465</v>
      </c>
      <c r="E679" s="36" t="s">
        <v>78</v>
      </c>
      <c r="G679" s="87">
        <v>14218400</v>
      </c>
      <c r="H679" s="87">
        <v>1421840</v>
      </c>
      <c r="I679" s="87">
        <v>15640240</v>
      </c>
      <c r="K679" s="85">
        <v>2021</v>
      </c>
      <c r="L679" s="85">
        <v>7</v>
      </c>
      <c r="N679" s="208" t="s">
        <v>44</v>
      </c>
    </row>
    <row r="680" spans="1:14">
      <c r="A680" s="36" t="s">
        <v>32</v>
      </c>
      <c r="B680" s="37">
        <v>44408</v>
      </c>
      <c r="C680" s="36" t="s">
        <v>466</v>
      </c>
      <c r="D680" s="36" t="s">
        <v>467</v>
      </c>
      <c r="E680" s="36" t="s">
        <v>76</v>
      </c>
      <c r="G680" s="87">
        <v>14264880</v>
      </c>
      <c r="H680" s="87">
        <v>1426488</v>
      </c>
      <c r="I680" s="87">
        <v>15691368</v>
      </c>
      <c r="K680" s="85">
        <v>2021</v>
      </c>
      <c r="L680" s="85">
        <v>7</v>
      </c>
      <c r="N680" s="208" t="s">
        <v>44</v>
      </c>
    </row>
    <row r="681" spans="1:14">
      <c r="A681" s="36" t="s">
        <v>33</v>
      </c>
      <c r="B681" s="37">
        <v>44408</v>
      </c>
      <c r="C681" s="36" t="s">
        <v>115</v>
      </c>
      <c r="D681" s="36" t="s">
        <v>371</v>
      </c>
      <c r="E681" s="36" t="s">
        <v>468</v>
      </c>
      <c r="G681" s="87">
        <v>540909</v>
      </c>
      <c r="H681" s="87">
        <v>54091</v>
      </c>
      <c r="I681" s="87">
        <v>594999.9</v>
      </c>
      <c r="K681" s="85">
        <v>2021</v>
      </c>
      <c r="L681" s="85">
        <v>7</v>
      </c>
      <c r="M681" s="36" t="s">
        <v>107</v>
      </c>
      <c r="N681" s="208" t="s">
        <v>44</v>
      </c>
    </row>
    <row r="682" spans="1:14">
      <c r="A682" s="36" t="s">
        <v>33</v>
      </c>
      <c r="B682" s="37">
        <v>44408</v>
      </c>
      <c r="C682" s="36" t="s">
        <v>115</v>
      </c>
      <c r="D682" s="36" t="s">
        <v>371</v>
      </c>
      <c r="E682" s="36" t="s">
        <v>469</v>
      </c>
      <c r="G682" s="87">
        <v>655454</v>
      </c>
      <c r="H682" s="87">
        <v>655456</v>
      </c>
      <c r="I682" s="87">
        <v>721000</v>
      </c>
      <c r="K682" s="85">
        <v>2021</v>
      </c>
      <c r="L682" s="85">
        <v>7</v>
      </c>
      <c r="M682" s="36" t="s">
        <v>107</v>
      </c>
      <c r="N682" s="208" t="s">
        <v>44</v>
      </c>
    </row>
    <row r="683" spans="1:14">
      <c r="A683" s="36" t="s">
        <v>33</v>
      </c>
      <c r="B683" s="37">
        <v>44408</v>
      </c>
      <c r="C683" s="36" t="s">
        <v>115</v>
      </c>
      <c r="D683" s="36" t="s">
        <v>371</v>
      </c>
      <c r="E683" s="36" t="s">
        <v>470</v>
      </c>
      <c r="G683" s="87">
        <v>120909</v>
      </c>
      <c r="H683" s="87">
        <v>12091</v>
      </c>
      <c r="I683" s="87">
        <v>132999.9</v>
      </c>
      <c r="K683" s="85">
        <v>2021</v>
      </c>
      <c r="L683" s="85">
        <v>7</v>
      </c>
      <c r="M683" s="36" t="s">
        <v>107</v>
      </c>
      <c r="N683" s="208" t="s">
        <v>44</v>
      </c>
    </row>
    <row r="684" spans="1:14">
      <c r="A684" s="36" t="s">
        <v>33</v>
      </c>
      <c r="B684" s="37">
        <v>44408</v>
      </c>
      <c r="C684" s="36" t="s">
        <v>115</v>
      </c>
      <c r="D684" s="36" t="s">
        <v>371</v>
      </c>
      <c r="E684" s="36" t="s">
        <v>471</v>
      </c>
      <c r="G684" s="87">
        <v>655454</v>
      </c>
      <c r="H684" s="87">
        <v>65546</v>
      </c>
      <c r="I684" s="87">
        <v>721000</v>
      </c>
      <c r="K684" s="85">
        <v>2021</v>
      </c>
      <c r="L684" s="85">
        <v>7</v>
      </c>
      <c r="M684" s="36" t="s">
        <v>107</v>
      </c>
      <c r="N684" s="208" t="s">
        <v>44</v>
      </c>
    </row>
    <row r="685" spans="1:14">
      <c r="A685" s="36" t="s">
        <v>33</v>
      </c>
      <c r="B685" s="37">
        <v>44408</v>
      </c>
      <c r="C685" s="36" t="s">
        <v>115</v>
      </c>
      <c r="D685" s="36" t="s">
        <v>371</v>
      </c>
      <c r="E685" s="36" t="s">
        <v>472</v>
      </c>
      <c r="G685" s="87">
        <v>540909</v>
      </c>
      <c r="H685" s="87">
        <v>54090.9</v>
      </c>
      <c r="I685" s="87">
        <v>594999.9</v>
      </c>
      <c r="K685" s="85">
        <v>2021</v>
      </c>
      <c r="L685" s="85">
        <v>7</v>
      </c>
      <c r="M685" s="36" t="s">
        <v>107</v>
      </c>
      <c r="N685" s="208" t="s">
        <v>44</v>
      </c>
    </row>
    <row r="686" spans="1:14">
      <c r="A686" s="36" t="s">
        <v>33</v>
      </c>
      <c r="B686" s="37">
        <v>44408</v>
      </c>
      <c r="C686" s="36" t="s">
        <v>168</v>
      </c>
      <c r="D686" s="36" t="s">
        <v>258</v>
      </c>
      <c r="E686" s="36" t="s">
        <v>125</v>
      </c>
      <c r="G686" s="87">
        <v>1339800</v>
      </c>
      <c r="H686" s="87">
        <v>133980</v>
      </c>
      <c r="I686" s="87">
        <v>1473780</v>
      </c>
      <c r="K686" s="85">
        <v>2021</v>
      </c>
      <c r="L686" s="85">
        <v>7</v>
      </c>
      <c r="N686" s="208" t="s">
        <v>44</v>
      </c>
    </row>
    <row r="687" spans="1:14">
      <c r="A687" s="36" t="s">
        <v>33</v>
      </c>
      <c r="B687" s="37">
        <v>44408</v>
      </c>
      <c r="C687" s="36" t="s">
        <v>82</v>
      </c>
      <c r="D687" s="36" t="s">
        <v>452</v>
      </c>
      <c r="E687" s="36" t="s">
        <v>473</v>
      </c>
      <c r="G687" s="87">
        <v>408000</v>
      </c>
      <c r="H687" s="87">
        <v>40800</v>
      </c>
      <c r="I687" s="87">
        <v>448800</v>
      </c>
      <c r="K687" s="85">
        <v>2021</v>
      </c>
      <c r="L687" s="85">
        <v>7</v>
      </c>
      <c r="N687" s="208" t="s">
        <v>44</v>
      </c>
    </row>
    <row r="688" spans="1:14">
      <c r="A688" s="36" t="s">
        <v>33</v>
      </c>
      <c r="B688" s="37">
        <v>44408</v>
      </c>
      <c r="C688" s="36" t="s">
        <v>103</v>
      </c>
      <c r="D688" s="36" t="s">
        <v>205</v>
      </c>
      <c r="E688" s="36" t="s">
        <v>78</v>
      </c>
      <c r="G688" s="87">
        <v>327000</v>
      </c>
      <c r="H688" s="87">
        <v>32700</v>
      </c>
      <c r="I688" s="87">
        <v>359700</v>
      </c>
      <c r="K688" s="85">
        <v>2021</v>
      </c>
      <c r="L688" s="85">
        <v>7</v>
      </c>
      <c r="N688" s="208" t="s">
        <v>44</v>
      </c>
    </row>
    <row r="689" spans="1:14">
      <c r="A689" s="36" t="s">
        <v>32</v>
      </c>
      <c r="B689" s="37">
        <v>44408</v>
      </c>
      <c r="C689" s="36" t="s">
        <v>474</v>
      </c>
      <c r="D689" s="36" t="s">
        <v>430</v>
      </c>
      <c r="E689" s="36" t="s">
        <v>76</v>
      </c>
      <c r="F689" s="89">
        <v>37.5</v>
      </c>
      <c r="G689" s="87">
        <v>7483000</v>
      </c>
      <c r="H689" s="87">
        <v>748300</v>
      </c>
      <c r="I689" s="87">
        <v>8231300</v>
      </c>
      <c r="K689" s="85">
        <v>2021</v>
      </c>
      <c r="L689" s="85">
        <v>7</v>
      </c>
      <c r="N689" s="208" t="s">
        <v>44</v>
      </c>
    </row>
    <row r="690" spans="1:14">
      <c r="A690" s="36" t="s">
        <v>33</v>
      </c>
      <c r="B690" s="37">
        <v>44409</v>
      </c>
      <c r="C690" s="36" t="s">
        <v>260</v>
      </c>
      <c r="D690" s="36" t="s">
        <v>261</v>
      </c>
      <c r="E690" s="36" t="s">
        <v>475</v>
      </c>
      <c r="G690" s="87">
        <v>972000</v>
      </c>
      <c r="H690" s="87">
        <v>97200</v>
      </c>
      <c r="I690" s="87">
        <v>1069200</v>
      </c>
      <c r="K690" s="85">
        <v>2021</v>
      </c>
      <c r="L690" s="85">
        <v>8</v>
      </c>
      <c r="N690" s="208" t="s">
        <v>44</v>
      </c>
    </row>
    <row r="691" spans="1:14">
      <c r="A691" s="36" t="s">
        <v>32</v>
      </c>
      <c r="B691" s="37">
        <v>44409</v>
      </c>
      <c r="C691" s="36" t="s">
        <v>285</v>
      </c>
      <c r="D691" s="36" t="s">
        <v>476</v>
      </c>
      <c r="E691" s="36" t="s">
        <v>78</v>
      </c>
      <c r="G691" s="87">
        <v>7950504</v>
      </c>
      <c r="H691" s="87">
        <v>795050.4</v>
      </c>
      <c r="I691" s="87">
        <v>8745554.4000000004</v>
      </c>
      <c r="K691" s="85">
        <v>2021</v>
      </c>
      <c r="L691" s="85">
        <v>8</v>
      </c>
      <c r="N691" s="208" t="s">
        <v>44</v>
      </c>
    </row>
    <row r="692" spans="1:14">
      <c r="A692" s="36" t="s">
        <v>32</v>
      </c>
      <c r="B692" s="37">
        <v>44409</v>
      </c>
      <c r="C692" s="36" t="s">
        <v>171</v>
      </c>
      <c r="D692" s="36" t="s">
        <v>319</v>
      </c>
      <c r="E692" s="36" t="s">
        <v>78</v>
      </c>
      <c r="G692" s="87">
        <v>22958400</v>
      </c>
      <c r="H692" s="87">
        <v>2295840</v>
      </c>
      <c r="I692" s="87">
        <v>25254240</v>
      </c>
      <c r="K692" s="85">
        <v>2021</v>
      </c>
      <c r="L692" s="85">
        <v>8</v>
      </c>
      <c r="N692" s="208" t="s">
        <v>44</v>
      </c>
    </row>
    <row r="693" spans="1:14">
      <c r="A693" s="36" t="s">
        <v>32</v>
      </c>
      <c r="B693" s="37">
        <v>44409</v>
      </c>
      <c r="C693" s="36" t="s">
        <v>188</v>
      </c>
      <c r="D693" s="36" t="s">
        <v>139</v>
      </c>
      <c r="E693" s="36" t="s">
        <v>76</v>
      </c>
      <c r="G693" s="87">
        <v>2000000</v>
      </c>
      <c r="H693" s="87">
        <v>200000</v>
      </c>
      <c r="I693" s="87">
        <v>2200000</v>
      </c>
      <c r="K693" s="85">
        <v>2021</v>
      </c>
      <c r="L693" s="85">
        <v>8</v>
      </c>
      <c r="N693" s="208" t="s">
        <v>44</v>
      </c>
    </row>
    <row r="694" spans="1:14">
      <c r="A694" s="36" t="s">
        <v>32</v>
      </c>
      <c r="B694" s="37">
        <v>44409</v>
      </c>
      <c r="C694" s="36" t="s">
        <v>411</v>
      </c>
      <c r="D694" s="36" t="s">
        <v>412</v>
      </c>
      <c r="E694" s="36" t="s">
        <v>78</v>
      </c>
      <c r="G694" s="87">
        <v>6968000</v>
      </c>
      <c r="H694" s="87">
        <v>696800</v>
      </c>
      <c r="I694" s="87">
        <v>7664800</v>
      </c>
      <c r="K694" s="85">
        <v>2021</v>
      </c>
      <c r="L694" s="85">
        <v>8</v>
      </c>
      <c r="N694" s="208" t="s">
        <v>44</v>
      </c>
    </row>
    <row r="695" spans="1:14">
      <c r="A695" s="36" t="s">
        <v>32</v>
      </c>
      <c r="B695" s="37">
        <v>44409</v>
      </c>
      <c r="C695" s="36" t="s">
        <v>411</v>
      </c>
      <c r="D695" s="36" t="s">
        <v>412</v>
      </c>
      <c r="E695" s="36" t="s">
        <v>269</v>
      </c>
      <c r="G695" s="87">
        <v>18059000</v>
      </c>
      <c r="H695" s="87">
        <v>1805900</v>
      </c>
      <c r="I695" s="87">
        <v>19864900</v>
      </c>
      <c r="K695" s="85">
        <v>2021</v>
      </c>
      <c r="L695" s="85">
        <v>8</v>
      </c>
      <c r="N695" s="208" t="s">
        <v>44</v>
      </c>
    </row>
    <row r="696" spans="1:14">
      <c r="A696" s="36" t="s">
        <v>32</v>
      </c>
      <c r="B696" s="37">
        <v>44410</v>
      </c>
      <c r="C696" s="36" t="s">
        <v>204</v>
      </c>
      <c r="D696" s="36" t="s">
        <v>205</v>
      </c>
      <c r="E696" s="36" t="s">
        <v>148</v>
      </c>
      <c r="J696" s="87">
        <v>26253180.800000001</v>
      </c>
      <c r="K696" s="85">
        <v>2021</v>
      </c>
      <c r="L696" s="85">
        <v>6</v>
      </c>
      <c r="N696" s="208" t="s">
        <v>44</v>
      </c>
    </row>
    <row r="697" spans="1:14">
      <c r="A697" s="36" t="s">
        <v>19</v>
      </c>
      <c r="B697" s="37">
        <v>44410</v>
      </c>
      <c r="C697" s="36" t="s">
        <v>397</v>
      </c>
      <c r="D697" s="36" t="s">
        <v>372</v>
      </c>
      <c r="E697" s="36" t="s">
        <v>148</v>
      </c>
      <c r="J697" s="87">
        <v>26290550</v>
      </c>
      <c r="K697" s="85">
        <v>2021</v>
      </c>
      <c r="L697" s="85">
        <v>6</v>
      </c>
      <c r="N697" s="208" t="s">
        <v>44</v>
      </c>
    </row>
    <row r="698" spans="1:14">
      <c r="A698" s="36" t="s">
        <v>33</v>
      </c>
      <c r="B698" s="37">
        <v>44410</v>
      </c>
      <c r="C698" s="36" t="s">
        <v>103</v>
      </c>
      <c r="D698" s="36" t="s">
        <v>205</v>
      </c>
      <c r="E698" s="36" t="s">
        <v>148</v>
      </c>
      <c r="J698" s="87">
        <v>6563295.2000000002</v>
      </c>
      <c r="K698" s="85">
        <v>2021</v>
      </c>
      <c r="L698" s="85">
        <v>7</v>
      </c>
      <c r="N698" s="208" t="s">
        <v>44</v>
      </c>
    </row>
    <row r="699" spans="1:14">
      <c r="A699" s="36" t="s">
        <v>33</v>
      </c>
      <c r="B699" s="37">
        <v>44411</v>
      </c>
      <c r="C699" s="36" t="s">
        <v>395</v>
      </c>
      <c r="D699" s="36" t="s">
        <v>229</v>
      </c>
      <c r="E699" s="36" t="s">
        <v>148</v>
      </c>
      <c r="J699" s="38">
        <v>5495000</v>
      </c>
      <c r="K699" s="85">
        <v>2021</v>
      </c>
      <c r="L699" s="85">
        <v>7</v>
      </c>
      <c r="M699" s="36" t="s">
        <v>107</v>
      </c>
      <c r="N699" s="208" t="s">
        <v>44</v>
      </c>
    </row>
    <row r="700" spans="1:14">
      <c r="A700" s="36" t="s">
        <v>32</v>
      </c>
      <c r="B700" s="37">
        <v>44411</v>
      </c>
      <c r="C700" s="36" t="s">
        <v>188</v>
      </c>
      <c r="D700" s="36" t="s">
        <v>443</v>
      </c>
      <c r="E700" s="36" t="s">
        <v>77</v>
      </c>
      <c r="J700" s="38">
        <v>14037540</v>
      </c>
      <c r="K700" s="85">
        <v>2021</v>
      </c>
      <c r="L700" s="85">
        <v>7</v>
      </c>
      <c r="N700" s="208" t="s">
        <v>44</v>
      </c>
    </row>
    <row r="701" spans="1:14">
      <c r="A701" s="36" t="s">
        <v>32</v>
      </c>
      <c r="B701" s="37">
        <v>44411</v>
      </c>
      <c r="C701" s="36" t="s">
        <v>411</v>
      </c>
      <c r="D701" s="36" t="s">
        <v>412</v>
      </c>
      <c r="E701" s="36" t="s">
        <v>148</v>
      </c>
      <c r="J701" s="38">
        <v>4884000</v>
      </c>
      <c r="K701" s="85">
        <v>2021</v>
      </c>
      <c r="L701" s="85">
        <v>6</v>
      </c>
      <c r="N701" s="208" t="s">
        <v>44</v>
      </c>
    </row>
    <row r="702" spans="1:14">
      <c r="A702" s="36" t="s">
        <v>33</v>
      </c>
      <c r="B702" s="37">
        <v>44411</v>
      </c>
      <c r="C702" s="36" t="s">
        <v>115</v>
      </c>
      <c r="D702" s="36" t="s">
        <v>371</v>
      </c>
      <c r="E702" s="36" t="s">
        <v>148</v>
      </c>
      <c r="J702" s="38">
        <v>2765000</v>
      </c>
      <c r="K702" s="85">
        <v>2021</v>
      </c>
      <c r="L702" s="85">
        <v>7</v>
      </c>
      <c r="M702" s="36" t="s">
        <v>107</v>
      </c>
      <c r="N702" s="208" t="s">
        <v>44</v>
      </c>
    </row>
    <row r="703" spans="1:14">
      <c r="A703" s="36" t="s">
        <v>19</v>
      </c>
      <c r="B703" s="37">
        <v>44411</v>
      </c>
      <c r="C703" s="36" t="s">
        <v>422</v>
      </c>
      <c r="D703" s="36" t="s">
        <v>423</v>
      </c>
      <c r="E703" s="36" t="s">
        <v>148</v>
      </c>
      <c r="J703" s="38">
        <v>1473780</v>
      </c>
      <c r="K703" s="85">
        <v>2021</v>
      </c>
      <c r="L703" s="85">
        <v>7</v>
      </c>
      <c r="N703" s="208" t="s">
        <v>44</v>
      </c>
    </row>
    <row r="704" spans="1:14">
      <c r="A704" s="36" t="s">
        <v>33</v>
      </c>
      <c r="B704" s="37">
        <v>44414</v>
      </c>
      <c r="C704" s="36" t="s">
        <v>477</v>
      </c>
      <c r="D704" s="36" t="s">
        <v>478</v>
      </c>
      <c r="E704" s="36" t="s">
        <v>479</v>
      </c>
      <c r="G704" s="87">
        <v>3800000</v>
      </c>
      <c r="H704" s="87">
        <v>380000</v>
      </c>
      <c r="I704" s="87">
        <v>4180000</v>
      </c>
      <c r="K704" s="85">
        <v>2021</v>
      </c>
      <c r="L704" s="85">
        <v>8</v>
      </c>
      <c r="N704" s="208" t="s">
        <v>44</v>
      </c>
    </row>
    <row r="705" spans="1:14">
      <c r="A705" s="36" t="s">
        <v>33</v>
      </c>
      <c r="B705" s="37">
        <v>44414</v>
      </c>
      <c r="C705" s="36" t="s">
        <v>477</v>
      </c>
      <c r="D705" s="36" t="s">
        <v>478</v>
      </c>
      <c r="E705" s="36" t="s">
        <v>77</v>
      </c>
      <c r="J705" s="38">
        <v>4180000</v>
      </c>
      <c r="K705" s="85">
        <v>2021</v>
      </c>
      <c r="L705" s="85">
        <v>8</v>
      </c>
      <c r="N705" s="208" t="s">
        <v>44</v>
      </c>
    </row>
    <row r="706" spans="1:14">
      <c r="A706" s="36" t="s">
        <v>33</v>
      </c>
      <c r="B706" s="37">
        <v>44417</v>
      </c>
      <c r="C706" s="36" t="s">
        <v>98</v>
      </c>
      <c r="D706" s="36" t="s">
        <v>182</v>
      </c>
      <c r="E706" s="36" t="s">
        <v>77</v>
      </c>
      <c r="J706" s="38">
        <v>66000</v>
      </c>
      <c r="K706" s="85">
        <v>2021</v>
      </c>
      <c r="L706" s="85">
        <v>6</v>
      </c>
      <c r="N706" s="208" t="s">
        <v>44</v>
      </c>
    </row>
    <row r="707" spans="1:14">
      <c r="A707" s="36" t="s">
        <v>32</v>
      </c>
      <c r="B707" s="37">
        <v>44417</v>
      </c>
      <c r="C707" s="36" t="s">
        <v>171</v>
      </c>
      <c r="D707" s="36" t="s">
        <v>458</v>
      </c>
      <c r="E707" s="36" t="s">
        <v>77</v>
      </c>
      <c r="J707" s="38">
        <v>6881600</v>
      </c>
      <c r="K707" s="85">
        <v>2021</v>
      </c>
      <c r="L707" s="85">
        <v>7</v>
      </c>
      <c r="N707" s="208" t="s">
        <v>44</v>
      </c>
    </row>
    <row r="708" spans="1:14">
      <c r="A708" s="36" t="s">
        <v>32</v>
      </c>
      <c r="B708" s="37">
        <v>44417</v>
      </c>
      <c r="C708" s="36" t="s">
        <v>188</v>
      </c>
      <c r="D708" s="36" t="s">
        <v>193</v>
      </c>
      <c r="E708" s="36" t="s">
        <v>148</v>
      </c>
      <c r="J708" s="87">
        <v>5621000</v>
      </c>
      <c r="K708" s="85">
        <v>2021</v>
      </c>
      <c r="L708" s="85">
        <v>6</v>
      </c>
      <c r="N708" s="208" t="s">
        <v>44</v>
      </c>
    </row>
    <row r="709" spans="1:14">
      <c r="A709" s="36" t="s">
        <v>33</v>
      </c>
      <c r="B709" s="37">
        <v>44418</v>
      </c>
      <c r="C709" s="36" t="s">
        <v>120</v>
      </c>
      <c r="D709" s="36" t="s">
        <v>121</v>
      </c>
      <c r="E709" s="36" t="s">
        <v>122</v>
      </c>
      <c r="G709" s="87">
        <v>477272</v>
      </c>
      <c r="H709" s="87">
        <v>47728</v>
      </c>
      <c r="I709" s="87">
        <v>525000</v>
      </c>
      <c r="K709" s="85">
        <v>2021</v>
      </c>
      <c r="L709" s="85">
        <v>8</v>
      </c>
      <c r="N709" s="208" t="s">
        <v>44</v>
      </c>
    </row>
    <row r="710" spans="1:14">
      <c r="A710" s="36" t="s">
        <v>32</v>
      </c>
      <c r="B710" s="37">
        <v>44418</v>
      </c>
      <c r="C710" s="36" t="s">
        <v>180</v>
      </c>
      <c r="D710" s="36" t="s">
        <v>344</v>
      </c>
      <c r="E710" s="36" t="s">
        <v>77</v>
      </c>
      <c r="J710" s="87">
        <v>3300000</v>
      </c>
      <c r="K710" s="85">
        <v>2021</v>
      </c>
      <c r="L710" s="85">
        <v>7</v>
      </c>
      <c r="N710" s="208" t="s">
        <v>44</v>
      </c>
    </row>
    <row r="711" spans="1:14">
      <c r="A711" s="36" t="s">
        <v>32</v>
      </c>
      <c r="B711" s="37">
        <v>44418</v>
      </c>
      <c r="C711" s="36" t="s">
        <v>81</v>
      </c>
      <c r="D711" s="36" t="s">
        <v>450</v>
      </c>
      <c r="E711" s="36" t="s">
        <v>77</v>
      </c>
      <c r="J711" s="87">
        <v>2640000</v>
      </c>
      <c r="K711" s="85">
        <v>2021</v>
      </c>
      <c r="L711" s="85">
        <v>7</v>
      </c>
      <c r="N711" s="208" t="s">
        <v>44</v>
      </c>
    </row>
    <row r="712" spans="1:14">
      <c r="A712" s="36" t="s">
        <v>18</v>
      </c>
      <c r="B712" s="37">
        <v>44418</v>
      </c>
      <c r="C712" s="36" t="s">
        <v>391</v>
      </c>
      <c r="D712" s="36" t="s">
        <v>393</v>
      </c>
      <c r="E712" s="36" t="s">
        <v>148</v>
      </c>
      <c r="J712" s="38">
        <v>10000000</v>
      </c>
      <c r="K712" s="85">
        <v>2021</v>
      </c>
      <c r="L712" s="85">
        <v>6</v>
      </c>
      <c r="N712" s="208" t="s">
        <v>44</v>
      </c>
    </row>
    <row r="713" spans="1:14">
      <c r="A713" s="36" t="s">
        <v>33</v>
      </c>
      <c r="B713" s="37">
        <v>44420</v>
      </c>
      <c r="C713" s="36" t="s">
        <v>120</v>
      </c>
      <c r="D713" s="36" t="s">
        <v>121</v>
      </c>
      <c r="E713" s="36" t="s">
        <v>77</v>
      </c>
      <c r="J713" s="38">
        <v>525000</v>
      </c>
      <c r="K713" s="85">
        <v>2021</v>
      </c>
      <c r="L713" s="85">
        <v>8</v>
      </c>
      <c r="N713" s="208" t="s">
        <v>44</v>
      </c>
    </row>
    <row r="714" spans="1:14">
      <c r="A714" s="36" t="s">
        <v>33</v>
      </c>
      <c r="B714" s="37">
        <v>44420</v>
      </c>
      <c r="C714" s="36" t="s">
        <v>260</v>
      </c>
      <c r="D714" s="36" t="s">
        <v>261</v>
      </c>
      <c r="E714" s="36" t="s">
        <v>77</v>
      </c>
      <c r="J714" s="38">
        <v>1069200</v>
      </c>
      <c r="K714" s="85">
        <v>2021</v>
      </c>
      <c r="L714" s="85">
        <v>8</v>
      </c>
      <c r="N714" s="208" t="s">
        <v>44</v>
      </c>
    </row>
    <row r="715" spans="1:14">
      <c r="A715" s="36" t="s">
        <v>32</v>
      </c>
      <c r="B715" s="37">
        <v>44420</v>
      </c>
      <c r="C715" s="36" t="s">
        <v>459</v>
      </c>
      <c r="D715" s="36" t="s">
        <v>261</v>
      </c>
      <c r="E715" s="36" t="s">
        <v>148</v>
      </c>
      <c r="J715" s="38">
        <v>8823870</v>
      </c>
      <c r="K715" s="85">
        <v>2021</v>
      </c>
      <c r="L715" s="85">
        <v>7</v>
      </c>
      <c r="N715" s="208" t="s">
        <v>44</v>
      </c>
    </row>
    <row r="716" spans="1:14">
      <c r="A716" s="36" t="s">
        <v>32</v>
      </c>
      <c r="B716" s="37">
        <v>44420</v>
      </c>
      <c r="C716" s="36" t="s">
        <v>459</v>
      </c>
      <c r="D716" s="36" t="s">
        <v>261</v>
      </c>
      <c r="E716" s="36" t="s">
        <v>480</v>
      </c>
      <c r="J716" s="38">
        <v>107800</v>
      </c>
      <c r="K716" s="85">
        <v>2021</v>
      </c>
      <c r="L716" s="85">
        <v>7</v>
      </c>
      <c r="N716" s="208" t="s">
        <v>44</v>
      </c>
    </row>
    <row r="717" spans="1:14">
      <c r="A717" s="36" t="s">
        <v>32</v>
      </c>
      <c r="B717" s="37">
        <v>44420</v>
      </c>
      <c r="C717" s="36" t="s">
        <v>415</v>
      </c>
      <c r="D717" s="36" t="s">
        <v>416</v>
      </c>
      <c r="E717" s="36" t="s">
        <v>148</v>
      </c>
      <c r="J717" s="38">
        <v>1320000</v>
      </c>
      <c r="K717" s="85">
        <v>2021</v>
      </c>
      <c r="L717" s="85">
        <v>6</v>
      </c>
      <c r="N717" s="208" t="s">
        <v>44</v>
      </c>
    </row>
    <row r="718" spans="1:14">
      <c r="A718" s="36" t="s">
        <v>32</v>
      </c>
      <c r="B718" s="37">
        <v>44425</v>
      </c>
      <c r="C718" s="36" t="s">
        <v>346</v>
      </c>
      <c r="D718" s="36" t="s">
        <v>378</v>
      </c>
      <c r="E718" s="36" t="s">
        <v>148</v>
      </c>
      <c r="J718" s="87">
        <v>6853000</v>
      </c>
      <c r="K718" s="85">
        <v>2021</v>
      </c>
      <c r="L718" s="85">
        <v>6</v>
      </c>
      <c r="N718" s="208" t="s">
        <v>44</v>
      </c>
    </row>
    <row r="719" spans="1:14">
      <c r="A719" s="36" t="s">
        <v>32</v>
      </c>
      <c r="B719" s="37">
        <v>44426</v>
      </c>
      <c r="C719" s="36" t="s">
        <v>339</v>
      </c>
      <c r="D719" s="36" t="s">
        <v>340</v>
      </c>
      <c r="E719" s="36" t="s">
        <v>148</v>
      </c>
      <c r="J719" s="87">
        <v>2530000</v>
      </c>
      <c r="K719" s="85">
        <v>2021</v>
      </c>
      <c r="L719" s="85">
        <v>5</v>
      </c>
      <c r="M719" s="36" t="s">
        <v>342</v>
      </c>
      <c r="N719" s="208" t="s">
        <v>44</v>
      </c>
    </row>
    <row r="720" spans="1:14">
      <c r="A720" s="36" t="s">
        <v>33</v>
      </c>
      <c r="B720" s="37">
        <v>44427</v>
      </c>
      <c r="C720" s="36" t="s">
        <v>131</v>
      </c>
      <c r="D720" s="36" t="s">
        <v>439</v>
      </c>
      <c r="E720" s="36" t="s">
        <v>481</v>
      </c>
      <c r="G720" s="87">
        <v>106000</v>
      </c>
      <c r="H720" s="87">
        <v>10600</v>
      </c>
      <c r="I720" s="87">
        <v>116600</v>
      </c>
      <c r="K720" s="85">
        <v>2021</v>
      </c>
      <c r="L720" s="85">
        <v>8</v>
      </c>
      <c r="M720" s="36" t="s">
        <v>482</v>
      </c>
      <c r="N720" s="208" t="s">
        <v>44</v>
      </c>
    </row>
    <row r="721" spans="1:14">
      <c r="A721" s="36" t="s">
        <v>33</v>
      </c>
      <c r="B721" s="37">
        <v>44427</v>
      </c>
      <c r="C721" s="36" t="s">
        <v>131</v>
      </c>
      <c r="D721" s="36" t="s">
        <v>439</v>
      </c>
      <c r="E721" s="36" t="s">
        <v>483</v>
      </c>
      <c r="G721" s="87">
        <v>75000</v>
      </c>
      <c r="H721" s="87">
        <v>7500</v>
      </c>
      <c r="I721" s="87">
        <v>82500</v>
      </c>
      <c r="K721" s="85">
        <v>2021</v>
      </c>
      <c r="L721" s="85">
        <v>8</v>
      </c>
      <c r="N721" s="208" t="s">
        <v>44</v>
      </c>
    </row>
    <row r="722" spans="1:14">
      <c r="A722" s="36" t="s">
        <v>33</v>
      </c>
      <c r="B722" s="37">
        <v>44427</v>
      </c>
      <c r="C722" s="36" t="s">
        <v>120</v>
      </c>
      <c r="D722" s="36" t="s">
        <v>121</v>
      </c>
      <c r="E722" s="36" t="s">
        <v>122</v>
      </c>
      <c r="G722" s="87">
        <v>681818</v>
      </c>
      <c r="H722" s="87">
        <v>68181.8</v>
      </c>
      <c r="I722" s="87">
        <v>749999.8</v>
      </c>
      <c r="K722" s="85">
        <v>2021</v>
      </c>
      <c r="L722" s="85">
        <v>8</v>
      </c>
      <c r="M722" s="36" t="s">
        <v>484</v>
      </c>
      <c r="N722" s="208" t="s">
        <v>44</v>
      </c>
    </row>
    <row r="723" spans="1:14">
      <c r="A723" s="36" t="s">
        <v>33</v>
      </c>
      <c r="B723" s="37">
        <v>44427</v>
      </c>
      <c r="C723" s="36" t="s">
        <v>120</v>
      </c>
      <c r="D723" s="36" t="s">
        <v>121</v>
      </c>
      <c r="E723" s="36" t="s">
        <v>77</v>
      </c>
      <c r="J723" s="38">
        <v>750000</v>
      </c>
      <c r="K723" s="85">
        <v>2021</v>
      </c>
      <c r="L723" s="85">
        <v>8</v>
      </c>
      <c r="N723" s="208" t="s">
        <v>44</v>
      </c>
    </row>
    <row r="724" spans="1:14">
      <c r="A724" s="36" t="s">
        <v>33</v>
      </c>
      <c r="B724" s="37">
        <v>44427</v>
      </c>
      <c r="C724" s="36" t="s">
        <v>485</v>
      </c>
      <c r="D724" s="36" t="s">
        <v>486</v>
      </c>
      <c r="E724" s="36" t="s">
        <v>445</v>
      </c>
      <c r="G724" s="87">
        <v>700000</v>
      </c>
      <c r="H724" s="87">
        <v>70000</v>
      </c>
      <c r="I724" s="87">
        <v>770000</v>
      </c>
      <c r="K724" s="85">
        <v>2021</v>
      </c>
      <c r="L724" s="85">
        <v>8</v>
      </c>
      <c r="N724" s="208" t="s">
        <v>44</v>
      </c>
    </row>
    <row r="725" spans="1:14">
      <c r="A725" s="36" t="s">
        <v>32</v>
      </c>
      <c r="B725" s="37">
        <v>44428</v>
      </c>
      <c r="C725" s="36" t="s">
        <v>285</v>
      </c>
      <c r="D725" s="36" t="s">
        <v>476</v>
      </c>
      <c r="E725" s="36" t="s">
        <v>77</v>
      </c>
      <c r="J725" s="38">
        <v>8745554</v>
      </c>
      <c r="K725" s="85">
        <v>2021</v>
      </c>
      <c r="L725" s="85">
        <v>8</v>
      </c>
      <c r="N725" s="208" t="s">
        <v>44</v>
      </c>
    </row>
    <row r="726" spans="1:14">
      <c r="A726" s="36" t="s">
        <v>33</v>
      </c>
      <c r="B726" s="37">
        <v>44428</v>
      </c>
      <c r="C726" s="36" t="s">
        <v>485</v>
      </c>
      <c r="D726" s="36" t="s">
        <v>486</v>
      </c>
      <c r="E726" s="36" t="s">
        <v>148</v>
      </c>
      <c r="J726" s="87">
        <v>770000</v>
      </c>
      <c r="K726" s="85">
        <v>2021</v>
      </c>
      <c r="L726" s="85">
        <v>8</v>
      </c>
      <c r="N726" s="208" t="s">
        <v>44</v>
      </c>
    </row>
    <row r="727" spans="1:14">
      <c r="A727" s="36" t="s">
        <v>32</v>
      </c>
      <c r="B727" s="37">
        <v>44428</v>
      </c>
      <c r="C727" s="36" t="s">
        <v>188</v>
      </c>
      <c r="D727" s="36" t="s">
        <v>139</v>
      </c>
      <c r="E727" s="36" t="s">
        <v>148</v>
      </c>
      <c r="J727" s="38">
        <v>2200000</v>
      </c>
      <c r="K727" s="85">
        <v>2021</v>
      </c>
      <c r="L727" s="85">
        <v>8</v>
      </c>
      <c r="N727" s="208" t="s">
        <v>44</v>
      </c>
    </row>
    <row r="728" spans="1:14">
      <c r="A728" s="36" t="s">
        <v>33</v>
      </c>
      <c r="B728" s="37">
        <v>44429</v>
      </c>
      <c r="C728" s="36" t="s">
        <v>487</v>
      </c>
      <c r="D728" s="36" t="s">
        <v>486</v>
      </c>
      <c r="E728" s="36" t="s">
        <v>445</v>
      </c>
      <c r="G728" s="87">
        <v>500000</v>
      </c>
      <c r="H728" s="87">
        <v>50000</v>
      </c>
      <c r="I728" s="87">
        <v>550000</v>
      </c>
      <c r="K728" s="85">
        <v>2021</v>
      </c>
      <c r="L728" s="85">
        <v>8</v>
      </c>
      <c r="N728" s="208" t="s">
        <v>44</v>
      </c>
    </row>
    <row r="729" spans="1:14">
      <c r="A729" s="36" t="s">
        <v>33</v>
      </c>
      <c r="B729" s="37">
        <v>44431</v>
      </c>
      <c r="C729" s="36" t="s">
        <v>487</v>
      </c>
      <c r="D729" s="36" t="s">
        <v>486</v>
      </c>
      <c r="E729" s="36" t="s">
        <v>77</v>
      </c>
      <c r="J729" s="38">
        <v>550000</v>
      </c>
      <c r="K729" s="85">
        <v>2021</v>
      </c>
      <c r="L729" s="85">
        <v>8</v>
      </c>
      <c r="N729" s="208" t="s">
        <v>44</v>
      </c>
    </row>
    <row r="730" spans="1:14">
      <c r="A730" s="36" t="s">
        <v>33</v>
      </c>
      <c r="B730" s="37">
        <v>44431</v>
      </c>
      <c r="C730" s="36" t="s">
        <v>131</v>
      </c>
      <c r="D730" s="36" t="s">
        <v>439</v>
      </c>
      <c r="E730" s="36" t="s">
        <v>77</v>
      </c>
      <c r="J730" s="38">
        <v>116600</v>
      </c>
      <c r="K730" s="85">
        <v>2021</v>
      </c>
      <c r="L730" s="85">
        <v>8</v>
      </c>
      <c r="N730" s="208" t="s">
        <v>44</v>
      </c>
    </row>
    <row r="731" spans="1:14">
      <c r="A731" s="36" t="s">
        <v>32</v>
      </c>
      <c r="B731" s="37">
        <v>44431</v>
      </c>
      <c r="C731" s="36" t="s">
        <v>171</v>
      </c>
      <c r="D731" s="36" t="s">
        <v>319</v>
      </c>
      <c r="E731" s="36" t="s">
        <v>148</v>
      </c>
      <c r="J731" s="87">
        <v>25254240</v>
      </c>
      <c r="K731" s="85">
        <v>2021</v>
      </c>
      <c r="L731" s="85">
        <v>8</v>
      </c>
      <c r="N731" s="208" t="s">
        <v>44</v>
      </c>
    </row>
    <row r="732" spans="1:14">
      <c r="A732" s="36" t="s">
        <v>33</v>
      </c>
      <c r="B732" s="37">
        <v>44433</v>
      </c>
      <c r="C732" s="36" t="s">
        <v>131</v>
      </c>
      <c r="D732" s="36" t="s">
        <v>439</v>
      </c>
      <c r="E732" s="36" t="s">
        <v>77</v>
      </c>
      <c r="J732" s="38">
        <v>82500</v>
      </c>
      <c r="K732" s="85">
        <v>2021</v>
      </c>
      <c r="L732" s="85">
        <v>8</v>
      </c>
      <c r="M732" s="36" t="s">
        <v>488</v>
      </c>
      <c r="N732" s="208" t="s">
        <v>44</v>
      </c>
    </row>
    <row r="733" spans="1:14">
      <c r="A733" s="36" t="s">
        <v>33</v>
      </c>
      <c r="B733" s="37">
        <v>44434</v>
      </c>
      <c r="C733" s="36" t="s">
        <v>131</v>
      </c>
      <c r="D733" s="36" t="s">
        <v>439</v>
      </c>
      <c r="E733" s="36" t="s">
        <v>489</v>
      </c>
      <c r="G733" s="87">
        <v>116000</v>
      </c>
      <c r="H733" s="87">
        <v>11600</v>
      </c>
      <c r="I733" s="87">
        <v>127600</v>
      </c>
      <c r="K733" s="85">
        <v>2021</v>
      </c>
      <c r="L733" s="85">
        <v>8</v>
      </c>
      <c r="N733" s="208" t="s">
        <v>44</v>
      </c>
    </row>
    <row r="734" spans="1:14">
      <c r="A734" s="36" t="s">
        <v>18</v>
      </c>
      <c r="B734" s="37">
        <v>44434</v>
      </c>
      <c r="C734" s="36" t="s">
        <v>391</v>
      </c>
      <c r="D734" s="36" t="s">
        <v>393</v>
      </c>
      <c r="E734" s="36" t="s">
        <v>148</v>
      </c>
      <c r="J734" s="38">
        <v>4612136</v>
      </c>
      <c r="K734" s="85">
        <v>2021</v>
      </c>
      <c r="L734" s="85">
        <v>6</v>
      </c>
      <c r="N734" s="208" t="s">
        <v>44</v>
      </c>
    </row>
    <row r="735" spans="1:14">
      <c r="A735" s="36" t="s">
        <v>33</v>
      </c>
      <c r="B735" s="37">
        <v>44434</v>
      </c>
      <c r="C735" s="36" t="s">
        <v>103</v>
      </c>
      <c r="D735" s="36" t="s">
        <v>393</v>
      </c>
      <c r="E735" s="36" t="s">
        <v>148</v>
      </c>
      <c r="J735" s="38">
        <v>3639240</v>
      </c>
      <c r="K735" s="85">
        <v>2021</v>
      </c>
      <c r="L735" s="85">
        <v>7</v>
      </c>
      <c r="N735" s="208" t="s">
        <v>44</v>
      </c>
    </row>
    <row r="736" spans="1:14">
      <c r="A736" s="36" t="s">
        <v>33</v>
      </c>
      <c r="B736" s="37">
        <v>44438</v>
      </c>
      <c r="C736" s="36" t="s">
        <v>131</v>
      </c>
      <c r="D736" s="36" t="s">
        <v>439</v>
      </c>
      <c r="E736" s="36" t="s">
        <v>77</v>
      </c>
      <c r="J736" s="38">
        <v>127600</v>
      </c>
      <c r="K736" s="85">
        <v>2021</v>
      </c>
      <c r="L736" s="85">
        <v>8</v>
      </c>
      <c r="N736" s="208" t="s">
        <v>44</v>
      </c>
    </row>
    <row r="737" spans="1:14">
      <c r="A737" s="36" t="s">
        <v>32</v>
      </c>
      <c r="B737" s="37">
        <v>44439</v>
      </c>
      <c r="C737" s="36" t="s">
        <v>209</v>
      </c>
      <c r="D737" s="36" t="s">
        <v>197</v>
      </c>
      <c r="E737" s="36" t="s">
        <v>76</v>
      </c>
      <c r="G737" s="87">
        <v>22607700</v>
      </c>
      <c r="H737" s="87">
        <v>2260770</v>
      </c>
      <c r="I737" s="87">
        <v>24868470</v>
      </c>
      <c r="K737" s="85">
        <v>2021</v>
      </c>
      <c r="L737" s="85">
        <v>8</v>
      </c>
      <c r="N737" s="208" t="s">
        <v>44</v>
      </c>
    </row>
    <row r="738" spans="1:14">
      <c r="A738" s="36" t="s">
        <v>32</v>
      </c>
      <c r="B738" s="37">
        <v>44439</v>
      </c>
      <c r="C738" s="36" t="s">
        <v>209</v>
      </c>
      <c r="D738" s="36" t="s">
        <v>388</v>
      </c>
      <c r="E738" s="36" t="s">
        <v>76</v>
      </c>
      <c r="G738" s="87">
        <v>1752400</v>
      </c>
      <c r="H738" s="87">
        <v>175240</v>
      </c>
      <c r="I738" s="87">
        <v>1927640</v>
      </c>
      <c r="K738" s="85">
        <v>2021</v>
      </c>
      <c r="L738" s="85">
        <v>8</v>
      </c>
      <c r="N738" s="208" t="s">
        <v>44</v>
      </c>
    </row>
    <row r="739" spans="1:14">
      <c r="A739" s="36" t="s">
        <v>33</v>
      </c>
      <c r="B739" s="37">
        <v>44439</v>
      </c>
      <c r="C739" s="36" t="s">
        <v>131</v>
      </c>
      <c r="D739" s="36" t="s">
        <v>439</v>
      </c>
      <c r="E739" s="36" t="s">
        <v>490</v>
      </c>
      <c r="G739" s="87">
        <v>520000</v>
      </c>
      <c r="H739" s="87">
        <v>52000</v>
      </c>
      <c r="I739" s="87">
        <v>572000</v>
      </c>
      <c r="K739" s="85">
        <v>2021</v>
      </c>
      <c r="L739" s="85">
        <v>8</v>
      </c>
      <c r="N739" s="208" t="s">
        <v>44</v>
      </c>
    </row>
    <row r="740" spans="1:14">
      <c r="A740" s="36" t="s">
        <v>32</v>
      </c>
      <c r="B740" s="37">
        <v>44439</v>
      </c>
      <c r="C740" s="36" t="s">
        <v>346</v>
      </c>
      <c r="D740" s="36" t="s">
        <v>347</v>
      </c>
      <c r="E740" s="36" t="s">
        <v>76</v>
      </c>
      <c r="G740" s="87">
        <v>3112000</v>
      </c>
      <c r="H740" s="87">
        <v>311200</v>
      </c>
      <c r="I740" s="87">
        <v>3423200</v>
      </c>
      <c r="K740" s="85">
        <v>2021</v>
      </c>
      <c r="L740" s="85">
        <v>8</v>
      </c>
      <c r="N740" s="208" t="s">
        <v>44</v>
      </c>
    </row>
    <row r="741" spans="1:14">
      <c r="A741" s="36" t="s">
        <v>33</v>
      </c>
      <c r="B741" s="37">
        <v>44439</v>
      </c>
      <c r="C741" s="36" t="s">
        <v>81</v>
      </c>
      <c r="D741" s="36" t="s">
        <v>491</v>
      </c>
      <c r="E741" s="36" t="s">
        <v>76</v>
      </c>
      <c r="G741" s="87">
        <v>5500000</v>
      </c>
      <c r="H741" s="87">
        <v>550000</v>
      </c>
      <c r="I741" s="87">
        <v>6050000</v>
      </c>
      <c r="K741" s="85">
        <v>2021</v>
      </c>
      <c r="L741" s="85">
        <v>8</v>
      </c>
      <c r="N741" s="208" t="s">
        <v>44</v>
      </c>
    </row>
    <row r="742" spans="1:14">
      <c r="A742" s="36" t="s">
        <v>32</v>
      </c>
      <c r="B742" s="37">
        <v>44439</v>
      </c>
      <c r="C742" s="36" t="s">
        <v>204</v>
      </c>
      <c r="D742" s="36" t="s">
        <v>205</v>
      </c>
      <c r="E742" s="36" t="s">
        <v>76</v>
      </c>
      <c r="G742" s="87">
        <v>3073800</v>
      </c>
      <c r="H742" s="87">
        <v>307380</v>
      </c>
      <c r="I742" s="87">
        <v>3381180</v>
      </c>
      <c r="K742" s="85">
        <v>2021</v>
      </c>
      <c r="L742" s="85">
        <v>8</v>
      </c>
      <c r="N742" s="208" t="s">
        <v>44</v>
      </c>
    </row>
    <row r="743" spans="1:14">
      <c r="A743" s="36" t="s">
        <v>32</v>
      </c>
      <c r="B743" s="37">
        <v>44439</v>
      </c>
      <c r="C743" s="36" t="s">
        <v>204</v>
      </c>
      <c r="D743" s="36" t="s">
        <v>393</v>
      </c>
      <c r="E743" s="36" t="s">
        <v>76</v>
      </c>
      <c r="G743" s="87">
        <v>2520320</v>
      </c>
      <c r="H743" s="87">
        <v>252032</v>
      </c>
      <c r="I743" s="87">
        <v>2772352</v>
      </c>
      <c r="K743" s="85">
        <v>2021</v>
      </c>
      <c r="L743" s="85">
        <v>8</v>
      </c>
      <c r="N743" s="208" t="s">
        <v>44</v>
      </c>
    </row>
    <row r="744" spans="1:14">
      <c r="A744" s="36" t="s">
        <v>32</v>
      </c>
      <c r="B744" s="37">
        <v>44439</v>
      </c>
      <c r="C744" s="36" t="s">
        <v>281</v>
      </c>
      <c r="D744" s="36" t="s">
        <v>452</v>
      </c>
      <c r="E744" s="36" t="s">
        <v>148</v>
      </c>
      <c r="J744" s="38">
        <v>6886000</v>
      </c>
      <c r="K744" s="85">
        <v>2021</v>
      </c>
      <c r="L744" s="85">
        <v>7</v>
      </c>
      <c r="N744" s="208" t="s">
        <v>44</v>
      </c>
    </row>
    <row r="745" spans="1:14">
      <c r="A745" s="36" t="s">
        <v>32</v>
      </c>
      <c r="B745" s="37">
        <v>44439</v>
      </c>
      <c r="C745" s="36" t="s">
        <v>281</v>
      </c>
      <c r="D745" s="36" t="s">
        <v>112</v>
      </c>
      <c r="E745" s="36" t="s">
        <v>148</v>
      </c>
      <c r="J745" s="87">
        <v>3168000</v>
      </c>
      <c r="K745" s="85">
        <v>2021</v>
      </c>
      <c r="L745" s="85">
        <v>7</v>
      </c>
      <c r="N745" s="208" t="s">
        <v>44</v>
      </c>
    </row>
    <row r="746" spans="1:14">
      <c r="A746" s="36" t="s">
        <v>32</v>
      </c>
      <c r="B746" s="37">
        <v>44439</v>
      </c>
      <c r="C746" s="36" t="s">
        <v>281</v>
      </c>
      <c r="D746" s="36" t="s">
        <v>452</v>
      </c>
      <c r="E746" s="36" t="s">
        <v>78</v>
      </c>
      <c r="G746" s="87">
        <v>6744000</v>
      </c>
      <c r="H746" s="87">
        <v>674400</v>
      </c>
      <c r="I746" s="87">
        <v>7418400</v>
      </c>
      <c r="K746" s="85">
        <v>2021</v>
      </c>
      <c r="L746" s="85">
        <v>8</v>
      </c>
      <c r="N746" s="208" t="s">
        <v>44</v>
      </c>
    </row>
    <row r="747" spans="1:14">
      <c r="A747" s="36" t="s">
        <v>32</v>
      </c>
      <c r="B747" s="37">
        <v>44439</v>
      </c>
      <c r="C747" s="36" t="s">
        <v>281</v>
      </c>
      <c r="D747" s="36" t="s">
        <v>451</v>
      </c>
      <c r="E747" s="36" t="s">
        <v>78</v>
      </c>
      <c r="G747" s="87">
        <v>2940000</v>
      </c>
      <c r="H747" s="87">
        <v>294000</v>
      </c>
      <c r="I747" s="87">
        <v>3234000</v>
      </c>
      <c r="K747" s="85">
        <v>2021</v>
      </c>
      <c r="L747" s="85">
        <v>8</v>
      </c>
      <c r="N747" s="208" t="s">
        <v>44</v>
      </c>
    </row>
    <row r="748" spans="1:14">
      <c r="A748" s="36" t="s">
        <v>33</v>
      </c>
      <c r="B748" s="37">
        <v>44439</v>
      </c>
      <c r="C748" s="36" t="s">
        <v>260</v>
      </c>
      <c r="D748" s="36" t="s">
        <v>261</v>
      </c>
      <c r="E748" s="36" t="s">
        <v>492</v>
      </c>
      <c r="G748" s="87">
        <v>792000</v>
      </c>
      <c r="H748" s="87">
        <v>79200</v>
      </c>
      <c r="I748" s="87">
        <v>871200</v>
      </c>
      <c r="K748" s="85">
        <v>2021</v>
      </c>
      <c r="L748" s="85">
        <v>8</v>
      </c>
      <c r="N748" s="208" t="s">
        <v>44</v>
      </c>
    </row>
    <row r="749" spans="1:14">
      <c r="A749" s="36" t="s">
        <v>33</v>
      </c>
      <c r="B749" s="37">
        <v>44439</v>
      </c>
      <c r="C749" s="36" t="s">
        <v>395</v>
      </c>
      <c r="D749" s="36" t="s">
        <v>229</v>
      </c>
      <c r="E749" s="36" t="s">
        <v>164</v>
      </c>
      <c r="G749" s="87">
        <v>5988182</v>
      </c>
      <c r="H749" s="87">
        <v>598818</v>
      </c>
      <c r="I749" s="87">
        <v>6587000</v>
      </c>
      <c r="K749" s="85">
        <v>2021</v>
      </c>
      <c r="L749" s="85">
        <v>8</v>
      </c>
      <c r="M749" s="36" t="s">
        <v>107</v>
      </c>
      <c r="N749" s="208" t="s">
        <v>44</v>
      </c>
    </row>
    <row r="750" spans="1:14">
      <c r="A750" s="36" t="s">
        <v>33</v>
      </c>
      <c r="B750" s="37">
        <v>44439</v>
      </c>
      <c r="C750" s="36" t="s">
        <v>493</v>
      </c>
      <c r="D750" s="36" t="s">
        <v>494</v>
      </c>
      <c r="E750" s="36" t="s">
        <v>495</v>
      </c>
      <c r="G750" s="87">
        <v>1080000</v>
      </c>
      <c r="H750" s="87">
        <v>108000</v>
      </c>
      <c r="I750" s="87">
        <v>1188000</v>
      </c>
      <c r="K750" s="85">
        <v>2021</v>
      </c>
      <c r="L750" s="85">
        <v>8</v>
      </c>
      <c r="N750" s="208" t="s">
        <v>44</v>
      </c>
    </row>
    <row r="751" spans="1:14">
      <c r="A751" s="36" t="s">
        <v>32</v>
      </c>
      <c r="B751" s="37">
        <v>44439</v>
      </c>
      <c r="C751" s="36" t="s">
        <v>496</v>
      </c>
      <c r="D751" s="36" t="s">
        <v>497</v>
      </c>
      <c r="E751" s="36" t="s">
        <v>76</v>
      </c>
      <c r="G751" s="87">
        <v>24186250</v>
      </c>
      <c r="H751" s="87">
        <v>2418625</v>
      </c>
      <c r="I751" s="87">
        <v>26604875</v>
      </c>
      <c r="K751" s="85">
        <v>2021</v>
      </c>
      <c r="L751" s="85">
        <v>8</v>
      </c>
      <c r="N751" s="208" t="s">
        <v>44</v>
      </c>
    </row>
    <row r="752" spans="1:14">
      <c r="A752" s="36" t="s">
        <v>32</v>
      </c>
      <c r="B752" s="37">
        <v>44439</v>
      </c>
      <c r="C752" s="36" t="s">
        <v>277</v>
      </c>
      <c r="D752" s="36" t="s">
        <v>278</v>
      </c>
      <c r="E752" s="36" t="s">
        <v>76</v>
      </c>
      <c r="G752" s="87">
        <v>25631080</v>
      </c>
      <c r="H752" s="87">
        <v>2563108</v>
      </c>
      <c r="I752" s="87">
        <v>28194188</v>
      </c>
      <c r="K752" s="85">
        <v>2021</v>
      </c>
      <c r="L752" s="85">
        <v>8</v>
      </c>
      <c r="N752" s="208" t="s">
        <v>44</v>
      </c>
    </row>
    <row r="753" spans="1:14">
      <c r="A753" s="36" t="s">
        <v>32</v>
      </c>
      <c r="B753" s="37">
        <v>44439</v>
      </c>
      <c r="C753" s="36" t="s">
        <v>498</v>
      </c>
      <c r="D753" s="36" t="s">
        <v>499</v>
      </c>
      <c r="E753" s="36" t="s">
        <v>78</v>
      </c>
      <c r="G753" s="87">
        <v>8900000</v>
      </c>
      <c r="H753" s="87">
        <v>890000</v>
      </c>
      <c r="I753" s="87">
        <v>9790000</v>
      </c>
      <c r="K753" s="85">
        <v>2021</v>
      </c>
      <c r="L753" s="85">
        <v>8</v>
      </c>
      <c r="N753" s="208" t="s">
        <v>44</v>
      </c>
    </row>
    <row r="754" spans="1:14">
      <c r="A754" s="36" t="s">
        <v>32</v>
      </c>
      <c r="B754" s="37">
        <v>44439</v>
      </c>
      <c r="C754" s="36" t="s">
        <v>181</v>
      </c>
      <c r="D754" s="36" t="s">
        <v>454</v>
      </c>
      <c r="E754" s="36" t="s">
        <v>148</v>
      </c>
      <c r="J754" s="38">
        <v>5825600</v>
      </c>
      <c r="K754" s="85">
        <v>2021</v>
      </c>
      <c r="L754" s="85">
        <v>7</v>
      </c>
      <c r="N754" s="208" t="s">
        <v>44</v>
      </c>
    </row>
    <row r="755" spans="1:14">
      <c r="A755" s="36" t="s">
        <v>32</v>
      </c>
      <c r="B755" s="37">
        <v>44439</v>
      </c>
      <c r="C755" s="36" t="s">
        <v>181</v>
      </c>
      <c r="D755" s="36" t="s">
        <v>372</v>
      </c>
      <c r="E755" s="36" t="s">
        <v>76</v>
      </c>
      <c r="G755" s="87">
        <v>20344000</v>
      </c>
      <c r="H755" s="87">
        <v>2034400</v>
      </c>
      <c r="I755" s="87">
        <v>22378400</v>
      </c>
      <c r="K755" s="85">
        <v>2021</v>
      </c>
      <c r="L755" s="85">
        <v>8</v>
      </c>
      <c r="N755" s="208" t="s">
        <v>44</v>
      </c>
    </row>
    <row r="756" spans="1:14">
      <c r="A756" s="36" t="s">
        <v>32</v>
      </c>
      <c r="B756" s="37">
        <v>44439</v>
      </c>
      <c r="C756" s="36" t="s">
        <v>181</v>
      </c>
      <c r="D756" s="36" t="s">
        <v>453</v>
      </c>
      <c r="E756" s="36" t="s">
        <v>76</v>
      </c>
      <c r="G756" s="87">
        <v>71833000</v>
      </c>
      <c r="H756" s="87">
        <v>7183300</v>
      </c>
      <c r="I756" s="87">
        <v>79016300</v>
      </c>
      <c r="K756" s="85">
        <v>2021</v>
      </c>
      <c r="L756" s="85">
        <v>8</v>
      </c>
      <c r="N756" s="208" t="s">
        <v>44</v>
      </c>
    </row>
    <row r="757" spans="1:14">
      <c r="A757" s="36" t="s">
        <v>32</v>
      </c>
      <c r="B757" s="37">
        <v>44439</v>
      </c>
      <c r="C757" s="36" t="s">
        <v>181</v>
      </c>
      <c r="D757" s="36" t="s">
        <v>500</v>
      </c>
      <c r="E757" s="36" t="s">
        <v>76</v>
      </c>
      <c r="G757" s="87">
        <v>9775000</v>
      </c>
      <c r="H757" s="87">
        <v>977500</v>
      </c>
      <c r="I757" s="87">
        <v>10752500</v>
      </c>
      <c r="K757" s="85">
        <v>2021</v>
      </c>
      <c r="L757" s="85">
        <v>8</v>
      </c>
      <c r="N757" s="208" t="s">
        <v>44</v>
      </c>
    </row>
    <row r="758" spans="1:14">
      <c r="A758" s="36" t="s">
        <v>32</v>
      </c>
      <c r="B758" s="37">
        <v>44439</v>
      </c>
      <c r="C758" s="36" t="s">
        <v>181</v>
      </c>
      <c r="D758" s="36" t="s">
        <v>453</v>
      </c>
      <c r="E758" s="36" t="s">
        <v>148</v>
      </c>
      <c r="J758" s="87">
        <v>79016300</v>
      </c>
      <c r="K758" s="85">
        <v>2021</v>
      </c>
      <c r="L758" s="85">
        <v>8</v>
      </c>
      <c r="N758" s="208" t="s">
        <v>44</v>
      </c>
    </row>
    <row r="759" spans="1:14">
      <c r="A759" s="36" t="s">
        <v>32</v>
      </c>
      <c r="B759" s="37">
        <v>44439</v>
      </c>
      <c r="C759" s="36" t="s">
        <v>181</v>
      </c>
      <c r="D759" s="36" t="s">
        <v>454</v>
      </c>
      <c r="E759" s="36" t="s">
        <v>148</v>
      </c>
      <c r="J759" s="87">
        <v>5908100</v>
      </c>
      <c r="K759" s="85">
        <v>2021</v>
      </c>
      <c r="L759" s="85">
        <v>9</v>
      </c>
      <c r="N759" s="208" t="s">
        <v>44</v>
      </c>
    </row>
    <row r="760" spans="1:14">
      <c r="A760" s="36" t="s">
        <v>32</v>
      </c>
      <c r="B760" s="37">
        <v>44439</v>
      </c>
      <c r="C760" s="36" t="s">
        <v>501</v>
      </c>
      <c r="D760" s="36" t="s">
        <v>502</v>
      </c>
      <c r="E760" s="36" t="s">
        <v>76</v>
      </c>
      <c r="G760" s="87">
        <v>4055040</v>
      </c>
      <c r="H760" s="87">
        <v>405504</v>
      </c>
      <c r="I760" s="87">
        <v>4460544</v>
      </c>
      <c r="K760" s="85">
        <v>2021</v>
      </c>
      <c r="L760" s="85">
        <v>8</v>
      </c>
      <c r="N760" s="208" t="s">
        <v>44</v>
      </c>
    </row>
    <row r="761" spans="1:14">
      <c r="A761" s="36" t="s">
        <v>32</v>
      </c>
      <c r="B761" s="37">
        <v>44439</v>
      </c>
      <c r="C761" s="36" t="s">
        <v>503</v>
      </c>
      <c r="D761" s="36" t="s">
        <v>504</v>
      </c>
      <c r="E761" s="36" t="s">
        <v>76</v>
      </c>
      <c r="G761" s="87">
        <v>23364000</v>
      </c>
      <c r="H761" s="87">
        <v>2336400</v>
      </c>
      <c r="I761" s="87">
        <v>25700400</v>
      </c>
      <c r="K761" s="85">
        <v>2021</v>
      </c>
      <c r="L761" s="85">
        <v>8</v>
      </c>
      <c r="N761" s="208" t="s">
        <v>44</v>
      </c>
    </row>
    <row r="762" spans="1:14">
      <c r="A762" s="36" t="s">
        <v>33</v>
      </c>
      <c r="B762" s="37">
        <v>44439</v>
      </c>
      <c r="C762" s="36" t="s">
        <v>119</v>
      </c>
      <c r="D762" s="36" t="s">
        <v>372</v>
      </c>
      <c r="E762" s="36" t="s">
        <v>76</v>
      </c>
      <c r="G762" s="87">
        <v>18915500</v>
      </c>
      <c r="H762" s="87">
        <v>1891550</v>
      </c>
      <c r="I762" s="87">
        <v>20807050</v>
      </c>
      <c r="K762" s="85">
        <v>2021</v>
      </c>
      <c r="L762" s="85">
        <v>8</v>
      </c>
      <c r="M762" s="36" t="s">
        <v>159</v>
      </c>
      <c r="N762" s="208" t="s">
        <v>44</v>
      </c>
    </row>
    <row r="763" spans="1:14">
      <c r="A763" s="36" t="s">
        <v>32</v>
      </c>
      <c r="B763" s="37">
        <v>44439</v>
      </c>
      <c r="C763" s="36" t="s">
        <v>505</v>
      </c>
      <c r="D763" s="36" t="s">
        <v>506</v>
      </c>
      <c r="E763" s="36" t="s">
        <v>76</v>
      </c>
      <c r="G763" s="87">
        <v>1607760</v>
      </c>
      <c r="H763" s="87">
        <v>160776</v>
      </c>
      <c r="I763" s="87">
        <v>1768536</v>
      </c>
      <c r="K763" s="85">
        <v>2021</v>
      </c>
      <c r="L763" s="85">
        <v>8</v>
      </c>
      <c r="N763" s="208" t="s">
        <v>44</v>
      </c>
    </row>
    <row r="764" spans="1:14">
      <c r="A764" s="36" t="s">
        <v>32</v>
      </c>
      <c r="B764" s="37">
        <v>44439</v>
      </c>
      <c r="C764" s="36" t="s">
        <v>264</v>
      </c>
      <c r="D764" s="36" t="s">
        <v>266</v>
      </c>
      <c r="E764" s="36" t="s">
        <v>76</v>
      </c>
      <c r="G764" s="87">
        <v>22850000</v>
      </c>
      <c r="H764" s="87">
        <v>2285000</v>
      </c>
      <c r="I764" s="87">
        <v>25135000</v>
      </c>
      <c r="K764" s="85">
        <v>2021</v>
      </c>
      <c r="L764" s="85">
        <v>8</v>
      </c>
      <c r="N764" s="208" t="s">
        <v>44</v>
      </c>
    </row>
    <row r="765" spans="1:14">
      <c r="A765" s="36" t="s">
        <v>33</v>
      </c>
      <c r="B765" s="37">
        <v>44439</v>
      </c>
      <c r="C765" s="36" t="s">
        <v>507</v>
      </c>
      <c r="D765" s="36" t="s">
        <v>508</v>
      </c>
      <c r="E765" s="36" t="s">
        <v>76</v>
      </c>
      <c r="G765" s="87">
        <v>8000000</v>
      </c>
      <c r="H765" s="87">
        <v>800000</v>
      </c>
      <c r="I765" s="87">
        <v>8800000</v>
      </c>
      <c r="K765" s="85">
        <v>2021</v>
      </c>
      <c r="L765" s="85">
        <v>8</v>
      </c>
      <c r="N765" s="208" t="s">
        <v>44</v>
      </c>
    </row>
    <row r="766" spans="1:14">
      <c r="A766" s="36" t="s">
        <v>32</v>
      </c>
      <c r="B766" s="37">
        <v>44439</v>
      </c>
      <c r="C766" s="36" t="s">
        <v>509</v>
      </c>
      <c r="D766" s="36" t="s">
        <v>510</v>
      </c>
      <c r="E766" s="36" t="s">
        <v>76</v>
      </c>
      <c r="G766" s="87">
        <v>28000000</v>
      </c>
      <c r="H766" s="87">
        <v>2800000</v>
      </c>
      <c r="I766" s="87">
        <v>30800000</v>
      </c>
      <c r="K766" s="85">
        <v>2021</v>
      </c>
      <c r="L766" s="85">
        <v>8</v>
      </c>
      <c r="N766" s="208" t="s">
        <v>44</v>
      </c>
    </row>
    <row r="767" spans="1:14">
      <c r="A767" s="36" t="s">
        <v>32</v>
      </c>
      <c r="B767" s="37">
        <v>44439</v>
      </c>
      <c r="C767" s="36" t="s">
        <v>85</v>
      </c>
      <c r="D767" s="36" t="s">
        <v>156</v>
      </c>
      <c r="J767" s="87">
        <v>19987000</v>
      </c>
      <c r="K767" s="85">
        <v>2021</v>
      </c>
      <c r="L767" s="85">
        <v>7</v>
      </c>
      <c r="N767" s="208" t="s">
        <v>44</v>
      </c>
    </row>
    <row r="768" spans="1:14">
      <c r="A768" s="36" t="s">
        <v>32</v>
      </c>
      <c r="B768" s="37">
        <v>44439</v>
      </c>
      <c r="C768" s="36" t="s">
        <v>85</v>
      </c>
      <c r="D768" s="36" t="s">
        <v>182</v>
      </c>
      <c r="E768" s="36" t="s">
        <v>148</v>
      </c>
      <c r="J768" s="87">
        <v>14916000</v>
      </c>
      <c r="K768" s="85">
        <v>2021</v>
      </c>
      <c r="L768" s="85">
        <v>7</v>
      </c>
      <c r="N768" s="208" t="s">
        <v>44</v>
      </c>
    </row>
    <row r="769" spans="1:14">
      <c r="A769" s="36" t="s">
        <v>32</v>
      </c>
      <c r="B769" s="37">
        <v>44439</v>
      </c>
      <c r="C769" s="36" t="s">
        <v>85</v>
      </c>
      <c r="D769" s="36" t="s">
        <v>156</v>
      </c>
      <c r="E769" s="36" t="s">
        <v>78</v>
      </c>
      <c r="G769" s="87">
        <v>4370000</v>
      </c>
      <c r="H769" s="87">
        <v>437000</v>
      </c>
      <c r="I769" s="87">
        <v>4807000</v>
      </c>
      <c r="K769" s="85">
        <v>2021</v>
      </c>
      <c r="L769" s="85">
        <v>8</v>
      </c>
      <c r="N769" s="208" t="s">
        <v>44</v>
      </c>
    </row>
    <row r="770" spans="1:14">
      <c r="A770" s="36" t="s">
        <v>32</v>
      </c>
      <c r="B770" s="37">
        <v>44439</v>
      </c>
      <c r="C770" s="36" t="s">
        <v>85</v>
      </c>
      <c r="D770" s="36" t="s">
        <v>182</v>
      </c>
      <c r="E770" s="36" t="s">
        <v>78</v>
      </c>
      <c r="G770" s="87">
        <v>9960000</v>
      </c>
      <c r="H770" s="87">
        <v>996000</v>
      </c>
      <c r="I770" s="87">
        <v>10956000</v>
      </c>
      <c r="K770" s="85">
        <v>2021</v>
      </c>
      <c r="L770" s="85">
        <v>8</v>
      </c>
      <c r="N770" s="208" t="s">
        <v>44</v>
      </c>
    </row>
    <row r="771" spans="1:14">
      <c r="A771" s="36" t="s">
        <v>32</v>
      </c>
      <c r="B771" s="37">
        <v>44439</v>
      </c>
      <c r="C771" s="36" t="s">
        <v>511</v>
      </c>
      <c r="D771" s="36" t="s">
        <v>512</v>
      </c>
      <c r="E771" s="36" t="s">
        <v>76</v>
      </c>
      <c r="G771" s="87">
        <v>2163000</v>
      </c>
      <c r="H771" s="87">
        <v>216300</v>
      </c>
      <c r="I771" s="87">
        <v>2379300</v>
      </c>
      <c r="K771" s="85">
        <v>2021</v>
      </c>
      <c r="L771" s="85">
        <v>8</v>
      </c>
      <c r="N771" s="208" t="s">
        <v>44</v>
      </c>
    </row>
    <row r="772" spans="1:14">
      <c r="A772" s="36" t="s">
        <v>18</v>
      </c>
      <c r="B772" s="37">
        <v>44439</v>
      </c>
      <c r="C772" s="36" t="s">
        <v>400</v>
      </c>
      <c r="D772" s="36" t="s">
        <v>401</v>
      </c>
      <c r="E772" s="36" t="s">
        <v>148</v>
      </c>
      <c r="J772" s="38">
        <v>6831000</v>
      </c>
      <c r="K772" s="85">
        <v>2021</v>
      </c>
      <c r="L772" s="85">
        <v>7</v>
      </c>
      <c r="N772" s="208" t="s">
        <v>44</v>
      </c>
    </row>
    <row r="773" spans="1:14">
      <c r="A773" s="36" t="s">
        <v>32</v>
      </c>
      <c r="B773" s="37">
        <v>44439</v>
      </c>
      <c r="C773" s="36" t="s">
        <v>456</v>
      </c>
      <c r="D773" s="36" t="s">
        <v>457</v>
      </c>
      <c r="E773" s="36" t="s">
        <v>76</v>
      </c>
      <c r="G773" s="87">
        <v>4025000</v>
      </c>
      <c r="H773" s="87">
        <v>402500</v>
      </c>
      <c r="I773" s="87">
        <v>4427500</v>
      </c>
      <c r="K773" s="85">
        <v>2021</v>
      </c>
      <c r="L773" s="85">
        <v>8</v>
      </c>
      <c r="N773" s="208" t="s">
        <v>44</v>
      </c>
    </row>
    <row r="774" spans="1:14">
      <c r="A774" s="36" t="s">
        <v>32</v>
      </c>
      <c r="B774" s="37">
        <v>44439</v>
      </c>
      <c r="C774" s="36" t="s">
        <v>206</v>
      </c>
      <c r="D774" s="36" t="s">
        <v>513</v>
      </c>
      <c r="E774" s="36" t="s">
        <v>76</v>
      </c>
      <c r="G774" s="87">
        <v>3098676</v>
      </c>
      <c r="H774" s="87">
        <v>309867.60000000003</v>
      </c>
      <c r="I774" s="87">
        <v>3408543.6</v>
      </c>
      <c r="K774" s="85">
        <v>2021</v>
      </c>
      <c r="L774" s="85">
        <v>8</v>
      </c>
      <c r="N774" s="208" t="s">
        <v>44</v>
      </c>
    </row>
    <row r="775" spans="1:14">
      <c r="A775" s="36" t="s">
        <v>33</v>
      </c>
      <c r="B775" s="37">
        <v>44439</v>
      </c>
      <c r="C775" s="36" t="s">
        <v>226</v>
      </c>
      <c r="D775" s="36" t="s">
        <v>227</v>
      </c>
      <c r="E775" s="36" t="s">
        <v>228</v>
      </c>
      <c r="G775" s="87">
        <v>2661818</v>
      </c>
      <c r="H775" s="87">
        <v>266181.8</v>
      </c>
      <c r="I775" s="87">
        <v>2927999.8</v>
      </c>
      <c r="K775" s="85">
        <v>2021</v>
      </c>
      <c r="L775" s="85">
        <v>8</v>
      </c>
      <c r="N775" s="208" t="s">
        <v>44</v>
      </c>
    </row>
    <row r="776" spans="1:14">
      <c r="A776" s="36" t="s">
        <v>32</v>
      </c>
      <c r="B776" s="37">
        <v>44439</v>
      </c>
      <c r="C776" s="36" t="s">
        <v>441</v>
      </c>
      <c r="D776" s="36" t="s">
        <v>442</v>
      </c>
      <c r="E776" s="36" t="s">
        <v>148</v>
      </c>
      <c r="J776" s="38">
        <v>6600000</v>
      </c>
      <c r="K776" s="85">
        <v>2021</v>
      </c>
      <c r="L776" s="85">
        <v>7</v>
      </c>
      <c r="N776" s="208" t="s">
        <v>44</v>
      </c>
    </row>
    <row r="777" spans="1:14">
      <c r="A777" s="36" t="s">
        <v>32</v>
      </c>
      <c r="B777" s="37">
        <v>44439</v>
      </c>
      <c r="C777" s="36" t="s">
        <v>441</v>
      </c>
      <c r="D777" s="36" t="s">
        <v>514</v>
      </c>
      <c r="E777" s="36" t="s">
        <v>78</v>
      </c>
      <c r="G777" s="87">
        <v>5400000</v>
      </c>
      <c r="H777" s="87">
        <v>540000</v>
      </c>
      <c r="I777" s="87">
        <v>5940000</v>
      </c>
      <c r="K777" s="85">
        <v>2021</v>
      </c>
      <c r="L777" s="85">
        <v>8</v>
      </c>
      <c r="N777" s="208" t="s">
        <v>44</v>
      </c>
    </row>
    <row r="778" spans="1:14">
      <c r="A778" s="36" t="s">
        <v>32</v>
      </c>
      <c r="B778" s="37">
        <v>44439</v>
      </c>
      <c r="C778" s="36" t="s">
        <v>185</v>
      </c>
      <c r="D778" s="36" t="s">
        <v>187</v>
      </c>
      <c r="E778" s="36" t="s">
        <v>78</v>
      </c>
      <c r="G778" s="87">
        <v>10737000</v>
      </c>
      <c r="H778" s="87">
        <v>1073700</v>
      </c>
      <c r="I778" s="87">
        <v>11810700</v>
      </c>
      <c r="K778" s="85">
        <v>2021</v>
      </c>
      <c r="L778" s="85">
        <v>8</v>
      </c>
      <c r="N778" s="208" t="s">
        <v>44</v>
      </c>
    </row>
    <row r="779" spans="1:14">
      <c r="A779" s="36" t="s">
        <v>32</v>
      </c>
      <c r="B779" s="37">
        <v>44439</v>
      </c>
      <c r="C779" s="36" t="s">
        <v>185</v>
      </c>
      <c r="D779" s="36" t="s">
        <v>105</v>
      </c>
      <c r="E779" s="36" t="s">
        <v>78</v>
      </c>
      <c r="G779" s="87">
        <v>7267000</v>
      </c>
      <c r="H779" s="87">
        <v>726700</v>
      </c>
      <c r="I779" s="87">
        <v>7993700</v>
      </c>
      <c r="K779" s="85">
        <v>2021</v>
      </c>
      <c r="L779" s="85">
        <v>8</v>
      </c>
      <c r="N779" s="208" t="s">
        <v>44</v>
      </c>
    </row>
    <row r="780" spans="1:14">
      <c r="A780" s="36" t="s">
        <v>32</v>
      </c>
      <c r="B780" s="37">
        <v>44439</v>
      </c>
      <c r="C780" s="36" t="s">
        <v>268</v>
      </c>
      <c r="D780" s="36" t="s">
        <v>261</v>
      </c>
      <c r="E780" s="36" t="s">
        <v>76</v>
      </c>
      <c r="G780" s="87">
        <v>21507400</v>
      </c>
      <c r="H780" s="87">
        <v>2150740</v>
      </c>
      <c r="I780" s="87">
        <v>23658140</v>
      </c>
      <c r="K780" s="85">
        <v>2021</v>
      </c>
      <c r="L780" s="85">
        <v>8</v>
      </c>
      <c r="N780" s="208" t="s">
        <v>44</v>
      </c>
    </row>
    <row r="781" spans="1:14">
      <c r="A781" s="36" t="s">
        <v>32</v>
      </c>
      <c r="B781" s="37">
        <v>44439</v>
      </c>
      <c r="C781" s="36" t="s">
        <v>288</v>
      </c>
      <c r="D781" s="36" t="s">
        <v>289</v>
      </c>
      <c r="E781" s="36" t="s">
        <v>78</v>
      </c>
      <c r="G781" s="87">
        <v>5413500</v>
      </c>
      <c r="H781" s="87">
        <v>541350</v>
      </c>
      <c r="I781" s="87">
        <v>5954850</v>
      </c>
      <c r="K781" s="85">
        <v>2021</v>
      </c>
      <c r="L781" s="85">
        <v>8</v>
      </c>
      <c r="N781" s="208" t="s">
        <v>44</v>
      </c>
    </row>
    <row r="782" spans="1:14">
      <c r="A782" s="36" t="s">
        <v>32</v>
      </c>
      <c r="B782" s="37">
        <v>44439</v>
      </c>
      <c r="C782" s="36" t="s">
        <v>188</v>
      </c>
      <c r="D782" s="36" t="s">
        <v>515</v>
      </c>
      <c r="E782" s="36" t="s">
        <v>76</v>
      </c>
      <c r="G782" s="87">
        <v>3840000</v>
      </c>
      <c r="H782" s="87">
        <v>384000</v>
      </c>
      <c r="I782" s="87">
        <v>4224000</v>
      </c>
      <c r="K782" s="85">
        <v>2021</v>
      </c>
      <c r="L782" s="85">
        <v>8</v>
      </c>
      <c r="N782" s="208" t="s">
        <v>44</v>
      </c>
    </row>
    <row r="783" spans="1:14">
      <c r="A783" s="36" t="s">
        <v>32</v>
      </c>
      <c r="B783" s="37">
        <v>44439</v>
      </c>
      <c r="C783" s="36" t="s">
        <v>188</v>
      </c>
      <c r="D783" s="36" t="s">
        <v>516</v>
      </c>
      <c r="E783" s="36" t="s">
        <v>76</v>
      </c>
      <c r="G783" s="87">
        <v>2250000</v>
      </c>
      <c r="H783" s="87">
        <v>225000</v>
      </c>
      <c r="I783" s="87">
        <v>2475000</v>
      </c>
      <c r="K783" s="85">
        <v>2021</v>
      </c>
      <c r="L783" s="85">
        <v>8</v>
      </c>
      <c r="N783" s="208" t="s">
        <v>44</v>
      </c>
    </row>
    <row r="784" spans="1:14">
      <c r="A784" s="36" t="s">
        <v>32</v>
      </c>
      <c r="B784" s="37">
        <v>44439</v>
      </c>
      <c r="C784" s="36" t="s">
        <v>188</v>
      </c>
      <c r="D784" s="36" t="s">
        <v>508</v>
      </c>
      <c r="E784" s="36" t="s">
        <v>76</v>
      </c>
      <c r="G784" s="87">
        <v>8400000</v>
      </c>
      <c r="H784" s="87">
        <v>840000</v>
      </c>
      <c r="I784" s="87">
        <v>9240000</v>
      </c>
      <c r="K784" s="85">
        <v>2021</v>
      </c>
      <c r="L784" s="85">
        <v>8</v>
      </c>
      <c r="N784" s="208" t="s">
        <v>44</v>
      </c>
    </row>
    <row r="785" spans="1:14">
      <c r="A785" s="36" t="s">
        <v>32</v>
      </c>
      <c r="B785" s="37">
        <v>44439</v>
      </c>
      <c r="C785" s="36" t="s">
        <v>188</v>
      </c>
      <c r="D785" s="36" t="s">
        <v>517</v>
      </c>
      <c r="E785" s="36" t="s">
        <v>76</v>
      </c>
      <c r="G785" s="87">
        <v>14680000</v>
      </c>
      <c r="H785" s="87">
        <v>1468000</v>
      </c>
      <c r="I785" s="87">
        <v>16148000</v>
      </c>
      <c r="K785" s="85">
        <v>2021</v>
      </c>
      <c r="L785" s="85">
        <v>8</v>
      </c>
      <c r="N785" s="208" t="s">
        <v>44</v>
      </c>
    </row>
    <row r="786" spans="1:14">
      <c r="A786" s="36" t="s">
        <v>32</v>
      </c>
      <c r="B786" s="37">
        <v>44439</v>
      </c>
      <c r="C786" s="36" t="s">
        <v>188</v>
      </c>
      <c r="D786" s="36" t="s">
        <v>460</v>
      </c>
      <c r="E786" s="36" t="s">
        <v>76</v>
      </c>
      <c r="G786" s="87">
        <v>3960000</v>
      </c>
      <c r="H786" s="87">
        <v>396000</v>
      </c>
      <c r="I786" s="87">
        <v>4356000</v>
      </c>
      <c r="K786" s="85">
        <v>2021</v>
      </c>
      <c r="L786" s="85">
        <v>8</v>
      </c>
      <c r="N786" s="208" t="s">
        <v>44</v>
      </c>
    </row>
    <row r="787" spans="1:14">
      <c r="A787" s="36" t="s">
        <v>32</v>
      </c>
      <c r="B787" s="37">
        <v>44439</v>
      </c>
      <c r="C787" s="36" t="s">
        <v>188</v>
      </c>
      <c r="D787" s="36" t="s">
        <v>518</v>
      </c>
      <c r="E787" s="36" t="s">
        <v>76</v>
      </c>
      <c r="G787" s="87">
        <v>4940000</v>
      </c>
      <c r="H787" s="87">
        <v>494000</v>
      </c>
      <c r="I787" s="87">
        <v>5434000</v>
      </c>
      <c r="K787" s="85">
        <v>2021</v>
      </c>
      <c r="L787" s="85">
        <v>8</v>
      </c>
      <c r="N787" s="208" t="s">
        <v>44</v>
      </c>
    </row>
    <row r="788" spans="1:14">
      <c r="A788" s="36" t="s">
        <v>32</v>
      </c>
      <c r="B788" s="37">
        <v>44439</v>
      </c>
      <c r="C788" s="36" t="s">
        <v>188</v>
      </c>
      <c r="D788" s="36" t="s">
        <v>517</v>
      </c>
      <c r="E788" s="36" t="s">
        <v>148</v>
      </c>
      <c r="J788" s="87">
        <v>16148000</v>
      </c>
      <c r="K788" s="85">
        <v>2021</v>
      </c>
      <c r="L788" s="85">
        <v>8</v>
      </c>
      <c r="N788" s="208" t="s">
        <v>44</v>
      </c>
    </row>
    <row r="789" spans="1:14">
      <c r="A789" s="36" t="s">
        <v>32</v>
      </c>
      <c r="B789" s="37">
        <v>44439</v>
      </c>
      <c r="C789" s="36" t="s">
        <v>411</v>
      </c>
      <c r="D789" s="36" t="s">
        <v>412</v>
      </c>
      <c r="E789" s="36" t="s">
        <v>148</v>
      </c>
      <c r="J789" s="87">
        <v>7664800</v>
      </c>
      <c r="K789" s="85">
        <v>2021</v>
      </c>
      <c r="L789" s="85">
        <v>8</v>
      </c>
      <c r="N789" s="208" t="s">
        <v>44</v>
      </c>
    </row>
    <row r="790" spans="1:14">
      <c r="A790" s="36" t="s">
        <v>32</v>
      </c>
      <c r="B790" s="37">
        <v>44439</v>
      </c>
      <c r="C790" s="36" t="s">
        <v>411</v>
      </c>
      <c r="D790" s="36" t="s">
        <v>412</v>
      </c>
      <c r="E790" s="36" t="s">
        <v>148</v>
      </c>
      <c r="J790" s="87">
        <v>19864900</v>
      </c>
      <c r="K790" s="85">
        <v>2021</v>
      </c>
      <c r="L790" s="85">
        <v>8</v>
      </c>
      <c r="N790" s="208" t="s">
        <v>44</v>
      </c>
    </row>
    <row r="791" spans="1:14">
      <c r="A791" s="36" t="s">
        <v>32</v>
      </c>
      <c r="B791" s="37">
        <v>44439</v>
      </c>
      <c r="C791" s="36" t="s">
        <v>175</v>
      </c>
      <c r="D791" s="36" t="s">
        <v>177</v>
      </c>
      <c r="E791" s="36" t="s">
        <v>77</v>
      </c>
      <c r="J791" s="87">
        <v>8541390</v>
      </c>
      <c r="K791" s="85">
        <v>2021</v>
      </c>
      <c r="L791" s="85">
        <v>4</v>
      </c>
      <c r="N791" s="208" t="s">
        <v>44</v>
      </c>
    </row>
    <row r="792" spans="1:14">
      <c r="A792" s="36" t="s">
        <v>32</v>
      </c>
      <c r="B792" s="37">
        <v>44439</v>
      </c>
      <c r="C792" s="36" t="s">
        <v>175</v>
      </c>
      <c r="D792" s="36" t="s">
        <v>177</v>
      </c>
      <c r="E792" s="36" t="s">
        <v>76</v>
      </c>
      <c r="G792" s="87">
        <v>1500000</v>
      </c>
      <c r="H792" s="87">
        <v>150000</v>
      </c>
      <c r="I792" s="87">
        <v>1650000</v>
      </c>
      <c r="K792" s="85">
        <v>2021</v>
      </c>
      <c r="L792" s="85">
        <v>8</v>
      </c>
      <c r="N792" s="208" t="s">
        <v>44</v>
      </c>
    </row>
    <row r="793" spans="1:14">
      <c r="A793" s="36" t="s">
        <v>32</v>
      </c>
      <c r="B793" s="37">
        <v>44439</v>
      </c>
      <c r="C793" s="36" t="s">
        <v>175</v>
      </c>
      <c r="D793" s="36" t="s">
        <v>463</v>
      </c>
      <c r="E793" s="36" t="s">
        <v>76</v>
      </c>
      <c r="G793" s="87">
        <v>6782520</v>
      </c>
      <c r="H793" s="87">
        <v>678252</v>
      </c>
      <c r="I793" s="87">
        <v>7460772</v>
      </c>
      <c r="K793" s="85">
        <v>2021</v>
      </c>
      <c r="L793" s="85">
        <v>8</v>
      </c>
      <c r="N793" s="208" t="s">
        <v>44</v>
      </c>
    </row>
    <row r="794" spans="1:14">
      <c r="A794" s="36" t="s">
        <v>32</v>
      </c>
      <c r="B794" s="37">
        <v>44439</v>
      </c>
      <c r="C794" s="36" t="s">
        <v>519</v>
      </c>
      <c r="D794" s="36" t="s">
        <v>321</v>
      </c>
      <c r="E794" s="36" t="s">
        <v>76</v>
      </c>
      <c r="G794" s="87">
        <v>690000</v>
      </c>
      <c r="H794" s="87">
        <v>69000</v>
      </c>
      <c r="I794" s="87">
        <v>759000</v>
      </c>
      <c r="K794" s="85">
        <v>2021</v>
      </c>
      <c r="L794" s="85">
        <v>8</v>
      </c>
      <c r="N794" s="208" t="s">
        <v>44</v>
      </c>
    </row>
    <row r="795" spans="1:14">
      <c r="A795" s="36" t="s">
        <v>32</v>
      </c>
      <c r="B795" s="37">
        <v>44439</v>
      </c>
      <c r="C795" s="36" t="s">
        <v>466</v>
      </c>
      <c r="D795" s="36" t="s">
        <v>467</v>
      </c>
      <c r="E795" s="36" t="s">
        <v>76</v>
      </c>
      <c r="G795" s="87">
        <v>16869900</v>
      </c>
      <c r="H795" s="87">
        <v>1686990</v>
      </c>
      <c r="I795" s="87">
        <v>18556890</v>
      </c>
      <c r="K795" s="85">
        <v>2021</v>
      </c>
      <c r="L795" s="85">
        <v>8</v>
      </c>
      <c r="N795" s="208" t="s">
        <v>44</v>
      </c>
    </row>
    <row r="796" spans="1:14">
      <c r="A796" s="36" t="s">
        <v>33</v>
      </c>
      <c r="B796" s="37">
        <v>44439</v>
      </c>
      <c r="C796" s="36" t="s">
        <v>115</v>
      </c>
      <c r="D796" s="36" t="s">
        <v>371</v>
      </c>
      <c r="E796" s="36" t="s">
        <v>468</v>
      </c>
      <c r="G796" s="87">
        <v>311818</v>
      </c>
      <c r="H796" s="87">
        <v>31182</v>
      </c>
      <c r="I796" s="87">
        <v>343000</v>
      </c>
      <c r="K796" s="85">
        <v>2021</v>
      </c>
      <c r="L796" s="85">
        <v>8</v>
      </c>
      <c r="M796" s="36" t="s">
        <v>107</v>
      </c>
      <c r="N796" s="208" t="s">
        <v>44</v>
      </c>
    </row>
    <row r="797" spans="1:14">
      <c r="A797" s="36" t="s">
        <v>33</v>
      </c>
      <c r="B797" s="37">
        <v>44439</v>
      </c>
      <c r="C797" s="36" t="s">
        <v>115</v>
      </c>
      <c r="D797" s="36" t="s">
        <v>371</v>
      </c>
      <c r="E797" s="36" t="s">
        <v>469</v>
      </c>
      <c r="G797" s="87">
        <v>731818</v>
      </c>
      <c r="H797" s="87">
        <v>73182</v>
      </c>
      <c r="I797" s="87">
        <v>805000</v>
      </c>
      <c r="K797" s="85">
        <v>2021</v>
      </c>
      <c r="L797" s="85">
        <v>8</v>
      </c>
      <c r="M797" s="36" t="s">
        <v>107</v>
      </c>
      <c r="N797" s="208" t="s">
        <v>44</v>
      </c>
    </row>
    <row r="798" spans="1:14">
      <c r="A798" s="36" t="s">
        <v>33</v>
      </c>
      <c r="B798" s="37">
        <v>44439</v>
      </c>
      <c r="C798" s="36" t="s">
        <v>115</v>
      </c>
      <c r="D798" s="36" t="s">
        <v>371</v>
      </c>
      <c r="E798" s="36" t="s">
        <v>470</v>
      </c>
      <c r="G798" s="87">
        <v>82727</v>
      </c>
      <c r="H798" s="87">
        <v>8273</v>
      </c>
      <c r="I798" s="87">
        <v>91000</v>
      </c>
      <c r="K798" s="85">
        <v>2021</v>
      </c>
      <c r="L798" s="85">
        <v>8</v>
      </c>
      <c r="M798" s="36" t="s">
        <v>107</v>
      </c>
      <c r="N798" s="208" t="s">
        <v>44</v>
      </c>
    </row>
    <row r="799" spans="1:14">
      <c r="A799" s="36" t="s">
        <v>33</v>
      </c>
      <c r="B799" s="37">
        <v>44439</v>
      </c>
      <c r="C799" s="36" t="s">
        <v>115</v>
      </c>
      <c r="D799" s="36" t="s">
        <v>371</v>
      </c>
      <c r="E799" s="36" t="s">
        <v>471</v>
      </c>
      <c r="G799" s="87">
        <v>763636</v>
      </c>
      <c r="H799" s="87">
        <v>76364</v>
      </c>
      <c r="I799" s="87">
        <v>840000</v>
      </c>
      <c r="K799" s="85">
        <v>2021</v>
      </c>
      <c r="L799" s="85">
        <v>8</v>
      </c>
      <c r="M799" s="36" t="s">
        <v>107</v>
      </c>
      <c r="N799" s="208" t="s">
        <v>44</v>
      </c>
    </row>
    <row r="800" spans="1:14">
      <c r="A800" s="36" t="s">
        <v>33</v>
      </c>
      <c r="B800" s="37">
        <v>44439</v>
      </c>
      <c r="C800" s="36" t="s">
        <v>115</v>
      </c>
      <c r="D800" s="36" t="s">
        <v>371</v>
      </c>
      <c r="E800" s="36" t="s">
        <v>472</v>
      </c>
      <c r="G800" s="87">
        <v>468182</v>
      </c>
      <c r="H800" s="87">
        <v>46818</v>
      </c>
      <c r="I800" s="87">
        <v>515000</v>
      </c>
      <c r="K800" s="85">
        <v>2021</v>
      </c>
      <c r="L800" s="85">
        <v>8</v>
      </c>
      <c r="M800" s="36" t="s">
        <v>107</v>
      </c>
      <c r="N800" s="208" t="s">
        <v>44</v>
      </c>
    </row>
    <row r="801" spans="1:14">
      <c r="A801" s="36" t="s">
        <v>33</v>
      </c>
      <c r="B801" s="37">
        <v>44439</v>
      </c>
      <c r="C801" s="36" t="s">
        <v>168</v>
      </c>
      <c r="D801" s="36" t="s">
        <v>258</v>
      </c>
      <c r="E801" s="36" t="s">
        <v>125</v>
      </c>
      <c r="G801" s="87">
        <v>1454800</v>
      </c>
      <c r="H801" s="87">
        <v>145480</v>
      </c>
      <c r="I801" s="87">
        <v>1600280</v>
      </c>
      <c r="K801" s="85">
        <v>2021</v>
      </c>
      <c r="L801" s="85">
        <v>8</v>
      </c>
      <c r="N801" s="208" t="s">
        <v>44</v>
      </c>
    </row>
    <row r="802" spans="1:14">
      <c r="A802" s="36" t="s">
        <v>33</v>
      </c>
      <c r="B802" s="37">
        <v>44439</v>
      </c>
      <c r="C802" s="36" t="s">
        <v>166</v>
      </c>
      <c r="D802" s="36" t="s">
        <v>376</v>
      </c>
      <c r="E802" s="36" t="s">
        <v>125</v>
      </c>
      <c r="G802" s="87">
        <v>233727</v>
      </c>
      <c r="H802" s="87">
        <v>23372.7</v>
      </c>
      <c r="I802" s="87">
        <v>257099.7</v>
      </c>
      <c r="K802" s="85">
        <v>2021</v>
      </c>
      <c r="L802" s="85">
        <v>8</v>
      </c>
      <c r="N802" s="208" t="s">
        <v>44</v>
      </c>
    </row>
    <row r="803" spans="1:14">
      <c r="A803" s="36" t="s">
        <v>33</v>
      </c>
      <c r="B803" s="37">
        <v>44439</v>
      </c>
      <c r="C803" s="36" t="s">
        <v>103</v>
      </c>
      <c r="D803" s="36" t="s">
        <v>205</v>
      </c>
      <c r="E803" s="36" t="s">
        <v>263</v>
      </c>
      <c r="G803" s="87">
        <v>327000</v>
      </c>
      <c r="H803" s="87">
        <v>32700</v>
      </c>
      <c r="I803" s="87">
        <v>359700</v>
      </c>
      <c r="K803" s="85">
        <v>2021</v>
      </c>
      <c r="L803" s="85">
        <v>8</v>
      </c>
      <c r="N803" s="208" t="s">
        <v>44</v>
      </c>
    </row>
    <row r="804" spans="1:14">
      <c r="A804" s="36" t="s">
        <v>32</v>
      </c>
      <c r="B804" s="37">
        <v>44439</v>
      </c>
      <c r="C804" s="36" t="s">
        <v>352</v>
      </c>
      <c r="D804" s="36" t="s">
        <v>382</v>
      </c>
      <c r="E804" s="36" t="s">
        <v>76</v>
      </c>
      <c r="G804" s="87">
        <v>4504000</v>
      </c>
      <c r="H804" s="87">
        <v>450400</v>
      </c>
      <c r="I804" s="87">
        <v>4954400</v>
      </c>
      <c r="K804" s="85">
        <v>2021</v>
      </c>
      <c r="L804" s="85">
        <v>8</v>
      </c>
      <c r="N804" s="208" t="s">
        <v>44</v>
      </c>
    </row>
    <row r="805" spans="1:14">
      <c r="A805" s="36" t="s">
        <v>18</v>
      </c>
      <c r="B805" s="37">
        <v>44439</v>
      </c>
      <c r="C805" s="36" t="s">
        <v>429</v>
      </c>
      <c r="D805" s="36" t="s">
        <v>430</v>
      </c>
      <c r="E805" s="36" t="s">
        <v>148</v>
      </c>
      <c r="J805" s="87">
        <v>8231300</v>
      </c>
      <c r="K805" s="85">
        <v>2021</v>
      </c>
      <c r="L805" s="85">
        <v>7</v>
      </c>
      <c r="N805" s="208" t="s">
        <v>44</v>
      </c>
    </row>
    <row r="806" spans="1:14">
      <c r="A806" s="36" t="s">
        <v>32</v>
      </c>
      <c r="B806" s="37">
        <v>44439</v>
      </c>
      <c r="C806" s="36" t="s">
        <v>474</v>
      </c>
      <c r="D806" s="36" t="s">
        <v>430</v>
      </c>
      <c r="E806" s="36" t="s">
        <v>76</v>
      </c>
      <c r="G806" s="87">
        <v>5550000</v>
      </c>
      <c r="H806" s="87">
        <v>555000</v>
      </c>
      <c r="I806" s="87">
        <v>6105000</v>
      </c>
      <c r="K806" s="85">
        <v>2021</v>
      </c>
      <c r="L806" s="85">
        <v>8</v>
      </c>
      <c r="N806" s="208" t="s">
        <v>44</v>
      </c>
    </row>
    <row r="807" spans="1:14">
      <c r="A807" s="36" t="s">
        <v>32</v>
      </c>
      <c r="B807" s="37">
        <v>44440</v>
      </c>
      <c r="C807" s="36" t="s">
        <v>204</v>
      </c>
      <c r="D807" s="36" t="s">
        <v>205</v>
      </c>
      <c r="E807" s="36" t="s">
        <v>148</v>
      </c>
      <c r="J807" s="87">
        <v>4965180</v>
      </c>
      <c r="K807" s="85">
        <v>2021</v>
      </c>
      <c r="L807" s="85">
        <v>7</v>
      </c>
      <c r="N807" s="208" t="s">
        <v>44</v>
      </c>
    </row>
    <row r="808" spans="1:14">
      <c r="A808" s="36" t="s">
        <v>33</v>
      </c>
      <c r="B808" s="37">
        <v>44440</v>
      </c>
      <c r="C808" s="36" t="s">
        <v>167</v>
      </c>
      <c r="D808" s="36" t="s">
        <v>139</v>
      </c>
      <c r="E808" s="36" t="s">
        <v>148</v>
      </c>
      <c r="J808" s="87">
        <v>2046000</v>
      </c>
      <c r="K808" s="85">
        <v>2021</v>
      </c>
      <c r="L808" s="85">
        <v>7</v>
      </c>
      <c r="N808" s="208" t="s">
        <v>44</v>
      </c>
    </row>
    <row r="809" spans="1:14">
      <c r="A809" s="36" t="s">
        <v>19</v>
      </c>
      <c r="B809" s="37">
        <v>44440</v>
      </c>
      <c r="C809" s="36" t="s">
        <v>397</v>
      </c>
      <c r="D809" s="36" t="s">
        <v>372</v>
      </c>
      <c r="E809" s="36" t="s">
        <v>148</v>
      </c>
      <c r="J809" s="87">
        <v>22954800</v>
      </c>
      <c r="K809" s="85">
        <v>2021</v>
      </c>
      <c r="L809" s="85">
        <v>7</v>
      </c>
      <c r="N809" s="208" t="s">
        <v>44</v>
      </c>
    </row>
    <row r="810" spans="1:14">
      <c r="A810" s="36" t="s">
        <v>32</v>
      </c>
      <c r="B810" s="37">
        <v>44440</v>
      </c>
      <c r="C810" s="36" t="s">
        <v>264</v>
      </c>
      <c r="D810" s="36" t="s">
        <v>266</v>
      </c>
      <c r="E810" s="36" t="s">
        <v>77</v>
      </c>
      <c r="J810" s="87">
        <v>10296000</v>
      </c>
      <c r="K810" s="85">
        <v>2021</v>
      </c>
      <c r="L810" s="85">
        <v>7</v>
      </c>
      <c r="N810" s="208" t="s">
        <v>44</v>
      </c>
    </row>
    <row r="811" spans="1:14">
      <c r="A811" s="36" t="s">
        <v>33</v>
      </c>
      <c r="B811" s="37">
        <v>44440</v>
      </c>
      <c r="C811" s="36" t="s">
        <v>226</v>
      </c>
      <c r="D811" s="36" t="s">
        <v>227</v>
      </c>
      <c r="E811" s="36" t="s">
        <v>77</v>
      </c>
      <c r="J811" s="87">
        <v>2927999.8</v>
      </c>
      <c r="K811" s="85">
        <v>2021</v>
      </c>
      <c r="L811" s="85">
        <v>8</v>
      </c>
      <c r="N811" s="208" t="s">
        <v>44</v>
      </c>
    </row>
    <row r="812" spans="1:14">
      <c r="A812" s="36" t="s">
        <v>32</v>
      </c>
      <c r="B812" s="37">
        <v>44440</v>
      </c>
      <c r="C812" s="36" t="s">
        <v>188</v>
      </c>
      <c r="D812" s="36" t="s">
        <v>408</v>
      </c>
      <c r="E812" s="36" t="s">
        <v>77</v>
      </c>
      <c r="J812" s="87">
        <v>2211000</v>
      </c>
      <c r="K812" s="85">
        <v>2021</v>
      </c>
      <c r="L812" s="85">
        <v>7</v>
      </c>
      <c r="N812" s="208" t="s">
        <v>44</v>
      </c>
    </row>
    <row r="813" spans="1:14">
      <c r="A813" s="36" t="s">
        <v>32</v>
      </c>
      <c r="B813" s="37">
        <v>44440</v>
      </c>
      <c r="C813" s="36" t="s">
        <v>188</v>
      </c>
      <c r="D813" s="36" t="s">
        <v>410</v>
      </c>
      <c r="E813" s="36" t="s">
        <v>77</v>
      </c>
      <c r="J813" s="87">
        <v>13728000</v>
      </c>
      <c r="K813" s="85">
        <v>2021</v>
      </c>
      <c r="L813" s="85">
        <v>7</v>
      </c>
      <c r="N813" s="208" t="s">
        <v>44</v>
      </c>
    </row>
    <row r="814" spans="1:14">
      <c r="A814" s="36" t="s">
        <v>32</v>
      </c>
      <c r="B814" s="37">
        <v>44440</v>
      </c>
      <c r="C814" s="36" t="s">
        <v>188</v>
      </c>
      <c r="D814" s="36" t="s">
        <v>460</v>
      </c>
      <c r="E814" s="36" t="s">
        <v>77</v>
      </c>
      <c r="J814" s="87">
        <v>6545000</v>
      </c>
      <c r="K814" s="85">
        <v>2021</v>
      </c>
      <c r="L814" s="85">
        <v>7</v>
      </c>
      <c r="N814" s="208" t="s">
        <v>44</v>
      </c>
    </row>
    <row r="815" spans="1:14">
      <c r="A815" s="36" t="s">
        <v>18</v>
      </c>
      <c r="B815" s="37">
        <v>44440</v>
      </c>
      <c r="C815" s="36" t="s">
        <v>520</v>
      </c>
      <c r="D815" s="36" t="s">
        <v>521</v>
      </c>
      <c r="E815" s="36" t="s">
        <v>246</v>
      </c>
      <c r="G815" s="87">
        <v>14552000</v>
      </c>
      <c r="H815" s="87">
        <v>1455200</v>
      </c>
      <c r="I815" s="87">
        <v>16007200</v>
      </c>
      <c r="K815" s="85">
        <v>2021</v>
      </c>
      <c r="L815" s="85">
        <v>9</v>
      </c>
      <c r="N815" s="208" t="s">
        <v>44</v>
      </c>
    </row>
    <row r="816" spans="1:14">
      <c r="A816" s="36" t="s">
        <v>18</v>
      </c>
      <c r="B816" s="37">
        <v>44440</v>
      </c>
      <c r="C816" s="36" t="s">
        <v>520</v>
      </c>
      <c r="D816" s="36" t="s">
        <v>522</v>
      </c>
      <c r="E816" s="36" t="s">
        <v>250</v>
      </c>
      <c r="G816" s="87">
        <v>12471000</v>
      </c>
      <c r="H816" s="87">
        <v>1247100</v>
      </c>
      <c r="I816" s="87">
        <v>13718100</v>
      </c>
      <c r="J816" s="87"/>
      <c r="K816" s="85">
        <v>2021</v>
      </c>
      <c r="L816" s="85">
        <v>9</v>
      </c>
      <c r="N816" s="208" t="s">
        <v>44</v>
      </c>
    </row>
    <row r="817" spans="1:14">
      <c r="A817" s="36" t="s">
        <v>18</v>
      </c>
      <c r="B817" s="37">
        <v>44440</v>
      </c>
      <c r="C817" s="36" t="s">
        <v>520</v>
      </c>
      <c r="D817" s="36" t="s">
        <v>522</v>
      </c>
      <c r="E817" s="36" t="s">
        <v>345</v>
      </c>
      <c r="G817" s="87">
        <v>13051000</v>
      </c>
      <c r="H817" s="87">
        <v>1305100</v>
      </c>
      <c r="I817" s="87">
        <v>14356100</v>
      </c>
      <c r="K817" s="85">
        <v>2021</v>
      </c>
      <c r="L817" s="85">
        <v>9</v>
      </c>
      <c r="N817" s="208" t="s">
        <v>44</v>
      </c>
    </row>
    <row r="818" spans="1:14">
      <c r="A818" s="36" t="s">
        <v>33</v>
      </c>
      <c r="B818" s="37">
        <v>44440</v>
      </c>
      <c r="C818" s="36" t="s">
        <v>166</v>
      </c>
      <c r="D818" s="36" t="s">
        <v>376</v>
      </c>
      <c r="E818" s="36" t="s">
        <v>77</v>
      </c>
      <c r="J818" s="38">
        <v>257100</v>
      </c>
      <c r="K818" s="85">
        <v>2021</v>
      </c>
      <c r="L818" s="85">
        <v>8</v>
      </c>
      <c r="N818" s="208" t="s">
        <v>44</v>
      </c>
    </row>
    <row r="819" spans="1:14">
      <c r="A819" s="36" t="s">
        <v>33</v>
      </c>
      <c r="B819" s="37">
        <v>44440</v>
      </c>
      <c r="C819" s="36" t="s">
        <v>82</v>
      </c>
      <c r="D819" s="36" t="s">
        <v>319</v>
      </c>
      <c r="E819" s="36" t="s">
        <v>148</v>
      </c>
      <c r="J819" s="87">
        <v>726000</v>
      </c>
      <c r="K819" s="85">
        <v>2021</v>
      </c>
      <c r="L819" s="85">
        <v>5</v>
      </c>
      <c r="N819" s="208" t="s">
        <v>44</v>
      </c>
    </row>
    <row r="820" spans="1:14">
      <c r="A820" s="36" t="s">
        <v>33</v>
      </c>
      <c r="B820" s="37">
        <v>44440</v>
      </c>
      <c r="C820" s="36" t="s">
        <v>82</v>
      </c>
      <c r="D820" s="36" t="s">
        <v>452</v>
      </c>
      <c r="E820" s="36" t="s">
        <v>148</v>
      </c>
      <c r="J820" s="87">
        <v>448800</v>
      </c>
      <c r="K820" s="85">
        <v>2021</v>
      </c>
      <c r="L820" s="85">
        <v>7</v>
      </c>
      <c r="N820" s="208" t="s">
        <v>44</v>
      </c>
    </row>
    <row r="821" spans="1:14">
      <c r="A821" s="36" t="s">
        <v>33</v>
      </c>
      <c r="B821" s="37">
        <v>44440</v>
      </c>
      <c r="C821" s="36" t="s">
        <v>103</v>
      </c>
      <c r="D821" s="36" t="s">
        <v>205</v>
      </c>
      <c r="E821" s="36" t="s">
        <v>148</v>
      </c>
      <c r="J821" s="87">
        <v>359700</v>
      </c>
      <c r="K821" s="85">
        <v>2021</v>
      </c>
      <c r="L821" s="85">
        <v>7</v>
      </c>
      <c r="N821" s="208" t="s">
        <v>44</v>
      </c>
    </row>
    <row r="822" spans="1:14">
      <c r="A822" s="36" t="s">
        <v>32</v>
      </c>
      <c r="B822" s="37">
        <v>44441</v>
      </c>
      <c r="C822" s="36" t="s">
        <v>209</v>
      </c>
      <c r="D822" s="36" t="s">
        <v>197</v>
      </c>
      <c r="E822" s="36" t="s">
        <v>77</v>
      </c>
      <c r="J822" s="87">
        <v>10251450</v>
      </c>
      <c r="K822" s="85">
        <v>2021</v>
      </c>
      <c r="L822" s="85">
        <v>7</v>
      </c>
      <c r="N822" s="208" t="s">
        <v>44</v>
      </c>
    </row>
    <row r="823" spans="1:14">
      <c r="A823" s="36" t="s">
        <v>33</v>
      </c>
      <c r="B823" s="37">
        <v>44441</v>
      </c>
      <c r="C823" s="36" t="s">
        <v>131</v>
      </c>
      <c r="D823" s="36" t="s">
        <v>439</v>
      </c>
      <c r="E823" s="36" t="s">
        <v>77</v>
      </c>
      <c r="J823" s="38">
        <v>572000</v>
      </c>
      <c r="K823" s="85">
        <v>2021</v>
      </c>
      <c r="L823" s="85">
        <v>8</v>
      </c>
      <c r="N823" s="208" t="s">
        <v>44</v>
      </c>
    </row>
    <row r="824" spans="1:14">
      <c r="A824" s="36" t="s">
        <v>33</v>
      </c>
      <c r="B824" s="37">
        <v>44442</v>
      </c>
      <c r="C824" s="36" t="s">
        <v>395</v>
      </c>
      <c r="D824" s="36" t="s">
        <v>229</v>
      </c>
      <c r="E824" s="36" t="s">
        <v>148</v>
      </c>
      <c r="J824" s="87">
        <v>6587000</v>
      </c>
      <c r="K824" s="85">
        <v>2021</v>
      </c>
      <c r="L824" s="85">
        <v>8</v>
      </c>
      <c r="M824" s="36" t="s">
        <v>107</v>
      </c>
      <c r="N824" s="208" t="s">
        <v>44</v>
      </c>
    </row>
    <row r="825" spans="1:14">
      <c r="A825" s="36" t="s">
        <v>32</v>
      </c>
      <c r="B825" s="37">
        <v>44442</v>
      </c>
      <c r="C825" s="36" t="s">
        <v>280</v>
      </c>
      <c r="D825" s="36" t="s">
        <v>377</v>
      </c>
      <c r="E825" s="36" t="s">
        <v>148</v>
      </c>
      <c r="J825" s="87">
        <v>3268320</v>
      </c>
      <c r="K825" s="85">
        <v>2021</v>
      </c>
      <c r="L825" s="85">
        <v>4</v>
      </c>
      <c r="N825" s="208" t="s">
        <v>44</v>
      </c>
    </row>
    <row r="826" spans="1:14">
      <c r="A826" s="36" t="s">
        <v>18</v>
      </c>
      <c r="B826" s="37">
        <v>44442</v>
      </c>
      <c r="C826" s="36" t="s">
        <v>405</v>
      </c>
      <c r="D826" s="36" t="s">
        <v>377</v>
      </c>
      <c r="E826" s="36" t="s">
        <v>148</v>
      </c>
      <c r="J826" s="87">
        <v>2178880</v>
      </c>
      <c r="K826" s="85">
        <v>2021</v>
      </c>
      <c r="L826" s="85">
        <v>6</v>
      </c>
      <c r="M826" s="36" t="s">
        <v>523</v>
      </c>
      <c r="N826" s="208" t="s">
        <v>44</v>
      </c>
    </row>
    <row r="827" spans="1:14">
      <c r="A827" s="36" t="s">
        <v>18</v>
      </c>
      <c r="B827" s="37">
        <v>44442</v>
      </c>
      <c r="C827" s="36" t="s">
        <v>413</v>
      </c>
      <c r="D827" s="36" t="s">
        <v>380</v>
      </c>
      <c r="E827" s="36" t="s">
        <v>148</v>
      </c>
      <c r="J827" s="87">
        <v>12436490</v>
      </c>
      <c r="K827" s="85">
        <v>2021</v>
      </c>
      <c r="L827" s="85">
        <v>7</v>
      </c>
      <c r="N827" s="208" t="s">
        <v>44</v>
      </c>
    </row>
    <row r="828" spans="1:14">
      <c r="A828" s="36" t="s">
        <v>32</v>
      </c>
      <c r="B828" s="37">
        <v>44442</v>
      </c>
      <c r="C828" s="36" t="s">
        <v>175</v>
      </c>
      <c r="D828" s="36" t="s">
        <v>463</v>
      </c>
      <c r="E828" s="36" t="s">
        <v>148</v>
      </c>
      <c r="J828" s="87">
        <v>5842408</v>
      </c>
      <c r="K828" s="85">
        <v>2021</v>
      </c>
      <c r="L828" s="85">
        <v>7</v>
      </c>
      <c r="N828" s="208" t="s">
        <v>44</v>
      </c>
    </row>
    <row r="829" spans="1:14">
      <c r="A829" s="36" t="s">
        <v>33</v>
      </c>
      <c r="B829" s="37">
        <v>44442</v>
      </c>
      <c r="C829" s="36" t="s">
        <v>115</v>
      </c>
      <c r="D829" s="36" t="s">
        <v>371</v>
      </c>
      <c r="E829" s="36" t="s">
        <v>148</v>
      </c>
      <c r="J829" s="38">
        <v>2594000</v>
      </c>
      <c r="K829" s="85">
        <v>2021</v>
      </c>
      <c r="L829" s="85">
        <v>8</v>
      </c>
      <c r="M829" s="36" t="s">
        <v>107</v>
      </c>
      <c r="N829" s="208" t="s">
        <v>44</v>
      </c>
    </row>
    <row r="830" spans="1:14">
      <c r="A830" s="36" t="s">
        <v>33</v>
      </c>
      <c r="B830" s="37">
        <v>44442</v>
      </c>
      <c r="C830" s="36" t="s">
        <v>168</v>
      </c>
      <c r="D830" s="36" t="s">
        <v>258</v>
      </c>
      <c r="E830" s="36" t="s">
        <v>77</v>
      </c>
      <c r="J830" s="38">
        <v>1600280</v>
      </c>
      <c r="K830" s="85">
        <v>2021</v>
      </c>
      <c r="L830" s="85">
        <v>8</v>
      </c>
      <c r="N830" s="208" t="s">
        <v>44</v>
      </c>
    </row>
    <row r="831" spans="1:14">
      <c r="A831" s="36" t="s">
        <v>33</v>
      </c>
      <c r="B831" s="37">
        <v>44445</v>
      </c>
      <c r="C831" s="36" t="s">
        <v>260</v>
      </c>
      <c r="D831" s="36" t="s">
        <v>261</v>
      </c>
      <c r="E831" s="36" t="s">
        <v>125</v>
      </c>
      <c r="J831" s="38">
        <v>871200</v>
      </c>
      <c r="K831" s="85">
        <v>2021</v>
      </c>
      <c r="L831" s="85">
        <v>8</v>
      </c>
      <c r="N831" s="208" t="s">
        <v>44</v>
      </c>
    </row>
    <row r="832" spans="1:14">
      <c r="A832" s="36" t="s">
        <v>32</v>
      </c>
      <c r="B832" s="37">
        <v>44445</v>
      </c>
      <c r="C832" s="36" t="s">
        <v>466</v>
      </c>
      <c r="D832" s="36" t="s">
        <v>467</v>
      </c>
      <c r="E832" s="36" t="s">
        <v>148</v>
      </c>
      <c r="J832" s="87">
        <v>15691368</v>
      </c>
      <c r="K832" s="85">
        <v>2021</v>
      </c>
      <c r="L832" s="85">
        <v>7</v>
      </c>
      <c r="M832" s="36" t="s">
        <v>524</v>
      </c>
      <c r="N832" s="208" t="s">
        <v>44</v>
      </c>
    </row>
    <row r="833" spans="1:14">
      <c r="A833" s="36" t="s">
        <v>32</v>
      </c>
      <c r="B833" s="37">
        <v>44447</v>
      </c>
      <c r="C833" s="36" t="s">
        <v>411</v>
      </c>
      <c r="D833" s="36" t="s">
        <v>462</v>
      </c>
      <c r="E833" s="36" t="s">
        <v>148</v>
      </c>
      <c r="J833" s="87">
        <v>11361900</v>
      </c>
      <c r="K833" s="85">
        <v>2021</v>
      </c>
      <c r="L833" s="85">
        <v>7</v>
      </c>
      <c r="N833" s="208" t="s">
        <v>44</v>
      </c>
    </row>
    <row r="834" spans="1:14">
      <c r="A834" s="36" t="s">
        <v>32</v>
      </c>
      <c r="B834" s="37">
        <v>44449</v>
      </c>
      <c r="C834" s="36" t="s">
        <v>181</v>
      </c>
      <c r="D834" s="36" t="s">
        <v>376</v>
      </c>
      <c r="E834" s="36" t="s">
        <v>148</v>
      </c>
      <c r="J834" s="87">
        <v>632500</v>
      </c>
      <c r="K834" s="85">
        <v>2021</v>
      </c>
      <c r="L834" s="85">
        <v>7</v>
      </c>
      <c r="N834" s="208" t="s">
        <v>44</v>
      </c>
    </row>
    <row r="835" spans="1:14">
      <c r="A835" s="36" t="s">
        <v>33</v>
      </c>
      <c r="B835" s="37">
        <v>44450</v>
      </c>
      <c r="C835" s="36" t="s">
        <v>126</v>
      </c>
      <c r="D835" s="36" t="s">
        <v>525</v>
      </c>
      <c r="E835" s="36" t="s">
        <v>148</v>
      </c>
      <c r="J835" s="87">
        <v>330000</v>
      </c>
      <c r="K835" s="85">
        <v>2021</v>
      </c>
      <c r="L835" s="85">
        <v>9</v>
      </c>
      <c r="N835" s="208" t="s">
        <v>44</v>
      </c>
    </row>
    <row r="836" spans="1:14">
      <c r="A836" s="36" t="s">
        <v>32</v>
      </c>
      <c r="B836" s="37">
        <v>44452</v>
      </c>
      <c r="C836" s="36" t="s">
        <v>281</v>
      </c>
      <c r="D836" s="36" t="s">
        <v>451</v>
      </c>
      <c r="E836" s="36" t="s">
        <v>148</v>
      </c>
      <c r="J836" s="87">
        <v>1914000</v>
      </c>
      <c r="K836" s="85">
        <v>2021</v>
      </c>
      <c r="L836" s="85">
        <v>7</v>
      </c>
      <c r="N836" s="208" t="s">
        <v>44</v>
      </c>
    </row>
    <row r="837" spans="1:14">
      <c r="A837" s="36" t="s">
        <v>32</v>
      </c>
      <c r="B837" s="37">
        <v>44452</v>
      </c>
      <c r="C837" s="36" t="s">
        <v>288</v>
      </c>
      <c r="D837" s="36" t="s">
        <v>289</v>
      </c>
      <c r="E837" s="36" t="s">
        <v>77</v>
      </c>
      <c r="J837" s="87">
        <v>1984950</v>
      </c>
      <c r="K837" s="85">
        <v>2021</v>
      </c>
      <c r="L837" s="85">
        <v>6</v>
      </c>
      <c r="N837" s="208" t="s">
        <v>44</v>
      </c>
    </row>
    <row r="838" spans="1:14">
      <c r="A838" s="36" t="s">
        <v>32</v>
      </c>
      <c r="B838" s="37">
        <v>44452</v>
      </c>
      <c r="C838" s="36" t="s">
        <v>288</v>
      </c>
      <c r="D838" s="36" t="s">
        <v>289</v>
      </c>
      <c r="E838" s="36" t="s">
        <v>77</v>
      </c>
      <c r="J838" s="87">
        <v>5954850</v>
      </c>
      <c r="K838" s="85">
        <v>2021</v>
      </c>
      <c r="L838" s="85">
        <v>8</v>
      </c>
      <c r="N838" s="208" t="s">
        <v>44</v>
      </c>
    </row>
    <row r="839" spans="1:14">
      <c r="A839" s="36" t="s">
        <v>32</v>
      </c>
      <c r="B839" s="37">
        <v>44453</v>
      </c>
      <c r="C839" s="36" t="s">
        <v>251</v>
      </c>
      <c r="D839" s="36" t="s">
        <v>252</v>
      </c>
      <c r="E839" s="36" t="s">
        <v>148</v>
      </c>
      <c r="J839" s="38">
        <v>23515740</v>
      </c>
      <c r="K839" s="85">
        <v>2021</v>
      </c>
      <c r="L839" s="85">
        <v>8</v>
      </c>
      <c r="N839" s="208" t="s">
        <v>44</v>
      </c>
    </row>
    <row r="840" spans="1:14">
      <c r="A840" s="36" t="s">
        <v>32</v>
      </c>
      <c r="B840" s="37">
        <v>44453</v>
      </c>
      <c r="C840" s="36" t="s">
        <v>251</v>
      </c>
      <c r="D840" s="36" t="s">
        <v>252</v>
      </c>
      <c r="E840" s="36" t="s">
        <v>526</v>
      </c>
      <c r="J840" s="38">
        <v>142400</v>
      </c>
      <c r="K840" s="85">
        <v>2021</v>
      </c>
      <c r="L840" s="85">
        <v>8</v>
      </c>
      <c r="N840" s="208" t="s">
        <v>44</v>
      </c>
    </row>
    <row r="841" spans="1:14">
      <c r="A841" s="36" t="s">
        <v>33</v>
      </c>
      <c r="B841" s="37">
        <v>44453</v>
      </c>
      <c r="C841" s="36" t="s">
        <v>527</v>
      </c>
      <c r="D841" s="36" t="s">
        <v>528</v>
      </c>
      <c r="E841" s="36" t="s">
        <v>143</v>
      </c>
      <c r="G841" s="87">
        <v>180000</v>
      </c>
      <c r="H841" s="87">
        <v>18000</v>
      </c>
      <c r="I841" s="87">
        <v>198000</v>
      </c>
      <c r="K841" s="85">
        <v>2021</v>
      </c>
      <c r="L841" s="85">
        <v>9</v>
      </c>
      <c r="N841" s="208" t="s">
        <v>44</v>
      </c>
    </row>
    <row r="842" spans="1:14">
      <c r="A842" s="36" t="s">
        <v>32</v>
      </c>
      <c r="B842" s="37">
        <v>44454</v>
      </c>
      <c r="C842" s="36" t="s">
        <v>509</v>
      </c>
      <c r="D842" s="36" t="s">
        <v>510</v>
      </c>
      <c r="E842" s="36" t="s">
        <v>148</v>
      </c>
      <c r="J842" s="38">
        <v>30800000</v>
      </c>
      <c r="K842" s="85">
        <v>2021</v>
      </c>
      <c r="L842" s="85">
        <v>8</v>
      </c>
      <c r="N842" s="208" t="s">
        <v>44</v>
      </c>
    </row>
    <row r="843" spans="1:14">
      <c r="A843" s="36" t="s">
        <v>33</v>
      </c>
      <c r="B843" s="37">
        <v>44455</v>
      </c>
      <c r="C843" s="36" t="s">
        <v>493</v>
      </c>
      <c r="D843" s="36" t="s">
        <v>494</v>
      </c>
      <c r="E843" s="36" t="s">
        <v>148</v>
      </c>
      <c r="J843" s="38">
        <v>1188000</v>
      </c>
      <c r="K843" s="85">
        <v>2021</v>
      </c>
      <c r="L843" s="85">
        <v>8</v>
      </c>
      <c r="N843" s="208" t="s">
        <v>44</v>
      </c>
    </row>
    <row r="844" spans="1:14">
      <c r="A844" s="36" t="s">
        <v>32</v>
      </c>
      <c r="B844" s="37">
        <v>44455</v>
      </c>
      <c r="C844" s="36" t="s">
        <v>511</v>
      </c>
      <c r="D844" s="36" t="s">
        <v>512</v>
      </c>
      <c r="E844" s="36" t="s">
        <v>148</v>
      </c>
      <c r="J844" s="87">
        <v>2379300</v>
      </c>
      <c r="K844" s="85">
        <v>2021</v>
      </c>
      <c r="L844" s="85">
        <v>8</v>
      </c>
      <c r="N844" s="208" t="s">
        <v>44</v>
      </c>
    </row>
    <row r="845" spans="1:14">
      <c r="A845" s="36" t="s">
        <v>19</v>
      </c>
      <c r="B845" s="37">
        <v>44456</v>
      </c>
      <c r="C845" s="36" t="s">
        <v>529</v>
      </c>
      <c r="D845" s="36" t="s">
        <v>530</v>
      </c>
      <c r="E845" s="36" t="s">
        <v>531</v>
      </c>
      <c r="G845" s="87">
        <v>120000</v>
      </c>
      <c r="H845" s="87">
        <v>12000</v>
      </c>
      <c r="I845" s="87">
        <v>132000</v>
      </c>
      <c r="K845" s="85">
        <v>2021</v>
      </c>
      <c r="L845" s="85">
        <v>9</v>
      </c>
      <c r="N845" s="208" t="s">
        <v>44</v>
      </c>
    </row>
    <row r="846" spans="1:14">
      <c r="A846" s="36" t="s">
        <v>32</v>
      </c>
      <c r="B846" s="37">
        <v>44456</v>
      </c>
      <c r="C846" s="36" t="s">
        <v>346</v>
      </c>
      <c r="D846" s="36" t="s">
        <v>378</v>
      </c>
      <c r="E846" s="36" t="s">
        <v>148</v>
      </c>
      <c r="J846" s="87">
        <v>6853000</v>
      </c>
      <c r="K846" s="85">
        <v>2021</v>
      </c>
      <c r="L846" s="85">
        <v>7</v>
      </c>
      <c r="N846" s="208" t="s">
        <v>44</v>
      </c>
    </row>
    <row r="847" spans="1:14">
      <c r="A847" s="36" t="s">
        <v>32</v>
      </c>
      <c r="B847" s="37">
        <v>44456</v>
      </c>
      <c r="C847" s="36" t="s">
        <v>204</v>
      </c>
      <c r="D847" s="36" t="s">
        <v>337</v>
      </c>
      <c r="E847" s="36" t="s">
        <v>148</v>
      </c>
      <c r="J847" s="87">
        <v>4889561.5999999996</v>
      </c>
      <c r="K847" s="85">
        <v>2021</v>
      </c>
      <c r="L847" s="85">
        <v>7</v>
      </c>
      <c r="N847" s="208" t="s">
        <v>44</v>
      </c>
    </row>
    <row r="848" spans="1:14">
      <c r="A848" s="36" t="s">
        <v>32</v>
      </c>
      <c r="B848" s="37">
        <v>44456</v>
      </c>
      <c r="C848" s="36" t="s">
        <v>277</v>
      </c>
      <c r="D848" s="36" t="s">
        <v>278</v>
      </c>
      <c r="E848" s="36" t="s">
        <v>77</v>
      </c>
      <c r="J848" s="87">
        <v>6500186</v>
      </c>
      <c r="K848" s="85">
        <v>2021</v>
      </c>
      <c r="L848" s="85">
        <v>7</v>
      </c>
      <c r="N848" s="208" t="s">
        <v>44</v>
      </c>
    </row>
    <row r="849" spans="1:14">
      <c r="A849" s="36" t="s">
        <v>32</v>
      </c>
      <c r="B849" s="37">
        <v>44456</v>
      </c>
      <c r="C849" s="36" t="s">
        <v>277</v>
      </c>
      <c r="D849" s="36" t="s">
        <v>278</v>
      </c>
      <c r="E849" s="36" t="s">
        <v>77</v>
      </c>
      <c r="J849" s="87">
        <v>28194188</v>
      </c>
      <c r="K849" s="85">
        <v>2021</v>
      </c>
      <c r="L849" s="85">
        <v>8</v>
      </c>
      <c r="N849" s="208" t="s">
        <v>44</v>
      </c>
    </row>
    <row r="850" spans="1:14">
      <c r="A850" s="36" t="s">
        <v>32</v>
      </c>
      <c r="B850" s="37">
        <v>44456</v>
      </c>
      <c r="C850" s="36" t="s">
        <v>206</v>
      </c>
      <c r="D850" s="36" t="s">
        <v>207</v>
      </c>
      <c r="E850" s="36" t="s">
        <v>148</v>
      </c>
      <c r="J850" s="87">
        <v>2118600</v>
      </c>
      <c r="K850" s="85">
        <v>2021</v>
      </c>
      <c r="L850" s="85">
        <v>5</v>
      </c>
      <c r="N850" s="208" t="s">
        <v>44</v>
      </c>
    </row>
    <row r="851" spans="1:14">
      <c r="A851" s="36" t="s">
        <v>18</v>
      </c>
      <c r="B851" s="37">
        <v>44456</v>
      </c>
      <c r="C851" s="36" t="s">
        <v>402</v>
      </c>
      <c r="D851" s="36" t="s">
        <v>208</v>
      </c>
      <c r="E851" s="36" t="s">
        <v>148</v>
      </c>
      <c r="J851" s="87">
        <v>2094840</v>
      </c>
      <c r="K851" s="85">
        <v>2021</v>
      </c>
      <c r="L851" s="85">
        <v>6</v>
      </c>
      <c r="N851" s="208" t="s">
        <v>44</v>
      </c>
    </row>
    <row r="852" spans="1:14">
      <c r="A852" s="36" t="s">
        <v>32</v>
      </c>
      <c r="B852" s="37">
        <v>44456</v>
      </c>
      <c r="C852" s="36" t="s">
        <v>185</v>
      </c>
      <c r="D852" s="36" t="s">
        <v>187</v>
      </c>
      <c r="E852" s="36" t="s">
        <v>77</v>
      </c>
      <c r="J852" s="87">
        <v>11810700</v>
      </c>
      <c r="K852" s="85">
        <v>2021</v>
      </c>
      <c r="L852" s="85">
        <v>8</v>
      </c>
      <c r="N852" s="208" t="s">
        <v>44</v>
      </c>
    </row>
    <row r="853" spans="1:14">
      <c r="A853" s="36" t="s">
        <v>32</v>
      </c>
      <c r="B853" s="37">
        <v>44456</v>
      </c>
      <c r="C853" s="36" t="s">
        <v>185</v>
      </c>
      <c r="D853" s="36" t="s">
        <v>105</v>
      </c>
      <c r="E853" s="36" t="s">
        <v>77</v>
      </c>
      <c r="J853" s="87">
        <v>7993700</v>
      </c>
      <c r="K853" s="85">
        <v>2021</v>
      </c>
      <c r="L853" s="85">
        <v>8</v>
      </c>
      <c r="N853" s="208" t="s">
        <v>44</v>
      </c>
    </row>
    <row r="854" spans="1:14">
      <c r="A854" s="36" t="s">
        <v>32</v>
      </c>
      <c r="B854" s="37">
        <v>44456</v>
      </c>
      <c r="C854" s="36" t="s">
        <v>188</v>
      </c>
      <c r="D854" s="36" t="s">
        <v>508</v>
      </c>
      <c r="E854" s="36" t="s">
        <v>148</v>
      </c>
      <c r="J854" s="87">
        <v>9240000</v>
      </c>
      <c r="K854" s="85">
        <v>2021</v>
      </c>
      <c r="L854" s="85">
        <v>8</v>
      </c>
      <c r="N854" s="208" t="s">
        <v>44</v>
      </c>
    </row>
    <row r="855" spans="1:14">
      <c r="A855" s="36" t="s">
        <v>32</v>
      </c>
      <c r="B855" s="37">
        <v>44456</v>
      </c>
      <c r="C855" s="36" t="s">
        <v>188</v>
      </c>
      <c r="D855" s="36" t="s">
        <v>518</v>
      </c>
      <c r="E855" s="36" t="s">
        <v>148</v>
      </c>
      <c r="J855" s="87">
        <v>5434000</v>
      </c>
      <c r="K855" s="85">
        <v>2021</v>
      </c>
      <c r="L855" s="85">
        <v>8</v>
      </c>
      <c r="N855" s="208" t="s">
        <v>44</v>
      </c>
    </row>
    <row r="856" spans="1:14">
      <c r="A856" s="36" t="s">
        <v>32</v>
      </c>
      <c r="B856" s="37">
        <v>44457</v>
      </c>
      <c r="C856" s="36" t="s">
        <v>501</v>
      </c>
      <c r="D856" s="36" t="s">
        <v>502</v>
      </c>
      <c r="E856" s="36" t="s">
        <v>148</v>
      </c>
      <c r="J856" s="87">
        <v>4460544</v>
      </c>
      <c r="K856" s="85">
        <v>2021</v>
      </c>
      <c r="L856" s="85">
        <v>8</v>
      </c>
      <c r="N856" s="208" t="s">
        <v>44</v>
      </c>
    </row>
    <row r="857" spans="1:14">
      <c r="A857" s="36" t="s">
        <v>32</v>
      </c>
      <c r="B857" s="37">
        <v>44457</v>
      </c>
      <c r="C857" s="36" t="s">
        <v>188</v>
      </c>
      <c r="D857" s="36" t="s">
        <v>193</v>
      </c>
      <c r="E857" s="36" t="s">
        <v>148</v>
      </c>
      <c r="J857" s="87">
        <v>2167000</v>
      </c>
      <c r="K857" s="85">
        <v>2021</v>
      </c>
      <c r="L857" s="85">
        <v>7</v>
      </c>
      <c r="N857" s="208" t="s">
        <v>44</v>
      </c>
    </row>
    <row r="858" spans="1:14">
      <c r="A858" s="36" t="s">
        <v>32</v>
      </c>
      <c r="B858" s="37">
        <v>44457</v>
      </c>
      <c r="C858" s="36" t="s">
        <v>188</v>
      </c>
      <c r="D858" s="36" t="s">
        <v>516</v>
      </c>
      <c r="E858" s="36" t="s">
        <v>148</v>
      </c>
      <c r="J858" s="87">
        <v>2475000</v>
      </c>
      <c r="K858" s="85">
        <v>2021</v>
      </c>
      <c r="L858" s="85">
        <v>8</v>
      </c>
      <c r="N858" s="208" t="s">
        <v>44</v>
      </c>
    </row>
    <row r="859" spans="1:14">
      <c r="A859" s="36" t="s">
        <v>32</v>
      </c>
      <c r="B859" s="37">
        <v>44457</v>
      </c>
      <c r="C859" s="36" t="s">
        <v>175</v>
      </c>
      <c r="D859" s="36" t="s">
        <v>465</v>
      </c>
      <c r="E859" s="36" t="s">
        <v>148</v>
      </c>
      <c r="J859" s="87">
        <v>15640240</v>
      </c>
      <c r="K859" s="85">
        <v>2021</v>
      </c>
      <c r="L859" s="85">
        <v>7</v>
      </c>
      <c r="N859" s="208" t="s">
        <v>44</v>
      </c>
    </row>
    <row r="860" spans="1:14">
      <c r="A860" s="36" t="s">
        <v>32</v>
      </c>
      <c r="B860" s="37">
        <v>44457</v>
      </c>
      <c r="C860" s="36" t="s">
        <v>175</v>
      </c>
      <c r="D860" s="36" t="s">
        <v>178</v>
      </c>
      <c r="E860" s="36" t="s">
        <v>148</v>
      </c>
      <c r="J860" s="87">
        <v>7908120</v>
      </c>
      <c r="K860" s="85">
        <v>2021</v>
      </c>
      <c r="L860" s="85">
        <v>7</v>
      </c>
      <c r="N860" s="208" t="s">
        <v>44</v>
      </c>
    </row>
    <row r="861" spans="1:14">
      <c r="A861" s="36" t="s">
        <v>33</v>
      </c>
      <c r="B861" s="37">
        <v>44462</v>
      </c>
      <c r="C861" s="36" t="s">
        <v>532</v>
      </c>
      <c r="D861" s="36" t="s">
        <v>289</v>
      </c>
      <c r="E861" s="36" t="s">
        <v>148</v>
      </c>
      <c r="J861" s="87">
        <v>495000</v>
      </c>
      <c r="K861" s="85">
        <v>2021</v>
      </c>
      <c r="L861" s="85">
        <v>9</v>
      </c>
      <c r="N861" s="208" t="s">
        <v>44</v>
      </c>
    </row>
    <row r="862" spans="1:14">
      <c r="A862" s="36" t="s">
        <v>33</v>
      </c>
      <c r="B862" s="37">
        <v>44462</v>
      </c>
      <c r="C862" s="36" t="s">
        <v>507</v>
      </c>
      <c r="D862" s="36" t="s">
        <v>508</v>
      </c>
      <c r="E862" s="36" t="s">
        <v>148</v>
      </c>
      <c r="J862" s="38">
        <v>8800000</v>
      </c>
      <c r="K862" s="85">
        <v>2021</v>
      </c>
      <c r="L862" s="85">
        <v>8</v>
      </c>
      <c r="N862" s="208" t="s">
        <v>44</v>
      </c>
    </row>
    <row r="863" spans="1:14">
      <c r="A863" s="36" t="s">
        <v>32</v>
      </c>
      <c r="B863" s="37">
        <v>44466</v>
      </c>
      <c r="C863" s="36" t="s">
        <v>209</v>
      </c>
      <c r="D863" s="36" t="s">
        <v>197</v>
      </c>
      <c r="E863" s="36" t="s">
        <v>77</v>
      </c>
      <c r="J863" s="87">
        <v>24868470</v>
      </c>
      <c r="K863" s="85">
        <v>2021</v>
      </c>
      <c r="L863" s="85">
        <v>8</v>
      </c>
      <c r="N863" s="208" t="s">
        <v>44</v>
      </c>
    </row>
    <row r="864" spans="1:14">
      <c r="A864" s="36" t="s">
        <v>32</v>
      </c>
      <c r="B864" s="37">
        <v>44466</v>
      </c>
      <c r="C864" s="36" t="s">
        <v>209</v>
      </c>
      <c r="D864" s="36" t="s">
        <v>388</v>
      </c>
      <c r="E864" s="36" t="s">
        <v>77</v>
      </c>
      <c r="J864" s="87">
        <v>1927640</v>
      </c>
      <c r="K864" s="85">
        <v>2021</v>
      </c>
      <c r="L864" s="85">
        <v>8</v>
      </c>
      <c r="N864" s="208" t="s">
        <v>44</v>
      </c>
    </row>
    <row r="865" spans="1:14">
      <c r="A865" s="36" t="s">
        <v>18</v>
      </c>
      <c r="B865" s="37">
        <v>44466</v>
      </c>
      <c r="C865" s="36" t="s">
        <v>533</v>
      </c>
      <c r="D865" s="36" t="s">
        <v>534</v>
      </c>
      <c r="E865" s="36" t="s">
        <v>246</v>
      </c>
      <c r="G865" s="87">
        <v>600000</v>
      </c>
      <c r="H865" s="87">
        <v>60000</v>
      </c>
      <c r="I865" s="87">
        <v>660000</v>
      </c>
      <c r="K865" s="85">
        <v>2021</v>
      </c>
      <c r="L865" s="85">
        <v>9</v>
      </c>
      <c r="N865" s="208" t="s">
        <v>44</v>
      </c>
    </row>
    <row r="866" spans="1:14">
      <c r="A866" s="36" t="s">
        <v>18</v>
      </c>
      <c r="B866" s="37">
        <v>44466</v>
      </c>
      <c r="C866" s="36" t="s">
        <v>535</v>
      </c>
      <c r="D866" s="36" t="s">
        <v>536</v>
      </c>
      <c r="E866" s="36" t="s">
        <v>250</v>
      </c>
      <c r="G866" s="87">
        <v>15689000</v>
      </c>
      <c r="H866" s="87">
        <v>1568900</v>
      </c>
      <c r="I866" s="87">
        <v>17257900</v>
      </c>
      <c r="K866" s="85">
        <v>2021</v>
      </c>
      <c r="L866" s="85">
        <v>9</v>
      </c>
      <c r="N866" s="208" t="s">
        <v>44</v>
      </c>
    </row>
    <row r="867" spans="1:14">
      <c r="A867" s="36" t="s">
        <v>32</v>
      </c>
      <c r="B867" s="37">
        <v>44466</v>
      </c>
      <c r="C867" s="36" t="s">
        <v>352</v>
      </c>
      <c r="D867" s="36" t="s">
        <v>382</v>
      </c>
      <c r="E867" s="36" t="s">
        <v>148</v>
      </c>
      <c r="J867" s="87">
        <v>4954400</v>
      </c>
      <c r="K867" s="85">
        <v>2021</v>
      </c>
      <c r="L867" s="85">
        <v>8</v>
      </c>
      <c r="N867" s="208" t="s">
        <v>44</v>
      </c>
    </row>
    <row r="868" spans="1:14">
      <c r="A868" s="36" t="s">
        <v>33</v>
      </c>
      <c r="B868" s="37">
        <v>44467</v>
      </c>
      <c r="C868" s="36" t="s">
        <v>537</v>
      </c>
      <c r="D868" s="36" t="s">
        <v>538</v>
      </c>
      <c r="E868" s="36" t="s">
        <v>539</v>
      </c>
      <c r="G868" s="87">
        <v>153100</v>
      </c>
      <c r="H868" s="87">
        <v>15310</v>
      </c>
      <c r="I868" s="87">
        <v>168410</v>
      </c>
      <c r="K868" s="85">
        <v>2021</v>
      </c>
      <c r="L868" s="85">
        <v>9</v>
      </c>
      <c r="N868" s="208" t="s">
        <v>44</v>
      </c>
    </row>
    <row r="869" spans="1:14">
      <c r="A869" s="36" t="s">
        <v>32</v>
      </c>
      <c r="B869" s="37">
        <v>44468</v>
      </c>
      <c r="C869" s="36" t="s">
        <v>171</v>
      </c>
      <c r="D869" s="36" t="s">
        <v>319</v>
      </c>
      <c r="E869" s="36" t="s">
        <v>78</v>
      </c>
      <c r="G869" s="87">
        <v>5631600</v>
      </c>
      <c r="H869" s="87">
        <v>563160</v>
      </c>
      <c r="I869" s="87">
        <v>6194760</v>
      </c>
      <c r="K869" s="85">
        <v>2021</v>
      </c>
      <c r="L869" s="85">
        <v>9</v>
      </c>
      <c r="N869" s="208" t="s">
        <v>44</v>
      </c>
    </row>
    <row r="870" spans="1:14">
      <c r="A870" s="36" t="s">
        <v>33</v>
      </c>
      <c r="B870" s="37">
        <v>44468</v>
      </c>
      <c r="C870" s="36" t="s">
        <v>537</v>
      </c>
      <c r="D870" s="36" t="s">
        <v>538</v>
      </c>
      <c r="E870" s="36" t="s">
        <v>77</v>
      </c>
      <c r="J870" s="38">
        <v>168410</v>
      </c>
      <c r="K870" s="85">
        <v>2021</v>
      </c>
      <c r="L870" s="85">
        <v>9</v>
      </c>
      <c r="N870" s="208" t="s">
        <v>44</v>
      </c>
    </row>
    <row r="871" spans="1:14">
      <c r="A871" s="36" t="s">
        <v>19</v>
      </c>
      <c r="B871" s="37">
        <v>44469</v>
      </c>
      <c r="C871" s="36" t="s">
        <v>529</v>
      </c>
      <c r="D871" s="36" t="s">
        <v>530</v>
      </c>
      <c r="E871" s="36" t="s">
        <v>148</v>
      </c>
      <c r="J871" s="38">
        <v>132000</v>
      </c>
      <c r="K871" s="85">
        <v>2021</v>
      </c>
      <c r="L871" s="85">
        <v>9</v>
      </c>
      <c r="N871" s="208" t="s">
        <v>44</v>
      </c>
    </row>
    <row r="872" spans="1:14">
      <c r="A872" s="36" t="s">
        <v>32</v>
      </c>
      <c r="B872" s="37">
        <v>44469</v>
      </c>
      <c r="C872" s="36" t="s">
        <v>174</v>
      </c>
      <c r="D872" s="36" t="s">
        <v>540</v>
      </c>
      <c r="E872" s="36" t="s">
        <v>76</v>
      </c>
      <c r="G872" s="87">
        <v>15735900</v>
      </c>
      <c r="H872" s="87">
        <v>1573590</v>
      </c>
      <c r="I872" s="87">
        <v>17309490</v>
      </c>
      <c r="K872" s="85">
        <v>2021</v>
      </c>
      <c r="L872" s="85">
        <v>9</v>
      </c>
      <c r="N872" s="208" t="s">
        <v>44</v>
      </c>
    </row>
    <row r="873" spans="1:14">
      <c r="A873" s="36" t="s">
        <v>32</v>
      </c>
      <c r="B873" s="37">
        <v>44469</v>
      </c>
      <c r="C873" s="36" t="s">
        <v>209</v>
      </c>
      <c r="D873" s="36" t="s">
        <v>197</v>
      </c>
      <c r="E873" s="36" t="s">
        <v>78</v>
      </c>
      <c r="G873" s="87">
        <v>35268000</v>
      </c>
      <c r="H873" s="87">
        <v>3526800</v>
      </c>
      <c r="I873" s="87">
        <v>38794800</v>
      </c>
      <c r="K873" s="85">
        <v>2021</v>
      </c>
      <c r="L873" s="85">
        <v>9</v>
      </c>
      <c r="N873" s="208" t="s">
        <v>44</v>
      </c>
    </row>
    <row r="874" spans="1:14">
      <c r="A874" s="36" t="s">
        <v>32</v>
      </c>
      <c r="B874" s="37">
        <v>44469</v>
      </c>
      <c r="C874" s="36" t="s">
        <v>209</v>
      </c>
      <c r="D874" s="36" t="s">
        <v>541</v>
      </c>
      <c r="E874" s="36" t="s">
        <v>76</v>
      </c>
      <c r="G874" s="87">
        <v>2746200</v>
      </c>
      <c r="H874" s="87">
        <v>274620</v>
      </c>
      <c r="I874" s="87">
        <v>3020820</v>
      </c>
      <c r="K874" s="85">
        <v>2021</v>
      </c>
      <c r="L874" s="85">
        <v>9</v>
      </c>
      <c r="N874" s="208" t="s">
        <v>44</v>
      </c>
    </row>
    <row r="875" spans="1:14">
      <c r="A875" s="36" t="s">
        <v>32</v>
      </c>
      <c r="B875" s="37">
        <v>44469</v>
      </c>
      <c r="C875" s="36" t="s">
        <v>346</v>
      </c>
      <c r="D875" s="36" t="s">
        <v>378</v>
      </c>
      <c r="E875" s="36" t="s">
        <v>76</v>
      </c>
      <c r="G875" s="87">
        <v>6230000</v>
      </c>
      <c r="H875" s="87">
        <v>623000</v>
      </c>
      <c r="I875" s="87">
        <v>6853000</v>
      </c>
      <c r="K875" s="85">
        <v>2021</v>
      </c>
      <c r="L875" s="85">
        <v>9</v>
      </c>
      <c r="N875" s="208" t="s">
        <v>44</v>
      </c>
    </row>
    <row r="876" spans="1:14">
      <c r="A876" s="36" t="s">
        <v>33</v>
      </c>
      <c r="B876" s="37">
        <v>44469</v>
      </c>
      <c r="C876" s="36" t="s">
        <v>542</v>
      </c>
      <c r="D876" s="36" t="s">
        <v>462</v>
      </c>
      <c r="E876" s="36" t="s">
        <v>543</v>
      </c>
      <c r="G876" s="87">
        <v>408000</v>
      </c>
      <c r="H876" s="87">
        <v>40800</v>
      </c>
      <c r="I876" s="87">
        <v>448800</v>
      </c>
      <c r="K876" s="85">
        <v>2021</v>
      </c>
      <c r="L876" s="85">
        <v>9</v>
      </c>
      <c r="N876" s="208" t="s">
        <v>44</v>
      </c>
    </row>
    <row r="877" spans="1:14">
      <c r="A877" s="36" t="s">
        <v>33</v>
      </c>
      <c r="B877" s="37">
        <v>44469</v>
      </c>
      <c r="C877" s="36" t="s">
        <v>322</v>
      </c>
      <c r="D877" s="36" t="s">
        <v>369</v>
      </c>
      <c r="E877" s="36" t="s">
        <v>79</v>
      </c>
      <c r="J877" s="38">
        <v>1000000</v>
      </c>
      <c r="K877" s="85">
        <v>2021</v>
      </c>
      <c r="L877" s="85">
        <v>1</v>
      </c>
      <c r="N877" s="208" t="s">
        <v>44</v>
      </c>
    </row>
    <row r="878" spans="1:14">
      <c r="A878" s="36" t="s">
        <v>32</v>
      </c>
      <c r="B878" s="37">
        <v>44469</v>
      </c>
      <c r="C878" s="36" t="s">
        <v>204</v>
      </c>
      <c r="D878" s="36" t="s">
        <v>205</v>
      </c>
      <c r="E878" s="36" t="s">
        <v>76</v>
      </c>
      <c r="G878" s="87">
        <v>9221400</v>
      </c>
      <c r="H878" s="87">
        <v>922140</v>
      </c>
      <c r="I878" s="87">
        <v>10143540</v>
      </c>
      <c r="K878" s="85">
        <v>2021</v>
      </c>
      <c r="L878" s="85">
        <v>9</v>
      </c>
      <c r="N878" s="208" t="s">
        <v>44</v>
      </c>
    </row>
    <row r="879" spans="1:14">
      <c r="A879" s="36" t="s">
        <v>32</v>
      </c>
      <c r="B879" s="37">
        <v>44469</v>
      </c>
      <c r="C879" s="36" t="s">
        <v>281</v>
      </c>
      <c r="D879" s="36" t="s">
        <v>451</v>
      </c>
      <c r="E879" s="36" t="s">
        <v>148</v>
      </c>
      <c r="J879" s="87">
        <v>3234000</v>
      </c>
      <c r="K879" s="85">
        <v>2021</v>
      </c>
      <c r="L879" s="85">
        <v>8</v>
      </c>
      <c r="N879" s="208" t="s">
        <v>44</v>
      </c>
    </row>
    <row r="880" spans="1:14">
      <c r="A880" s="36" t="s">
        <v>32</v>
      </c>
      <c r="B880" s="37">
        <v>44469</v>
      </c>
      <c r="C880" s="36" t="s">
        <v>281</v>
      </c>
      <c r="D880" s="36" t="s">
        <v>452</v>
      </c>
      <c r="E880" s="36" t="s">
        <v>148</v>
      </c>
      <c r="J880" s="87">
        <v>7418400</v>
      </c>
      <c r="K880" s="85">
        <v>2021</v>
      </c>
      <c r="L880" s="85">
        <v>8</v>
      </c>
      <c r="N880" s="208" t="s">
        <v>44</v>
      </c>
    </row>
    <row r="881" spans="1:14">
      <c r="A881" s="36" t="s">
        <v>32</v>
      </c>
      <c r="B881" s="37">
        <v>44469</v>
      </c>
      <c r="C881" s="36" t="s">
        <v>281</v>
      </c>
      <c r="D881" s="36" t="s">
        <v>452</v>
      </c>
      <c r="E881" s="36" t="s">
        <v>76</v>
      </c>
      <c r="G881" s="87">
        <v>2260000</v>
      </c>
      <c r="H881" s="87">
        <v>226000</v>
      </c>
      <c r="I881" s="87">
        <v>2486000</v>
      </c>
      <c r="K881" s="85">
        <v>2021</v>
      </c>
      <c r="L881" s="85">
        <v>9</v>
      </c>
      <c r="N881" s="208" t="s">
        <v>44</v>
      </c>
    </row>
    <row r="882" spans="1:14">
      <c r="A882" s="36" t="s">
        <v>32</v>
      </c>
      <c r="B882" s="37">
        <v>44469</v>
      </c>
      <c r="C882" s="36" t="s">
        <v>281</v>
      </c>
      <c r="D882" s="36" t="s">
        <v>452</v>
      </c>
      <c r="E882" s="36" t="s">
        <v>148</v>
      </c>
      <c r="J882" s="87">
        <v>2486000</v>
      </c>
      <c r="K882" s="85">
        <v>2021</v>
      </c>
      <c r="L882" s="85">
        <v>9</v>
      </c>
      <c r="N882" s="208" t="s">
        <v>44</v>
      </c>
    </row>
    <row r="883" spans="1:14">
      <c r="A883" s="36" t="s">
        <v>18</v>
      </c>
      <c r="B883" s="37">
        <v>44469</v>
      </c>
      <c r="C883" s="36" t="s">
        <v>533</v>
      </c>
      <c r="D883" s="36" t="s">
        <v>534</v>
      </c>
      <c r="E883" s="36" t="s">
        <v>148</v>
      </c>
      <c r="J883" s="38">
        <v>660000</v>
      </c>
      <c r="K883" s="85">
        <v>2021</v>
      </c>
      <c r="L883" s="85">
        <v>9</v>
      </c>
      <c r="N883" s="208" t="s">
        <v>44</v>
      </c>
    </row>
    <row r="884" spans="1:14">
      <c r="A884" s="36" t="s">
        <v>33</v>
      </c>
      <c r="B884" s="37">
        <v>44469</v>
      </c>
      <c r="C884" s="36" t="s">
        <v>544</v>
      </c>
      <c r="D884" s="36" t="s">
        <v>545</v>
      </c>
      <c r="E884" s="36" t="s">
        <v>543</v>
      </c>
      <c r="G884" s="87">
        <v>260000</v>
      </c>
      <c r="H884" s="87">
        <v>26000</v>
      </c>
      <c r="I884" s="87">
        <v>286000</v>
      </c>
      <c r="K884" s="85">
        <v>2021</v>
      </c>
      <c r="L884" s="85">
        <v>9</v>
      </c>
      <c r="M884" s="36" t="s">
        <v>107</v>
      </c>
      <c r="N884" s="208" t="s">
        <v>44</v>
      </c>
    </row>
    <row r="885" spans="1:14">
      <c r="A885" s="36" t="s">
        <v>32</v>
      </c>
      <c r="B885" s="37">
        <v>44469</v>
      </c>
      <c r="C885" s="36" t="s">
        <v>496</v>
      </c>
      <c r="D885" s="36" t="s">
        <v>546</v>
      </c>
      <c r="E885" s="36" t="s">
        <v>76</v>
      </c>
      <c r="G885" s="87">
        <v>17574750</v>
      </c>
      <c r="H885" s="87">
        <v>1757475</v>
      </c>
      <c r="I885" s="87">
        <v>19332225</v>
      </c>
      <c r="K885" s="85">
        <v>2021</v>
      </c>
      <c r="L885" s="85">
        <v>9</v>
      </c>
      <c r="M885" s="36" t="s">
        <v>547</v>
      </c>
      <c r="N885" s="208" t="s">
        <v>44</v>
      </c>
    </row>
    <row r="886" spans="1:14">
      <c r="A886" s="36" t="s">
        <v>18</v>
      </c>
      <c r="B886" s="37">
        <v>44469</v>
      </c>
      <c r="C886" s="36" t="s">
        <v>548</v>
      </c>
      <c r="D886" s="36" t="s">
        <v>530</v>
      </c>
      <c r="E886" s="36" t="s">
        <v>250</v>
      </c>
      <c r="G886" s="87">
        <v>1516500</v>
      </c>
      <c r="H886" s="87">
        <v>151650</v>
      </c>
      <c r="I886" s="87">
        <v>1668150</v>
      </c>
      <c r="K886" s="85">
        <v>2021</v>
      </c>
      <c r="L886" s="85">
        <v>9</v>
      </c>
      <c r="N886" s="208" t="s">
        <v>44</v>
      </c>
    </row>
    <row r="887" spans="1:14">
      <c r="A887" s="36" t="s">
        <v>18</v>
      </c>
      <c r="B887" s="37">
        <v>44469</v>
      </c>
      <c r="C887" s="36" t="s">
        <v>548</v>
      </c>
      <c r="D887" s="36" t="s">
        <v>530</v>
      </c>
      <c r="E887" s="36" t="s">
        <v>148</v>
      </c>
      <c r="J887" s="38">
        <v>1668150</v>
      </c>
      <c r="K887" s="85">
        <v>2021</v>
      </c>
      <c r="L887" s="85">
        <v>9</v>
      </c>
      <c r="N887" s="208" t="s">
        <v>44</v>
      </c>
    </row>
    <row r="888" spans="1:14">
      <c r="A888" s="36" t="s">
        <v>32</v>
      </c>
      <c r="B888" s="37">
        <v>44469</v>
      </c>
      <c r="C888" s="36" t="s">
        <v>498</v>
      </c>
      <c r="D888" s="36" t="s">
        <v>499</v>
      </c>
      <c r="E888" s="36" t="s">
        <v>78</v>
      </c>
      <c r="G888" s="87">
        <v>5940000</v>
      </c>
      <c r="H888" s="87">
        <v>594000</v>
      </c>
      <c r="I888" s="87">
        <v>6534000</v>
      </c>
      <c r="K888" s="85">
        <v>2021</v>
      </c>
      <c r="L888" s="85">
        <v>9</v>
      </c>
      <c r="N888" s="208" t="s">
        <v>44</v>
      </c>
    </row>
    <row r="889" spans="1:14">
      <c r="A889" s="36" t="s">
        <v>32</v>
      </c>
      <c r="B889" s="37">
        <v>44469</v>
      </c>
      <c r="C889" s="36" t="s">
        <v>181</v>
      </c>
      <c r="D889" s="36" t="s">
        <v>372</v>
      </c>
      <c r="E889" s="36" t="s">
        <v>148</v>
      </c>
      <c r="J889" s="87">
        <v>22378400</v>
      </c>
      <c r="K889" s="85">
        <v>2021</v>
      </c>
      <c r="L889" s="85">
        <v>8</v>
      </c>
      <c r="N889" s="208" t="s">
        <v>44</v>
      </c>
    </row>
    <row r="890" spans="1:14">
      <c r="A890" s="36" t="s">
        <v>32</v>
      </c>
      <c r="B890" s="37">
        <v>44469</v>
      </c>
      <c r="C890" s="36" t="s">
        <v>181</v>
      </c>
      <c r="D890" s="36" t="s">
        <v>372</v>
      </c>
      <c r="E890" s="36" t="s">
        <v>76</v>
      </c>
      <c r="G890" s="87">
        <v>9969000</v>
      </c>
      <c r="H890" s="87">
        <v>996900</v>
      </c>
      <c r="I890" s="87">
        <v>10965900</v>
      </c>
      <c r="K890" s="85">
        <v>2021</v>
      </c>
      <c r="L890" s="85">
        <v>9</v>
      </c>
      <c r="N890" s="208" t="s">
        <v>44</v>
      </c>
    </row>
    <row r="891" spans="1:14">
      <c r="A891" s="36" t="s">
        <v>32</v>
      </c>
      <c r="B891" s="37">
        <v>44469</v>
      </c>
      <c r="C891" s="36" t="s">
        <v>181</v>
      </c>
      <c r="D891" s="36" t="s">
        <v>453</v>
      </c>
      <c r="E891" s="36" t="s">
        <v>76</v>
      </c>
      <c r="G891" s="87">
        <v>27743000</v>
      </c>
      <c r="H891" s="87">
        <v>2774300</v>
      </c>
      <c r="I891" s="87">
        <v>30517300</v>
      </c>
      <c r="K891" s="85">
        <v>2021</v>
      </c>
      <c r="L891" s="85">
        <v>9</v>
      </c>
      <c r="N891" s="208" t="s">
        <v>44</v>
      </c>
    </row>
    <row r="892" spans="1:14">
      <c r="A892" s="36" t="s">
        <v>32</v>
      </c>
      <c r="B892" s="37">
        <v>44469</v>
      </c>
      <c r="C892" s="36" t="s">
        <v>181</v>
      </c>
      <c r="D892" s="36" t="s">
        <v>454</v>
      </c>
      <c r="E892" s="36" t="s">
        <v>76</v>
      </c>
      <c r="G892" s="87">
        <v>5371000</v>
      </c>
      <c r="H892" s="87">
        <v>537100</v>
      </c>
      <c r="I892" s="87">
        <v>5908100</v>
      </c>
      <c r="K892" s="85">
        <v>2021</v>
      </c>
      <c r="L892" s="85">
        <v>9</v>
      </c>
      <c r="N892" s="208" t="s">
        <v>44</v>
      </c>
    </row>
    <row r="893" spans="1:14">
      <c r="A893" s="36" t="s">
        <v>32</v>
      </c>
      <c r="B893" s="37">
        <v>44469</v>
      </c>
      <c r="C893" s="36" t="s">
        <v>181</v>
      </c>
      <c r="D893" s="36" t="s">
        <v>372</v>
      </c>
      <c r="E893" s="36" t="s">
        <v>148</v>
      </c>
      <c r="J893" s="87">
        <v>10965900</v>
      </c>
      <c r="K893" s="85">
        <v>2021</v>
      </c>
      <c r="L893" s="85">
        <v>9</v>
      </c>
      <c r="N893" s="208" t="s">
        <v>44</v>
      </c>
    </row>
    <row r="894" spans="1:14">
      <c r="A894" s="36" t="s">
        <v>32</v>
      </c>
      <c r="B894" s="37">
        <v>44469</v>
      </c>
      <c r="C894" s="36" t="s">
        <v>549</v>
      </c>
      <c r="D894" s="36" t="s">
        <v>550</v>
      </c>
      <c r="E894" s="36" t="s">
        <v>76</v>
      </c>
      <c r="G894" s="87">
        <v>8474400</v>
      </c>
      <c r="H894" s="87">
        <v>847440</v>
      </c>
      <c r="I894" s="87">
        <v>9321840</v>
      </c>
      <c r="K894" s="85">
        <v>2021</v>
      </c>
      <c r="L894" s="85">
        <v>9</v>
      </c>
      <c r="N894" s="208" t="s">
        <v>44</v>
      </c>
    </row>
    <row r="895" spans="1:14">
      <c r="A895" s="36" t="s">
        <v>32</v>
      </c>
      <c r="B895" s="37">
        <v>44469</v>
      </c>
      <c r="C895" s="36" t="s">
        <v>503</v>
      </c>
      <c r="D895" s="36" t="s">
        <v>504</v>
      </c>
      <c r="E895" s="36" t="s">
        <v>148</v>
      </c>
      <c r="J895" s="87">
        <v>25700400</v>
      </c>
      <c r="K895" s="85">
        <v>2021</v>
      </c>
      <c r="L895" s="85">
        <v>8</v>
      </c>
      <c r="N895" s="208" t="s">
        <v>44</v>
      </c>
    </row>
    <row r="896" spans="1:14">
      <c r="A896" s="36" t="s">
        <v>32</v>
      </c>
      <c r="B896" s="37">
        <v>44469</v>
      </c>
      <c r="C896" s="36" t="s">
        <v>503</v>
      </c>
      <c r="D896" s="36" t="s">
        <v>504</v>
      </c>
      <c r="E896" s="36" t="s">
        <v>76</v>
      </c>
      <c r="G896" s="87">
        <v>11091000</v>
      </c>
      <c r="H896" s="87">
        <v>1109100</v>
      </c>
      <c r="I896" s="87">
        <v>12200100</v>
      </c>
      <c r="K896" s="85">
        <v>2021</v>
      </c>
      <c r="L896" s="85">
        <v>9</v>
      </c>
      <c r="N896" s="208" t="s">
        <v>44</v>
      </c>
    </row>
    <row r="897" spans="1:14">
      <c r="A897" s="36" t="s">
        <v>33</v>
      </c>
      <c r="B897" s="37">
        <v>44469</v>
      </c>
      <c r="C897" s="36" t="s">
        <v>119</v>
      </c>
      <c r="D897" s="36" t="s">
        <v>372</v>
      </c>
      <c r="E897" s="36" t="s">
        <v>76</v>
      </c>
      <c r="G897" s="87">
        <v>9541000</v>
      </c>
      <c r="H897" s="87">
        <v>954100</v>
      </c>
      <c r="I897" s="87">
        <v>10495100</v>
      </c>
      <c r="K897" s="85">
        <v>2021</v>
      </c>
      <c r="L897" s="85">
        <v>9</v>
      </c>
      <c r="M897" s="36" t="s">
        <v>159</v>
      </c>
      <c r="N897" s="208" t="s">
        <v>44</v>
      </c>
    </row>
    <row r="898" spans="1:14">
      <c r="A898" s="36" t="s">
        <v>32</v>
      </c>
      <c r="B898" s="37">
        <v>44469</v>
      </c>
      <c r="C898" s="36" t="s">
        <v>505</v>
      </c>
      <c r="D898" s="36" t="s">
        <v>506</v>
      </c>
      <c r="E898" s="36" t="s">
        <v>148</v>
      </c>
      <c r="J898" s="87">
        <v>1768536</v>
      </c>
      <c r="K898" s="85">
        <v>2021</v>
      </c>
      <c r="L898" s="85">
        <v>8</v>
      </c>
      <c r="N898" s="208" t="s">
        <v>44</v>
      </c>
    </row>
    <row r="899" spans="1:14">
      <c r="A899" s="36" t="s">
        <v>32</v>
      </c>
      <c r="B899" s="37">
        <v>44469</v>
      </c>
      <c r="C899" s="36" t="s">
        <v>505</v>
      </c>
      <c r="D899" s="36" t="s">
        <v>506</v>
      </c>
      <c r="E899" s="36" t="s">
        <v>76</v>
      </c>
      <c r="G899" s="87">
        <v>9294120</v>
      </c>
      <c r="H899" s="87">
        <v>929412</v>
      </c>
      <c r="I899" s="87">
        <v>10223532</v>
      </c>
      <c r="K899" s="85">
        <v>2021</v>
      </c>
      <c r="L899" s="85">
        <v>9</v>
      </c>
      <c r="N899" s="208" t="s">
        <v>44</v>
      </c>
    </row>
    <row r="900" spans="1:14">
      <c r="A900" s="36" t="s">
        <v>32</v>
      </c>
      <c r="B900" s="37">
        <v>44469</v>
      </c>
      <c r="C900" s="36" t="s">
        <v>505</v>
      </c>
      <c r="D900" s="36" t="s">
        <v>506</v>
      </c>
      <c r="E900" s="36" t="s">
        <v>77</v>
      </c>
      <c r="J900" s="87">
        <v>10223532</v>
      </c>
      <c r="K900" s="85">
        <v>2021</v>
      </c>
      <c r="L900" s="85">
        <v>9</v>
      </c>
      <c r="N900" s="208" t="s">
        <v>44</v>
      </c>
    </row>
    <row r="901" spans="1:14">
      <c r="A901" s="36" t="s">
        <v>32</v>
      </c>
      <c r="B901" s="37">
        <v>44469</v>
      </c>
      <c r="C901" s="36" t="s">
        <v>264</v>
      </c>
      <c r="D901" s="36" t="s">
        <v>266</v>
      </c>
      <c r="E901" s="36" t="s">
        <v>76</v>
      </c>
      <c r="G901" s="87">
        <v>13800000</v>
      </c>
      <c r="H901" s="87">
        <v>1380000</v>
      </c>
      <c r="I901" s="87">
        <v>15180000</v>
      </c>
      <c r="K901" s="85">
        <v>2021</v>
      </c>
      <c r="L901" s="85">
        <v>9</v>
      </c>
      <c r="N901" s="208" t="s">
        <v>44</v>
      </c>
    </row>
    <row r="902" spans="1:14">
      <c r="A902" s="36" t="s">
        <v>32</v>
      </c>
      <c r="B902" s="37">
        <v>44469</v>
      </c>
      <c r="C902" s="36" t="s">
        <v>264</v>
      </c>
      <c r="D902" s="36" t="s">
        <v>551</v>
      </c>
      <c r="E902" s="36" t="s">
        <v>76</v>
      </c>
      <c r="G902" s="87">
        <v>500000</v>
      </c>
      <c r="H902" s="87">
        <v>50000</v>
      </c>
      <c r="I902" s="87">
        <v>550000</v>
      </c>
      <c r="K902" s="85">
        <v>2021</v>
      </c>
      <c r="L902" s="85">
        <v>9</v>
      </c>
      <c r="N902" s="208" t="s">
        <v>44</v>
      </c>
    </row>
    <row r="903" spans="1:14">
      <c r="A903" s="36" t="s">
        <v>32</v>
      </c>
      <c r="B903" s="37">
        <v>44469</v>
      </c>
      <c r="C903" s="36" t="s">
        <v>85</v>
      </c>
      <c r="D903" s="36" t="s">
        <v>156</v>
      </c>
      <c r="E903" s="36" t="s">
        <v>148</v>
      </c>
      <c r="J903" s="87">
        <v>4807000</v>
      </c>
      <c r="K903" s="85">
        <v>2021</v>
      </c>
      <c r="L903" s="85">
        <v>8</v>
      </c>
      <c r="N903" s="208" t="s">
        <v>44</v>
      </c>
    </row>
    <row r="904" spans="1:14">
      <c r="A904" s="36" t="s">
        <v>32</v>
      </c>
      <c r="B904" s="37">
        <v>44469</v>
      </c>
      <c r="C904" s="36" t="s">
        <v>85</v>
      </c>
      <c r="D904" s="36" t="s">
        <v>182</v>
      </c>
      <c r="E904" s="36" t="s">
        <v>148</v>
      </c>
      <c r="J904" s="87">
        <v>10956000</v>
      </c>
      <c r="K904" s="85">
        <v>2021</v>
      </c>
      <c r="L904" s="85">
        <v>8</v>
      </c>
      <c r="N904" s="208" t="s">
        <v>44</v>
      </c>
    </row>
    <row r="905" spans="1:14">
      <c r="A905" s="36" t="s">
        <v>32</v>
      </c>
      <c r="B905" s="37">
        <v>44469</v>
      </c>
      <c r="C905" s="36" t="s">
        <v>85</v>
      </c>
      <c r="D905" s="36" t="s">
        <v>182</v>
      </c>
      <c r="E905" s="36" t="s">
        <v>78</v>
      </c>
      <c r="G905" s="87">
        <v>4800000</v>
      </c>
      <c r="H905" s="87">
        <v>480000</v>
      </c>
      <c r="I905" s="87">
        <v>5280000</v>
      </c>
      <c r="K905" s="85">
        <v>2021</v>
      </c>
      <c r="L905" s="85">
        <v>9</v>
      </c>
      <c r="N905" s="208" t="s">
        <v>44</v>
      </c>
    </row>
    <row r="906" spans="1:14">
      <c r="A906" s="36" t="s">
        <v>32</v>
      </c>
      <c r="B906" s="37">
        <v>44469</v>
      </c>
      <c r="C906" s="36" t="s">
        <v>511</v>
      </c>
      <c r="D906" s="36" t="s">
        <v>512</v>
      </c>
      <c r="E906" s="36" t="s">
        <v>76</v>
      </c>
      <c r="G906" s="87">
        <v>2163000</v>
      </c>
      <c r="H906" s="87">
        <v>216300</v>
      </c>
      <c r="I906" s="87">
        <v>2379300</v>
      </c>
      <c r="K906" s="85">
        <v>2021</v>
      </c>
      <c r="L906" s="85">
        <v>9</v>
      </c>
      <c r="M906" s="36" t="s">
        <v>547</v>
      </c>
      <c r="N906" s="208" t="s">
        <v>44</v>
      </c>
    </row>
    <row r="907" spans="1:14">
      <c r="A907" s="36" t="s">
        <v>32</v>
      </c>
      <c r="B907" s="37">
        <v>44469</v>
      </c>
      <c r="C907" s="36" t="s">
        <v>552</v>
      </c>
      <c r="D907" s="36" t="s">
        <v>553</v>
      </c>
      <c r="E907" s="36" t="s">
        <v>76</v>
      </c>
      <c r="G907" s="87">
        <v>13147745</v>
      </c>
      <c r="H907" s="87">
        <v>1314774.5</v>
      </c>
      <c r="I907" s="87">
        <v>14462519.5</v>
      </c>
      <c r="K907" s="85">
        <v>2021</v>
      </c>
      <c r="L907" s="85">
        <v>9</v>
      </c>
      <c r="N907" s="208" t="s">
        <v>44</v>
      </c>
    </row>
    <row r="908" spans="1:14">
      <c r="A908" s="36" t="s">
        <v>32</v>
      </c>
      <c r="B908" s="37">
        <v>44469</v>
      </c>
      <c r="C908" s="36" t="s">
        <v>456</v>
      </c>
      <c r="D908" s="36" t="s">
        <v>457</v>
      </c>
      <c r="E908" s="36" t="s">
        <v>148</v>
      </c>
      <c r="J908" s="87">
        <v>4427500</v>
      </c>
      <c r="K908" s="85">
        <v>2021</v>
      </c>
      <c r="L908" s="85">
        <v>8</v>
      </c>
      <c r="N908" s="208" t="s">
        <v>44</v>
      </c>
    </row>
    <row r="909" spans="1:14">
      <c r="A909" s="36" t="s">
        <v>32</v>
      </c>
      <c r="B909" s="37">
        <v>44469</v>
      </c>
      <c r="C909" s="36" t="s">
        <v>456</v>
      </c>
      <c r="D909" s="36" t="s">
        <v>457</v>
      </c>
      <c r="E909" s="36" t="s">
        <v>76</v>
      </c>
      <c r="G909" s="87">
        <v>5865000</v>
      </c>
      <c r="H909" s="87">
        <v>586500</v>
      </c>
      <c r="I909" s="87">
        <v>6451500</v>
      </c>
      <c r="K909" s="85">
        <v>2021</v>
      </c>
      <c r="L909" s="85">
        <v>9</v>
      </c>
      <c r="N909" s="208" t="s">
        <v>44</v>
      </c>
    </row>
    <row r="910" spans="1:14">
      <c r="A910" s="36" t="s">
        <v>32</v>
      </c>
      <c r="B910" s="37">
        <v>44469</v>
      </c>
      <c r="C910" s="36" t="s">
        <v>171</v>
      </c>
      <c r="D910" s="36" t="s">
        <v>319</v>
      </c>
      <c r="E910" s="36" t="s">
        <v>77</v>
      </c>
      <c r="J910" s="38">
        <v>6194760</v>
      </c>
      <c r="K910" s="85">
        <v>2021</v>
      </c>
      <c r="L910" s="85">
        <v>9</v>
      </c>
      <c r="N910" s="208" t="s">
        <v>44</v>
      </c>
    </row>
    <row r="911" spans="1:14">
      <c r="A911" s="36" t="s">
        <v>32</v>
      </c>
      <c r="B911" s="37">
        <v>44469</v>
      </c>
      <c r="C911" s="36" t="s">
        <v>171</v>
      </c>
      <c r="D911" s="36" t="s">
        <v>554</v>
      </c>
      <c r="E911" s="36" t="s">
        <v>76</v>
      </c>
      <c r="G911" s="87">
        <v>15185217</v>
      </c>
      <c r="H911" s="87">
        <v>1518521.7000000002</v>
      </c>
      <c r="I911" s="87">
        <v>16703738.699999999</v>
      </c>
      <c r="K911" s="85">
        <v>2021</v>
      </c>
      <c r="L911" s="85">
        <v>9</v>
      </c>
      <c r="N911" s="208" t="s">
        <v>44</v>
      </c>
    </row>
    <row r="912" spans="1:14">
      <c r="A912" s="36" t="s">
        <v>33</v>
      </c>
      <c r="B912" s="37">
        <v>44469</v>
      </c>
      <c r="C912" s="36" t="s">
        <v>226</v>
      </c>
      <c r="D912" s="36" t="s">
        <v>227</v>
      </c>
      <c r="E912" s="36" t="s">
        <v>228</v>
      </c>
      <c r="G912" s="87">
        <v>2164545</v>
      </c>
      <c r="H912" s="87">
        <v>216454.5</v>
      </c>
      <c r="I912" s="87">
        <v>2380999.5</v>
      </c>
      <c r="K912" s="85">
        <v>2021</v>
      </c>
      <c r="L912" s="85">
        <v>9</v>
      </c>
      <c r="N912" s="208" t="s">
        <v>44</v>
      </c>
    </row>
    <row r="913" spans="1:14">
      <c r="A913" s="36" t="s">
        <v>32</v>
      </c>
      <c r="B913" s="37">
        <v>44469</v>
      </c>
      <c r="C913" s="36" t="s">
        <v>555</v>
      </c>
      <c r="D913" s="36" t="s">
        <v>105</v>
      </c>
      <c r="E913" s="36" t="s">
        <v>78</v>
      </c>
      <c r="G913" s="87">
        <v>8794500</v>
      </c>
      <c r="H913" s="87">
        <v>879450</v>
      </c>
      <c r="I913" s="87">
        <v>9673950</v>
      </c>
      <c r="K913" s="85">
        <v>2021</v>
      </c>
      <c r="L913" s="85">
        <v>9</v>
      </c>
      <c r="M913" s="36" t="s">
        <v>556</v>
      </c>
      <c r="N913" s="208" t="s">
        <v>44</v>
      </c>
    </row>
    <row r="914" spans="1:14">
      <c r="A914" s="36" t="s">
        <v>32</v>
      </c>
      <c r="B914" s="37">
        <v>44469</v>
      </c>
      <c r="C914" s="36" t="s">
        <v>188</v>
      </c>
      <c r="D914" s="36" t="s">
        <v>460</v>
      </c>
      <c r="E914" s="36" t="s">
        <v>148</v>
      </c>
      <c r="J914" s="87">
        <v>4356000</v>
      </c>
      <c r="K914" s="85">
        <v>2021</v>
      </c>
      <c r="L914" s="85">
        <v>8</v>
      </c>
      <c r="N914" s="208" t="s">
        <v>44</v>
      </c>
    </row>
    <row r="915" spans="1:14">
      <c r="A915" s="36" t="s">
        <v>32</v>
      </c>
      <c r="B915" s="37">
        <v>44469</v>
      </c>
      <c r="C915" s="36" t="s">
        <v>188</v>
      </c>
      <c r="D915" s="36" t="s">
        <v>443</v>
      </c>
      <c r="E915" s="36" t="s">
        <v>76</v>
      </c>
      <c r="G915" s="87">
        <v>4010000</v>
      </c>
      <c r="H915" s="87">
        <v>401000</v>
      </c>
      <c r="I915" s="87">
        <v>4411000</v>
      </c>
      <c r="K915" s="85">
        <v>2021</v>
      </c>
      <c r="L915" s="85">
        <v>9</v>
      </c>
      <c r="N915" s="208" t="s">
        <v>44</v>
      </c>
    </row>
    <row r="916" spans="1:14">
      <c r="A916" s="36" t="s">
        <v>32</v>
      </c>
      <c r="B916" s="37">
        <v>44469</v>
      </c>
      <c r="C916" s="36" t="s">
        <v>188</v>
      </c>
      <c r="D916" s="36" t="s">
        <v>557</v>
      </c>
      <c r="E916" s="36" t="s">
        <v>76</v>
      </c>
      <c r="G916" s="87">
        <v>3360000</v>
      </c>
      <c r="H916" s="87">
        <v>336000</v>
      </c>
      <c r="I916" s="87">
        <v>3696000</v>
      </c>
      <c r="K916" s="85">
        <v>2021</v>
      </c>
      <c r="L916" s="85">
        <v>9</v>
      </c>
      <c r="N916" s="208" t="s">
        <v>44</v>
      </c>
    </row>
    <row r="917" spans="1:14">
      <c r="A917" s="36" t="s">
        <v>32</v>
      </c>
      <c r="B917" s="37">
        <v>44469</v>
      </c>
      <c r="C917" s="36" t="s">
        <v>188</v>
      </c>
      <c r="D917" s="36" t="s">
        <v>508</v>
      </c>
      <c r="E917" s="36" t="s">
        <v>76</v>
      </c>
      <c r="G917" s="87">
        <v>8600000</v>
      </c>
      <c r="H917" s="87">
        <v>860000</v>
      </c>
      <c r="I917" s="87">
        <v>9460000</v>
      </c>
      <c r="K917" s="85">
        <v>2021</v>
      </c>
      <c r="L917" s="85">
        <v>9</v>
      </c>
      <c r="N917" s="208" t="s">
        <v>44</v>
      </c>
    </row>
    <row r="918" spans="1:14">
      <c r="A918" s="36" t="s">
        <v>32</v>
      </c>
      <c r="B918" s="37">
        <v>44469</v>
      </c>
      <c r="C918" s="36" t="s">
        <v>188</v>
      </c>
      <c r="D918" s="36" t="s">
        <v>517</v>
      </c>
      <c r="E918" s="36" t="s">
        <v>76</v>
      </c>
      <c r="G918" s="87">
        <v>7340000</v>
      </c>
      <c r="H918" s="87">
        <v>734000</v>
      </c>
      <c r="I918" s="87">
        <v>8074000</v>
      </c>
      <c r="K918" s="85">
        <v>2021</v>
      </c>
      <c r="L918" s="85">
        <v>9</v>
      </c>
      <c r="N918" s="208" t="s">
        <v>44</v>
      </c>
    </row>
    <row r="919" spans="1:14">
      <c r="A919" s="36" t="s">
        <v>32</v>
      </c>
      <c r="B919" s="37">
        <v>44469</v>
      </c>
      <c r="C919" s="36" t="s">
        <v>188</v>
      </c>
      <c r="D919" s="36" t="s">
        <v>408</v>
      </c>
      <c r="E919" s="36" t="s">
        <v>76</v>
      </c>
      <c r="G919" s="87">
        <v>2740000</v>
      </c>
      <c r="H919" s="87">
        <v>274000</v>
      </c>
      <c r="I919" s="87">
        <v>3014000</v>
      </c>
      <c r="K919" s="85">
        <v>2021</v>
      </c>
      <c r="L919" s="85">
        <v>9</v>
      </c>
      <c r="N919" s="208" t="s">
        <v>44</v>
      </c>
    </row>
    <row r="920" spans="1:14">
      <c r="A920" s="36" t="s">
        <v>32</v>
      </c>
      <c r="B920" s="37">
        <v>44469</v>
      </c>
      <c r="C920" s="36" t="s">
        <v>188</v>
      </c>
      <c r="D920" s="36" t="s">
        <v>518</v>
      </c>
      <c r="E920" s="36" t="s">
        <v>76</v>
      </c>
      <c r="G920" s="87">
        <v>1210000</v>
      </c>
      <c r="H920" s="87">
        <v>121000</v>
      </c>
      <c r="I920" s="87">
        <v>1331000</v>
      </c>
      <c r="K920" s="85">
        <v>2021</v>
      </c>
      <c r="L920" s="85">
        <v>9</v>
      </c>
      <c r="N920" s="208" t="s">
        <v>44</v>
      </c>
    </row>
    <row r="921" spans="1:14">
      <c r="A921" s="36" t="s">
        <v>18</v>
      </c>
      <c r="B921" s="37">
        <v>44469</v>
      </c>
      <c r="C921" s="36" t="s">
        <v>520</v>
      </c>
      <c r="D921" s="36" t="s">
        <v>521</v>
      </c>
      <c r="E921" s="36" t="s">
        <v>148</v>
      </c>
      <c r="J921" s="87">
        <v>16007200</v>
      </c>
      <c r="K921" s="85">
        <v>2021</v>
      </c>
      <c r="L921" s="85">
        <v>9</v>
      </c>
      <c r="N921" s="208" t="s">
        <v>44</v>
      </c>
    </row>
    <row r="922" spans="1:14">
      <c r="A922" s="36" t="s">
        <v>18</v>
      </c>
      <c r="B922" s="37">
        <v>44469</v>
      </c>
      <c r="C922" s="36" t="s">
        <v>520</v>
      </c>
      <c r="D922" s="36" t="s">
        <v>522</v>
      </c>
      <c r="E922" s="36" t="s">
        <v>148</v>
      </c>
      <c r="J922" s="87">
        <v>13718100</v>
      </c>
      <c r="K922" s="85">
        <v>2021</v>
      </c>
      <c r="L922" s="85">
        <v>9</v>
      </c>
      <c r="N922" s="208" t="s">
        <v>44</v>
      </c>
    </row>
    <row r="923" spans="1:14">
      <c r="A923" s="36" t="s">
        <v>18</v>
      </c>
      <c r="B923" s="37">
        <v>44469</v>
      </c>
      <c r="C923" s="36" t="s">
        <v>520</v>
      </c>
      <c r="D923" s="36" t="s">
        <v>522</v>
      </c>
      <c r="E923" s="36" t="s">
        <v>148</v>
      </c>
      <c r="J923" s="87">
        <v>14356100</v>
      </c>
      <c r="K923" s="85">
        <v>2021</v>
      </c>
      <c r="L923" s="85">
        <v>9</v>
      </c>
      <c r="N923" s="208" t="s">
        <v>44</v>
      </c>
    </row>
    <row r="924" spans="1:14">
      <c r="A924" s="36" t="s">
        <v>32</v>
      </c>
      <c r="B924" s="37">
        <v>44469</v>
      </c>
      <c r="C924" s="36" t="s">
        <v>411</v>
      </c>
      <c r="D924" s="36" t="s">
        <v>412</v>
      </c>
      <c r="E924" s="36" t="s">
        <v>78</v>
      </c>
      <c r="G924" s="87">
        <v>3589000</v>
      </c>
      <c r="H924" s="87">
        <v>358900</v>
      </c>
      <c r="I924" s="87">
        <v>3947900</v>
      </c>
      <c r="K924" s="85">
        <v>2021</v>
      </c>
      <c r="L924" s="85">
        <v>9</v>
      </c>
      <c r="N924" s="208" t="s">
        <v>44</v>
      </c>
    </row>
    <row r="925" spans="1:14">
      <c r="A925" s="36" t="s">
        <v>32</v>
      </c>
      <c r="B925" s="37">
        <v>44469</v>
      </c>
      <c r="C925" s="36" t="s">
        <v>411</v>
      </c>
      <c r="D925" s="36" t="s">
        <v>412</v>
      </c>
      <c r="E925" s="36" t="s">
        <v>269</v>
      </c>
      <c r="G925" s="87">
        <v>11907000</v>
      </c>
      <c r="H925" s="87">
        <v>1190700</v>
      </c>
      <c r="I925" s="87">
        <v>13097700</v>
      </c>
      <c r="K925" s="85">
        <v>2021</v>
      </c>
      <c r="L925" s="85">
        <v>9</v>
      </c>
      <c r="N925" s="208" t="s">
        <v>44</v>
      </c>
    </row>
    <row r="926" spans="1:14">
      <c r="A926" s="36" t="s">
        <v>32</v>
      </c>
      <c r="B926" s="37">
        <v>44469</v>
      </c>
      <c r="C926" s="36" t="s">
        <v>411</v>
      </c>
      <c r="D926" s="36" t="s">
        <v>462</v>
      </c>
      <c r="E926" s="36" t="s">
        <v>76</v>
      </c>
      <c r="G926" s="87">
        <v>9904000</v>
      </c>
      <c r="H926" s="87">
        <v>990400</v>
      </c>
      <c r="I926" s="87">
        <v>10894400</v>
      </c>
      <c r="K926" s="85">
        <v>2021</v>
      </c>
      <c r="L926" s="85">
        <v>9</v>
      </c>
      <c r="N926" s="208" t="s">
        <v>44</v>
      </c>
    </row>
    <row r="927" spans="1:14">
      <c r="A927" s="36" t="s">
        <v>32</v>
      </c>
      <c r="B927" s="37">
        <v>44469</v>
      </c>
      <c r="C927" s="36" t="s">
        <v>175</v>
      </c>
      <c r="D927" s="36" t="s">
        <v>463</v>
      </c>
      <c r="E927" s="36" t="s">
        <v>148</v>
      </c>
      <c r="J927" s="87">
        <v>7460772</v>
      </c>
      <c r="K927" s="85">
        <v>2021</v>
      </c>
      <c r="L927" s="85">
        <v>8</v>
      </c>
      <c r="N927" s="208" t="s">
        <v>44</v>
      </c>
    </row>
    <row r="928" spans="1:14">
      <c r="A928" s="36" t="s">
        <v>32</v>
      </c>
      <c r="B928" s="37">
        <v>44469</v>
      </c>
      <c r="C928" s="36" t="s">
        <v>175</v>
      </c>
      <c r="D928" s="36" t="s">
        <v>465</v>
      </c>
      <c r="E928" s="36" t="s">
        <v>76</v>
      </c>
      <c r="G928" s="87">
        <v>12000000</v>
      </c>
      <c r="H928" s="87">
        <v>1200000</v>
      </c>
      <c r="I928" s="87">
        <v>13200000</v>
      </c>
      <c r="K928" s="85">
        <v>2021</v>
      </c>
      <c r="L928" s="85">
        <v>9</v>
      </c>
      <c r="M928" s="36" t="s">
        <v>558</v>
      </c>
      <c r="N928" s="208" t="s">
        <v>44</v>
      </c>
    </row>
    <row r="929" spans="1:14">
      <c r="A929" s="36" t="s">
        <v>32</v>
      </c>
      <c r="B929" s="37">
        <v>44469</v>
      </c>
      <c r="C929" s="36" t="s">
        <v>175</v>
      </c>
      <c r="D929" s="36" t="s">
        <v>178</v>
      </c>
      <c r="E929" s="36" t="s">
        <v>76</v>
      </c>
      <c r="G929" s="87">
        <v>2000000</v>
      </c>
      <c r="H929" s="87">
        <v>200000</v>
      </c>
      <c r="I929" s="87">
        <v>2200000</v>
      </c>
      <c r="K929" s="85">
        <v>2021</v>
      </c>
      <c r="L929" s="85">
        <v>9</v>
      </c>
      <c r="N929" s="208" t="s">
        <v>44</v>
      </c>
    </row>
    <row r="930" spans="1:14">
      <c r="A930" s="36" t="s">
        <v>32</v>
      </c>
      <c r="B930" s="37">
        <v>44469</v>
      </c>
      <c r="C930" s="36" t="s">
        <v>175</v>
      </c>
      <c r="D930" s="36" t="s">
        <v>464</v>
      </c>
      <c r="E930" s="36" t="s">
        <v>76</v>
      </c>
      <c r="G930" s="87">
        <v>16259400</v>
      </c>
      <c r="H930" s="87">
        <v>1625940</v>
      </c>
      <c r="I930" s="87">
        <v>17885340</v>
      </c>
      <c r="K930" s="85">
        <v>2021</v>
      </c>
      <c r="L930" s="85">
        <v>9</v>
      </c>
      <c r="N930" s="208" t="s">
        <v>44</v>
      </c>
    </row>
    <row r="931" spans="1:14">
      <c r="A931" s="36" t="s">
        <v>32</v>
      </c>
      <c r="B931" s="37">
        <v>44469</v>
      </c>
      <c r="C931" s="36" t="s">
        <v>175</v>
      </c>
      <c r="D931" s="36" t="s">
        <v>559</v>
      </c>
      <c r="E931" s="36" t="s">
        <v>76</v>
      </c>
      <c r="G931" s="87">
        <v>20863800</v>
      </c>
      <c r="H931" s="87">
        <v>2086380</v>
      </c>
      <c r="I931" s="87">
        <v>22950180</v>
      </c>
      <c r="K931" s="85">
        <v>2021</v>
      </c>
      <c r="L931" s="85">
        <v>9</v>
      </c>
      <c r="N931" s="208" t="s">
        <v>44</v>
      </c>
    </row>
    <row r="932" spans="1:14">
      <c r="A932" s="36" t="s">
        <v>32</v>
      </c>
      <c r="B932" s="37">
        <v>44469</v>
      </c>
      <c r="C932" s="36" t="s">
        <v>175</v>
      </c>
      <c r="D932" s="36" t="s">
        <v>560</v>
      </c>
      <c r="E932" s="36" t="s">
        <v>76</v>
      </c>
      <c r="G932" s="87">
        <v>3309600</v>
      </c>
      <c r="H932" s="87">
        <v>330960</v>
      </c>
      <c r="I932" s="87">
        <v>3640560</v>
      </c>
      <c r="K932" s="85">
        <v>2021</v>
      </c>
      <c r="L932" s="85">
        <v>9</v>
      </c>
      <c r="N932" s="208" t="s">
        <v>44</v>
      </c>
    </row>
    <row r="933" spans="1:14">
      <c r="A933" s="36" t="s">
        <v>32</v>
      </c>
      <c r="B933" s="37">
        <v>44469</v>
      </c>
      <c r="C933" s="36" t="s">
        <v>175</v>
      </c>
      <c r="D933" s="36" t="s">
        <v>463</v>
      </c>
      <c r="E933" s="36" t="s">
        <v>76</v>
      </c>
      <c r="G933" s="87">
        <v>1064000</v>
      </c>
      <c r="H933" s="87">
        <v>106400</v>
      </c>
      <c r="I933" s="87">
        <v>1170400</v>
      </c>
      <c r="K933" s="85">
        <v>2021</v>
      </c>
      <c r="L933" s="85">
        <v>9</v>
      </c>
      <c r="N933" s="208" t="s">
        <v>44</v>
      </c>
    </row>
    <row r="934" spans="1:14">
      <c r="A934" s="36" t="s">
        <v>32</v>
      </c>
      <c r="B934" s="37">
        <v>44469</v>
      </c>
      <c r="C934" s="36" t="s">
        <v>175</v>
      </c>
      <c r="D934" s="36" t="s">
        <v>560</v>
      </c>
      <c r="E934" s="36" t="s">
        <v>148</v>
      </c>
      <c r="J934" s="87">
        <v>3640560</v>
      </c>
      <c r="K934" s="85">
        <v>2021</v>
      </c>
      <c r="L934" s="85">
        <v>9</v>
      </c>
      <c r="N934" s="208" t="s">
        <v>44</v>
      </c>
    </row>
    <row r="935" spans="1:14">
      <c r="A935" s="36" t="s">
        <v>32</v>
      </c>
      <c r="B935" s="37">
        <v>44469</v>
      </c>
      <c r="C935" s="36" t="s">
        <v>175</v>
      </c>
      <c r="D935" s="36" t="s">
        <v>559</v>
      </c>
      <c r="E935" s="36" t="s">
        <v>148</v>
      </c>
      <c r="J935" s="87">
        <v>22950180</v>
      </c>
      <c r="K935" s="85">
        <v>2021</v>
      </c>
      <c r="L935" s="85">
        <v>9</v>
      </c>
      <c r="N935" s="208" t="s">
        <v>44</v>
      </c>
    </row>
    <row r="936" spans="1:14">
      <c r="A936" s="36" t="s">
        <v>32</v>
      </c>
      <c r="B936" s="37">
        <v>44469</v>
      </c>
      <c r="C936" s="36" t="s">
        <v>175</v>
      </c>
      <c r="D936" s="36" t="s">
        <v>465</v>
      </c>
      <c r="E936" s="36" t="s">
        <v>148</v>
      </c>
      <c r="J936" s="87">
        <v>13200000</v>
      </c>
      <c r="K936" s="85">
        <v>2021</v>
      </c>
      <c r="L936" s="85">
        <v>9</v>
      </c>
      <c r="N936" s="208" t="s">
        <v>44</v>
      </c>
    </row>
    <row r="937" spans="1:14">
      <c r="A937" s="36" t="s">
        <v>33</v>
      </c>
      <c r="B937" s="37">
        <v>44469</v>
      </c>
      <c r="C937" s="36" t="s">
        <v>561</v>
      </c>
      <c r="D937" s="36" t="s">
        <v>562</v>
      </c>
      <c r="E937" s="36" t="s">
        <v>125</v>
      </c>
      <c r="G937" s="87">
        <v>158195</v>
      </c>
      <c r="H937" s="87">
        <v>15819.5</v>
      </c>
      <c r="I937" s="87">
        <v>174014.5</v>
      </c>
      <c r="K937" s="85">
        <v>2021</v>
      </c>
      <c r="L937" s="85">
        <v>9</v>
      </c>
      <c r="N937" s="208" t="s">
        <v>44</v>
      </c>
    </row>
    <row r="938" spans="1:14">
      <c r="A938" s="36" t="s">
        <v>32</v>
      </c>
      <c r="B938" s="37">
        <v>44469</v>
      </c>
      <c r="C938" s="36" t="s">
        <v>466</v>
      </c>
      <c r="D938" s="36" t="s">
        <v>467</v>
      </c>
      <c r="E938" s="36" t="s">
        <v>76</v>
      </c>
      <c r="G938" s="87">
        <v>38160840</v>
      </c>
      <c r="H938" s="87">
        <v>3816084</v>
      </c>
      <c r="I938" s="87">
        <v>41976924</v>
      </c>
      <c r="K938" s="85">
        <v>2021</v>
      </c>
      <c r="L938" s="85">
        <v>9</v>
      </c>
      <c r="N938" s="208" t="s">
        <v>44</v>
      </c>
    </row>
    <row r="939" spans="1:14">
      <c r="A939" s="36" t="s">
        <v>33</v>
      </c>
      <c r="B939" s="37">
        <v>44469</v>
      </c>
      <c r="C939" s="36" t="s">
        <v>563</v>
      </c>
      <c r="D939" s="36" t="s">
        <v>371</v>
      </c>
      <c r="E939" s="36" t="s">
        <v>564</v>
      </c>
      <c r="G939" s="87">
        <v>827272</v>
      </c>
      <c r="H939" s="87">
        <v>82728</v>
      </c>
      <c r="I939" s="87">
        <v>910000</v>
      </c>
      <c r="K939" s="85">
        <v>2021</v>
      </c>
      <c r="L939" s="85">
        <v>9</v>
      </c>
      <c r="M939" s="36" t="s">
        <v>107</v>
      </c>
      <c r="N939" s="208" t="s">
        <v>44</v>
      </c>
    </row>
    <row r="940" spans="1:14">
      <c r="A940" s="36" t="s">
        <v>33</v>
      </c>
      <c r="B940" s="37">
        <v>44469</v>
      </c>
      <c r="C940" s="36" t="s">
        <v>563</v>
      </c>
      <c r="D940" s="36" t="s">
        <v>371</v>
      </c>
      <c r="E940" s="36" t="s">
        <v>565</v>
      </c>
      <c r="G940" s="87">
        <v>502727</v>
      </c>
      <c r="H940" s="87">
        <v>50273</v>
      </c>
      <c r="I940" s="87">
        <v>553000</v>
      </c>
      <c r="K940" s="85">
        <v>2021</v>
      </c>
      <c r="L940" s="85">
        <v>9</v>
      </c>
      <c r="M940" s="36" t="s">
        <v>107</v>
      </c>
      <c r="N940" s="208" t="s">
        <v>44</v>
      </c>
    </row>
    <row r="941" spans="1:14">
      <c r="A941" s="36" t="s">
        <v>33</v>
      </c>
      <c r="B941" s="37">
        <v>44469</v>
      </c>
      <c r="C941" s="36" t="s">
        <v>563</v>
      </c>
      <c r="D941" s="36" t="s">
        <v>371</v>
      </c>
      <c r="E941" s="36" t="s">
        <v>566</v>
      </c>
      <c r="G941" s="87">
        <v>617272</v>
      </c>
      <c r="H941" s="87">
        <v>61728</v>
      </c>
      <c r="I941" s="87">
        <v>679000</v>
      </c>
      <c r="K941" s="85">
        <v>2021</v>
      </c>
      <c r="L941" s="85">
        <v>9</v>
      </c>
      <c r="M941" s="36" t="s">
        <v>107</v>
      </c>
      <c r="N941" s="208" t="s">
        <v>44</v>
      </c>
    </row>
    <row r="942" spans="1:14">
      <c r="A942" s="36" t="s">
        <v>33</v>
      </c>
      <c r="B942" s="37">
        <v>44469</v>
      </c>
      <c r="C942" s="36" t="s">
        <v>563</v>
      </c>
      <c r="D942" s="36" t="s">
        <v>371</v>
      </c>
      <c r="E942" s="36" t="s">
        <v>567</v>
      </c>
      <c r="G942" s="87">
        <v>159090</v>
      </c>
      <c r="H942" s="87">
        <v>15910</v>
      </c>
      <c r="I942" s="87">
        <v>175000</v>
      </c>
      <c r="K942" s="85">
        <v>2021</v>
      </c>
      <c r="L942" s="85">
        <v>9</v>
      </c>
      <c r="M942" s="36" t="s">
        <v>107</v>
      </c>
      <c r="N942" s="208" t="s">
        <v>44</v>
      </c>
    </row>
    <row r="943" spans="1:14">
      <c r="A943" s="36" t="s">
        <v>33</v>
      </c>
      <c r="B943" s="37">
        <v>44469</v>
      </c>
      <c r="C943" s="36" t="s">
        <v>168</v>
      </c>
      <c r="D943" s="36" t="s">
        <v>258</v>
      </c>
      <c r="E943" s="36" t="s">
        <v>259</v>
      </c>
      <c r="G943" s="87">
        <v>1172900</v>
      </c>
      <c r="H943" s="87">
        <v>117290</v>
      </c>
      <c r="I943" s="87">
        <v>1290190</v>
      </c>
      <c r="K943" s="85">
        <v>2021</v>
      </c>
      <c r="L943" s="85">
        <v>9</v>
      </c>
      <c r="N943" s="208" t="s">
        <v>44</v>
      </c>
    </row>
    <row r="944" spans="1:14">
      <c r="A944" s="36" t="s">
        <v>33</v>
      </c>
      <c r="B944" s="37">
        <v>44469</v>
      </c>
      <c r="C944" s="36" t="s">
        <v>168</v>
      </c>
      <c r="D944" s="36" t="s">
        <v>258</v>
      </c>
      <c r="E944" s="36" t="s">
        <v>77</v>
      </c>
      <c r="J944" s="38">
        <v>1290190</v>
      </c>
      <c r="K944" s="85">
        <v>2021</v>
      </c>
      <c r="L944" s="85">
        <v>9</v>
      </c>
      <c r="N944" s="208" t="s">
        <v>44</v>
      </c>
    </row>
    <row r="945" spans="1:14">
      <c r="A945" s="36" t="s">
        <v>33</v>
      </c>
      <c r="B945" s="37">
        <v>44469</v>
      </c>
      <c r="C945" s="36" t="s">
        <v>82</v>
      </c>
      <c r="D945" s="36" t="s">
        <v>427</v>
      </c>
      <c r="E945" s="36" t="s">
        <v>568</v>
      </c>
      <c r="G945" s="87">
        <v>-1230000</v>
      </c>
      <c r="H945" s="87">
        <v>-123000</v>
      </c>
      <c r="I945" s="87">
        <v>-1353000</v>
      </c>
      <c r="K945" s="85">
        <v>2021</v>
      </c>
      <c r="L945" s="85">
        <v>6</v>
      </c>
      <c r="N945" s="208" t="s">
        <v>44</v>
      </c>
    </row>
    <row r="946" spans="1:14">
      <c r="A946" s="36" t="s">
        <v>33</v>
      </c>
      <c r="B946" s="37">
        <v>44469</v>
      </c>
      <c r="C946" s="36" t="s">
        <v>103</v>
      </c>
      <c r="D946" s="36" t="s">
        <v>205</v>
      </c>
      <c r="E946" s="36" t="s">
        <v>263</v>
      </c>
      <c r="G946" s="87">
        <v>981000</v>
      </c>
      <c r="H946" s="87">
        <v>98100</v>
      </c>
      <c r="I946" s="87">
        <v>1079100</v>
      </c>
      <c r="K946" s="85">
        <v>2021</v>
      </c>
      <c r="L946" s="85">
        <v>9</v>
      </c>
      <c r="N946" s="208" t="s">
        <v>44</v>
      </c>
    </row>
    <row r="947" spans="1:14">
      <c r="A947" s="36" t="s">
        <v>32</v>
      </c>
      <c r="B947" s="37">
        <v>44469</v>
      </c>
      <c r="C947" s="36" t="s">
        <v>474</v>
      </c>
      <c r="D947" s="36" t="s">
        <v>430</v>
      </c>
      <c r="E947" s="36" t="s">
        <v>148</v>
      </c>
      <c r="J947" s="87">
        <v>6105000</v>
      </c>
      <c r="K947" s="85">
        <v>2021</v>
      </c>
      <c r="L947" s="85">
        <v>8</v>
      </c>
      <c r="N947" s="208" t="s">
        <v>44</v>
      </c>
    </row>
    <row r="948" spans="1:14">
      <c r="A948" s="36" t="s">
        <v>32</v>
      </c>
      <c r="B948" s="37">
        <v>44469</v>
      </c>
      <c r="C948" s="36" t="s">
        <v>474</v>
      </c>
      <c r="D948" s="36" t="s">
        <v>569</v>
      </c>
      <c r="E948" s="36" t="s">
        <v>78</v>
      </c>
      <c r="G948" s="87">
        <v>6100000</v>
      </c>
      <c r="H948" s="87">
        <v>610000</v>
      </c>
      <c r="I948" s="87">
        <v>6710000</v>
      </c>
      <c r="K948" s="85">
        <v>2021</v>
      </c>
      <c r="L948" s="85">
        <v>9</v>
      </c>
      <c r="N948" s="208" t="s">
        <v>44</v>
      </c>
    </row>
    <row r="949" spans="1:14">
      <c r="A949" s="36" t="s">
        <v>32</v>
      </c>
      <c r="B949" s="37">
        <v>44470</v>
      </c>
      <c r="C949" s="36" t="s">
        <v>204</v>
      </c>
      <c r="D949" s="36" t="s">
        <v>205</v>
      </c>
      <c r="E949" s="36" t="s">
        <v>148</v>
      </c>
      <c r="J949" s="87">
        <v>3381180</v>
      </c>
      <c r="K949" s="85">
        <v>2021</v>
      </c>
      <c r="L949" s="85">
        <v>8</v>
      </c>
      <c r="N949" s="208" t="s">
        <v>44</v>
      </c>
    </row>
    <row r="950" spans="1:14">
      <c r="A950" s="36" t="s">
        <v>32</v>
      </c>
      <c r="B950" s="37">
        <v>44470</v>
      </c>
      <c r="C950" s="36" t="s">
        <v>496</v>
      </c>
      <c r="D950" s="36" t="s">
        <v>546</v>
      </c>
      <c r="E950" s="36" t="s">
        <v>76</v>
      </c>
      <c r="G950" s="87">
        <v>-17574750</v>
      </c>
      <c r="H950" s="87">
        <v>-1757475</v>
      </c>
      <c r="I950" s="87">
        <v>-19332225</v>
      </c>
      <c r="K950" s="85">
        <v>2021</v>
      </c>
      <c r="L950" s="85">
        <v>9</v>
      </c>
      <c r="N950" s="208" t="s">
        <v>44</v>
      </c>
    </row>
    <row r="951" spans="1:14">
      <c r="A951" s="36" t="s">
        <v>32</v>
      </c>
      <c r="B951" s="37">
        <v>44470</v>
      </c>
      <c r="C951" s="36" t="s">
        <v>496</v>
      </c>
      <c r="D951" s="36" t="s">
        <v>546</v>
      </c>
      <c r="E951" s="36" t="s">
        <v>76</v>
      </c>
      <c r="G951" s="87">
        <v>16964250</v>
      </c>
      <c r="H951" s="87">
        <v>1696425</v>
      </c>
      <c r="I951" s="87">
        <v>18660675</v>
      </c>
      <c r="K951" s="85">
        <v>2021</v>
      </c>
      <c r="L951" s="85">
        <v>10</v>
      </c>
      <c r="N951" s="208" t="s">
        <v>44</v>
      </c>
    </row>
    <row r="952" spans="1:14">
      <c r="A952" s="36" t="s">
        <v>33</v>
      </c>
      <c r="B952" s="37">
        <v>44470</v>
      </c>
      <c r="C952" s="36" t="s">
        <v>119</v>
      </c>
      <c r="D952" s="36" t="s">
        <v>372</v>
      </c>
      <c r="E952" s="36" t="s">
        <v>148</v>
      </c>
      <c r="J952" s="87">
        <v>20807050</v>
      </c>
      <c r="K952" s="85">
        <v>2021</v>
      </c>
      <c r="L952" s="85">
        <v>8</v>
      </c>
      <c r="N952" s="208" t="s">
        <v>44</v>
      </c>
    </row>
    <row r="953" spans="1:14">
      <c r="A953" s="36" t="s">
        <v>32</v>
      </c>
      <c r="B953" s="37">
        <v>44470</v>
      </c>
      <c r="C953" s="36" t="s">
        <v>264</v>
      </c>
      <c r="D953" s="36" t="s">
        <v>266</v>
      </c>
      <c r="E953" s="36" t="s">
        <v>77</v>
      </c>
      <c r="J953" s="87">
        <v>25135000</v>
      </c>
      <c r="K953" s="85">
        <v>2021</v>
      </c>
      <c r="L953" s="85">
        <v>8</v>
      </c>
      <c r="N953" s="208" t="s">
        <v>44</v>
      </c>
    </row>
    <row r="954" spans="1:14">
      <c r="A954" s="36" t="s">
        <v>33</v>
      </c>
      <c r="B954" s="37">
        <v>44470</v>
      </c>
      <c r="C954" s="36" t="s">
        <v>507</v>
      </c>
      <c r="D954" s="36" t="s">
        <v>508</v>
      </c>
      <c r="E954" s="36" t="s">
        <v>76</v>
      </c>
      <c r="G954" s="87">
        <v>8600000</v>
      </c>
      <c r="H954" s="87">
        <v>860000</v>
      </c>
      <c r="I954" s="87">
        <v>9460000</v>
      </c>
      <c r="K954" s="85">
        <v>2021</v>
      </c>
      <c r="L954" s="85">
        <v>10</v>
      </c>
      <c r="M954" s="36" t="s">
        <v>570</v>
      </c>
      <c r="N954" s="208" t="s">
        <v>44</v>
      </c>
    </row>
    <row r="955" spans="1:14">
      <c r="A955" s="36" t="s">
        <v>32</v>
      </c>
      <c r="B955" s="37">
        <v>44470</v>
      </c>
      <c r="C955" s="36" t="s">
        <v>511</v>
      </c>
      <c r="D955" s="36" t="s">
        <v>512</v>
      </c>
      <c r="E955" s="36" t="s">
        <v>76</v>
      </c>
      <c r="G955" s="87">
        <v>-2163000</v>
      </c>
      <c r="H955" s="87">
        <v>-216300</v>
      </c>
      <c r="I955" s="87">
        <v>-2379300</v>
      </c>
      <c r="K955" s="85">
        <v>2021</v>
      </c>
      <c r="L955" s="85">
        <v>9</v>
      </c>
      <c r="N955" s="208" t="s">
        <v>44</v>
      </c>
    </row>
    <row r="956" spans="1:14">
      <c r="A956" s="36" t="s">
        <v>32</v>
      </c>
      <c r="B956" s="37">
        <v>44470</v>
      </c>
      <c r="C956" s="36" t="s">
        <v>511</v>
      </c>
      <c r="D956" s="36" t="s">
        <v>512</v>
      </c>
      <c r="E956" s="36" t="s">
        <v>76</v>
      </c>
      <c r="G956" s="87">
        <v>4143300</v>
      </c>
      <c r="H956" s="87">
        <v>414330</v>
      </c>
      <c r="I956" s="87">
        <v>4557630</v>
      </c>
      <c r="K956" s="85">
        <v>2021</v>
      </c>
      <c r="L956" s="85">
        <v>10</v>
      </c>
      <c r="M956" s="36" t="s">
        <v>571</v>
      </c>
      <c r="N956" s="208" t="s">
        <v>44</v>
      </c>
    </row>
    <row r="957" spans="1:14">
      <c r="A957" s="36" t="s">
        <v>32</v>
      </c>
      <c r="B957" s="37">
        <v>44470</v>
      </c>
      <c r="C957" s="36" t="s">
        <v>175</v>
      </c>
      <c r="D957" s="36" t="s">
        <v>177</v>
      </c>
      <c r="E957" s="36" t="s">
        <v>76</v>
      </c>
      <c r="G957" s="87">
        <v>-1500000</v>
      </c>
      <c r="H957" s="87">
        <v>-150000</v>
      </c>
      <c r="I957" s="87">
        <v>-1650000</v>
      </c>
      <c r="K957" s="85">
        <v>2021</v>
      </c>
      <c r="L957" s="85">
        <v>8</v>
      </c>
      <c r="N957" s="208" t="s">
        <v>44</v>
      </c>
    </row>
    <row r="958" spans="1:14">
      <c r="A958" s="36" t="s">
        <v>32</v>
      </c>
      <c r="B958" s="37">
        <v>44470</v>
      </c>
      <c r="C958" s="36" t="s">
        <v>519</v>
      </c>
      <c r="D958" s="36" t="s">
        <v>321</v>
      </c>
      <c r="E958" s="36" t="s">
        <v>148</v>
      </c>
      <c r="J958" s="87">
        <v>759000</v>
      </c>
      <c r="K958" s="85">
        <v>2021</v>
      </c>
      <c r="L958" s="85">
        <v>8</v>
      </c>
      <c r="N958" s="208" t="s">
        <v>44</v>
      </c>
    </row>
    <row r="959" spans="1:14">
      <c r="A959" s="36" t="s">
        <v>33</v>
      </c>
      <c r="B959" s="37">
        <v>44470</v>
      </c>
      <c r="C959" s="36" t="s">
        <v>103</v>
      </c>
      <c r="D959" s="36" t="s">
        <v>205</v>
      </c>
      <c r="E959" s="36" t="s">
        <v>148</v>
      </c>
      <c r="J959" s="87">
        <v>359700</v>
      </c>
      <c r="K959" s="85">
        <v>2021</v>
      </c>
      <c r="L959" s="85">
        <v>8</v>
      </c>
      <c r="N959" s="208" t="s">
        <v>44</v>
      </c>
    </row>
    <row r="960" spans="1:14">
      <c r="A960" s="36" t="s">
        <v>33</v>
      </c>
      <c r="B960" s="37">
        <v>44473</v>
      </c>
      <c r="C960" s="36" t="s">
        <v>561</v>
      </c>
      <c r="D960" s="36" t="s">
        <v>562</v>
      </c>
      <c r="E960" s="36" t="s">
        <v>77</v>
      </c>
      <c r="J960" s="38">
        <v>174015</v>
      </c>
      <c r="K960" s="85">
        <v>2021</v>
      </c>
      <c r="L960" s="85">
        <v>9</v>
      </c>
      <c r="N960" s="208" t="s">
        <v>44</v>
      </c>
    </row>
    <row r="961" spans="1:14">
      <c r="A961" s="36" t="s">
        <v>19</v>
      </c>
      <c r="B961" s="37">
        <v>44474</v>
      </c>
      <c r="C961" s="36" t="s">
        <v>572</v>
      </c>
      <c r="D961" s="36" t="s">
        <v>200</v>
      </c>
      <c r="E961" s="36" t="s">
        <v>573</v>
      </c>
      <c r="G961" s="87">
        <v>14100000</v>
      </c>
      <c r="H961" s="87">
        <v>1410000</v>
      </c>
      <c r="I961" s="87">
        <v>15510000</v>
      </c>
      <c r="K961" s="85">
        <v>2021</v>
      </c>
      <c r="L961" s="85">
        <v>10</v>
      </c>
      <c r="N961" s="208" t="s">
        <v>44</v>
      </c>
    </row>
    <row r="962" spans="1:14">
      <c r="A962" s="36" t="s">
        <v>32</v>
      </c>
      <c r="B962" s="37">
        <v>44474</v>
      </c>
      <c r="C962" s="36" t="s">
        <v>496</v>
      </c>
      <c r="D962" s="36" t="s">
        <v>497</v>
      </c>
      <c r="E962" s="36" t="s">
        <v>148</v>
      </c>
      <c r="J962" s="38">
        <v>26604875</v>
      </c>
      <c r="K962" s="85">
        <v>2021</v>
      </c>
      <c r="L962" s="85">
        <v>8</v>
      </c>
      <c r="N962" s="208" t="s">
        <v>44</v>
      </c>
    </row>
    <row r="963" spans="1:14">
      <c r="A963" s="36" t="s">
        <v>33</v>
      </c>
      <c r="B963" s="37">
        <v>44474</v>
      </c>
      <c r="C963" s="36" t="s">
        <v>226</v>
      </c>
      <c r="D963" s="36" t="s">
        <v>227</v>
      </c>
      <c r="E963" s="36" t="s">
        <v>77</v>
      </c>
      <c r="J963" s="87">
        <v>2380999.5</v>
      </c>
      <c r="K963" s="85">
        <v>2021</v>
      </c>
      <c r="L963" s="85">
        <v>9</v>
      </c>
      <c r="N963" s="208" t="s">
        <v>44</v>
      </c>
    </row>
    <row r="964" spans="1:14">
      <c r="A964" s="36" t="s">
        <v>33</v>
      </c>
      <c r="B964" s="37">
        <v>44474</v>
      </c>
      <c r="C964" s="36" t="s">
        <v>115</v>
      </c>
      <c r="D964" s="36" t="s">
        <v>371</v>
      </c>
      <c r="E964" s="36" t="s">
        <v>148</v>
      </c>
      <c r="J964" s="38">
        <v>3948000</v>
      </c>
      <c r="K964" s="85">
        <v>2021</v>
      </c>
      <c r="L964" s="85">
        <v>9</v>
      </c>
      <c r="M964" s="36" t="s">
        <v>107</v>
      </c>
      <c r="N964" s="208" t="s">
        <v>44</v>
      </c>
    </row>
    <row r="965" spans="1:14">
      <c r="A965" s="36" t="s">
        <v>32</v>
      </c>
      <c r="B965" s="37">
        <v>44475</v>
      </c>
      <c r="C965" s="36" t="s">
        <v>466</v>
      </c>
      <c r="D965" s="36" t="s">
        <v>467</v>
      </c>
      <c r="E965" s="36" t="s">
        <v>148</v>
      </c>
      <c r="J965" s="87">
        <v>18556890</v>
      </c>
      <c r="K965" s="85">
        <v>2021</v>
      </c>
      <c r="L965" s="85">
        <v>8</v>
      </c>
      <c r="M965" s="36" t="s">
        <v>574</v>
      </c>
      <c r="N965" s="208" t="s">
        <v>44</v>
      </c>
    </row>
    <row r="966" spans="1:14">
      <c r="A966" s="36" t="s">
        <v>33</v>
      </c>
      <c r="B966" s="37">
        <v>44477</v>
      </c>
      <c r="C966" s="36" t="s">
        <v>81</v>
      </c>
      <c r="D966" s="36" t="s">
        <v>491</v>
      </c>
      <c r="E966" s="36" t="s">
        <v>77</v>
      </c>
      <c r="J966" s="38">
        <v>1000000</v>
      </c>
      <c r="K966" s="85">
        <v>2021</v>
      </c>
      <c r="L966" s="85">
        <v>8</v>
      </c>
      <c r="N966" s="208" t="s">
        <v>44</v>
      </c>
    </row>
    <row r="967" spans="1:14">
      <c r="A967" s="36" t="s">
        <v>32</v>
      </c>
      <c r="B967" s="37">
        <v>44477</v>
      </c>
      <c r="C967" s="36" t="s">
        <v>498</v>
      </c>
      <c r="D967" s="36" t="s">
        <v>499</v>
      </c>
      <c r="E967" s="36" t="s">
        <v>148</v>
      </c>
      <c r="J967" s="87">
        <v>9790000</v>
      </c>
      <c r="K967" s="85">
        <v>2021</v>
      </c>
      <c r="L967" s="85">
        <v>8</v>
      </c>
      <c r="N967" s="208" t="s">
        <v>44</v>
      </c>
    </row>
    <row r="968" spans="1:14">
      <c r="A968" s="36" t="s">
        <v>18</v>
      </c>
      <c r="B968" s="37">
        <v>44481</v>
      </c>
      <c r="C968" s="36" t="s">
        <v>535</v>
      </c>
      <c r="D968" s="36" t="s">
        <v>536</v>
      </c>
      <c r="E968" s="36" t="s">
        <v>148</v>
      </c>
      <c r="J968" s="38">
        <v>17257900</v>
      </c>
      <c r="K968" s="85">
        <v>2021</v>
      </c>
      <c r="L968" s="85">
        <v>9</v>
      </c>
      <c r="N968" s="208" t="s">
        <v>44</v>
      </c>
    </row>
    <row r="969" spans="1:14">
      <c r="A969" s="36" t="s">
        <v>32</v>
      </c>
      <c r="B969" s="37">
        <v>44482</v>
      </c>
      <c r="C969" s="36" t="s">
        <v>171</v>
      </c>
      <c r="D969" s="36" t="s">
        <v>554</v>
      </c>
      <c r="E969" s="36" t="s">
        <v>77</v>
      </c>
      <c r="J969" s="87">
        <v>16703738.699999999</v>
      </c>
      <c r="K969" s="85">
        <v>2021</v>
      </c>
      <c r="L969" s="85">
        <v>9</v>
      </c>
      <c r="N969" s="208" t="s">
        <v>44</v>
      </c>
    </row>
    <row r="970" spans="1:14">
      <c r="A970" s="36" t="s">
        <v>18</v>
      </c>
      <c r="B970" s="37">
        <v>44484</v>
      </c>
      <c r="C970" s="36" t="s">
        <v>391</v>
      </c>
      <c r="D970" s="36" t="s">
        <v>393</v>
      </c>
      <c r="E970" s="36" t="s">
        <v>148</v>
      </c>
      <c r="J970" s="87">
        <v>2772352</v>
      </c>
      <c r="K970" s="85">
        <v>2021</v>
      </c>
      <c r="L970" s="85">
        <v>8</v>
      </c>
      <c r="N970" s="208" t="s">
        <v>44</v>
      </c>
    </row>
    <row r="971" spans="1:14">
      <c r="A971" s="36" t="s">
        <v>32</v>
      </c>
      <c r="B971" s="37">
        <v>44484</v>
      </c>
      <c r="C971" s="36" t="s">
        <v>549</v>
      </c>
      <c r="D971" s="36" t="s">
        <v>550</v>
      </c>
      <c r="E971" s="36" t="s">
        <v>148</v>
      </c>
      <c r="J971" s="87">
        <v>9321840</v>
      </c>
      <c r="K971" s="85">
        <v>2021</v>
      </c>
      <c r="L971" s="85">
        <v>9</v>
      </c>
      <c r="N971" s="208" t="s">
        <v>44</v>
      </c>
    </row>
    <row r="972" spans="1:14">
      <c r="A972" s="36" t="s">
        <v>32</v>
      </c>
      <c r="B972" s="37">
        <v>44484</v>
      </c>
      <c r="C972" s="36" t="s">
        <v>206</v>
      </c>
      <c r="D972" s="36" t="s">
        <v>513</v>
      </c>
      <c r="E972" s="36" t="s">
        <v>148</v>
      </c>
      <c r="J972" s="87">
        <v>3408543.6</v>
      </c>
      <c r="K972" s="85">
        <v>2021</v>
      </c>
      <c r="L972" s="85">
        <v>8</v>
      </c>
      <c r="N972" s="208" t="s">
        <v>44</v>
      </c>
    </row>
    <row r="973" spans="1:14">
      <c r="A973" s="36" t="s">
        <v>33</v>
      </c>
      <c r="B973" s="37">
        <v>44486</v>
      </c>
      <c r="C973" s="36" t="s">
        <v>561</v>
      </c>
      <c r="D973" s="36" t="s">
        <v>562</v>
      </c>
      <c r="E973" s="36" t="s">
        <v>125</v>
      </c>
      <c r="G973" s="87">
        <v>212745</v>
      </c>
      <c r="H973" s="87">
        <v>21274.5</v>
      </c>
      <c r="I973" s="87">
        <v>234019.5</v>
      </c>
      <c r="K973" s="85">
        <v>2021</v>
      </c>
      <c r="L973" s="85">
        <v>10</v>
      </c>
      <c r="N973" s="208" t="s">
        <v>44</v>
      </c>
    </row>
    <row r="974" spans="1:14">
      <c r="A974" s="36" t="s">
        <v>33</v>
      </c>
      <c r="B974" s="37">
        <v>44487</v>
      </c>
      <c r="C974" s="36" t="s">
        <v>575</v>
      </c>
      <c r="D974" s="36" t="s">
        <v>576</v>
      </c>
      <c r="E974" s="36" t="s">
        <v>577</v>
      </c>
      <c r="G974" s="87">
        <v>550000</v>
      </c>
      <c r="H974" s="87">
        <v>55000</v>
      </c>
      <c r="I974" s="87">
        <v>605000</v>
      </c>
      <c r="K974" s="85">
        <v>2021</v>
      </c>
      <c r="L974" s="85">
        <v>10</v>
      </c>
      <c r="N974" s="208" t="s">
        <v>44</v>
      </c>
    </row>
    <row r="975" spans="1:14">
      <c r="A975" s="36" t="s">
        <v>33</v>
      </c>
      <c r="B975" s="37">
        <v>44487</v>
      </c>
      <c r="C975" s="36" t="s">
        <v>575</v>
      </c>
      <c r="D975" s="36" t="s">
        <v>576</v>
      </c>
      <c r="E975" s="36" t="s">
        <v>77</v>
      </c>
      <c r="J975" s="38">
        <v>605000</v>
      </c>
      <c r="K975" s="85">
        <v>2021</v>
      </c>
      <c r="L975" s="85">
        <v>10</v>
      </c>
      <c r="N975" s="208" t="s">
        <v>44</v>
      </c>
    </row>
    <row r="976" spans="1:14">
      <c r="A976" s="36" t="s">
        <v>33</v>
      </c>
      <c r="B976" s="37">
        <v>44487</v>
      </c>
      <c r="C976" s="36" t="s">
        <v>561</v>
      </c>
      <c r="D976" s="36" t="s">
        <v>562</v>
      </c>
      <c r="E976" s="36" t="s">
        <v>77</v>
      </c>
      <c r="J976" s="38">
        <v>234019</v>
      </c>
      <c r="K976" s="85">
        <v>2021</v>
      </c>
      <c r="L976" s="85">
        <v>10</v>
      </c>
      <c r="N976" s="208" t="s">
        <v>44</v>
      </c>
    </row>
    <row r="977" spans="1:14">
      <c r="A977" s="36" t="s">
        <v>33</v>
      </c>
      <c r="B977" s="37">
        <v>44493</v>
      </c>
      <c r="C977" s="36" t="s">
        <v>561</v>
      </c>
      <c r="D977" s="36" t="s">
        <v>562</v>
      </c>
      <c r="E977" s="36" t="s">
        <v>125</v>
      </c>
      <c r="G977" s="87">
        <v>130920</v>
      </c>
      <c r="H977" s="87">
        <v>13092</v>
      </c>
      <c r="I977" s="87">
        <v>144012</v>
      </c>
      <c r="K977" s="85">
        <v>2021</v>
      </c>
      <c r="L977" s="85">
        <v>10</v>
      </c>
      <c r="N977" s="208" t="s">
        <v>44</v>
      </c>
    </row>
    <row r="978" spans="1:14">
      <c r="A978" s="36" t="s">
        <v>33</v>
      </c>
      <c r="B978" s="37">
        <v>44494</v>
      </c>
      <c r="C978" s="36" t="s">
        <v>131</v>
      </c>
      <c r="D978" s="36" t="s">
        <v>439</v>
      </c>
      <c r="E978" s="36" t="s">
        <v>578</v>
      </c>
      <c r="G978" s="87">
        <v>93000</v>
      </c>
      <c r="H978" s="87">
        <v>9300</v>
      </c>
      <c r="I978" s="87">
        <v>102300</v>
      </c>
      <c r="K978" s="85">
        <v>2021</v>
      </c>
      <c r="L978" s="85">
        <v>10</v>
      </c>
      <c r="M978" s="36" t="s">
        <v>579</v>
      </c>
      <c r="N978" s="208" t="s">
        <v>44</v>
      </c>
    </row>
    <row r="979" spans="1:14">
      <c r="A979" s="36" t="s">
        <v>32</v>
      </c>
      <c r="B979" s="37">
        <v>44494</v>
      </c>
      <c r="C979" s="36" t="s">
        <v>346</v>
      </c>
      <c r="D979" s="36" t="s">
        <v>378</v>
      </c>
      <c r="E979" s="36" t="s">
        <v>148</v>
      </c>
      <c r="J979" s="87">
        <v>3423200</v>
      </c>
      <c r="K979" s="85">
        <v>2021</v>
      </c>
      <c r="L979" s="85">
        <v>8</v>
      </c>
      <c r="N979" s="208" t="s">
        <v>44</v>
      </c>
    </row>
    <row r="980" spans="1:14">
      <c r="A980" s="36" t="s">
        <v>33</v>
      </c>
      <c r="B980" s="37">
        <v>44495</v>
      </c>
      <c r="C980" s="36" t="s">
        <v>561</v>
      </c>
      <c r="D980" s="36" t="s">
        <v>562</v>
      </c>
      <c r="E980" s="36" t="s">
        <v>77</v>
      </c>
      <c r="J980" s="38">
        <v>144012</v>
      </c>
      <c r="K980" s="85">
        <v>2021</v>
      </c>
      <c r="L980" s="85">
        <v>10</v>
      </c>
      <c r="N980" s="208" t="s">
        <v>44</v>
      </c>
    </row>
    <row r="981" spans="1:14">
      <c r="A981" s="36" t="s">
        <v>33</v>
      </c>
      <c r="B981" s="37">
        <v>44496</v>
      </c>
      <c r="C981" s="36" t="s">
        <v>131</v>
      </c>
      <c r="D981" s="36" t="s">
        <v>439</v>
      </c>
      <c r="E981" s="36" t="s">
        <v>77</v>
      </c>
      <c r="J981" s="38">
        <v>102300</v>
      </c>
      <c r="K981" s="85">
        <v>2021</v>
      </c>
      <c r="L981" s="85">
        <v>10</v>
      </c>
      <c r="N981" s="208" t="s">
        <v>44</v>
      </c>
    </row>
    <row r="982" spans="1:14">
      <c r="A982" s="36" t="s">
        <v>32</v>
      </c>
      <c r="B982" s="37">
        <v>44497</v>
      </c>
      <c r="C982" s="36" t="s">
        <v>209</v>
      </c>
      <c r="D982" s="36" t="s">
        <v>197</v>
      </c>
      <c r="E982" s="36" t="s">
        <v>77</v>
      </c>
      <c r="J982" s="87">
        <v>38794800</v>
      </c>
      <c r="K982" s="85">
        <v>2021</v>
      </c>
      <c r="L982" s="85">
        <v>9</v>
      </c>
      <c r="N982" s="208" t="s">
        <v>44</v>
      </c>
    </row>
    <row r="983" spans="1:14">
      <c r="A983" s="36" t="s">
        <v>32</v>
      </c>
      <c r="B983" s="37">
        <v>44497</v>
      </c>
      <c r="C983" s="36" t="s">
        <v>209</v>
      </c>
      <c r="D983" s="36" t="s">
        <v>541</v>
      </c>
      <c r="E983" s="36" t="s">
        <v>77</v>
      </c>
      <c r="J983" s="87">
        <v>3020820</v>
      </c>
      <c r="K983" s="85">
        <v>2021</v>
      </c>
      <c r="L983" s="85">
        <v>9</v>
      </c>
      <c r="N983" s="208" t="s">
        <v>44</v>
      </c>
    </row>
    <row r="984" spans="1:14">
      <c r="A984" s="36" t="s">
        <v>33</v>
      </c>
      <c r="B984" s="37">
        <v>44498</v>
      </c>
      <c r="C984" s="36" t="s">
        <v>120</v>
      </c>
      <c r="D984" s="36" t="s">
        <v>121</v>
      </c>
      <c r="E984" s="36" t="s">
        <v>122</v>
      </c>
      <c r="G984" s="87">
        <v>681818</v>
      </c>
      <c r="H984" s="87">
        <v>68181.8</v>
      </c>
      <c r="I984" s="87">
        <v>749999.8</v>
      </c>
      <c r="K984" s="85">
        <v>2021</v>
      </c>
      <c r="L984" s="85">
        <v>10</v>
      </c>
      <c r="N984" s="208" t="s">
        <v>44</v>
      </c>
    </row>
    <row r="985" spans="1:14">
      <c r="A985" s="36" t="s">
        <v>32</v>
      </c>
      <c r="B985" s="37">
        <v>44498</v>
      </c>
      <c r="C985" s="36" t="s">
        <v>204</v>
      </c>
      <c r="D985" s="36" t="s">
        <v>205</v>
      </c>
      <c r="E985" s="36" t="s">
        <v>148</v>
      </c>
      <c r="J985" s="87">
        <v>10143540</v>
      </c>
      <c r="K985" s="85">
        <v>2021</v>
      </c>
      <c r="L985" s="85">
        <v>9</v>
      </c>
      <c r="N985" s="208" t="s">
        <v>44</v>
      </c>
    </row>
    <row r="986" spans="1:14">
      <c r="A986" s="36" t="s">
        <v>18</v>
      </c>
      <c r="B986" s="37">
        <v>44498</v>
      </c>
      <c r="C986" s="36" t="s">
        <v>498</v>
      </c>
      <c r="D986" s="36" t="s">
        <v>499</v>
      </c>
      <c r="E986" s="36" t="s">
        <v>148</v>
      </c>
      <c r="J986" s="87">
        <v>6534000</v>
      </c>
      <c r="K986" s="85">
        <v>2021</v>
      </c>
      <c r="L986" s="85">
        <v>9</v>
      </c>
      <c r="N986" s="208" t="s">
        <v>44</v>
      </c>
    </row>
    <row r="987" spans="1:14">
      <c r="A987" s="36" t="s">
        <v>32</v>
      </c>
      <c r="B987" s="37">
        <v>44498</v>
      </c>
      <c r="C987" s="36" t="s">
        <v>85</v>
      </c>
      <c r="D987" s="36" t="s">
        <v>182</v>
      </c>
      <c r="E987" s="36" t="s">
        <v>148</v>
      </c>
      <c r="J987" s="87">
        <v>5280000</v>
      </c>
      <c r="K987" s="85">
        <v>2021</v>
      </c>
      <c r="L987" s="85">
        <v>9</v>
      </c>
      <c r="N987" s="208" t="s">
        <v>44</v>
      </c>
    </row>
    <row r="988" spans="1:14">
      <c r="A988" s="36" t="s">
        <v>32</v>
      </c>
      <c r="B988" s="37">
        <v>44498</v>
      </c>
      <c r="C988" s="36" t="s">
        <v>282</v>
      </c>
      <c r="D988" s="36" t="s">
        <v>161</v>
      </c>
      <c r="E988" s="36" t="s">
        <v>148</v>
      </c>
      <c r="J988" s="87">
        <v>3215520</v>
      </c>
      <c r="K988" s="85">
        <v>2021</v>
      </c>
      <c r="L988" s="85">
        <v>4</v>
      </c>
      <c r="N988" s="208" t="s">
        <v>44</v>
      </c>
    </row>
    <row r="989" spans="1:14">
      <c r="A989" s="36" t="s">
        <v>18</v>
      </c>
      <c r="B989" s="37">
        <v>44498</v>
      </c>
      <c r="C989" s="36" t="s">
        <v>248</v>
      </c>
      <c r="D989" s="36" t="s">
        <v>249</v>
      </c>
      <c r="E989" s="36" t="s">
        <v>148</v>
      </c>
      <c r="J989" s="87">
        <v>7090776</v>
      </c>
      <c r="K989" s="85">
        <v>2021</v>
      </c>
      <c r="L989" s="85">
        <v>5</v>
      </c>
      <c r="N989" s="208" t="s">
        <v>44</v>
      </c>
    </row>
    <row r="990" spans="1:14">
      <c r="A990" s="36" t="s">
        <v>32</v>
      </c>
      <c r="B990" s="37">
        <v>44498</v>
      </c>
      <c r="C990" s="36" t="s">
        <v>282</v>
      </c>
      <c r="D990" s="36" t="s">
        <v>161</v>
      </c>
      <c r="E990" s="36" t="s">
        <v>78</v>
      </c>
      <c r="G990" s="87">
        <v>3057600</v>
      </c>
      <c r="H990" s="87">
        <v>305760</v>
      </c>
      <c r="I990" s="87">
        <v>3363360</v>
      </c>
      <c r="K990" s="85">
        <v>2021</v>
      </c>
      <c r="L990" s="85">
        <v>10</v>
      </c>
      <c r="N990" s="208" t="s">
        <v>44</v>
      </c>
    </row>
    <row r="991" spans="1:14">
      <c r="A991" s="36" t="s">
        <v>32</v>
      </c>
      <c r="B991" s="37">
        <v>44498</v>
      </c>
      <c r="C991" s="36" t="s">
        <v>511</v>
      </c>
      <c r="D991" s="36" t="s">
        <v>512</v>
      </c>
      <c r="E991" s="36" t="s">
        <v>148</v>
      </c>
      <c r="J991" s="87">
        <v>2379300</v>
      </c>
      <c r="K991" s="85">
        <v>2021</v>
      </c>
      <c r="L991" s="85">
        <v>10</v>
      </c>
      <c r="N991" s="208" t="s">
        <v>44</v>
      </c>
    </row>
    <row r="992" spans="1:14">
      <c r="A992" s="36" t="s">
        <v>32</v>
      </c>
      <c r="B992" s="37">
        <v>44498</v>
      </c>
      <c r="C992" s="36" t="s">
        <v>456</v>
      </c>
      <c r="D992" s="36" t="s">
        <v>457</v>
      </c>
      <c r="E992" s="36" t="s">
        <v>148</v>
      </c>
      <c r="J992" s="87">
        <v>6451500</v>
      </c>
      <c r="K992" s="85">
        <v>2021</v>
      </c>
      <c r="L992" s="85">
        <v>9</v>
      </c>
      <c r="N992" s="208" t="s">
        <v>44</v>
      </c>
    </row>
    <row r="993" spans="1:14">
      <c r="A993" s="36" t="s">
        <v>32</v>
      </c>
      <c r="B993" s="37">
        <v>44498</v>
      </c>
      <c r="C993" s="36" t="s">
        <v>456</v>
      </c>
      <c r="D993" s="36" t="s">
        <v>457</v>
      </c>
      <c r="E993" s="36" t="s">
        <v>76</v>
      </c>
      <c r="G993" s="87">
        <v>5520000</v>
      </c>
      <c r="H993" s="87">
        <v>552000</v>
      </c>
      <c r="I993" s="87">
        <v>6072000</v>
      </c>
      <c r="K993" s="85">
        <v>2021</v>
      </c>
      <c r="L993" s="85">
        <v>10</v>
      </c>
      <c r="N993" s="208" t="s">
        <v>44</v>
      </c>
    </row>
    <row r="994" spans="1:14">
      <c r="A994" s="36" t="s">
        <v>32</v>
      </c>
      <c r="B994" s="37">
        <v>44498</v>
      </c>
      <c r="C994" s="36" t="s">
        <v>188</v>
      </c>
      <c r="D994" s="36" t="s">
        <v>408</v>
      </c>
      <c r="E994" s="36" t="s">
        <v>148</v>
      </c>
      <c r="J994" s="87">
        <v>3014000</v>
      </c>
      <c r="K994" s="85">
        <v>2021</v>
      </c>
      <c r="L994" s="85">
        <v>9</v>
      </c>
      <c r="N994" s="208" t="s">
        <v>44</v>
      </c>
    </row>
    <row r="995" spans="1:14">
      <c r="A995" s="36" t="s">
        <v>32</v>
      </c>
      <c r="B995" s="37">
        <v>44498</v>
      </c>
      <c r="C995" s="36" t="s">
        <v>188</v>
      </c>
      <c r="D995" s="36" t="s">
        <v>518</v>
      </c>
      <c r="E995" s="36" t="s">
        <v>148</v>
      </c>
      <c r="J995" s="87">
        <v>1331000</v>
      </c>
      <c r="K995" s="85">
        <v>2021</v>
      </c>
      <c r="L995" s="85">
        <v>9</v>
      </c>
      <c r="N995" s="208" t="s">
        <v>44</v>
      </c>
    </row>
    <row r="996" spans="1:14">
      <c r="A996" s="36" t="s">
        <v>32</v>
      </c>
      <c r="B996" s="37">
        <v>44498</v>
      </c>
      <c r="C996" s="36" t="s">
        <v>188</v>
      </c>
      <c r="D996" s="36" t="s">
        <v>557</v>
      </c>
      <c r="E996" s="36" t="s">
        <v>148</v>
      </c>
      <c r="J996" s="87">
        <v>3696000</v>
      </c>
      <c r="K996" s="85">
        <v>2021</v>
      </c>
      <c r="L996" s="85">
        <v>9</v>
      </c>
      <c r="N996" s="208" t="s">
        <v>44</v>
      </c>
    </row>
    <row r="997" spans="1:14">
      <c r="A997" s="36" t="s">
        <v>32</v>
      </c>
      <c r="B997" s="37">
        <v>44498</v>
      </c>
      <c r="C997" s="36" t="s">
        <v>188</v>
      </c>
      <c r="D997" s="36" t="s">
        <v>508</v>
      </c>
      <c r="E997" s="36" t="s">
        <v>148</v>
      </c>
      <c r="J997" s="38">
        <v>6380000</v>
      </c>
      <c r="K997" s="85">
        <v>2021</v>
      </c>
      <c r="L997" s="85">
        <v>9</v>
      </c>
      <c r="N997" s="208" t="s">
        <v>44</v>
      </c>
    </row>
    <row r="998" spans="1:14">
      <c r="A998" s="36" t="s">
        <v>33</v>
      </c>
      <c r="B998" s="37">
        <v>44498</v>
      </c>
      <c r="C998" s="36" t="s">
        <v>103</v>
      </c>
      <c r="D998" s="36" t="s">
        <v>205</v>
      </c>
      <c r="E998" s="36" t="s">
        <v>148</v>
      </c>
      <c r="J998" s="87">
        <v>1079100</v>
      </c>
      <c r="K998" s="85">
        <v>2021</v>
      </c>
      <c r="L998" s="85">
        <v>9</v>
      </c>
      <c r="N998" s="208" t="s">
        <v>44</v>
      </c>
    </row>
    <row r="999" spans="1:14">
      <c r="A999" s="36" t="s">
        <v>32</v>
      </c>
      <c r="B999" s="37">
        <v>44498</v>
      </c>
      <c r="C999" s="36" t="s">
        <v>474</v>
      </c>
      <c r="D999" s="36" t="s">
        <v>569</v>
      </c>
      <c r="E999" s="36" t="s">
        <v>148</v>
      </c>
      <c r="J999" s="87">
        <v>6710000</v>
      </c>
      <c r="K999" s="85">
        <v>2021</v>
      </c>
      <c r="L999" s="85">
        <v>9</v>
      </c>
      <c r="N999" s="208" t="s">
        <v>44</v>
      </c>
    </row>
    <row r="1000" spans="1:14">
      <c r="A1000" s="36" t="s">
        <v>33</v>
      </c>
      <c r="B1000" s="37">
        <v>44499</v>
      </c>
      <c r="C1000" s="36" t="s">
        <v>580</v>
      </c>
      <c r="D1000" s="36" t="s">
        <v>581</v>
      </c>
      <c r="E1000" s="36" t="s">
        <v>582</v>
      </c>
      <c r="G1000" s="87">
        <v>180000</v>
      </c>
      <c r="H1000" s="87">
        <v>18000</v>
      </c>
      <c r="I1000" s="87">
        <v>198000</v>
      </c>
      <c r="K1000" s="85">
        <v>2021</v>
      </c>
      <c r="L1000" s="85">
        <v>10</v>
      </c>
      <c r="N1000" s="208" t="s">
        <v>44</v>
      </c>
    </row>
    <row r="1001" spans="1:14">
      <c r="A1001" s="36" t="s">
        <v>32</v>
      </c>
      <c r="B1001" s="37">
        <v>44500</v>
      </c>
      <c r="C1001" s="36" t="s">
        <v>174</v>
      </c>
      <c r="D1001" s="36" t="s">
        <v>540</v>
      </c>
      <c r="E1001" s="36" t="s">
        <v>76</v>
      </c>
      <c r="G1001" s="87">
        <v>43709200</v>
      </c>
      <c r="H1001" s="87">
        <v>4370920</v>
      </c>
      <c r="I1001" s="87">
        <v>48080120</v>
      </c>
      <c r="K1001" s="85">
        <v>2021</v>
      </c>
      <c r="L1001" s="85">
        <v>10</v>
      </c>
      <c r="N1001" s="208" t="s">
        <v>44</v>
      </c>
    </row>
    <row r="1002" spans="1:14">
      <c r="A1002" s="36" t="s">
        <v>32</v>
      </c>
      <c r="B1002" s="37">
        <v>44500</v>
      </c>
      <c r="C1002" s="36" t="s">
        <v>209</v>
      </c>
      <c r="D1002" s="36" t="s">
        <v>197</v>
      </c>
      <c r="E1002" s="36" t="s">
        <v>76</v>
      </c>
      <c r="G1002" s="87">
        <v>35871300</v>
      </c>
      <c r="H1002" s="87">
        <v>3587130</v>
      </c>
      <c r="I1002" s="87">
        <v>39458430</v>
      </c>
      <c r="K1002" s="85">
        <v>2021</v>
      </c>
      <c r="L1002" s="85">
        <v>10</v>
      </c>
      <c r="N1002" s="208" t="s">
        <v>44</v>
      </c>
    </row>
    <row r="1003" spans="1:14">
      <c r="A1003" s="36" t="s">
        <v>32</v>
      </c>
      <c r="B1003" s="37">
        <v>44500</v>
      </c>
      <c r="C1003" s="36" t="s">
        <v>209</v>
      </c>
      <c r="D1003" s="36" t="s">
        <v>541</v>
      </c>
      <c r="E1003" s="36" t="s">
        <v>76</v>
      </c>
      <c r="G1003" s="87">
        <v>5326600</v>
      </c>
      <c r="H1003" s="87">
        <v>532660</v>
      </c>
      <c r="I1003" s="87">
        <v>5859260</v>
      </c>
      <c r="K1003" s="85">
        <v>2021</v>
      </c>
      <c r="L1003" s="85">
        <v>10</v>
      </c>
      <c r="N1003" s="208" t="s">
        <v>44</v>
      </c>
    </row>
    <row r="1004" spans="1:14">
      <c r="A1004" s="36" t="s">
        <v>32</v>
      </c>
      <c r="B1004" s="37">
        <v>44500</v>
      </c>
      <c r="C1004" s="36" t="s">
        <v>346</v>
      </c>
      <c r="D1004" s="36" t="s">
        <v>347</v>
      </c>
      <c r="E1004" s="36" t="s">
        <v>76</v>
      </c>
      <c r="G1004" s="87">
        <v>3112000</v>
      </c>
      <c r="H1004" s="87">
        <v>311200</v>
      </c>
      <c r="I1004" s="87">
        <v>3423200</v>
      </c>
      <c r="K1004" s="85">
        <v>2021</v>
      </c>
      <c r="L1004" s="85">
        <v>10</v>
      </c>
      <c r="N1004" s="208" t="s">
        <v>44</v>
      </c>
    </row>
    <row r="1005" spans="1:14">
      <c r="A1005" s="36" t="s">
        <v>32</v>
      </c>
      <c r="B1005" s="37">
        <v>44500</v>
      </c>
      <c r="C1005" s="36" t="s">
        <v>180</v>
      </c>
      <c r="D1005" s="36" t="s">
        <v>344</v>
      </c>
      <c r="E1005" s="36" t="s">
        <v>76</v>
      </c>
      <c r="G1005" s="87">
        <v>11515000</v>
      </c>
      <c r="H1005" s="87">
        <v>1151500</v>
      </c>
      <c r="I1005" s="87">
        <v>12666500</v>
      </c>
      <c r="K1005" s="85">
        <v>2021</v>
      </c>
      <c r="L1005" s="85">
        <v>10</v>
      </c>
      <c r="N1005" s="208" t="s">
        <v>44</v>
      </c>
    </row>
    <row r="1006" spans="1:14">
      <c r="A1006" s="36" t="s">
        <v>32</v>
      </c>
      <c r="B1006" s="37">
        <v>44500</v>
      </c>
      <c r="C1006" s="36" t="s">
        <v>204</v>
      </c>
      <c r="D1006" s="36" t="s">
        <v>205</v>
      </c>
      <c r="E1006" s="36" t="s">
        <v>76</v>
      </c>
      <c r="G1006" s="87">
        <v>9221400</v>
      </c>
      <c r="H1006" s="87">
        <v>922140</v>
      </c>
      <c r="I1006" s="87">
        <v>10143540</v>
      </c>
      <c r="K1006" s="85">
        <v>2021</v>
      </c>
      <c r="L1006" s="85">
        <v>10</v>
      </c>
      <c r="N1006" s="208" t="s">
        <v>44</v>
      </c>
    </row>
    <row r="1007" spans="1:14">
      <c r="A1007" s="36" t="s">
        <v>33</v>
      </c>
      <c r="B1007" s="37">
        <v>44500</v>
      </c>
      <c r="C1007" s="36" t="s">
        <v>544</v>
      </c>
      <c r="D1007" s="36" t="s">
        <v>545</v>
      </c>
      <c r="E1007" s="36" t="s">
        <v>583</v>
      </c>
      <c r="G1007" s="87">
        <v>1275000</v>
      </c>
      <c r="H1007" s="87">
        <v>127500</v>
      </c>
      <c r="I1007" s="87">
        <v>1402500</v>
      </c>
      <c r="K1007" s="85">
        <v>2021</v>
      </c>
      <c r="L1007" s="85">
        <v>10</v>
      </c>
      <c r="M1007" s="36" t="s">
        <v>107</v>
      </c>
      <c r="N1007" s="208" t="s">
        <v>44</v>
      </c>
    </row>
    <row r="1008" spans="1:14">
      <c r="A1008" s="36" t="s">
        <v>33</v>
      </c>
      <c r="B1008" s="37">
        <v>44500</v>
      </c>
      <c r="C1008" s="36" t="s">
        <v>584</v>
      </c>
      <c r="D1008" s="36" t="s">
        <v>205</v>
      </c>
      <c r="E1008" s="36" t="s">
        <v>125</v>
      </c>
      <c r="G1008" s="87">
        <v>534000</v>
      </c>
      <c r="H1008" s="87">
        <v>53400</v>
      </c>
      <c r="I1008" s="87">
        <v>587400</v>
      </c>
      <c r="K1008" s="85">
        <v>2021</v>
      </c>
      <c r="L1008" s="85">
        <v>10</v>
      </c>
      <c r="N1008" s="208" t="s">
        <v>44</v>
      </c>
    </row>
    <row r="1009" spans="1:14">
      <c r="A1009" s="36" t="s">
        <v>33</v>
      </c>
      <c r="B1009" s="37">
        <v>44500</v>
      </c>
      <c r="C1009" s="36" t="s">
        <v>395</v>
      </c>
      <c r="D1009" s="36" t="s">
        <v>229</v>
      </c>
      <c r="E1009" s="36" t="s">
        <v>585</v>
      </c>
      <c r="G1009" s="87">
        <v>3690909</v>
      </c>
      <c r="H1009" s="87">
        <v>369091</v>
      </c>
      <c r="I1009" s="87">
        <v>4060000</v>
      </c>
      <c r="K1009" s="85">
        <v>2021</v>
      </c>
      <c r="L1009" s="85">
        <v>10</v>
      </c>
      <c r="M1009" s="36" t="s">
        <v>107</v>
      </c>
      <c r="N1009" s="208" t="s">
        <v>44</v>
      </c>
    </row>
    <row r="1010" spans="1:14">
      <c r="A1010" s="36" t="s">
        <v>32</v>
      </c>
      <c r="B1010" s="37">
        <v>44500</v>
      </c>
      <c r="C1010" s="36" t="s">
        <v>496</v>
      </c>
      <c r="D1010" s="36" t="s">
        <v>546</v>
      </c>
      <c r="E1010" s="36" t="s">
        <v>76</v>
      </c>
      <c r="G1010" s="87">
        <v>41515000</v>
      </c>
      <c r="H1010" s="87">
        <v>4151500</v>
      </c>
      <c r="I1010" s="87">
        <v>45666500</v>
      </c>
      <c r="K1010" s="85">
        <v>2021</v>
      </c>
      <c r="L1010" s="85">
        <v>10</v>
      </c>
      <c r="N1010" s="208" t="s">
        <v>44</v>
      </c>
    </row>
    <row r="1011" spans="1:14">
      <c r="A1011" s="36" t="s">
        <v>32</v>
      </c>
      <c r="B1011" s="37">
        <v>44500</v>
      </c>
      <c r="C1011" s="36" t="s">
        <v>277</v>
      </c>
      <c r="D1011" s="36" t="s">
        <v>278</v>
      </c>
      <c r="E1011" s="36" t="s">
        <v>76</v>
      </c>
      <c r="G1011" s="87">
        <v>20615900</v>
      </c>
      <c r="H1011" s="87">
        <v>2061590</v>
      </c>
      <c r="I1011" s="87">
        <v>22677490</v>
      </c>
      <c r="K1011" s="85">
        <v>2021</v>
      </c>
      <c r="L1011" s="85">
        <v>10</v>
      </c>
      <c r="N1011" s="208" t="s">
        <v>44</v>
      </c>
    </row>
    <row r="1012" spans="1:14">
      <c r="A1012" s="36" t="s">
        <v>32</v>
      </c>
      <c r="B1012" s="37">
        <v>44500</v>
      </c>
      <c r="C1012" s="36" t="s">
        <v>334</v>
      </c>
      <c r="D1012" s="36" t="s">
        <v>586</v>
      </c>
      <c r="E1012" s="36" t="s">
        <v>78</v>
      </c>
      <c r="G1012" s="87">
        <v>8466400</v>
      </c>
      <c r="H1012" s="87">
        <v>846640</v>
      </c>
      <c r="I1012" s="87">
        <v>9313040</v>
      </c>
      <c r="K1012" s="85">
        <v>2021</v>
      </c>
      <c r="L1012" s="85">
        <v>10</v>
      </c>
      <c r="N1012" s="208" t="s">
        <v>44</v>
      </c>
    </row>
    <row r="1013" spans="1:14">
      <c r="A1013" s="36" t="s">
        <v>32</v>
      </c>
      <c r="B1013" s="37">
        <v>44500</v>
      </c>
      <c r="C1013" s="36" t="s">
        <v>498</v>
      </c>
      <c r="D1013" s="36" t="s">
        <v>499</v>
      </c>
      <c r="E1013" s="36" t="s">
        <v>78</v>
      </c>
      <c r="G1013" s="87">
        <v>9330000</v>
      </c>
      <c r="H1013" s="87">
        <v>933000</v>
      </c>
      <c r="I1013" s="87">
        <v>10263000</v>
      </c>
      <c r="K1013" s="85">
        <v>2021</v>
      </c>
      <c r="L1013" s="85">
        <v>10</v>
      </c>
      <c r="N1013" s="208" t="s">
        <v>44</v>
      </c>
    </row>
    <row r="1014" spans="1:14">
      <c r="A1014" s="36" t="s">
        <v>32</v>
      </c>
      <c r="B1014" s="37">
        <v>44500</v>
      </c>
      <c r="C1014" s="36" t="s">
        <v>181</v>
      </c>
      <c r="D1014" s="36" t="s">
        <v>372</v>
      </c>
      <c r="E1014" s="36" t="s">
        <v>76</v>
      </c>
      <c r="G1014" s="87">
        <v>12693000</v>
      </c>
      <c r="H1014" s="87">
        <v>1269300</v>
      </c>
      <c r="I1014" s="87">
        <v>13962300</v>
      </c>
      <c r="K1014" s="85">
        <v>2021</v>
      </c>
      <c r="L1014" s="85">
        <v>10</v>
      </c>
      <c r="N1014" s="208" t="s">
        <v>44</v>
      </c>
    </row>
    <row r="1015" spans="1:14">
      <c r="A1015" s="36" t="s">
        <v>32</v>
      </c>
      <c r="B1015" s="37">
        <v>44500</v>
      </c>
      <c r="C1015" s="36" t="s">
        <v>181</v>
      </c>
      <c r="D1015" s="36" t="s">
        <v>453</v>
      </c>
      <c r="E1015" s="36" t="s">
        <v>76</v>
      </c>
      <c r="G1015" s="87">
        <v>45670000</v>
      </c>
      <c r="H1015" s="87">
        <v>4567000</v>
      </c>
      <c r="I1015" s="87">
        <v>50237000</v>
      </c>
      <c r="K1015" s="85">
        <v>2021</v>
      </c>
      <c r="L1015" s="85">
        <v>10</v>
      </c>
      <c r="N1015" s="208" t="s">
        <v>44</v>
      </c>
    </row>
    <row r="1016" spans="1:14">
      <c r="A1016" s="36" t="s">
        <v>32</v>
      </c>
      <c r="B1016" s="37">
        <v>44500</v>
      </c>
      <c r="C1016" s="36" t="s">
        <v>503</v>
      </c>
      <c r="D1016" s="36" t="s">
        <v>504</v>
      </c>
      <c r="E1016" s="36" t="s">
        <v>76</v>
      </c>
      <c r="G1016" s="87">
        <v>20656000</v>
      </c>
      <c r="H1016" s="87">
        <v>2065600</v>
      </c>
      <c r="I1016" s="87">
        <v>22721600</v>
      </c>
      <c r="K1016" s="85">
        <v>2021</v>
      </c>
      <c r="L1016" s="85">
        <v>10</v>
      </c>
      <c r="N1016" s="208" t="s">
        <v>44</v>
      </c>
    </row>
    <row r="1017" spans="1:14">
      <c r="A1017" s="36" t="s">
        <v>33</v>
      </c>
      <c r="B1017" s="37">
        <v>44500</v>
      </c>
      <c r="C1017" s="36" t="s">
        <v>119</v>
      </c>
      <c r="D1017" s="36" t="s">
        <v>372</v>
      </c>
      <c r="E1017" s="36" t="s">
        <v>76</v>
      </c>
      <c r="G1017" s="87">
        <v>12040000</v>
      </c>
      <c r="H1017" s="87">
        <v>1204000</v>
      </c>
      <c r="I1017" s="87">
        <v>13244000</v>
      </c>
      <c r="K1017" s="85">
        <v>2021</v>
      </c>
      <c r="L1017" s="85">
        <v>10</v>
      </c>
      <c r="M1017" s="36" t="s">
        <v>159</v>
      </c>
      <c r="N1017" s="208" t="s">
        <v>44</v>
      </c>
    </row>
    <row r="1018" spans="1:14">
      <c r="A1018" s="36" t="s">
        <v>33</v>
      </c>
      <c r="B1018" s="37">
        <v>44500</v>
      </c>
      <c r="C1018" s="36" t="s">
        <v>119</v>
      </c>
      <c r="D1018" s="36" t="s">
        <v>372</v>
      </c>
      <c r="E1018" s="36" t="s">
        <v>148</v>
      </c>
      <c r="J1018" s="87">
        <v>13244000</v>
      </c>
      <c r="K1018" s="85">
        <v>2021</v>
      </c>
      <c r="L1018" s="85">
        <v>10</v>
      </c>
      <c r="N1018" s="208" t="s">
        <v>44</v>
      </c>
    </row>
    <row r="1019" spans="1:14">
      <c r="A1019" s="36" t="s">
        <v>32</v>
      </c>
      <c r="B1019" s="37">
        <v>44500</v>
      </c>
      <c r="C1019" s="36" t="s">
        <v>505</v>
      </c>
      <c r="D1019" s="36" t="s">
        <v>506</v>
      </c>
      <c r="E1019" s="36" t="s">
        <v>76</v>
      </c>
      <c r="G1019" s="87">
        <v>69120740</v>
      </c>
      <c r="H1019" s="87">
        <v>6912074</v>
      </c>
      <c r="I1019" s="87">
        <v>76032814</v>
      </c>
      <c r="K1019" s="85">
        <v>2021</v>
      </c>
      <c r="L1019" s="85">
        <v>10</v>
      </c>
      <c r="N1019" s="208" t="s">
        <v>44</v>
      </c>
    </row>
    <row r="1020" spans="1:14">
      <c r="A1020" s="36" t="s">
        <v>32</v>
      </c>
      <c r="B1020" s="37">
        <v>44500</v>
      </c>
      <c r="C1020" s="36" t="s">
        <v>85</v>
      </c>
      <c r="D1020" s="36" t="s">
        <v>182</v>
      </c>
      <c r="E1020" s="36" t="s">
        <v>78</v>
      </c>
      <c r="G1020" s="87">
        <v>7305000</v>
      </c>
      <c r="H1020" s="87">
        <v>730500</v>
      </c>
      <c r="I1020" s="87">
        <v>8035500</v>
      </c>
      <c r="K1020" s="85">
        <v>2021</v>
      </c>
      <c r="L1020" s="85">
        <v>10</v>
      </c>
      <c r="N1020" s="208" t="s">
        <v>44</v>
      </c>
    </row>
    <row r="1021" spans="1:14">
      <c r="A1021" s="36" t="s">
        <v>32</v>
      </c>
      <c r="B1021" s="37">
        <v>44500</v>
      </c>
      <c r="C1021" s="36" t="s">
        <v>85</v>
      </c>
      <c r="D1021" s="36" t="s">
        <v>182</v>
      </c>
      <c r="E1021" s="36" t="s">
        <v>148</v>
      </c>
      <c r="J1021" s="87">
        <v>8035500</v>
      </c>
      <c r="K1021" s="85">
        <v>2021</v>
      </c>
      <c r="L1021" s="85">
        <v>10</v>
      </c>
      <c r="N1021" s="208" t="s">
        <v>44</v>
      </c>
    </row>
    <row r="1022" spans="1:14">
      <c r="A1022" s="36" t="s">
        <v>32</v>
      </c>
      <c r="B1022" s="37">
        <v>44500</v>
      </c>
      <c r="C1022" s="36" t="s">
        <v>511</v>
      </c>
      <c r="D1022" s="36" t="s">
        <v>512</v>
      </c>
      <c r="E1022" s="36" t="s">
        <v>76</v>
      </c>
      <c r="G1022" s="87">
        <v>10474100</v>
      </c>
      <c r="H1022" s="87">
        <v>1047410</v>
      </c>
      <c r="I1022" s="87">
        <v>11521510</v>
      </c>
      <c r="K1022" s="85">
        <v>2021</v>
      </c>
      <c r="L1022" s="85">
        <v>10</v>
      </c>
      <c r="N1022" s="208" t="s">
        <v>44</v>
      </c>
    </row>
    <row r="1023" spans="1:14">
      <c r="A1023" s="36" t="s">
        <v>32</v>
      </c>
      <c r="B1023" s="37">
        <v>44500</v>
      </c>
      <c r="C1023" s="36" t="s">
        <v>552</v>
      </c>
      <c r="D1023" s="36" t="s">
        <v>553</v>
      </c>
      <c r="E1023" s="36" t="s">
        <v>76</v>
      </c>
      <c r="G1023" s="87">
        <v>11819700</v>
      </c>
      <c r="H1023" s="87">
        <v>1181970</v>
      </c>
      <c r="I1023" s="87">
        <v>13001670</v>
      </c>
      <c r="K1023" s="85">
        <v>2021</v>
      </c>
      <c r="L1023" s="85">
        <v>10</v>
      </c>
      <c r="N1023" s="208" t="s">
        <v>44</v>
      </c>
    </row>
    <row r="1024" spans="1:14">
      <c r="A1024" s="36" t="s">
        <v>33</v>
      </c>
      <c r="B1024" s="37">
        <v>44500</v>
      </c>
      <c r="C1024" s="36" t="s">
        <v>226</v>
      </c>
      <c r="D1024" s="36" t="s">
        <v>227</v>
      </c>
      <c r="E1024" s="36" t="s">
        <v>228</v>
      </c>
      <c r="G1024" s="87">
        <v>2161818</v>
      </c>
      <c r="H1024" s="87">
        <v>216181.80000000002</v>
      </c>
      <c r="I1024" s="87">
        <v>2377999.7999999998</v>
      </c>
      <c r="K1024" s="85">
        <v>2021</v>
      </c>
      <c r="L1024" s="85">
        <v>10</v>
      </c>
      <c r="N1024" s="208" t="s">
        <v>44</v>
      </c>
    </row>
    <row r="1025" spans="1:14">
      <c r="A1025" s="36" t="s">
        <v>33</v>
      </c>
      <c r="B1025" s="37">
        <v>44500</v>
      </c>
      <c r="C1025" s="36" t="s">
        <v>587</v>
      </c>
      <c r="D1025" s="36" t="s">
        <v>486</v>
      </c>
      <c r="E1025" s="36" t="s">
        <v>588</v>
      </c>
      <c r="G1025" s="87">
        <v>450000</v>
      </c>
      <c r="H1025" s="87">
        <v>45000</v>
      </c>
      <c r="I1025" s="87">
        <v>495000</v>
      </c>
      <c r="K1025" s="85">
        <v>2021</v>
      </c>
      <c r="L1025" s="85">
        <v>10</v>
      </c>
      <c r="N1025" s="208" t="s">
        <v>44</v>
      </c>
    </row>
    <row r="1026" spans="1:14">
      <c r="A1026" s="36" t="s">
        <v>32</v>
      </c>
      <c r="B1026" s="37">
        <v>44500</v>
      </c>
      <c r="C1026" s="36" t="s">
        <v>268</v>
      </c>
      <c r="D1026" s="36" t="s">
        <v>589</v>
      </c>
      <c r="E1026" s="36" t="s">
        <v>78</v>
      </c>
      <c r="G1026" s="87">
        <v>3204000</v>
      </c>
      <c r="H1026" s="87">
        <v>320400</v>
      </c>
      <c r="I1026" s="87">
        <v>3524400</v>
      </c>
      <c r="K1026" s="85">
        <v>2021</v>
      </c>
      <c r="L1026" s="85">
        <v>10</v>
      </c>
      <c r="N1026" s="208" t="s">
        <v>44</v>
      </c>
    </row>
    <row r="1027" spans="1:14">
      <c r="A1027" s="36" t="s">
        <v>33</v>
      </c>
      <c r="B1027" s="37">
        <v>44500</v>
      </c>
      <c r="C1027" s="36" t="s">
        <v>590</v>
      </c>
      <c r="D1027" s="36" t="s">
        <v>591</v>
      </c>
      <c r="E1027" s="36" t="s">
        <v>592</v>
      </c>
      <c r="G1027" s="87">
        <v>1200000</v>
      </c>
      <c r="H1027" s="87">
        <v>120000</v>
      </c>
      <c r="I1027" s="87">
        <v>1320000</v>
      </c>
      <c r="K1027" s="85">
        <v>2021</v>
      </c>
      <c r="L1027" s="85">
        <v>10</v>
      </c>
      <c r="N1027" s="208" t="s">
        <v>44</v>
      </c>
    </row>
    <row r="1028" spans="1:14">
      <c r="A1028" s="36" t="s">
        <v>32</v>
      </c>
      <c r="B1028" s="37">
        <v>44500</v>
      </c>
      <c r="C1028" s="36" t="s">
        <v>188</v>
      </c>
      <c r="D1028" s="36" t="s">
        <v>593</v>
      </c>
      <c r="E1028" s="36" t="s">
        <v>76</v>
      </c>
      <c r="G1028" s="87">
        <v>8430000</v>
      </c>
      <c r="H1028" s="87">
        <v>843000</v>
      </c>
      <c r="I1028" s="87">
        <v>9273000</v>
      </c>
      <c r="K1028" s="85">
        <v>2021</v>
      </c>
      <c r="L1028" s="85">
        <v>10</v>
      </c>
      <c r="N1028" s="208" t="s">
        <v>44</v>
      </c>
    </row>
    <row r="1029" spans="1:14">
      <c r="A1029" s="36" t="s">
        <v>32</v>
      </c>
      <c r="B1029" s="37">
        <v>44500</v>
      </c>
      <c r="C1029" s="36" t="s">
        <v>188</v>
      </c>
      <c r="D1029" s="36" t="s">
        <v>557</v>
      </c>
      <c r="E1029" s="36" t="s">
        <v>76</v>
      </c>
      <c r="G1029" s="87">
        <v>2740000</v>
      </c>
      <c r="H1029" s="87">
        <v>274000</v>
      </c>
      <c r="I1029" s="87">
        <v>3014000</v>
      </c>
      <c r="K1029" s="85">
        <v>2021</v>
      </c>
      <c r="L1029" s="85">
        <v>10</v>
      </c>
      <c r="M1029" s="36" t="s">
        <v>594</v>
      </c>
      <c r="N1029" s="208" t="s">
        <v>44</v>
      </c>
    </row>
    <row r="1030" spans="1:14">
      <c r="A1030" s="36" t="s">
        <v>32</v>
      </c>
      <c r="B1030" s="37">
        <v>44500</v>
      </c>
      <c r="C1030" s="36" t="s">
        <v>188</v>
      </c>
      <c r="D1030" s="36" t="s">
        <v>595</v>
      </c>
      <c r="E1030" s="36" t="s">
        <v>76</v>
      </c>
      <c r="G1030" s="87">
        <v>7050000</v>
      </c>
      <c r="H1030" s="87">
        <v>705000</v>
      </c>
      <c r="I1030" s="87">
        <v>7755000</v>
      </c>
      <c r="K1030" s="85">
        <v>2021</v>
      </c>
      <c r="L1030" s="85">
        <v>10</v>
      </c>
      <c r="N1030" s="208" t="s">
        <v>44</v>
      </c>
    </row>
    <row r="1031" spans="1:14">
      <c r="A1031" s="36" t="s">
        <v>32</v>
      </c>
      <c r="B1031" s="37">
        <v>44500</v>
      </c>
      <c r="C1031" s="36" t="s">
        <v>188</v>
      </c>
      <c r="D1031" s="36" t="s">
        <v>517</v>
      </c>
      <c r="E1031" s="36" t="s">
        <v>76</v>
      </c>
      <c r="G1031" s="87">
        <v>19580000</v>
      </c>
      <c r="H1031" s="87">
        <v>1958000</v>
      </c>
      <c r="I1031" s="87">
        <v>21538000</v>
      </c>
      <c r="K1031" s="85">
        <v>2021</v>
      </c>
      <c r="L1031" s="85">
        <v>10</v>
      </c>
      <c r="N1031" s="208" t="s">
        <v>44</v>
      </c>
    </row>
    <row r="1032" spans="1:14">
      <c r="A1032" s="36" t="s">
        <v>32</v>
      </c>
      <c r="B1032" s="37">
        <v>44500</v>
      </c>
      <c r="C1032" s="36" t="s">
        <v>188</v>
      </c>
      <c r="D1032" s="36" t="s">
        <v>596</v>
      </c>
      <c r="E1032" s="36" t="s">
        <v>76</v>
      </c>
      <c r="G1032" s="87">
        <v>2090000</v>
      </c>
      <c r="H1032" s="87">
        <v>209000</v>
      </c>
      <c r="I1032" s="87">
        <v>2299000</v>
      </c>
      <c r="K1032" s="85">
        <v>2021</v>
      </c>
      <c r="L1032" s="85">
        <v>10</v>
      </c>
      <c r="N1032" s="208" t="s">
        <v>44</v>
      </c>
    </row>
    <row r="1033" spans="1:14">
      <c r="A1033" s="36" t="s">
        <v>32</v>
      </c>
      <c r="B1033" s="37">
        <v>44500</v>
      </c>
      <c r="C1033" s="36" t="s">
        <v>188</v>
      </c>
      <c r="D1033" s="36" t="s">
        <v>518</v>
      </c>
      <c r="E1033" s="36" t="s">
        <v>76</v>
      </c>
      <c r="G1033" s="87">
        <v>2430000</v>
      </c>
      <c r="H1033" s="87">
        <v>243000</v>
      </c>
      <c r="I1033" s="87">
        <v>2673000</v>
      </c>
      <c r="K1033" s="85">
        <v>2021</v>
      </c>
      <c r="L1033" s="85">
        <v>10</v>
      </c>
      <c r="N1033" s="208" t="s">
        <v>44</v>
      </c>
    </row>
    <row r="1034" spans="1:14">
      <c r="A1034" s="36" t="s">
        <v>32</v>
      </c>
      <c r="B1034" s="37">
        <v>44500</v>
      </c>
      <c r="C1034" s="36" t="s">
        <v>411</v>
      </c>
      <c r="D1034" s="36" t="s">
        <v>462</v>
      </c>
      <c r="E1034" s="36" t="s">
        <v>76</v>
      </c>
      <c r="G1034" s="87">
        <v>4745000</v>
      </c>
      <c r="H1034" s="87">
        <v>474500</v>
      </c>
      <c r="I1034" s="87">
        <v>5219500</v>
      </c>
      <c r="K1034" s="85">
        <v>2021</v>
      </c>
      <c r="L1034" s="85">
        <v>10</v>
      </c>
      <c r="N1034" s="208" t="s">
        <v>44</v>
      </c>
    </row>
    <row r="1035" spans="1:14">
      <c r="A1035" s="36" t="s">
        <v>32</v>
      </c>
      <c r="B1035" s="37">
        <v>44500</v>
      </c>
      <c r="C1035" s="36" t="s">
        <v>411</v>
      </c>
      <c r="D1035" s="36" t="s">
        <v>412</v>
      </c>
      <c r="E1035" s="36" t="s">
        <v>269</v>
      </c>
      <c r="G1035" s="87">
        <v>13584000</v>
      </c>
      <c r="H1035" s="87">
        <v>1358400</v>
      </c>
      <c r="I1035" s="87">
        <v>14942400</v>
      </c>
      <c r="K1035" s="85">
        <v>2021</v>
      </c>
      <c r="L1035" s="85">
        <v>10</v>
      </c>
      <c r="N1035" s="208" t="s">
        <v>44</v>
      </c>
    </row>
    <row r="1036" spans="1:14">
      <c r="A1036" s="36" t="s">
        <v>32</v>
      </c>
      <c r="B1036" s="37">
        <v>44500</v>
      </c>
      <c r="C1036" s="36" t="s">
        <v>411</v>
      </c>
      <c r="D1036" s="36" t="s">
        <v>412</v>
      </c>
      <c r="E1036" s="36" t="s">
        <v>78</v>
      </c>
      <c r="G1036" s="87">
        <v>23097000</v>
      </c>
      <c r="H1036" s="87">
        <v>2309700</v>
      </c>
      <c r="I1036" s="87">
        <v>25406700</v>
      </c>
      <c r="K1036" s="85">
        <v>2021</v>
      </c>
      <c r="L1036" s="85">
        <v>10</v>
      </c>
      <c r="N1036" s="208" t="s">
        <v>44</v>
      </c>
    </row>
    <row r="1037" spans="1:14">
      <c r="A1037" s="36" t="s">
        <v>32</v>
      </c>
      <c r="B1037" s="37">
        <v>44500</v>
      </c>
      <c r="C1037" s="36" t="s">
        <v>175</v>
      </c>
      <c r="D1037" s="36" t="s">
        <v>597</v>
      </c>
      <c r="E1037" s="36" t="s">
        <v>78</v>
      </c>
      <c r="G1037" s="87">
        <v>2880000</v>
      </c>
      <c r="H1037" s="87">
        <v>288000</v>
      </c>
      <c r="I1037" s="87">
        <v>3168000</v>
      </c>
      <c r="K1037" s="85">
        <v>2021</v>
      </c>
      <c r="L1037" s="85">
        <v>10</v>
      </c>
      <c r="N1037" s="208" t="s">
        <v>44</v>
      </c>
    </row>
    <row r="1038" spans="1:14">
      <c r="A1038" s="36" t="s">
        <v>32</v>
      </c>
      <c r="B1038" s="37">
        <v>44500</v>
      </c>
      <c r="C1038" s="36" t="s">
        <v>175</v>
      </c>
      <c r="D1038" s="36" t="s">
        <v>464</v>
      </c>
      <c r="E1038" s="36" t="s">
        <v>76</v>
      </c>
      <c r="G1038" s="87">
        <v>7476000</v>
      </c>
      <c r="H1038" s="87">
        <v>747600</v>
      </c>
      <c r="I1038" s="87">
        <v>8223600</v>
      </c>
      <c r="K1038" s="85">
        <v>2021</v>
      </c>
      <c r="L1038" s="85">
        <v>10</v>
      </c>
      <c r="N1038" s="208" t="s">
        <v>44</v>
      </c>
    </row>
    <row r="1039" spans="1:14">
      <c r="A1039" s="36" t="s">
        <v>32</v>
      </c>
      <c r="B1039" s="37">
        <v>44500</v>
      </c>
      <c r="C1039" s="36" t="s">
        <v>175</v>
      </c>
      <c r="D1039" s="36" t="s">
        <v>463</v>
      </c>
      <c r="E1039" s="36" t="s">
        <v>76</v>
      </c>
      <c r="G1039" s="87">
        <v>3314000</v>
      </c>
      <c r="H1039" s="87">
        <v>331400</v>
      </c>
      <c r="I1039" s="87">
        <v>3645400</v>
      </c>
      <c r="K1039" s="85">
        <v>2021</v>
      </c>
      <c r="L1039" s="85">
        <v>10</v>
      </c>
      <c r="N1039" s="208" t="s">
        <v>44</v>
      </c>
    </row>
    <row r="1040" spans="1:14">
      <c r="A1040" s="36" t="s">
        <v>33</v>
      </c>
      <c r="B1040" s="37">
        <v>44500</v>
      </c>
      <c r="C1040" s="36" t="s">
        <v>561</v>
      </c>
      <c r="D1040" s="36" t="s">
        <v>562</v>
      </c>
      <c r="E1040" s="36" t="s">
        <v>125</v>
      </c>
      <c r="G1040" s="87">
        <v>130920</v>
      </c>
      <c r="H1040" s="87">
        <v>13092</v>
      </c>
      <c r="I1040" s="87">
        <v>144012</v>
      </c>
      <c r="K1040" s="85">
        <v>2021</v>
      </c>
      <c r="L1040" s="85">
        <v>10</v>
      </c>
      <c r="N1040" s="208" t="s">
        <v>44</v>
      </c>
    </row>
    <row r="1041" spans="1:14">
      <c r="A1041" s="36" t="s">
        <v>32</v>
      </c>
      <c r="B1041" s="37">
        <v>44500</v>
      </c>
      <c r="C1041" s="36" t="s">
        <v>466</v>
      </c>
      <c r="D1041" s="36" t="s">
        <v>467</v>
      </c>
      <c r="E1041" s="36" t="s">
        <v>78</v>
      </c>
      <c r="G1041" s="87">
        <v>1480500</v>
      </c>
      <c r="H1041" s="87">
        <v>148050</v>
      </c>
      <c r="I1041" s="87">
        <v>1628550</v>
      </c>
      <c r="K1041" s="85">
        <v>2021</v>
      </c>
      <c r="L1041" s="85">
        <v>10</v>
      </c>
      <c r="N1041" s="208" t="s">
        <v>44</v>
      </c>
    </row>
    <row r="1042" spans="1:14">
      <c r="A1042" s="36" t="s">
        <v>32</v>
      </c>
      <c r="B1042" s="37">
        <v>44500</v>
      </c>
      <c r="C1042" s="36" t="s">
        <v>466</v>
      </c>
      <c r="D1042" s="36" t="s">
        <v>467</v>
      </c>
      <c r="E1042" s="36" t="s">
        <v>269</v>
      </c>
      <c r="G1042" s="87">
        <v>41590080</v>
      </c>
      <c r="H1042" s="87">
        <v>4159008</v>
      </c>
      <c r="I1042" s="87">
        <v>45749088</v>
      </c>
      <c r="K1042" s="85">
        <v>2021</v>
      </c>
      <c r="L1042" s="85">
        <v>10</v>
      </c>
      <c r="N1042" s="208" t="s">
        <v>44</v>
      </c>
    </row>
    <row r="1043" spans="1:14">
      <c r="A1043" s="36" t="s">
        <v>33</v>
      </c>
      <c r="B1043" s="37">
        <v>44500</v>
      </c>
      <c r="C1043" s="36" t="s">
        <v>115</v>
      </c>
      <c r="D1043" s="36" t="s">
        <v>371</v>
      </c>
      <c r="E1043" s="36" t="s">
        <v>468</v>
      </c>
      <c r="G1043" s="87">
        <v>1980909</v>
      </c>
      <c r="H1043" s="87">
        <v>198091</v>
      </c>
      <c r="I1043" s="87">
        <v>2179000</v>
      </c>
      <c r="K1043" s="85">
        <v>2021</v>
      </c>
      <c r="L1043" s="85">
        <v>10</v>
      </c>
      <c r="M1043" s="36" t="s">
        <v>107</v>
      </c>
      <c r="N1043" s="208" t="s">
        <v>44</v>
      </c>
    </row>
    <row r="1044" spans="1:14">
      <c r="A1044" s="36" t="s">
        <v>33</v>
      </c>
      <c r="B1044" s="37">
        <v>44500</v>
      </c>
      <c r="C1044" s="36" t="s">
        <v>115</v>
      </c>
      <c r="D1044" s="36" t="s">
        <v>371</v>
      </c>
      <c r="E1044" s="36" t="s">
        <v>469</v>
      </c>
      <c r="G1044" s="87">
        <v>1304545</v>
      </c>
      <c r="H1044" s="87">
        <v>130455</v>
      </c>
      <c r="I1044" s="87">
        <v>1435000</v>
      </c>
      <c r="K1044" s="85">
        <v>2021</v>
      </c>
      <c r="L1044" s="85">
        <v>10</v>
      </c>
      <c r="M1044" s="36" t="s">
        <v>107</v>
      </c>
      <c r="N1044" s="208" t="s">
        <v>44</v>
      </c>
    </row>
    <row r="1045" spans="1:14">
      <c r="A1045" s="36" t="s">
        <v>33</v>
      </c>
      <c r="B1045" s="37">
        <v>44500</v>
      </c>
      <c r="C1045" s="36" t="s">
        <v>115</v>
      </c>
      <c r="D1045" s="36" t="s">
        <v>371</v>
      </c>
      <c r="E1045" s="36" t="s">
        <v>470</v>
      </c>
      <c r="G1045" s="87">
        <v>426363</v>
      </c>
      <c r="H1045" s="87">
        <v>42637</v>
      </c>
      <c r="I1045" s="87">
        <v>469000</v>
      </c>
      <c r="K1045" s="85">
        <v>2021</v>
      </c>
      <c r="L1045" s="85">
        <v>10</v>
      </c>
      <c r="M1045" s="36" t="s">
        <v>107</v>
      </c>
      <c r="N1045" s="208" t="s">
        <v>44</v>
      </c>
    </row>
    <row r="1046" spans="1:14">
      <c r="A1046" s="36" t="s">
        <v>33</v>
      </c>
      <c r="B1046" s="37">
        <v>44500</v>
      </c>
      <c r="C1046" s="36" t="s">
        <v>115</v>
      </c>
      <c r="D1046" s="36" t="s">
        <v>371</v>
      </c>
      <c r="E1046" s="36" t="s">
        <v>471</v>
      </c>
      <c r="G1046" s="87">
        <v>159090</v>
      </c>
      <c r="H1046" s="87">
        <v>15910</v>
      </c>
      <c r="I1046" s="87">
        <v>175000</v>
      </c>
      <c r="K1046" s="85">
        <v>2021</v>
      </c>
      <c r="L1046" s="85">
        <v>10</v>
      </c>
      <c r="M1046" s="36" t="s">
        <v>107</v>
      </c>
      <c r="N1046" s="208" t="s">
        <v>44</v>
      </c>
    </row>
    <row r="1047" spans="1:14">
      <c r="A1047" s="36" t="s">
        <v>33</v>
      </c>
      <c r="B1047" s="37">
        <v>44500</v>
      </c>
      <c r="C1047" s="36" t="s">
        <v>115</v>
      </c>
      <c r="D1047" s="36" t="s">
        <v>371</v>
      </c>
      <c r="E1047" s="36" t="s">
        <v>472</v>
      </c>
      <c r="G1047" s="87">
        <v>184545</v>
      </c>
      <c r="H1047" s="87">
        <v>18455</v>
      </c>
      <c r="I1047" s="87">
        <v>203000</v>
      </c>
      <c r="K1047" s="85">
        <v>2021</v>
      </c>
      <c r="L1047" s="85">
        <v>10</v>
      </c>
      <c r="M1047" s="36" t="s">
        <v>107</v>
      </c>
      <c r="N1047" s="208" t="s">
        <v>44</v>
      </c>
    </row>
    <row r="1048" spans="1:14">
      <c r="A1048" s="36" t="s">
        <v>33</v>
      </c>
      <c r="B1048" s="37">
        <v>44500</v>
      </c>
      <c r="C1048" s="36" t="s">
        <v>103</v>
      </c>
      <c r="D1048" s="36" t="s">
        <v>205</v>
      </c>
      <c r="E1048" s="36" t="s">
        <v>263</v>
      </c>
      <c r="G1048" s="87">
        <v>981000</v>
      </c>
      <c r="H1048" s="87">
        <v>98100</v>
      </c>
      <c r="I1048" s="87">
        <v>1079100</v>
      </c>
      <c r="K1048" s="85">
        <v>2021</v>
      </c>
      <c r="L1048" s="85">
        <v>10</v>
      </c>
      <c r="N1048" s="208" t="s">
        <v>44</v>
      </c>
    </row>
    <row r="1049" spans="1:14">
      <c r="A1049" s="36" t="s">
        <v>32</v>
      </c>
      <c r="B1049" s="37">
        <v>44500</v>
      </c>
      <c r="C1049" s="36" t="s">
        <v>352</v>
      </c>
      <c r="D1049" s="36" t="s">
        <v>427</v>
      </c>
      <c r="E1049" s="36" t="s">
        <v>76</v>
      </c>
      <c r="G1049" s="87">
        <v>11580000</v>
      </c>
      <c r="H1049" s="87">
        <v>1158000</v>
      </c>
      <c r="I1049" s="87">
        <v>12738000</v>
      </c>
      <c r="K1049" s="85">
        <v>2021</v>
      </c>
      <c r="L1049" s="85">
        <v>10</v>
      </c>
      <c r="M1049" s="36" t="s">
        <v>598</v>
      </c>
      <c r="N1049" s="208" t="s">
        <v>44</v>
      </c>
    </row>
    <row r="1050" spans="1:14">
      <c r="A1050" s="36" t="s">
        <v>32</v>
      </c>
      <c r="B1050" s="37">
        <v>44500</v>
      </c>
      <c r="C1050" s="36" t="s">
        <v>474</v>
      </c>
      <c r="D1050" s="36" t="s">
        <v>430</v>
      </c>
      <c r="E1050" s="36" t="s">
        <v>599</v>
      </c>
      <c r="G1050" s="87">
        <v>4500000</v>
      </c>
      <c r="H1050" s="87">
        <v>450000</v>
      </c>
      <c r="I1050" s="87">
        <v>4950000</v>
      </c>
      <c r="K1050" s="85">
        <v>2021</v>
      </c>
      <c r="L1050" s="85">
        <v>10</v>
      </c>
      <c r="N1050" s="208" t="s">
        <v>44</v>
      </c>
    </row>
    <row r="1051" spans="1:14">
      <c r="A1051" s="36" t="s">
        <v>32</v>
      </c>
      <c r="B1051" s="37">
        <v>44500</v>
      </c>
      <c r="C1051" s="36" t="s">
        <v>474</v>
      </c>
      <c r="D1051" s="36" t="s">
        <v>569</v>
      </c>
      <c r="E1051" s="36" t="s">
        <v>78</v>
      </c>
      <c r="G1051" s="87">
        <v>15480000</v>
      </c>
      <c r="H1051" s="87">
        <v>1548000</v>
      </c>
      <c r="I1051" s="87">
        <v>17028000</v>
      </c>
      <c r="K1051" s="85">
        <v>2021</v>
      </c>
      <c r="L1051" s="85">
        <v>10</v>
      </c>
      <c r="N1051" s="208" t="s">
        <v>44</v>
      </c>
    </row>
    <row r="1052" spans="1:14">
      <c r="A1052" s="36" t="s">
        <v>32</v>
      </c>
      <c r="B1052" s="37">
        <v>44501</v>
      </c>
      <c r="C1052" s="36" t="s">
        <v>181</v>
      </c>
      <c r="D1052" s="36" t="s">
        <v>376</v>
      </c>
      <c r="E1052" s="36" t="s">
        <v>148</v>
      </c>
      <c r="J1052" s="87">
        <v>10752500</v>
      </c>
      <c r="K1052" s="85">
        <v>2021</v>
      </c>
      <c r="L1052" s="85">
        <v>8</v>
      </c>
      <c r="N1052" s="208" t="s">
        <v>44</v>
      </c>
    </row>
    <row r="1053" spans="1:14">
      <c r="A1053" s="36" t="s">
        <v>32</v>
      </c>
      <c r="B1053" s="37">
        <v>44501</v>
      </c>
      <c r="C1053" s="36" t="s">
        <v>503</v>
      </c>
      <c r="D1053" s="36" t="s">
        <v>504</v>
      </c>
      <c r="E1053" s="36" t="s">
        <v>148</v>
      </c>
      <c r="J1053" s="87">
        <v>12200100</v>
      </c>
      <c r="K1053" s="85">
        <v>2021</v>
      </c>
      <c r="L1053" s="85">
        <v>9</v>
      </c>
      <c r="N1053" s="208" t="s">
        <v>44</v>
      </c>
    </row>
    <row r="1054" spans="1:14">
      <c r="A1054" s="36" t="s">
        <v>32</v>
      </c>
      <c r="B1054" s="37">
        <v>44501</v>
      </c>
      <c r="C1054" s="36" t="s">
        <v>552</v>
      </c>
      <c r="D1054" s="36" t="s">
        <v>553</v>
      </c>
      <c r="E1054" s="36" t="s">
        <v>148</v>
      </c>
      <c r="J1054" s="87">
        <v>14462519.5</v>
      </c>
      <c r="K1054" s="85">
        <v>2021</v>
      </c>
      <c r="L1054" s="85">
        <v>9</v>
      </c>
      <c r="N1054" s="208" t="s">
        <v>44</v>
      </c>
    </row>
    <row r="1055" spans="1:14">
      <c r="A1055" s="36" t="s">
        <v>32</v>
      </c>
      <c r="B1055" s="37">
        <v>44501</v>
      </c>
      <c r="C1055" s="36" t="s">
        <v>441</v>
      </c>
      <c r="D1055" s="36" t="s">
        <v>514</v>
      </c>
      <c r="E1055" s="36" t="s">
        <v>148</v>
      </c>
      <c r="J1055" s="87">
        <v>5940000</v>
      </c>
      <c r="K1055" s="85">
        <v>2021</v>
      </c>
      <c r="L1055" s="85">
        <v>8</v>
      </c>
      <c r="N1055" s="208" t="s">
        <v>44</v>
      </c>
    </row>
    <row r="1056" spans="1:14">
      <c r="A1056" s="36" t="s">
        <v>32</v>
      </c>
      <c r="B1056" s="37">
        <v>44501</v>
      </c>
      <c r="C1056" s="36" t="s">
        <v>411</v>
      </c>
      <c r="D1056" s="36" t="s">
        <v>412</v>
      </c>
      <c r="E1056" s="36" t="s">
        <v>148</v>
      </c>
      <c r="J1056" s="87">
        <v>3947900</v>
      </c>
      <c r="K1056" s="85">
        <v>2021</v>
      </c>
      <c r="L1056" s="85">
        <v>9</v>
      </c>
      <c r="N1056" s="208" t="s">
        <v>44</v>
      </c>
    </row>
    <row r="1057" spans="1:14">
      <c r="A1057" s="36" t="s">
        <v>32</v>
      </c>
      <c r="B1057" s="37">
        <v>44501</v>
      </c>
      <c r="C1057" s="36" t="s">
        <v>411</v>
      </c>
      <c r="D1057" s="36" t="s">
        <v>412</v>
      </c>
      <c r="E1057" s="36" t="s">
        <v>148</v>
      </c>
      <c r="J1057" s="87">
        <v>13097700</v>
      </c>
      <c r="K1057" s="85">
        <v>2021</v>
      </c>
      <c r="L1057" s="85">
        <v>9</v>
      </c>
      <c r="N1057" s="208" t="s">
        <v>44</v>
      </c>
    </row>
    <row r="1058" spans="1:14">
      <c r="A1058" s="36" t="s">
        <v>32</v>
      </c>
      <c r="B1058" s="37">
        <v>44501</v>
      </c>
      <c r="C1058" s="36" t="s">
        <v>411</v>
      </c>
      <c r="D1058" s="36" t="s">
        <v>462</v>
      </c>
      <c r="E1058" s="36" t="s">
        <v>148</v>
      </c>
      <c r="J1058" s="87">
        <v>10894400</v>
      </c>
      <c r="K1058" s="85">
        <v>2021</v>
      </c>
      <c r="L1058" s="85">
        <v>9</v>
      </c>
      <c r="N1058" s="208" t="s">
        <v>44</v>
      </c>
    </row>
    <row r="1059" spans="1:14">
      <c r="A1059" s="36" t="s">
        <v>32</v>
      </c>
      <c r="B1059" s="37">
        <v>44502</v>
      </c>
      <c r="C1059" s="36" t="s">
        <v>174</v>
      </c>
      <c r="D1059" s="36" t="s">
        <v>540</v>
      </c>
      <c r="E1059" s="36" t="s">
        <v>77</v>
      </c>
      <c r="J1059" s="87">
        <v>17309490</v>
      </c>
      <c r="K1059" s="85">
        <v>2021</v>
      </c>
      <c r="L1059" s="85">
        <v>9</v>
      </c>
      <c r="N1059" s="208" t="s">
        <v>44</v>
      </c>
    </row>
    <row r="1060" spans="1:14">
      <c r="A1060" s="36" t="s">
        <v>33</v>
      </c>
      <c r="B1060" s="37">
        <v>44502</v>
      </c>
      <c r="C1060" s="36" t="s">
        <v>542</v>
      </c>
      <c r="D1060" s="36" t="s">
        <v>462</v>
      </c>
      <c r="E1060" s="36" t="s">
        <v>77</v>
      </c>
      <c r="J1060" s="38">
        <v>448800</v>
      </c>
      <c r="K1060" s="85">
        <v>2021</v>
      </c>
      <c r="L1060" s="85">
        <v>9</v>
      </c>
      <c r="N1060" s="208" t="s">
        <v>44</v>
      </c>
    </row>
    <row r="1061" spans="1:14">
      <c r="A1061" s="36" t="s">
        <v>33</v>
      </c>
      <c r="B1061" s="37">
        <v>44502</v>
      </c>
      <c r="C1061" s="36" t="s">
        <v>544</v>
      </c>
      <c r="D1061" s="36" t="s">
        <v>545</v>
      </c>
      <c r="E1061" s="36" t="s">
        <v>77</v>
      </c>
      <c r="J1061" s="38">
        <v>286000</v>
      </c>
      <c r="K1061" s="85">
        <v>2021</v>
      </c>
      <c r="L1061" s="85">
        <v>9</v>
      </c>
      <c r="M1061" s="36" t="s">
        <v>107</v>
      </c>
      <c r="N1061" s="208" t="s">
        <v>44</v>
      </c>
    </row>
    <row r="1062" spans="1:14">
      <c r="A1062" s="36" t="s">
        <v>33</v>
      </c>
      <c r="B1062" s="37">
        <v>44502</v>
      </c>
      <c r="C1062" s="36" t="s">
        <v>119</v>
      </c>
      <c r="D1062" s="36" t="s">
        <v>372</v>
      </c>
      <c r="E1062" s="36" t="s">
        <v>148</v>
      </c>
      <c r="J1062" s="38">
        <v>10495100</v>
      </c>
      <c r="K1062" s="85">
        <v>2021</v>
      </c>
      <c r="L1062" s="85">
        <v>9</v>
      </c>
      <c r="N1062" s="208" t="s">
        <v>44</v>
      </c>
    </row>
    <row r="1063" spans="1:14">
      <c r="A1063" s="36" t="s">
        <v>32</v>
      </c>
      <c r="B1063" s="37">
        <v>44502</v>
      </c>
      <c r="C1063" s="36" t="s">
        <v>264</v>
      </c>
      <c r="D1063" s="36" t="s">
        <v>266</v>
      </c>
      <c r="E1063" s="36" t="s">
        <v>77</v>
      </c>
      <c r="J1063" s="87">
        <v>15180000</v>
      </c>
      <c r="K1063" s="85">
        <v>2021</v>
      </c>
      <c r="L1063" s="85">
        <v>9</v>
      </c>
      <c r="N1063" s="208" t="s">
        <v>44</v>
      </c>
    </row>
    <row r="1064" spans="1:14">
      <c r="A1064" s="36" t="s">
        <v>32</v>
      </c>
      <c r="B1064" s="37">
        <v>44502</v>
      </c>
      <c r="C1064" s="36" t="s">
        <v>264</v>
      </c>
      <c r="D1064" s="36" t="s">
        <v>551</v>
      </c>
      <c r="E1064" s="36" t="s">
        <v>77</v>
      </c>
      <c r="J1064" s="87">
        <v>550000</v>
      </c>
      <c r="K1064" s="85">
        <v>2021</v>
      </c>
      <c r="L1064" s="85">
        <v>9</v>
      </c>
      <c r="N1064" s="208" t="s">
        <v>44</v>
      </c>
    </row>
    <row r="1065" spans="1:14">
      <c r="A1065" s="36" t="s">
        <v>33</v>
      </c>
      <c r="B1065" s="37">
        <v>44502</v>
      </c>
      <c r="C1065" s="36" t="s">
        <v>507</v>
      </c>
      <c r="D1065" s="36" t="s">
        <v>508</v>
      </c>
      <c r="E1065" s="36" t="s">
        <v>148</v>
      </c>
      <c r="J1065" s="87">
        <v>9460000</v>
      </c>
      <c r="K1065" s="85">
        <v>2021</v>
      </c>
      <c r="L1065" s="85">
        <v>10</v>
      </c>
      <c r="M1065" s="36" t="s">
        <v>570</v>
      </c>
      <c r="N1065" s="208" t="s">
        <v>44</v>
      </c>
    </row>
    <row r="1066" spans="1:14">
      <c r="A1066" s="36" t="s">
        <v>33</v>
      </c>
      <c r="B1066" s="37">
        <v>44503</v>
      </c>
      <c r="C1066" s="36" t="s">
        <v>120</v>
      </c>
      <c r="D1066" s="36" t="s">
        <v>121</v>
      </c>
      <c r="E1066" s="36" t="s">
        <v>77</v>
      </c>
      <c r="J1066" s="38">
        <v>750000</v>
      </c>
      <c r="K1066" s="85">
        <v>2021</v>
      </c>
      <c r="L1066" s="85">
        <v>10</v>
      </c>
      <c r="N1066" s="208" t="s">
        <v>44</v>
      </c>
    </row>
    <row r="1067" spans="1:14">
      <c r="A1067" s="36" t="s">
        <v>33</v>
      </c>
      <c r="B1067" s="37">
        <v>44503</v>
      </c>
      <c r="C1067" s="36" t="s">
        <v>81</v>
      </c>
      <c r="D1067" s="36" t="s">
        <v>491</v>
      </c>
      <c r="E1067" s="36" t="s">
        <v>77</v>
      </c>
      <c r="J1067" s="38">
        <v>500000</v>
      </c>
      <c r="K1067" s="85">
        <v>2021</v>
      </c>
      <c r="L1067" s="85">
        <v>8</v>
      </c>
      <c r="N1067" s="208" t="s">
        <v>44</v>
      </c>
    </row>
    <row r="1068" spans="1:14">
      <c r="A1068" s="36" t="s">
        <v>33</v>
      </c>
      <c r="B1068" s="37">
        <v>44503</v>
      </c>
      <c r="C1068" s="36" t="s">
        <v>580</v>
      </c>
      <c r="D1068" s="36" t="s">
        <v>581</v>
      </c>
      <c r="E1068" s="36" t="s">
        <v>77</v>
      </c>
      <c r="J1068" s="38">
        <v>198000</v>
      </c>
      <c r="K1068" s="85">
        <v>2021</v>
      </c>
      <c r="L1068" s="85">
        <v>10</v>
      </c>
      <c r="N1068" s="208" t="s">
        <v>44</v>
      </c>
    </row>
    <row r="1069" spans="1:14">
      <c r="A1069" s="36" t="s">
        <v>32</v>
      </c>
      <c r="B1069" s="37">
        <v>44503</v>
      </c>
      <c r="C1069" s="36" t="s">
        <v>188</v>
      </c>
      <c r="D1069" s="36" t="s">
        <v>508</v>
      </c>
      <c r="E1069" s="36" t="s">
        <v>148</v>
      </c>
      <c r="J1069" s="38">
        <v>3080000</v>
      </c>
      <c r="K1069" s="85">
        <v>2021</v>
      </c>
      <c r="L1069" s="85">
        <v>9</v>
      </c>
      <c r="N1069" s="208" t="s">
        <v>44</v>
      </c>
    </row>
    <row r="1070" spans="1:14">
      <c r="A1070" s="36" t="s">
        <v>32</v>
      </c>
      <c r="B1070" s="37">
        <v>44503</v>
      </c>
      <c r="C1070" s="36" t="s">
        <v>188</v>
      </c>
      <c r="D1070" s="36" t="s">
        <v>443</v>
      </c>
      <c r="E1070" s="36" t="s">
        <v>148</v>
      </c>
      <c r="J1070" s="87">
        <v>4411000</v>
      </c>
      <c r="K1070" s="85">
        <v>2021</v>
      </c>
      <c r="L1070" s="85">
        <v>9</v>
      </c>
      <c r="N1070" s="208" t="s">
        <v>44</v>
      </c>
    </row>
    <row r="1071" spans="1:14">
      <c r="A1071" s="36" t="s">
        <v>33</v>
      </c>
      <c r="B1071" s="37">
        <v>44503</v>
      </c>
      <c r="C1071" s="36" t="s">
        <v>561</v>
      </c>
      <c r="D1071" s="36" t="s">
        <v>562</v>
      </c>
      <c r="E1071" s="36" t="s">
        <v>77</v>
      </c>
      <c r="J1071" s="38">
        <v>144012</v>
      </c>
      <c r="K1071" s="85">
        <v>2021</v>
      </c>
      <c r="L1071" s="85">
        <v>10</v>
      </c>
      <c r="N1071" s="208" t="s">
        <v>44</v>
      </c>
    </row>
    <row r="1072" spans="1:14">
      <c r="A1072" s="36" t="s">
        <v>33</v>
      </c>
      <c r="B1072" s="37">
        <v>44503</v>
      </c>
      <c r="C1072" s="36" t="s">
        <v>327</v>
      </c>
      <c r="D1072" s="36" t="s">
        <v>249</v>
      </c>
      <c r="E1072" s="36" t="s">
        <v>77</v>
      </c>
      <c r="J1072" s="87">
        <v>2116840</v>
      </c>
      <c r="K1072" s="85">
        <v>2021</v>
      </c>
      <c r="L1072" s="85">
        <v>5</v>
      </c>
      <c r="N1072" s="208" t="s">
        <v>44</v>
      </c>
    </row>
    <row r="1073" spans="1:14">
      <c r="A1073" s="36" t="s">
        <v>33</v>
      </c>
      <c r="B1073" s="37">
        <v>44504</v>
      </c>
      <c r="C1073" s="36" t="s">
        <v>395</v>
      </c>
      <c r="D1073" s="36" t="s">
        <v>229</v>
      </c>
      <c r="E1073" s="36" t="s">
        <v>148</v>
      </c>
      <c r="J1073" s="87">
        <v>4060000</v>
      </c>
      <c r="K1073" s="85">
        <v>2021</v>
      </c>
      <c r="L1073" s="85">
        <v>10</v>
      </c>
      <c r="M1073" s="36" t="s">
        <v>107</v>
      </c>
      <c r="N1073" s="208" t="s">
        <v>44</v>
      </c>
    </row>
    <row r="1074" spans="1:14">
      <c r="A1074" s="36" t="s">
        <v>33</v>
      </c>
      <c r="B1074" s="37">
        <v>44504</v>
      </c>
      <c r="C1074" s="36" t="s">
        <v>226</v>
      </c>
      <c r="D1074" s="36" t="s">
        <v>227</v>
      </c>
      <c r="E1074" s="36" t="s">
        <v>77</v>
      </c>
      <c r="J1074" s="87">
        <v>2377999.7999999998</v>
      </c>
      <c r="K1074" s="85">
        <v>2021</v>
      </c>
      <c r="L1074" s="85">
        <v>10</v>
      </c>
      <c r="N1074" s="208" t="s">
        <v>44</v>
      </c>
    </row>
    <row r="1075" spans="1:14">
      <c r="A1075" s="36" t="s">
        <v>33</v>
      </c>
      <c r="B1075" s="37">
        <v>44504</v>
      </c>
      <c r="C1075" s="36" t="s">
        <v>115</v>
      </c>
      <c r="D1075" s="36" t="s">
        <v>371</v>
      </c>
      <c r="E1075" s="36" t="s">
        <v>148</v>
      </c>
      <c r="J1075" s="38">
        <v>4461000</v>
      </c>
      <c r="K1075" s="85">
        <v>2021</v>
      </c>
      <c r="L1075" s="85">
        <v>10</v>
      </c>
      <c r="M1075" s="36" t="s">
        <v>107</v>
      </c>
      <c r="N1075" s="208" t="s">
        <v>44</v>
      </c>
    </row>
    <row r="1076" spans="1:14">
      <c r="A1076" s="36" t="s">
        <v>32</v>
      </c>
      <c r="B1076" s="37">
        <v>44505</v>
      </c>
      <c r="C1076" s="36" t="s">
        <v>496</v>
      </c>
      <c r="D1076" s="36" t="s">
        <v>497</v>
      </c>
      <c r="E1076" s="36" t="s">
        <v>148</v>
      </c>
      <c r="J1076" s="87">
        <v>18660675</v>
      </c>
      <c r="K1076" s="85">
        <v>2021</v>
      </c>
      <c r="L1076" s="85">
        <v>10</v>
      </c>
      <c r="N1076" s="208" t="s">
        <v>44</v>
      </c>
    </row>
    <row r="1077" spans="1:14">
      <c r="A1077" s="36" t="s">
        <v>32</v>
      </c>
      <c r="B1077" s="37">
        <v>44505</v>
      </c>
      <c r="C1077" s="36" t="s">
        <v>175</v>
      </c>
      <c r="D1077" s="36" t="s">
        <v>463</v>
      </c>
      <c r="E1077" s="36" t="s">
        <v>148</v>
      </c>
      <c r="J1077" s="87">
        <v>1170400</v>
      </c>
      <c r="K1077" s="85">
        <v>2021</v>
      </c>
      <c r="L1077" s="85">
        <v>9</v>
      </c>
      <c r="N1077" s="208" t="s">
        <v>44</v>
      </c>
    </row>
    <row r="1078" spans="1:14">
      <c r="A1078" s="36" t="s">
        <v>32</v>
      </c>
      <c r="B1078" s="37">
        <v>44505</v>
      </c>
      <c r="C1078" s="36" t="s">
        <v>466</v>
      </c>
      <c r="D1078" s="36" t="s">
        <v>467</v>
      </c>
      <c r="E1078" s="36" t="s">
        <v>148</v>
      </c>
      <c r="J1078" s="87">
        <v>41976924</v>
      </c>
      <c r="K1078" s="85">
        <v>2021</v>
      </c>
      <c r="L1078" s="85">
        <v>9</v>
      </c>
      <c r="M1078" s="36" t="s">
        <v>600</v>
      </c>
      <c r="N1078" s="208" t="s">
        <v>44</v>
      </c>
    </row>
    <row r="1079" spans="1:14">
      <c r="A1079" s="36" t="s">
        <v>32</v>
      </c>
      <c r="B1079" s="37">
        <v>44510</v>
      </c>
      <c r="C1079" s="36" t="s">
        <v>188</v>
      </c>
      <c r="D1079" s="36" t="s">
        <v>517</v>
      </c>
      <c r="E1079" s="36" t="s">
        <v>148</v>
      </c>
      <c r="J1079" s="87">
        <v>8074000</v>
      </c>
      <c r="K1079" s="85">
        <v>2021</v>
      </c>
      <c r="L1079" s="85">
        <v>9</v>
      </c>
      <c r="N1079" s="208" t="s">
        <v>44</v>
      </c>
    </row>
    <row r="1080" spans="1:14">
      <c r="A1080" s="36" t="s">
        <v>33</v>
      </c>
      <c r="B1080" s="37">
        <v>44512</v>
      </c>
      <c r="C1080" s="36" t="s">
        <v>527</v>
      </c>
      <c r="D1080" s="36" t="s">
        <v>528</v>
      </c>
      <c r="E1080" s="36" t="s">
        <v>148</v>
      </c>
      <c r="J1080" s="87">
        <v>198000</v>
      </c>
      <c r="K1080" s="85">
        <v>2021</v>
      </c>
      <c r="L1080" s="85">
        <v>9</v>
      </c>
      <c r="N1080" s="208" t="s">
        <v>44</v>
      </c>
    </row>
    <row r="1081" spans="1:14">
      <c r="A1081" s="36" t="s">
        <v>32</v>
      </c>
      <c r="B1081" s="37">
        <v>44513</v>
      </c>
      <c r="C1081" s="36" t="s">
        <v>466</v>
      </c>
      <c r="D1081" s="36" t="s">
        <v>467</v>
      </c>
      <c r="E1081" s="36" t="s">
        <v>148</v>
      </c>
      <c r="J1081" s="87">
        <v>1628550</v>
      </c>
      <c r="K1081" s="85">
        <v>2021</v>
      </c>
      <c r="L1081" s="85">
        <v>10</v>
      </c>
      <c r="M1081" s="36" t="s">
        <v>601</v>
      </c>
      <c r="N1081" s="208" t="s">
        <v>44</v>
      </c>
    </row>
    <row r="1082" spans="1:14">
      <c r="A1082" s="36" t="s">
        <v>32</v>
      </c>
      <c r="B1082" s="37">
        <v>44513</v>
      </c>
      <c r="C1082" s="36" t="s">
        <v>466</v>
      </c>
      <c r="D1082" s="36" t="s">
        <v>467</v>
      </c>
      <c r="E1082" s="36" t="s">
        <v>148</v>
      </c>
      <c r="J1082" s="87">
        <v>45749088</v>
      </c>
      <c r="K1082" s="85">
        <v>2021</v>
      </c>
      <c r="L1082" s="85">
        <v>10</v>
      </c>
      <c r="M1082" s="36" t="s">
        <v>602</v>
      </c>
      <c r="N1082" s="208" t="s">
        <v>44</v>
      </c>
    </row>
    <row r="1083" spans="1:14">
      <c r="A1083" s="36" t="s">
        <v>32</v>
      </c>
      <c r="B1083" s="37">
        <v>44515</v>
      </c>
      <c r="C1083" s="36" t="s">
        <v>180</v>
      </c>
      <c r="D1083" s="36" t="s">
        <v>344</v>
      </c>
      <c r="E1083" s="36" t="s">
        <v>148</v>
      </c>
      <c r="J1083" s="87">
        <v>12666500</v>
      </c>
      <c r="K1083" s="85">
        <v>2021</v>
      </c>
      <c r="L1083" s="85">
        <v>10</v>
      </c>
      <c r="N1083" s="208" t="s">
        <v>44</v>
      </c>
    </row>
    <row r="1084" spans="1:14">
      <c r="A1084" s="36" t="s">
        <v>32</v>
      </c>
      <c r="B1084" s="37">
        <v>44515</v>
      </c>
      <c r="C1084" s="36" t="s">
        <v>268</v>
      </c>
      <c r="D1084" s="36" t="s">
        <v>589</v>
      </c>
      <c r="E1084" s="36" t="s">
        <v>148</v>
      </c>
      <c r="J1084" s="87">
        <v>3524400</v>
      </c>
      <c r="K1084" s="85">
        <v>2021</v>
      </c>
      <c r="L1084" s="85">
        <v>10</v>
      </c>
      <c r="N1084" s="208" t="s">
        <v>44</v>
      </c>
    </row>
    <row r="1085" spans="1:14">
      <c r="A1085" s="36" t="s">
        <v>32</v>
      </c>
      <c r="B1085" s="37">
        <v>44517</v>
      </c>
      <c r="C1085" s="36" t="s">
        <v>175</v>
      </c>
      <c r="D1085" s="36" t="s">
        <v>464</v>
      </c>
      <c r="E1085" s="36" t="s">
        <v>148</v>
      </c>
      <c r="J1085" s="87">
        <v>17885340</v>
      </c>
      <c r="K1085" s="85">
        <v>2021</v>
      </c>
      <c r="L1085" s="85">
        <v>9</v>
      </c>
      <c r="N1085" s="208" t="s">
        <v>44</v>
      </c>
    </row>
    <row r="1086" spans="1:14">
      <c r="A1086" s="36" t="s">
        <v>33</v>
      </c>
      <c r="B1086" s="37">
        <v>44522</v>
      </c>
      <c r="C1086" s="36" t="s">
        <v>120</v>
      </c>
      <c r="D1086" s="36" t="s">
        <v>121</v>
      </c>
      <c r="E1086" s="36" t="s">
        <v>122</v>
      </c>
      <c r="G1086" s="87">
        <v>1159091</v>
      </c>
      <c r="H1086" s="87">
        <v>115909.1</v>
      </c>
      <c r="I1086" s="87">
        <v>1275000.1000000001</v>
      </c>
      <c r="K1086" s="85">
        <v>2021</v>
      </c>
      <c r="L1086" s="85">
        <v>11</v>
      </c>
      <c r="N1086" s="208" t="s">
        <v>44</v>
      </c>
    </row>
    <row r="1087" spans="1:14">
      <c r="A1087" s="36" t="s">
        <v>33</v>
      </c>
      <c r="B1087" s="37">
        <v>44522</v>
      </c>
      <c r="C1087" s="36" t="s">
        <v>120</v>
      </c>
      <c r="D1087" s="36" t="s">
        <v>121</v>
      </c>
      <c r="E1087" s="36" t="s">
        <v>77</v>
      </c>
      <c r="J1087" s="38">
        <v>1275000</v>
      </c>
      <c r="K1087" s="85">
        <v>2021</v>
      </c>
      <c r="L1087" s="85">
        <v>11</v>
      </c>
      <c r="N1087" s="208" t="s">
        <v>44</v>
      </c>
    </row>
    <row r="1088" spans="1:14">
      <c r="A1088" s="36" t="s">
        <v>32</v>
      </c>
      <c r="B1088" s="37">
        <v>44525</v>
      </c>
      <c r="C1088" s="36" t="s">
        <v>603</v>
      </c>
      <c r="D1088" s="36" t="s">
        <v>604</v>
      </c>
      <c r="E1088" s="36" t="s">
        <v>76</v>
      </c>
      <c r="G1088" s="87">
        <v>33600000</v>
      </c>
      <c r="H1088" s="87">
        <v>3360000</v>
      </c>
      <c r="I1088" s="87">
        <v>36960000</v>
      </c>
      <c r="K1088" s="85">
        <v>2021</v>
      </c>
      <c r="L1088" s="85">
        <v>11</v>
      </c>
      <c r="N1088" s="208" t="s">
        <v>44</v>
      </c>
    </row>
    <row r="1089" spans="1:14">
      <c r="A1089" s="36" t="s">
        <v>32</v>
      </c>
      <c r="B1089" s="37">
        <v>44526</v>
      </c>
      <c r="C1089" s="36" t="s">
        <v>346</v>
      </c>
      <c r="D1089" s="36" t="s">
        <v>378</v>
      </c>
      <c r="E1089" s="36" t="s">
        <v>148</v>
      </c>
      <c r="J1089" s="87">
        <v>6853000</v>
      </c>
      <c r="K1089" s="85">
        <v>2021</v>
      </c>
      <c r="L1089" s="85">
        <v>9</v>
      </c>
      <c r="N1089" s="208" t="s">
        <v>44</v>
      </c>
    </row>
    <row r="1090" spans="1:14">
      <c r="A1090" s="36" t="s">
        <v>32</v>
      </c>
      <c r="B1090" s="37">
        <v>44529</v>
      </c>
      <c r="C1090" s="36" t="s">
        <v>188</v>
      </c>
      <c r="D1090" s="36" t="s">
        <v>557</v>
      </c>
      <c r="E1090" s="36" t="s">
        <v>148</v>
      </c>
      <c r="J1090" s="87">
        <v>3014000</v>
      </c>
      <c r="K1090" s="85">
        <v>2021</v>
      </c>
      <c r="L1090" s="85">
        <v>10</v>
      </c>
      <c r="N1090" s="208" t="s">
        <v>44</v>
      </c>
    </row>
    <row r="1091" spans="1:14">
      <c r="A1091" s="36" t="s">
        <v>32</v>
      </c>
      <c r="B1091" s="37">
        <v>44529</v>
      </c>
      <c r="C1091" s="36" t="s">
        <v>188</v>
      </c>
      <c r="D1091" s="36" t="s">
        <v>595</v>
      </c>
      <c r="E1091" s="36" t="s">
        <v>148</v>
      </c>
      <c r="J1091" s="87">
        <v>7755000</v>
      </c>
      <c r="K1091" s="85">
        <v>2021</v>
      </c>
      <c r="L1091" s="85">
        <v>10</v>
      </c>
      <c r="N1091" s="208" t="s">
        <v>44</v>
      </c>
    </row>
    <row r="1092" spans="1:14">
      <c r="A1092" s="36" t="s">
        <v>32</v>
      </c>
      <c r="B1092" s="37">
        <v>44530</v>
      </c>
      <c r="C1092" s="36" t="s">
        <v>605</v>
      </c>
      <c r="D1092" s="36" t="s">
        <v>606</v>
      </c>
      <c r="E1092" s="36" t="s">
        <v>78</v>
      </c>
      <c r="G1092" s="87">
        <v>2700000</v>
      </c>
      <c r="H1092" s="87">
        <v>270000</v>
      </c>
      <c r="I1092" s="87">
        <v>2970000</v>
      </c>
      <c r="K1092" s="85">
        <v>2021</v>
      </c>
      <c r="L1092" s="85">
        <v>11</v>
      </c>
      <c r="N1092" s="208" t="s">
        <v>44</v>
      </c>
    </row>
    <row r="1093" spans="1:14">
      <c r="A1093" s="36" t="s">
        <v>32</v>
      </c>
      <c r="B1093" s="37">
        <v>44530</v>
      </c>
      <c r="C1093" s="36" t="s">
        <v>174</v>
      </c>
      <c r="D1093" s="36" t="s">
        <v>540</v>
      </c>
      <c r="E1093" s="36" t="s">
        <v>76</v>
      </c>
      <c r="G1093" s="87">
        <v>37818500</v>
      </c>
      <c r="H1093" s="87">
        <v>3781850</v>
      </c>
      <c r="I1093" s="87">
        <v>41600350</v>
      </c>
      <c r="K1093" s="85">
        <v>2021</v>
      </c>
      <c r="L1093" s="85">
        <v>11</v>
      </c>
      <c r="N1093" s="208" t="s">
        <v>44</v>
      </c>
    </row>
    <row r="1094" spans="1:14">
      <c r="A1094" s="36" t="s">
        <v>32</v>
      </c>
      <c r="B1094" s="37">
        <v>44530</v>
      </c>
      <c r="C1094" s="36" t="s">
        <v>209</v>
      </c>
      <c r="D1094" s="36" t="s">
        <v>197</v>
      </c>
      <c r="E1094" s="36" t="s">
        <v>77</v>
      </c>
      <c r="J1094" s="87">
        <v>39458430</v>
      </c>
      <c r="K1094" s="85">
        <v>2021</v>
      </c>
      <c r="L1094" s="85">
        <v>10</v>
      </c>
      <c r="N1094" s="208" t="s">
        <v>44</v>
      </c>
    </row>
    <row r="1095" spans="1:14">
      <c r="A1095" s="36" t="s">
        <v>32</v>
      </c>
      <c r="B1095" s="37">
        <v>44530</v>
      </c>
      <c r="C1095" s="36" t="s">
        <v>209</v>
      </c>
      <c r="D1095" s="36" t="s">
        <v>541</v>
      </c>
      <c r="E1095" s="36" t="s">
        <v>77</v>
      </c>
      <c r="J1095" s="87">
        <v>5859260</v>
      </c>
      <c r="K1095" s="85">
        <v>2021</v>
      </c>
      <c r="L1095" s="85">
        <v>10</v>
      </c>
      <c r="N1095" s="208" t="s">
        <v>44</v>
      </c>
    </row>
    <row r="1096" spans="1:14">
      <c r="A1096" s="36" t="s">
        <v>32</v>
      </c>
      <c r="B1096" s="37">
        <v>44530</v>
      </c>
      <c r="C1096" s="36" t="s">
        <v>209</v>
      </c>
      <c r="D1096" s="36" t="s">
        <v>541</v>
      </c>
      <c r="E1096" s="36" t="s">
        <v>76</v>
      </c>
      <c r="G1096" s="87">
        <v>6256200</v>
      </c>
      <c r="H1096" s="87">
        <v>625620</v>
      </c>
      <c r="I1096" s="87">
        <v>6881820</v>
      </c>
      <c r="K1096" s="85">
        <v>2021</v>
      </c>
      <c r="L1096" s="85">
        <v>11</v>
      </c>
      <c r="N1096" s="208" t="s">
        <v>44</v>
      </c>
    </row>
    <row r="1097" spans="1:14">
      <c r="A1097" s="36" t="s">
        <v>32</v>
      </c>
      <c r="B1097" s="37">
        <v>44530</v>
      </c>
      <c r="C1097" s="36" t="s">
        <v>346</v>
      </c>
      <c r="D1097" s="36" t="s">
        <v>347</v>
      </c>
      <c r="E1097" s="36" t="s">
        <v>76</v>
      </c>
      <c r="G1097" s="87">
        <v>5355000</v>
      </c>
      <c r="H1097" s="87">
        <v>535500</v>
      </c>
      <c r="I1097" s="87">
        <v>5890500</v>
      </c>
      <c r="K1097" s="85">
        <v>2021</v>
      </c>
      <c r="L1097" s="85">
        <v>11</v>
      </c>
      <c r="N1097" s="208" t="s">
        <v>44</v>
      </c>
    </row>
    <row r="1098" spans="1:14">
      <c r="A1098" s="36" t="s">
        <v>33</v>
      </c>
      <c r="B1098" s="37">
        <v>44530</v>
      </c>
      <c r="C1098" s="36" t="s">
        <v>542</v>
      </c>
      <c r="D1098" s="36" t="s">
        <v>462</v>
      </c>
      <c r="E1098" s="36" t="s">
        <v>77</v>
      </c>
      <c r="J1098" s="87">
        <v>158400</v>
      </c>
      <c r="K1098" s="85">
        <v>2021</v>
      </c>
      <c r="L1098" s="85">
        <v>10</v>
      </c>
      <c r="N1098" s="208" t="s">
        <v>44</v>
      </c>
    </row>
    <row r="1099" spans="1:14">
      <c r="A1099" s="36" t="s">
        <v>19</v>
      </c>
      <c r="B1099" s="37">
        <v>44530</v>
      </c>
      <c r="C1099" s="36" t="s">
        <v>607</v>
      </c>
      <c r="D1099" s="36" t="s">
        <v>430</v>
      </c>
      <c r="E1099" s="36" t="s">
        <v>608</v>
      </c>
      <c r="G1099" s="87">
        <v>2520000</v>
      </c>
      <c r="H1099" s="87">
        <v>252000</v>
      </c>
      <c r="I1099" s="87">
        <v>2772000</v>
      </c>
      <c r="K1099" s="85">
        <v>2021</v>
      </c>
      <c r="L1099" s="85">
        <v>11</v>
      </c>
      <c r="N1099" s="208" t="s">
        <v>44</v>
      </c>
    </row>
    <row r="1100" spans="1:14">
      <c r="A1100" s="36" t="s">
        <v>32</v>
      </c>
      <c r="B1100" s="37">
        <v>44530</v>
      </c>
      <c r="C1100" s="36" t="s">
        <v>180</v>
      </c>
      <c r="D1100" s="36" t="s">
        <v>344</v>
      </c>
      <c r="E1100" s="36" t="s">
        <v>76</v>
      </c>
      <c r="G1100" s="87">
        <v>13982500</v>
      </c>
      <c r="H1100" s="87">
        <v>1398250</v>
      </c>
      <c r="I1100" s="87">
        <v>15380750</v>
      </c>
      <c r="K1100" s="85">
        <v>2021</v>
      </c>
      <c r="L1100" s="85">
        <v>11</v>
      </c>
      <c r="N1100" s="208" t="s">
        <v>44</v>
      </c>
    </row>
    <row r="1101" spans="1:14">
      <c r="A1101" s="36" t="s">
        <v>32</v>
      </c>
      <c r="B1101" s="37">
        <v>44530</v>
      </c>
      <c r="C1101" s="36" t="s">
        <v>204</v>
      </c>
      <c r="D1101" s="36" t="s">
        <v>205</v>
      </c>
      <c r="E1101" s="36" t="s">
        <v>148</v>
      </c>
      <c r="J1101" s="87">
        <v>10143540</v>
      </c>
      <c r="K1101" s="85">
        <v>2021</v>
      </c>
      <c r="L1101" s="85">
        <v>10</v>
      </c>
      <c r="N1101" s="208" t="s">
        <v>44</v>
      </c>
    </row>
    <row r="1102" spans="1:14">
      <c r="A1102" s="36" t="s">
        <v>32</v>
      </c>
      <c r="B1102" s="37">
        <v>44530</v>
      </c>
      <c r="C1102" s="36" t="s">
        <v>204</v>
      </c>
      <c r="D1102" s="36" t="s">
        <v>205</v>
      </c>
      <c r="E1102" s="36" t="s">
        <v>76</v>
      </c>
      <c r="G1102" s="87">
        <v>5113600</v>
      </c>
      <c r="H1102" s="87">
        <v>511360</v>
      </c>
      <c r="I1102" s="87">
        <v>5624960</v>
      </c>
      <c r="K1102" s="85">
        <v>2021</v>
      </c>
      <c r="L1102" s="85">
        <v>11</v>
      </c>
      <c r="N1102" s="208" t="s">
        <v>44</v>
      </c>
    </row>
    <row r="1103" spans="1:14">
      <c r="A1103" s="36" t="s">
        <v>32</v>
      </c>
      <c r="B1103" s="37">
        <v>44530</v>
      </c>
      <c r="C1103" s="36" t="s">
        <v>609</v>
      </c>
      <c r="D1103" s="36" t="s">
        <v>610</v>
      </c>
      <c r="E1103" s="36" t="s">
        <v>76</v>
      </c>
      <c r="G1103" s="87">
        <v>1700000</v>
      </c>
      <c r="H1103" s="87">
        <v>170000</v>
      </c>
      <c r="I1103" s="87">
        <v>1870000</v>
      </c>
      <c r="K1103" s="85">
        <v>2021</v>
      </c>
      <c r="L1103" s="85">
        <v>11</v>
      </c>
      <c r="N1103" s="208" t="s">
        <v>44</v>
      </c>
    </row>
    <row r="1104" spans="1:14">
      <c r="A1104" s="36" t="s">
        <v>33</v>
      </c>
      <c r="B1104" s="37">
        <v>44530</v>
      </c>
      <c r="C1104" s="36" t="s">
        <v>544</v>
      </c>
      <c r="D1104" s="36" t="s">
        <v>545</v>
      </c>
      <c r="E1104" s="36" t="s">
        <v>125</v>
      </c>
      <c r="G1104" s="87">
        <v>1345000</v>
      </c>
      <c r="H1104" s="87">
        <v>134500</v>
      </c>
      <c r="I1104" s="87">
        <v>1479500</v>
      </c>
      <c r="K1104" s="85">
        <v>2021</v>
      </c>
      <c r="L1104" s="85">
        <v>11</v>
      </c>
      <c r="M1104" s="36" t="s">
        <v>107</v>
      </c>
      <c r="N1104" s="208" t="s">
        <v>44</v>
      </c>
    </row>
    <row r="1105" spans="1:14">
      <c r="A1105" s="36" t="s">
        <v>33</v>
      </c>
      <c r="B1105" s="37">
        <v>44530</v>
      </c>
      <c r="C1105" s="36" t="s">
        <v>584</v>
      </c>
      <c r="D1105" s="36" t="s">
        <v>205</v>
      </c>
      <c r="E1105" s="36" t="s">
        <v>148</v>
      </c>
      <c r="J1105" s="87">
        <v>587400</v>
      </c>
      <c r="K1105" s="85">
        <v>2021</v>
      </c>
      <c r="L1105" s="85">
        <v>10</v>
      </c>
      <c r="N1105" s="208" t="s">
        <v>44</v>
      </c>
    </row>
    <row r="1106" spans="1:14">
      <c r="A1106" s="36" t="s">
        <v>33</v>
      </c>
      <c r="B1106" s="37">
        <v>44530</v>
      </c>
      <c r="C1106" s="36" t="s">
        <v>584</v>
      </c>
      <c r="D1106" s="36" t="s">
        <v>205</v>
      </c>
      <c r="E1106" s="36" t="s">
        <v>125</v>
      </c>
      <c r="G1106" s="87">
        <v>240000</v>
      </c>
      <c r="H1106" s="87">
        <v>24000</v>
      </c>
      <c r="I1106" s="87">
        <v>264000</v>
      </c>
      <c r="K1106" s="85">
        <v>2021</v>
      </c>
      <c r="L1106" s="85">
        <v>11</v>
      </c>
      <c r="N1106" s="208" t="s">
        <v>44</v>
      </c>
    </row>
    <row r="1107" spans="1:14">
      <c r="A1107" s="36" t="s">
        <v>19</v>
      </c>
      <c r="B1107" s="37">
        <v>44530</v>
      </c>
      <c r="C1107" s="36" t="s">
        <v>395</v>
      </c>
      <c r="D1107" s="36" t="s">
        <v>229</v>
      </c>
      <c r="E1107" s="36" t="s">
        <v>611</v>
      </c>
      <c r="G1107" s="87">
        <v>3780000</v>
      </c>
      <c r="H1107" s="87">
        <v>378000</v>
      </c>
      <c r="I1107" s="87">
        <v>4158000</v>
      </c>
      <c r="K1107" s="85">
        <v>2021</v>
      </c>
      <c r="L1107" s="85">
        <v>11</v>
      </c>
      <c r="M1107" s="36" t="s">
        <v>107</v>
      </c>
      <c r="N1107" s="208" t="s">
        <v>44</v>
      </c>
    </row>
    <row r="1108" spans="1:14">
      <c r="A1108" s="36" t="s">
        <v>32</v>
      </c>
      <c r="B1108" s="37">
        <v>44530</v>
      </c>
      <c r="C1108" s="36" t="s">
        <v>496</v>
      </c>
      <c r="D1108" s="36" t="s">
        <v>546</v>
      </c>
      <c r="E1108" s="36" t="s">
        <v>76</v>
      </c>
      <c r="G1108" s="87">
        <v>26680000</v>
      </c>
      <c r="H1108" s="87">
        <v>2668000</v>
      </c>
      <c r="I1108" s="87">
        <v>29348000</v>
      </c>
      <c r="K1108" s="85">
        <v>2021</v>
      </c>
      <c r="L1108" s="85">
        <v>11</v>
      </c>
      <c r="N1108" s="208" t="s">
        <v>44</v>
      </c>
    </row>
    <row r="1109" spans="1:14">
      <c r="A1109" s="36" t="s">
        <v>32</v>
      </c>
      <c r="B1109" s="37">
        <v>44530</v>
      </c>
      <c r="C1109" s="36" t="s">
        <v>277</v>
      </c>
      <c r="D1109" s="36" t="s">
        <v>278</v>
      </c>
      <c r="E1109" s="36" t="s">
        <v>76</v>
      </c>
      <c r="G1109" s="87">
        <v>40437660</v>
      </c>
      <c r="H1109" s="87">
        <v>4043766</v>
      </c>
      <c r="I1109" s="87">
        <v>44481426</v>
      </c>
      <c r="K1109" s="85">
        <v>2021</v>
      </c>
      <c r="L1109" s="85">
        <v>11</v>
      </c>
      <c r="N1109" s="208" t="s">
        <v>44</v>
      </c>
    </row>
    <row r="1110" spans="1:14">
      <c r="A1110" s="36" t="s">
        <v>32</v>
      </c>
      <c r="B1110" s="37">
        <v>44530</v>
      </c>
      <c r="C1110" s="36" t="s">
        <v>334</v>
      </c>
      <c r="D1110" s="36" t="s">
        <v>586</v>
      </c>
      <c r="E1110" s="36" t="s">
        <v>76</v>
      </c>
      <c r="G1110" s="87">
        <v>12692650</v>
      </c>
      <c r="H1110" s="87">
        <v>1269265</v>
      </c>
      <c r="I1110" s="87">
        <v>13961915</v>
      </c>
      <c r="K1110" s="85">
        <v>2021</v>
      </c>
      <c r="L1110" s="85">
        <v>11</v>
      </c>
      <c r="N1110" s="208" t="s">
        <v>44</v>
      </c>
    </row>
    <row r="1111" spans="1:14">
      <c r="A1111" s="36" t="s">
        <v>32</v>
      </c>
      <c r="B1111" s="37">
        <v>44530</v>
      </c>
      <c r="C1111" s="36" t="s">
        <v>181</v>
      </c>
      <c r="D1111" s="36" t="s">
        <v>453</v>
      </c>
      <c r="E1111" s="36" t="s">
        <v>148</v>
      </c>
      <c r="J1111" s="87">
        <v>30517300</v>
      </c>
      <c r="K1111" s="85">
        <v>2021</v>
      </c>
      <c r="L1111" s="85">
        <v>9</v>
      </c>
      <c r="N1111" s="208" t="s">
        <v>44</v>
      </c>
    </row>
    <row r="1112" spans="1:14">
      <c r="A1112" s="36" t="s">
        <v>32</v>
      </c>
      <c r="B1112" s="37">
        <v>44530</v>
      </c>
      <c r="C1112" s="36" t="s">
        <v>181</v>
      </c>
      <c r="D1112" s="36" t="s">
        <v>372</v>
      </c>
      <c r="E1112" s="36" t="s">
        <v>148</v>
      </c>
      <c r="J1112" s="87">
        <v>13962300</v>
      </c>
      <c r="K1112" s="85">
        <v>2021</v>
      </c>
      <c r="L1112" s="85">
        <v>10</v>
      </c>
      <c r="N1112" s="208" t="s">
        <v>44</v>
      </c>
    </row>
    <row r="1113" spans="1:14">
      <c r="A1113" s="36" t="s">
        <v>32</v>
      </c>
      <c r="B1113" s="37">
        <v>44530</v>
      </c>
      <c r="C1113" s="36" t="s">
        <v>181</v>
      </c>
      <c r="D1113" s="36" t="s">
        <v>453</v>
      </c>
      <c r="E1113" s="36" t="s">
        <v>148</v>
      </c>
      <c r="J1113" s="87">
        <v>50237000</v>
      </c>
      <c r="K1113" s="85">
        <v>2021</v>
      </c>
      <c r="L1113" s="85">
        <v>10</v>
      </c>
      <c r="N1113" s="208" t="s">
        <v>44</v>
      </c>
    </row>
    <row r="1114" spans="1:14">
      <c r="A1114" s="36" t="s">
        <v>32</v>
      </c>
      <c r="B1114" s="37">
        <v>44530</v>
      </c>
      <c r="C1114" s="36" t="s">
        <v>181</v>
      </c>
      <c r="D1114" s="36" t="s">
        <v>372</v>
      </c>
      <c r="E1114" s="36" t="s">
        <v>76</v>
      </c>
      <c r="G1114" s="87">
        <v>8805000</v>
      </c>
      <c r="H1114" s="87">
        <v>880500</v>
      </c>
      <c r="I1114" s="87">
        <v>9685500</v>
      </c>
      <c r="K1114" s="85">
        <v>2021</v>
      </c>
      <c r="L1114" s="85">
        <v>11</v>
      </c>
      <c r="N1114" s="208" t="s">
        <v>44</v>
      </c>
    </row>
    <row r="1115" spans="1:14">
      <c r="A1115" s="36" t="s">
        <v>32</v>
      </c>
      <c r="B1115" s="37">
        <v>44530</v>
      </c>
      <c r="C1115" s="36" t="s">
        <v>181</v>
      </c>
      <c r="D1115" s="36" t="s">
        <v>453</v>
      </c>
      <c r="E1115" s="36" t="s">
        <v>76</v>
      </c>
      <c r="G1115" s="87">
        <v>2300000</v>
      </c>
      <c r="H1115" s="87">
        <v>230000</v>
      </c>
      <c r="I1115" s="87">
        <v>2530000</v>
      </c>
      <c r="K1115" s="85">
        <v>2021</v>
      </c>
      <c r="L1115" s="85">
        <v>11</v>
      </c>
      <c r="N1115" s="208" t="s">
        <v>44</v>
      </c>
    </row>
    <row r="1116" spans="1:14">
      <c r="A1116" s="36" t="s">
        <v>33</v>
      </c>
      <c r="B1116" s="37">
        <v>44530</v>
      </c>
      <c r="C1116" s="36" t="s">
        <v>320</v>
      </c>
      <c r="D1116" s="36" t="s">
        <v>347</v>
      </c>
      <c r="E1116" s="36" t="s">
        <v>143</v>
      </c>
      <c r="G1116" s="87">
        <v>300000</v>
      </c>
      <c r="H1116" s="87">
        <v>30000</v>
      </c>
      <c r="I1116" s="87">
        <v>330000</v>
      </c>
      <c r="K1116" s="85">
        <v>2021</v>
      </c>
      <c r="L1116" s="85">
        <v>11</v>
      </c>
      <c r="N1116" s="208" t="s">
        <v>44</v>
      </c>
    </row>
    <row r="1117" spans="1:14">
      <c r="A1117" s="36" t="s">
        <v>32</v>
      </c>
      <c r="B1117" s="37">
        <v>44530</v>
      </c>
      <c r="C1117" s="36" t="s">
        <v>549</v>
      </c>
      <c r="D1117" s="36" t="s">
        <v>550</v>
      </c>
      <c r="E1117" s="36" t="s">
        <v>76</v>
      </c>
      <c r="G1117" s="87">
        <v>5649600</v>
      </c>
      <c r="H1117" s="87">
        <v>564960</v>
      </c>
      <c r="I1117" s="87">
        <v>6214560</v>
      </c>
      <c r="K1117" s="85">
        <v>2021</v>
      </c>
      <c r="L1117" s="85">
        <v>11</v>
      </c>
      <c r="N1117" s="208" t="s">
        <v>44</v>
      </c>
    </row>
    <row r="1118" spans="1:14">
      <c r="A1118" s="36" t="s">
        <v>32</v>
      </c>
      <c r="B1118" s="37">
        <v>44530</v>
      </c>
      <c r="C1118" s="36" t="s">
        <v>503</v>
      </c>
      <c r="D1118" s="36" t="s">
        <v>504</v>
      </c>
      <c r="E1118" s="36" t="s">
        <v>148</v>
      </c>
      <c r="J1118" s="87">
        <v>22721600</v>
      </c>
      <c r="K1118" s="85">
        <v>2021</v>
      </c>
      <c r="L1118" s="85">
        <v>10</v>
      </c>
      <c r="N1118" s="208" t="s">
        <v>44</v>
      </c>
    </row>
    <row r="1119" spans="1:14">
      <c r="A1119" s="36" t="s">
        <v>33</v>
      </c>
      <c r="B1119" s="37">
        <v>44530</v>
      </c>
      <c r="C1119" s="36" t="s">
        <v>119</v>
      </c>
      <c r="D1119" s="36" t="s">
        <v>372</v>
      </c>
      <c r="E1119" s="36" t="s">
        <v>76</v>
      </c>
      <c r="G1119" s="87">
        <v>8219000</v>
      </c>
      <c r="H1119" s="87">
        <v>821900</v>
      </c>
      <c r="I1119" s="87">
        <v>9040900</v>
      </c>
      <c r="J1119" s="87"/>
      <c r="K1119" s="85">
        <v>2021</v>
      </c>
      <c r="L1119" s="85">
        <v>11</v>
      </c>
      <c r="M1119" s="36" t="s">
        <v>159</v>
      </c>
      <c r="N1119" s="208" t="s">
        <v>44</v>
      </c>
    </row>
    <row r="1120" spans="1:14">
      <c r="A1120" s="36" t="s">
        <v>32</v>
      </c>
      <c r="B1120" s="37">
        <v>44530</v>
      </c>
      <c r="C1120" s="36" t="s">
        <v>505</v>
      </c>
      <c r="D1120" s="36" t="s">
        <v>506</v>
      </c>
      <c r="E1120" s="36" t="s">
        <v>77</v>
      </c>
      <c r="J1120" s="87">
        <v>76032814</v>
      </c>
      <c r="K1120" s="85">
        <v>2021</v>
      </c>
      <c r="L1120" s="85">
        <v>10</v>
      </c>
      <c r="N1120" s="208" t="s">
        <v>44</v>
      </c>
    </row>
    <row r="1121" spans="1:14">
      <c r="A1121" s="36" t="s">
        <v>32</v>
      </c>
      <c r="B1121" s="37">
        <v>44530</v>
      </c>
      <c r="C1121" s="36" t="s">
        <v>505</v>
      </c>
      <c r="D1121" s="36" t="s">
        <v>506</v>
      </c>
      <c r="E1121" s="36" t="s">
        <v>76</v>
      </c>
      <c r="G1121" s="87">
        <v>47969760</v>
      </c>
      <c r="H1121" s="87">
        <v>4796976</v>
      </c>
      <c r="I1121" s="87">
        <v>52766736</v>
      </c>
      <c r="K1121" s="85">
        <v>2021</v>
      </c>
      <c r="L1121" s="85">
        <v>11</v>
      </c>
      <c r="N1121" s="208" t="s">
        <v>44</v>
      </c>
    </row>
    <row r="1122" spans="1:14">
      <c r="A1122" s="36" t="s">
        <v>32</v>
      </c>
      <c r="B1122" s="37">
        <v>44530</v>
      </c>
      <c r="C1122" s="36" t="s">
        <v>264</v>
      </c>
      <c r="D1122" s="36" t="s">
        <v>612</v>
      </c>
      <c r="E1122" s="36" t="s">
        <v>76</v>
      </c>
      <c r="G1122" s="87">
        <v>17000000</v>
      </c>
      <c r="H1122" s="87">
        <v>1700000</v>
      </c>
      <c r="I1122" s="87">
        <v>18700000</v>
      </c>
      <c r="K1122" s="85">
        <v>2021</v>
      </c>
      <c r="L1122" s="85">
        <v>11</v>
      </c>
      <c r="N1122" s="208" t="s">
        <v>44</v>
      </c>
    </row>
    <row r="1123" spans="1:14">
      <c r="A1123" s="36" t="s">
        <v>32</v>
      </c>
      <c r="B1123" s="37">
        <v>44530</v>
      </c>
      <c r="C1123" s="36" t="s">
        <v>282</v>
      </c>
      <c r="D1123" s="36" t="s">
        <v>161</v>
      </c>
      <c r="E1123" s="36" t="s">
        <v>78</v>
      </c>
      <c r="G1123" s="87">
        <v>-3057600</v>
      </c>
      <c r="H1123" s="87">
        <v>-305760</v>
      </c>
      <c r="I1123" s="87">
        <v>-3363360</v>
      </c>
      <c r="K1123" s="85">
        <v>2021</v>
      </c>
      <c r="L1123" s="85">
        <v>10</v>
      </c>
      <c r="M1123" s="36" t="s">
        <v>613</v>
      </c>
      <c r="N1123" s="208" t="s">
        <v>44</v>
      </c>
    </row>
    <row r="1124" spans="1:14">
      <c r="A1124" s="36" t="s">
        <v>32</v>
      </c>
      <c r="B1124" s="37">
        <v>44530</v>
      </c>
      <c r="C1124" s="36" t="s">
        <v>511</v>
      </c>
      <c r="D1124" s="36" t="s">
        <v>512</v>
      </c>
      <c r="E1124" s="36" t="s">
        <v>148</v>
      </c>
      <c r="J1124" s="87">
        <v>11521510</v>
      </c>
      <c r="K1124" s="85">
        <v>2021</v>
      </c>
      <c r="L1124" s="85">
        <v>10</v>
      </c>
      <c r="M1124" s="36" t="s">
        <v>614</v>
      </c>
      <c r="N1124" s="208" t="s">
        <v>44</v>
      </c>
    </row>
    <row r="1125" spans="1:14">
      <c r="A1125" s="36" t="s">
        <v>32</v>
      </c>
      <c r="B1125" s="37">
        <v>44530</v>
      </c>
      <c r="C1125" s="36" t="s">
        <v>511</v>
      </c>
      <c r="D1125" s="36" t="s">
        <v>512</v>
      </c>
      <c r="E1125" s="36" t="s">
        <v>76</v>
      </c>
      <c r="G1125" s="87">
        <v>7536700</v>
      </c>
      <c r="H1125" s="87">
        <v>753670</v>
      </c>
      <c r="I1125" s="87">
        <v>8290370</v>
      </c>
      <c r="K1125" s="85">
        <v>2021</v>
      </c>
      <c r="L1125" s="85">
        <v>11</v>
      </c>
      <c r="N1125" s="208" t="s">
        <v>44</v>
      </c>
    </row>
    <row r="1126" spans="1:14">
      <c r="A1126" s="36" t="s">
        <v>32</v>
      </c>
      <c r="B1126" s="37">
        <v>44530</v>
      </c>
      <c r="C1126" s="36" t="s">
        <v>552</v>
      </c>
      <c r="D1126" s="36" t="s">
        <v>553</v>
      </c>
      <c r="E1126" s="36" t="s">
        <v>148</v>
      </c>
      <c r="J1126" s="87">
        <v>13001670</v>
      </c>
      <c r="K1126" s="85">
        <v>2021</v>
      </c>
      <c r="L1126" s="85">
        <v>10</v>
      </c>
      <c r="N1126" s="208" t="s">
        <v>44</v>
      </c>
    </row>
    <row r="1127" spans="1:14">
      <c r="A1127" s="36" t="s">
        <v>32</v>
      </c>
      <c r="B1127" s="37">
        <v>44530</v>
      </c>
      <c r="C1127" s="36" t="s">
        <v>552</v>
      </c>
      <c r="D1127" s="36" t="s">
        <v>553</v>
      </c>
      <c r="E1127" s="36" t="s">
        <v>76</v>
      </c>
      <c r="G1127" s="87">
        <v>14520200</v>
      </c>
      <c r="H1127" s="87">
        <v>1452020</v>
      </c>
      <c r="I1127" s="87">
        <v>15972220</v>
      </c>
      <c r="K1127" s="85">
        <v>2021</v>
      </c>
      <c r="L1127" s="85">
        <v>11</v>
      </c>
      <c r="N1127" s="208" t="s">
        <v>44</v>
      </c>
    </row>
    <row r="1128" spans="1:14">
      <c r="A1128" s="36" t="s">
        <v>32</v>
      </c>
      <c r="B1128" s="37">
        <v>44530</v>
      </c>
      <c r="C1128" s="36" t="s">
        <v>456</v>
      </c>
      <c r="D1128" s="36" t="s">
        <v>457</v>
      </c>
      <c r="E1128" s="36" t="s">
        <v>148</v>
      </c>
      <c r="J1128" s="87">
        <v>6072000</v>
      </c>
      <c r="K1128" s="85">
        <v>2021</v>
      </c>
      <c r="L1128" s="85">
        <v>10</v>
      </c>
      <c r="N1128" s="208" t="s">
        <v>44</v>
      </c>
    </row>
    <row r="1129" spans="1:14">
      <c r="A1129" s="36" t="s">
        <v>32</v>
      </c>
      <c r="B1129" s="37">
        <v>44530</v>
      </c>
      <c r="C1129" s="36" t="s">
        <v>456</v>
      </c>
      <c r="D1129" s="36" t="s">
        <v>457</v>
      </c>
      <c r="E1129" s="36" t="s">
        <v>76</v>
      </c>
      <c r="G1129" s="87">
        <v>7130000</v>
      </c>
      <c r="H1129" s="87">
        <v>713000</v>
      </c>
      <c r="I1129" s="87">
        <v>7843000</v>
      </c>
      <c r="K1129" s="85">
        <v>2021</v>
      </c>
      <c r="L1129" s="85">
        <v>11</v>
      </c>
      <c r="N1129" s="208" t="s">
        <v>44</v>
      </c>
    </row>
    <row r="1130" spans="1:14">
      <c r="A1130" s="36" t="s">
        <v>19</v>
      </c>
      <c r="B1130" s="37">
        <v>44530</v>
      </c>
      <c r="C1130" s="36" t="s">
        <v>615</v>
      </c>
      <c r="D1130" s="36" t="s">
        <v>616</v>
      </c>
      <c r="E1130" s="36" t="s">
        <v>617</v>
      </c>
      <c r="G1130" s="87">
        <v>2544545</v>
      </c>
      <c r="H1130" s="87">
        <v>254454.5</v>
      </c>
      <c r="I1130" s="87">
        <v>2798999.5</v>
      </c>
      <c r="K1130" s="85">
        <v>2021</v>
      </c>
      <c r="L1130" s="85">
        <v>11</v>
      </c>
      <c r="N1130" s="208" t="s">
        <v>44</v>
      </c>
    </row>
    <row r="1131" spans="1:14">
      <c r="A1131" s="36" t="s">
        <v>32</v>
      </c>
      <c r="B1131" s="37">
        <v>44530</v>
      </c>
      <c r="C1131" s="36" t="s">
        <v>618</v>
      </c>
      <c r="D1131" s="36" t="s">
        <v>619</v>
      </c>
      <c r="E1131" s="36" t="s">
        <v>78</v>
      </c>
      <c r="G1131" s="87">
        <v>3057600</v>
      </c>
      <c r="H1131" s="87">
        <v>305760</v>
      </c>
      <c r="I1131" s="87">
        <v>3363360</v>
      </c>
      <c r="K1131" s="85">
        <v>2021</v>
      </c>
      <c r="L1131" s="85">
        <v>11</v>
      </c>
      <c r="N1131" s="208" t="s">
        <v>44</v>
      </c>
    </row>
    <row r="1132" spans="1:14">
      <c r="A1132" s="36" t="s">
        <v>32</v>
      </c>
      <c r="B1132" s="37">
        <v>44530</v>
      </c>
      <c r="C1132" s="36" t="s">
        <v>441</v>
      </c>
      <c r="D1132" s="36" t="s">
        <v>514</v>
      </c>
      <c r="E1132" s="36" t="s">
        <v>76</v>
      </c>
      <c r="G1132" s="87">
        <v>3600000</v>
      </c>
      <c r="H1132" s="87">
        <v>360000</v>
      </c>
      <c r="I1132" s="87">
        <v>3960000</v>
      </c>
      <c r="K1132" s="85">
        <v>2021</v>
      </c>
      <c r="L1132" s="85">
        <v>11</v>
      </c>
      <c r="N1132" s="208" t="s">
        <v>44</v>
      </c>
    </row>
    <row r="1133" spans="1:14">
      <c r="A1133" s="36" t="s">
        <v>32</v>
      </c>
      <c r="B1133" s="37">
        <v>44530</v>
      </c>
      <c r="C1133" s="36" t="s">
        <v>185</v>
      </c>
      <c r="D1133" s="36" t="s">
        <v>105</v>
      </c>
      <c r="E1133" s="36" t="s">
        <v>78</v>
      </c>
      <c r="G1133" s="87">
        <v>5596500</v>
      </c>
      <c r="H1133" s="87">
        <v>559650</v>
      </c>
      <c r="I1133" s="87">
        <v>6156150</v>
      </c>
      <c r="K1133" s="85">
        <v>2021</v>
      </c>
      <c r="L1133" s="85">
        <v>11</v>
      </c>
      <c r="N1133" s="208" t="s">
        <v>44</v>
      </c>
    </row>
    <row r="1134" spans="1:14">
      <c r="A1134" s="36" t="s">
        <v>32</v>
      </c>
      <c r="B1134" s="37">
        <v>44530</v>
      </c>
      <c r="C1134" s="36" t="s">
        <v>268</v>
      </c>
      <c r="D1134" s="36" t="s">
        <v>589</v>
      </c>
      <c r="E1134" s="36" t="s">
        <v>76</v>
      </c>
      <c r="G1134" s="87">
        <v>14664000</v>
      </c>
      <c r="H1134" s="87">
        <v>1466400</v>
      </c>
      <c r="I1134" s="87">
        <v>16130400</v>
      </c>
      <c r="K1134" s="85">
        <v>2021</v>
      </c>
      <c r="L1134" s="85">
        <v>11</v>
      </c>
      <c r="N1134" s="208" t="s">
        <v>44</v>
      </c>
    </row>
    <row r="1135" spans="1:14">
      <c r="A1135" s="36" t="s">
        <v>33</v>
      </c>
      <c r="B1135" s="37">
        <v>44530</v>
      </c>
      <c r="C1135" s="36" t="s">
        <v>590</v>
      </c>
      <c r="D1135" s="36" t="s">
        <v>591</v>
      </c>
      <c r="E1135" s="36" t="s">
        <v>148</v>
      </c>
      <c r="J1135" s="87">
        <v>1320000</v>
      </c>
      <c r="K1135" s="85">
        <v>2021</v>
      </c>
      <c r="L1135" s="85">
        <v>10</v>
      </c>
      <c r="N1135" s="208" t="s">
        <v>44</v>
      </c>
    </row>
    <row r="1136" spans="1:14">
      <c r="A1136" s="36" t="s">
        <v>32</v>
      </c>
      <c r="B1136" s="37">
        <v>44530</v>
      </c>
      <c r="C1136" s="36" t="s">
        <v>188</v>
      </c>
      <c r="D1136" s="36" t="s">
        <v>620</v>
      </c>
      <c r="E1136" s="36" t="s">
        <v>76</v>
      </c>
      <c r="G1136" s="87">
        <v>2000000</v>
      </c>
      <c r="H1136" s="87">
        <v>200000</v>
      </c>
      <c r="I1136" s="87">
        <v>2200000</v>
      </c>
      <c r="K1136" s="85">
        <v>2021</v>
      </c>
      <c r="L1136" s="85">
        <v>11</v>
      </c>
      <c r="N1136" s="208" t="s">
        <v>44</v>
      </c>
    </row>
    <row r="1137" spans="1:14">
      <c r="A1137" s="36" t="s">
        <v>32</v>
      </c>
      <c r="B1137" s="37">
        <v>44530</v>
      </c>
      <c r="C1137" s="36" t="s">
        <v>188</v>
      </c>
      <c r="D1137" s="36" t="s">
        <v>518</v>
      </c>
      <c r="E1137" s="36" t="s">
        <v>76</v>
      </c>
      <c r="G1137" s="87">
        <v>1750000</v>
      </c>
      <c r="H1137" s="87">
        <v>175000</v>
      </c>
      <c r="I1137" s="87">
        <v>1925000</v>
      </c>
      <c r="K1137" s="85">
        <v>2021</v>
      </c>
      <c r="L1137" s="85">
        <v>11</v>
      </c>
      <c r="N1137" s="208" t="s">
        <v>44</v>
      </c>
    </row>
    <row r="1138" spans="1:14">
      <c r="A1138" s="36" t="s">
        <v>32</v>
      </c>
      <c r="B1138" s="37">
        <v>44530</v>
      </c>
      <c r="C1138" s="36" t="s">
        <v>188</v>
      </c>
      <c r="D1138" s="36" t="s">
        <v>621</v>
      </c>
      <c r="E1138" s="36" t="s">
        <v>76</v>
      </c>
      <c r="G1138" s="87">
        <v>5000000</v>
      </c>
      <c r="H1138" s="87">
        <v>500000</v>
      </c>
      <c r="I1138" s="87">
        <v>5500000</v>
      </c>
      <c r="K1138" s="85">
        <v>2021</v>
      </c>
      <c r="L1138" s="85">
        <v>11</v>
      </c>
      <c r="N1138" s="208" t="s">
        <v>44</v>
      </c>
    </row>
    <row r="1139" spans="1:14">
      <c r="A1139" s="36" t="s">
        <v>32</v>
      </c>
      <c r="B1139" s="37">
        <v>44530</v>
      </c>
      <c r="C1139" s="36" t="s">
        <v>188</v>
      </c>
      <c r="D1139" s="36" t="s">
        <v>622</v>
      </c>
      <c r="E1139" s="36" t="s">
        <v>76</v>
      </c>
      <c r="G1139" s="87">
        <v>2790000</v>
      </c>
      <c r="H1139" s="87">
        <v>279000</v>
      </c>
      <c r="I1139" s="87">
        <v>3069000</v>
      </c>
      <c r="K1139" s="85">
        <v>2021</v>
      </c>
      <c r="L1139" s="85">
        <v>11</v>
      </c>
      <c r="N1139" s="208" t="s">
        <v>44</v>
      </c>
    </row>
    <row r="1140" spans="1:14">
      <c r="A1140" s="36" t="s">
        <v>32</v>
      </c>
      <c r="B1140" s="37">
        <v>44530</v>
      </c>
      <c r="C1140" s="36" t="s">
        <v>188</v>
      </c>
      <c r="D1140" s="36" t="s">
        <v>623</v>
      </c>
      <c r="E1140" s="36" t="s">
        <v>76</v>
      </c>
      <c r="G1140" s="87">
        <v>3400000</v>
      </c>
      <c r="H1140" s="87">
        <v>340000</v>
      </c>
      <c r="I1140" s="87">
        <v>3740000</v>
      </c>
      <c r="K1140" s="85">
        <v>2021</v>
      </c>
      <c r="L1140" s="85">
        <v>11</v>
      </c>
      <c r="N1140" s="208" t="s">
        <v>44</v>
      </c>
    </row>
    <row r="1141" spans="1:14">
      <c r="A1141" s="36" t="s">
        <v>32</v>
      </c>
      <c r="B1141" s="37">
        <v>44530</v>
      </c>
      <c r="C1141" s="36" t="s">
        <v>188</v>
      </c>
      <c r="D1141" s="36" t="s">
        <v>624</v>
      </c>
      <c r="E1141" s="36" t="s">
        <v>76</v>
      </c>
      <c r="G1141" s="87">
        <v>3110000</v>
      </c>
      <c r="H1141" s="87">
        <v>311000</v>
      </c>
      <c r="I1141" s="87">
        <v>3421000</v>
      </c>
      <c r="K1141" s="85">
        <v>2021</v>
      </c>
      <c r="L1141" s="85">
        <v>11</v>
      </c>
      <c r="N1141" s="208" t="s">
        <v>44</v>
      </c>
    </row>
    <row r="1142" spans="1:14">
      <c r="A1142" s="36" t="s">
        <v>32</v>
      </c>
      <c r="B1142" s="37">
        <v>44530</v>
      </c>
      <c r="C1142" s="36" t="s">
        <v>188</v>
      </c>
      <c r="D1142" s="36" t="s">
        <v>595</v>
      </c>
      <c r="E1142" s="36" t="s">
        <v>76</v>
      </c>
      <c r="G1142" s="87">
        <v>4360000</v>
      </c>
      <c r="H1142" s="87">
        <v>436000</v>
      </c>
      <c r="I1142" s="87">
        <v>4796000</v>
      </c>
      <c r="K1142" s="85">
        <v>2021</v>
      </c>
      <c r="L1142" s="85">
        <v>11</v>
      </c>
      <c r="N1142" s="208" t="s">
        <v>44</v>
      </c>
    </row>
    <row r="1143" spans="1:14">
      <c r="A1143" s="36" t="s">
        <v>32</v>
      </c>
      <c r="B1143" s="37">
        <v>44530</v>
      </c>
      <c r="C1143" s="36" t="s">
        <v>188</v>
      </c>
      <c r="D1143" s="36" t="s">
        <v>625</v>
      </c>
      <c r="E1143" s="36" t="s">
        <v>76</v>
      </c>
      <c r="G1143" s="87">
        <v>5620000</v>
      </c>
      <c r="H1143" s="87">
        <v>562000</v>
      </c>
      <c r="I1143" s="87">
        <v>6182000</v>
      </c>
      <c r="K1143" s="85">
        <v>2021</v>
      </c>
      <c r="L1143" s="85">
        <v>11</v>
      </c>
      <c r="N1143" s="208" t="s">
        <v>44</v>
      </c>
    </row>
    <row r="1144" spans="1:14">
      <c r="A1144" s="36" t="s">
        <v>32</v>
      </c>
      <c r="B1144" s="37">
        <v>44530</v>
      </c>
      <c r="C1144" s="36" t="s">
        <v>188</v>
      </c>
      <c r="D1144" s="36" t="s">
        <v>517</v>
      </c>
      <c r="E1144" s="36" t="s">
        <v>76</v>
      </c>
      <c r="G1144" s="87">
        <v>12660000</v>
      </c>
      <c r="H1144" s="87">
        <v>1266000</v>
      </c>
      <c r="I1144" s="87">
        <v>13926000</v>
      </c>
      <c r="K1144" s="85">
        <v>2021</v>
      </c>
      <c r="L1144" s="85">
        <v>11</v>
      </c>
      <c r="N1144" s="208" t="s">
        <v>44</v>
      </c>
    </row>
    <row r="1145" spans="1:14">
      <c r="A1145" s="36" t="s">
        <v>32</v>
      </c>
      <c r="B1145" s="37">
        <v>44530</v>
      </c>
      <c r="C1145" s="36" t="s">
        <v>188</v>
      </c>
      <c r="D1145" s="36" t="s">
        <v>408</v>
      </c>
      <c r="E1145" s="36" t="s">
        <v>76</v>
      </c>
      <c r="G1145" s="87">
        <v>7040000</v>
      </c>
      <c r="H1145" s="87">
        <v>704000</v>
      </c>
      <c r="I1145" s="87">
        <v>7744000</v>
      </c>
      <c r="K1145" s="85">
        <v>2021</v>
      </c>
      <c r="L1145" s="85">
        <v>11</v>
      </c>
      <c r="N1145" s="208" t="s">
        <v>44</v>
      </c>
    </row>
    <row r="1146" spans="1:14">
      <c r="A1146" s="36" t="s">
        <v>32</v>
      </c>
      <c r="B1146" s="37">
        <v>44530</v>
      </c>
      <c r="C1146" s="36" t="s">
        <v>411</v>
      </c>
      <c r="D1146" s="36" t="s">
        <v>462</v>
      </c>
      <c r="E1146" s="36" t="s">
        <v>148</v>
      </c>
      <c r="J1146" s="87">
        <v>5219500</v>
      </c>
      <c r="K1146" s="85">
        <v>2021</v>
      </c>
      <c r="L1146" s="85">
        <v>10</v>
      </c>
      <c r="N1146" s="208" t="s">
        <v>44</v>
      </c>
    </row>
    <row r="1147" spans="1:14">
      <c r="A1147" s="36" t="s">
        <v>32</v>
      </c>
      <c r="B1147" s="37">
        <v>44530</v>
      </c>
      <c r="C1147" s="36" t="s">
        <v>411</v>
      </c>
      <c r="D1147" s="36" t="s">
        <v>412</v>
      </c>
      <c r="E1147" s="36" t="s">
        <v>148</v>
      </c>
      <c r="J1147" s="87">
        <v>14942400</v>
      </c>
      <c r="K1147" s="85">
        <v>2021</v>
      </c>
      <c r="L1147" s="85">
        <v>10</v>
      </c>
      <c r="N1147" s="208" t="s">
        <v>44</v>
      </c>
    </row>
    <row r="1148" spans="1:14">
      <c r="A1148" s="36" t="s">
        <v>32</v>
      </c>
      <c r="B1148" s="37">
        <v>44530</v>
      </c>
      <c r="C1148" s="36" t="s">
        <v>411</v>
      </c>
      <c r="D1148" s="36" t="s">
        <v>412</v>
      </c>
      <c r="E1148" s="36" t="s">
        <v>148</v>
      </c>
      <c r="J1148" s="87">
        <v>25406700</v>
      </c>
      <c r="K1148" s="85">
        <v>2021</v>
      </c>
      <c r="L1148" s="85">
        <v>10</v>
      </c>
      <c r="N1148" s="208" t="s">
        <v>44</v>
      </c>
    </row>
    <row r="1149" spans="1:14">
      <c r="A1149" s="36" t="s">
        <v>32</v>
      </c>
      <c r="B1149" s="37">
        <v>44530</v>
      </c>
      <c r="C1149" s="36" t="s">
        <v>411</v>
      </c>
      <c r="D1149" s="36" t="s">
        <v>412</v>
      </c>
      <c r="E1149" s="36" t="s">
        <v>78</v>
      </c>
      <c r="G1149" s="87">
        <v>21929000</v>
      </c>
      <c r="H1149" s="87">
        <v>2192900</v>
      </c>
      <c r="I1149" s="87">
        <v>24121900</v>
      </c>
      <c r="K1149" s="85">
        <v>2021</v>
      </c>
      <c r="L1149" s="85">
        <v>11</v>
      </c>
      <c r="N1149" s="208" t="s">
        <v>44</v>
      </c>
    </row>
    <row r="1150" spans="1:14">
      <c r="A1150" s="36" t="s">
        <v>32</v>
      </c>
      <c r="B1150" s="37">
        <v>44530</v>
      </c>
      <c r="C1150" s="36" t="s">
        <v>411</v>
      </c>
      <c r="D1150" s="36" t="s">
        <v>412</v>
      </c>
      <c r="E1150" s="36" t="s">
        <v>269</v>
      </c>
      <c r="G1150" s="87">
        <v>11798000</v>
      </c>
      <c r="H1150" s="87">
        <v>1179800</v>
      </c>
      <c r="I1150" s="87">
        <v>12977800</v>
      </c>
      <c r="K1150" s="85">
        <v>2021</v>
      </c>
      <c r="L1150" s="85">
        <v>11</v>
      </c>
      <c r="N1150" s="208" t="s">
        <v>44</v>
      </c>
    </row>
    <row r="1151" spans="1:14">
      <c r="A1151" s="36" t="s">
        <v>32</v>
      </c>
      <c r="B1151" s="37">
        <v>44530</v>
      </c>
      <c r="C1151" s="36" t="s">
        <v>175</v>
      </c>
      <c r="D1151" s="36" t="s">
        <v>463</v>
      </c>
      <c r="E1151" s="36" t="s">
        <v>148</v>
      </c>
      <c r="J1151" s="87">
        <v>3645400</v>
      </c>
      <c r="K1151" s="85">
        <v>2021</v>
      </c>
      <c r="L1151" s="85">
        <v>10</v>
      </c>
      <c r="N1151" s="208" t="s">
        <v>44</v>
      </c>
    </row>
    <row r="1152" spans="1:14">
      <c r="A1152" s="36" t="s">
        <v>32</v>
      </c>
      <c r="B1152" s="37">
        <v>44530</v>
      </c>
      <c r="C1152" s="36" t="s">
        <v>175</v>
      </c>
      <c r="D1152" s="36" t="s">
        <v>597</v>
      </c>
      <c r="E1152" s="36" t="s">
        <v>76</v>
      </c>
      <c r="G1152" s="87">
        <v>3086400</v>
      </c>
      <c r="H1152" s="87">
        <v>308640</v>
      </c>
      <c r="I1152" s="87">
        <v>3395040</v>
      </c>
      <c r="K1152" s="85">
        <v>2021</v>
      </c>
      <c r="L1152" s="85">
        <v>11</v>
      </c>
      <c r="N1152" s="208" t="s">
        <v>44</v>
      </c>
    </row>
    <row r="1153" spans="1:14">
      <c r="A1153" s="36" t="s">
        <v>32</v>
      </c>
      <c r="B1153" s="37">
        <v>44530</v>
      </c>
      <c r="C1153" s="36" t="s">
        <v>466</v>
      </c>
      <c r="D1153" s="36" t="s">
        <v>467</v>
      </c>
      <c r="E1153" s="36" t="s">
        <v>78</v>
      </c>
      <c r="G1153" s="87">
        <v>23479500</v>
      </c>
      <c r="H1153" s="87">
        <v>2347950</v>
      </c>
      <c r="I1153" s="87">
        <v>25827450</v>
      </c>
      <c r="K1153" s="85">
        <v>2021</v>
      </c>
      <c r="L1153" s="85">
        <v>11</v>
      </c>
      <c r="N1153" s="208" t="s">
        <v>44</v>
      </c>
    </row>
    <row r="1154" spans="1:14">
      <c r="A1154" s="36" t="s">
        <v>32</v>
      </c>
      <c r="B1154" s="37">
        <v>44530</v>
      </c>
      <c r="C1154" s="36" t="s">
        <v>466</v>
      </c>
      <c r="D1154" s="36" t="s">
        <v>467</v>
      </c>
      <c r="E1154" s="36" t="s">
        <v>269</v>
      </c>
      <c r="G1154" s="87">
        <v>48997800</v>
      </c>
      <c r="H1154" s="87">
        <v>4899780</v>
      </c>
      <c r="I1154" s="87">
        <v>53897580</v>
      </c>
      <c r="K1154" s="85">
        <v>2021</v>
      </c>
      <c r="L1154" s="85">
        <v>11</v>
      </c>
      <c r="N1154" s="208" t="s">
        <v>44</v>
      </c>
    </row>
    <row r="1155" spans="1:14">
      <c r="A1155" s="36" t="s">
        <v>32</v>
      </c>
      <c r="B1155" s="37">
        <v>44530</v>
      </c>
      <c r="C1155" s="36" t="s">
        <v>466</v>
      </c>
      <c r="D1155" s="36" t="s">
        <v>467</v>
      </c>
      <c r="E1155" s="36" t="s">
        <v>76</v>
      </c>
      <c r="G1155" s="87">
        <v>3360000</v>
      </c>
      <c r="H1155" s="87">
        <v>336000</v>
      </c>
      <c r="I1155" s="87">
        <v>3696000</v>
      </c>
      <c r="K1155" s="85">
        <v>2021</v>
      </c>
      <c r="L1155" s="85">
        <v>11</v>
      </c>
      <c r="N1155" s="208" t="s">
        <v>44</v>
      </c>
    </row>
    <row r="1156" spans="1:14">
      <c r="A1156" s="36" t="s">
        <v>33</v>
      </c>
      <c r="B1156" s="37">
        <v>44530</v>
      </c>
      <c r="C1156" s="36" t="s">
        <v>115</v>
      </c>
      <c r="D1156" s="36" t="s">
        <v>371</v>
      </c>
      <c r="E1156" s="36" t="s">
        <v>468</v>
      </c>
      <c r="G1156" s="87">
        <v>1056363</v>
      </c>
      <c r="H1156" s="87">
        <v>105637</v>
      </c>
      <c r="I1156" s="87">
        <v>1162000</v>
      </c>
      <c r="K1156" s="85">
        <v>2021</v>
      </c>
      <c r="L1156" s="85">
        <v>11</v>
      </c>
      <c r="M1156" s="36" t="s">
        <v>107</v>
      </c>
      <c r="N1156" s="208" t="s">
        <v>44</v>
      </c>
    </row>
    <row r="1157" spans="1:14">
      <c r="A1157" s="36" t="s">
        <v>33</v>
      </c>
      <c r="B1157" s="37">
        <v>44530</v>
      </c>
      <c r="C1157" s="36" t="s">
        <v>115</v>
      </c>
      <c r="D1157" s="36" t="s">
        <v>371</v>
      </c>
      <c r="E1157" s="36" t="s">
        <v>469</v>
      </c>
      <c r="G1157" s="87">
        <v>890909</v>
      </c>
      <c r="H1157" s="87">
        <v>89091</v>
      </c>
      <c r="I1157" s="87">
        <v>980000</v>
      </c>
      <c r="K1157" s="85">
        <v>2021</v>
      </c>
      <c r="L1157" s="85">
        <v>11</v>
      </c>
      <c r="M1157" s="36" t="s">
        <v>107</v>
      </c>
      <c r="N1157" s="208" t="s">
        <v>44</v>
      </c>
    </row>
    <row r="1158" spans="1:14">
      <c r="A1158" s="36" t="s">
        <v>33</v>
      </c>
      <c r="B1158" s="37">
        <v>44530</v>
      </c>
      <c r="C1158" s="36" t="s">
        <v>115</v>
      </c>
      <c r="D1158" s="36" t="s">
        <v>371</v>
      </c>
      <c r="E1158" s="36" t="s">
        <v>470</v>
      </c>
      <c r="G1158" s="87">
        <v>280000</v>
      </c>
      <c r="H1158" s="87">
        <v>28000</v>
      </c>
      <c r="I1158" s="87">
        <v>308000</v>
      </c>
      <c r="K1158" s="85">
        <v>2021</v>
      </c>
      <c r="L1158" s="85">
        <v>11</v>
      </c>
      <c r="M1158" s="36" t="s">
        <v>107</v>
      </c>
      <c r="N1158" s="208" t="s">
        <v>44</v>
      </c>
    </row>
    <row r="1159" spans="1:14">
      <c r="A1159" s="36" t="s">
        <v>33</v>
      </c>
      <c r="B1159" s="37">
        <v>44530</v>
      </c>
      <c r="C1159" s="36" t="s">
        <v>115</v>
      </c>
      <c r="D1159" s="36" t="s">
        <v>371</v>
      </c>
      <c r="E1159" s="36" t="s">
        <v>471</v>
      </c>
      <c r="G1159" s="87">
        <v>324545</v>
      </c>
      <c r="H1159" s="87">
        <v>32455</v>
      </c>
      <c r="I1159" s="87">
        <v>357000</v>
      </c>
      <c r="K1159" s="85">
        <v>2021</v>
      </c>
      <c r="L1159" s="85">
        <v>11</v>
      </c>
      <c r="M1159" s="36" t="s">
        <v>107</v>
      </c>
      <c r="N1159" s="208" t="s">
        <v>44</v>
      </c>
    </row>
    <row r="1160" spans="1:14">
      <c r="A1160" s="36" t="s">
        <v>33</v>
      </c>
      <c r="B1160" s="37">
        <v>44530</v>
      </c>
      <c r="C1160" s="36" t="s">
        <v>115</v>
      </c>
      <c r="D1160" s="36" t="s">
        <v>371</v>
      </c>
      <c r="E1160" s="36" t="s">
        <v>472</v>
      </c>
      <c r="G1160" s="87">
        <v>171818</v>
      </c>
      <c r="H1160" s="87">
        <v>17182</v>
      </c>
      <c r="I1160" s="87">
        <v>189000</v>
      </c>
      <c r="K1160" s="85">
        <v>2021</v>
      </c>
      <c r="L1160" s="85">
        <v>11</v>
      </c>
      <c r="M1160" s="36" t="s">
        <v>107</v>
      </c>
      <c r="N1160" s="208" t="s">
        <v>44</v>
      </c>
    </row>
    <row r="1161" spans="1:14">
      <c r="A1161" s="36" t="s">
        <v>33</v>
      </c>
      <c r="B1161" s="37">
        <v>44530</v>
      </c>
      <c r="C1161" s="36" t="s">
        <v>168</v>
      </c>
      <c r="D1161" s="36" t="s">
        <v>258</v>
      </c>
      <c r="E1161" s="36" t="s">
        <v>125</v>
      </c>
      <c r="G1161" s="87">
        <v>1372100</v>
      </c>
      <c r="H1161" s="87">
        <v>137210</v>
      </c>
      <c r="I1161" s="87">
        <v>1509310</v>
      </c>
      <c r="K1161" s="85">
        <v>2021</v>
      </c>
      <c r="L1161" s="85">
        <v>11</v>
      </c>
      <c r="N1161" s="208" t="s">
        <v>44</v>
      </c>
    </row>
    <row r="1162" spans="1:14">
      <c r="A1162" s="36" t="s">
        <v>33</v>
      </c>
      <c r="B1162" s="37">
        <v>44530</v>
      </c>
      <c r="C1162" s="36" t="s">
        <v>103</v>
      </c>
      <c r="D1162" s="36" t="s">
        <v>205</v>
      </c>
      <c r="E1162" s="36" t="s">
        <v>148</v>
      </c>
      <c r="J1162" s="87">
        <v>1079100</v>
      </c>
      <c r="K1162" s="85">
        <v>2021</v>
      </c>
      <c r="L1162" s="85">
        <v>10</v>
      </c>
      <c r="N1162" s="208" t="s">
        <v>44</v>
      </c>
    </row>
    <row r="1163" spans="1:14">
      <c r="A1163" s="36" t="s">
        <v>32</v>
      </c>
      <c r="B1163" s="37">
        <v>44530</v>
      </c>
      <c r="C1163" s="36" t="s">
        <v>352</v>
      </c>
      <c r="D1163" s="36" t="s">
        <v>427</v>
      </c>
      <c r="E1163" s="36" t="s">
        <v>76</v>
      </c>
      <c r="G1163" s="87">
        <v>8898000</v>
      </c>
      <c r="H1163" s="87">
        <v>889800</v>
      </c>
      <c r="I1163" s="87">
        <v>9787800</v>
      </c>
      <c r="K1163" s="85">
        <v>2021</v>
      </c>
      <c r="L1163" s="85">
        <v>11</v>
      </c>
      <c r="N1163" s="208" t="s">
        <v>44</v>
      </c>
    </row>
    <row r="1164" spans="1:14">
      <c r="A1164" s="36" t="s">
        <v>32</v>
      </c>
      <c r="B1164" s="37">
        <v>44530</v>
      </c>
      <c r="C1164" s="36" t="s">
        <v>474</v>
      </c>
      <c r="D1164" s="36" t="s">
        <v>569</v>
      </c>
      <c r="E1164" s="36" t="s">
        <v>148</v>
      </c>
      <c r="J1164" s="87">
        <v>17028000</v>
      </c>
      <c r="K1164" s="85">
        <v>2021</v>
      </c>
      <c r="L1164" s="85">
        <v>10</v>
      </c>
      <c r="N1164" s="208" t="s">
        <v>44</v>
      </c>
    </row>
    <row r="1165" spans="1:14">
      <c r="A1165" s="36" t="s">
        <v>32</v>
      </c>
      <c r="B1165" s="37">
        <v>44530</v>
      </c>
      <c r="C1165" s="36" t="s">
        <v>474</v>
      </c>
      <c r="D1165" s="36" t="s">
        <v>569</v>
      </c>
      <c r="E1165" s="36" t="s">
        <v>76</v>
      </c>
      <c r="G1165" s="87">
        <v>7000000</v>
      </c>
      <c r="H1165" s="87">
        <v>700000</v>
      </c>
      <c r="I1165" s="87">
        <v>7700000</v>
      </c>
      <c r="K1165" s="85">
        <v>2021</v>
      </c>
      <c r="L1165" s="85">
        <v>11</v>
      </c>
      <c r="N1165" s="208" t="s">
        <v>44</v>
      </c>
    </row>
    <row r="1166" spans="1:14">
      <c r="A1166" s="36" t="s">
        <v>32</v>
      </c>
      <c r="B1166" s="37">
        <v>44531</v>
      </c>
      <c r="C1166" s="36" t="s">
        <v>174</v>
      </c>
      <c r="D1166" s="36" t="s">
        <v>540</v>
      </c>
      <c r="E1166" s="36" t="s">
        <v>77</v>
      </c>
      <c r="J1166" s="87">
        <v>48080120</v>
      </c>
      <c r="K1166" s="85">
        <v>2021</v>
      </c>
      <c r="L1166" s="85">
        <v>10</v>
      </c>
      <c r="N1166" s="208" t="s">
        <v>44</v>
      </c>
    </row>
    <row r="1167" spans="1:14">
      <c r="A1167" s="36" t="s">
        <v>19</v>
      </c>
      <c r="B1167" s="37">
        <v>44531</v>
      </c>
      <c r="C1167" s="36" t="s">
        <v>607</v>
      </c>
      <c r="D1167" s="36" t="s">
        <v>430</v>
      </c>
      <c r="E1167" s="36" t="s">
        <v>148</v>
      </c>
      <c r="J1167" s="87">
        <v>2772000</v>
      </c>
      <c r="K1167" s="85">
        <v>2021</v>
      </c>
      <c r="L1167" s="85">
        <v>11</v>
      </c>
      <c r="N1167" s="208" t="s">
        <v>44</v>
      </c>
    </row>
    <row r="1168" spans="1:14">
      <c r="A1168" s="36" t="s">
        <v>33</v>
      </c>
      <c r="B1168" s="37">
        <v>44531</v>
      </c>
      <c r="C1168" s="36" t="s">
        <v>544</v>
      </c>
      <c r="D1168" s="36" t="s">
        <v>545</v>
      </c>
      <c r="E1168" s="36" t="s">
        <v>77</v>
      </c>
      <c r="J1168" s="87">
        <v>1402500</v>
      </c>
      <c r="K1168" s="85">
        <v>2021</v>
      </c>
      <c r="L1168" s="85">
        <v>10</v>
      </c>
      <c r="M1168" s="36" t="s">
        <v>107</v>
      </c>
      <c r="N1168" s="208" t="s">
        <v>44</v>
      </c>
    </row>
    <row r="1169" spans="1:14">
      <c r="A1169" s="36" t="s">
        <v>19</v>
      </c>
      <c r="B1169" s="37">
        <v>44531</v>
      </c>
      <c r="C1169" s="36" t="s">
        <v>572</v>
      </c>
      <c r="D1169" s="36" t="s">
        <v>200</v>
      </c>
      <c r="E1169" s="36" t="s">
        <v>148</v>
      </c>
      <c r="J1169" s="87">
        <v>15510000</v>
      </c>
      <c r="K1169" s="85">
        <v>2021</v>
      </c>
      <c r="L1169" s="85">
        <v>10</v>
      </c>
      <c r="N1169" s="208" t="s">
        <v>44</v>
      </c>
    </row>
    <row r="1170" spans="1:14">
      <c r="A1170" s="36" t="s">
        <v>32</v>
      </c>
      <c r="B1170" s="37">
        <v>44531</v>
      </c>
      <c r="C1170" s="36" t="s">
        <v>334</v>
      </c>
      <c r="D1170" s="36" t="s">
        <v>586</v>
      </c>
      <c r="E1170" s="36" t="s">
        <v>77</v>
      </c>
      <c r="J1170" s="87">
        <v>9313040</v>
      </c>
      <c r="K1170" s="85">
        <v>2021</v>
      </c>
      <c r="L1170" s="85">
        <v>10</v>
      </c>
      <c r="N1170" s="208" t="s">
        <v>44</v>
      </c>
    </row>
    <row r="1171" spans="1:14">
      <c r="A1171" s="36" t="s">
        <v>32</v>
      </c>
      <c r="B1171" s="37">
        <v>44531</v>
      </c>
      <c r="C1171" s="36" t="s">
        <v>171</v>
      </c>
      <c r="D1171" s="36" t="s">
        <v>486</v>
      </c>
      <c r="E1171" s="36" t="s">
        <v>76</v>
      </c>
      <c r="G1171" s="87">
        <v>8802899</v>
      </c>
      <c r="H1171" s="87">
        <v>880289</v>
      </c>
      <c r="I1171" s="87">
        <v>9683188</v>
      </c>
      <c r="K1171" s="85">
        <v>2021</v>
      </c>
      <c r="L1171" s="85">
        <v>12</v>
      </c>
      <c r="N1171" s="208" t="s">
        <v>44</v>
      </c>
    </row>
    <row r="1172" spans="1:14">
      <c r="A1172" s="36" t="s">
        <v>32</v>
      </c>
      <c r="B1172" s="37">
        <v>44531</v>
      </c>
      <c r="C1172" s="36" t="s">
        <v>555</v>
      </c>
      <c r="D1172" s="36" t="s">
        <v>105</v>
      </c>
      <c r="E1172" s="36" t="s">
        <v>77</v>
      </c>
      <c r="J1172" s="87">
        <v>9673950</v>
      </c>
      <c r="K1172" s="85">
        <v>2021</v>
      </c>
      <c r="L1172" s="85">
        <v>9</v>
      </c>
      <c r="M1172" s="36" t="s">
        <v>556</v>
      </c>
      <c r="N1172" s="208" t="s">
        <v>44</v>
      </c>
    </row>
    <row r="1173" spans="1:14">
      <c r="A1173" s="36" t="s">
        <v>32</v>
      </c>
      <c r="B1173" s="37">
        <v>44531</v>
      </c>
      <c r="C1173" s="36" t="s">
        <v>603</v>
      </c>
      <c r="D1173" s="36" t="s">
        <v>604</v>
      </c>
      <c r="E1173" s="36" t="s">
        <v>77</v>
      </c>
      <c r="J1173" s="38">
        <v>20000000</v>
      </c>
      <c r="K1173" s="85">
        <v>2021</v>
      </c>
      <c r="L1173" s="85">
        <v>11</v>
      </c>
      <c r="N1173" s="208" t="s">
        <v>44</v>
      </c>
    </row>
    <row r="1174" spans="1:14">
      <c r="A1174" s="36" t="s">
        <v>32</v>
      </c>
      <c r="B1174" s="37">
        <v>44531</v>
      </c>
      <c r="C1174" s="36" t="s">
        <v>352</v>
      </c>
      <c r="D1174" s="36" t="s">
        <v>427</v>
      </c>
      <c r="E1174" s="36" t="s">
        <v>148</v>
      </c>
      <c r="J1174" s="87">
        <v>12738000</v>
      </c>
      <c r="K1174" s="85">
        <v>2021</v>
      </c>
      <c r="L1174" s="85">
        <v>10</v>
      </c>
      <c r="M1174" s="36" t="s">
        <v>598</v>
      </c>
      <c r="N1174" s="208" t="s">
        <v>44</v>
      </c>
    </row>
    <row r="1175" spans="1:14">
      <c r="A1175" s="36" t="s">
        <v>32</v>
      </c>
      <c r="B1175" s="37">
        <v>44531</v>
      </c>
      <c r="C1175" s="36" t="s">
        <v>474</v>
      </c>
      <c r="D1175" s="36" t="s">
        <v>430</v>
      </c>
      <c r="E1175" s="36" t="s">
        <v>148</v>
      </c>
      <c r="J1175" s="87">
        <v>4950000</v>
      </c>
      <c r="K1175" s="85">
        <v>2021</v>
      </c>
      <c r="L1175" s="85">
        <v>10</v>
      </c>
      <c r="N1175" s="208" t="s">
        <v>44</v>
      </c>
    </row>
    <row r="1176" spans="1:14">
      <c r="A1176" s="36" t="s">
        <v>32</v>
      </c>
      <c r="B1176" s="37">
        <v>44532</v>
      </c>
      <c r="C1176" s="36" t="s">
        <v>603</v>
      </c>
      <c r="D1176" s="36" t="s">
        <v>604</v>
      </c>
      <c r="E1176" s="36" t="s">
        <v>77</v>
      </c>
      <c r="J1176" s="38">
        <v>2000000</v>
      </c>
      <c r="K1176" s="85">
        <v>2021</v>
      </c>
      <c r="L1176" s="85">
        <v>11</v>
      </c>
      <c r="N1176" s="208" t="s">
        <v>44</v>
      </c>
    </row>
    <row r="1177" spans="1:14">
      <c r="A1177" s="36" t="s">
        <v>33</v>
      </c>
      <c r="B1177" s="37">
        <v>44532</v>
      </c>
      <c r="C1177" s="36" t="s">
        <v>168</v>
      </c>
      <c r="D1177" s="36" t="s">
        <v>258</v>
      </c>
      <c r="E1177" s="36" t="s">
        <v>148</v>
      </c>
      <c r="J1177" s="87">
        <v>1509310</v>
      </c>
      <c r="K1177" s="85">
        <v>2021</v>
      </c>
      <c r="L1177" s="85">
        <v>11</v>
      </c>
      <c r="N1177" s="208" t="s">
        <v>44</v>
      </c>
    </row>
    <row r="1178" spans="1:14">
      <c r="A1178" s="36" t="s">
        <v>19</v>
      </c>
      <c r="B1178" s="37">
        <v>44533</v>
      </c>
      <c r="C1178" s="36" t="s">
        <v>395</v>
      </c>
      <c r="D1178" s="36" t="s">
        <v>229</v>
      </c>
      <c r="E1178" s="36" t="s">
        <v>148</v>
      </c>
      <c r="J1178" s="38">
        <v>4158000</v>
      </c>
      <c r="K1178" s="85">
        <v>2021</v>
      </c>
      <c r="L1178" s="85">
        <v>11</v>
      </c>
      <c r="M1178" s="36" t="s">
        <v>107</v>
      </c>
      <c r="N1178" s="208" t="s">
        <v>44</v>
      </c>
    </row>
    <row r="1179" spans="1:14">
      <c r="A1179" s="36" t="s">
        <v>19</v>
      </c>
      <c r="B1179" s="37">
        <v>44533</v>
      </c>
      <c r="C1179" s="36" t="s">
        <v>615</v>
      </c>
      <c r="D1179" s="36" t="s">
        <v>616</v>
      </c>
      <c r="E1179" s="36" t="s">
        <v>148</v>
      </c>
      <c r="J1179" s="38">
        <v>2799000</v>
      </c>
      <c r="K1179" s="85">
        <v>2021</v>
      </c>
      <c r="L1179" s="85">
        <v>11</v>
      </c>
      <c r="N1179" s="208" t="s">
        <v>44</v>
      </c>
    </row>
    <row r="1180" spans="1:14">
      <c r="A1180" s="36" t="s">
        <v>18</v>
      </c>
      <c r="B1180" s="37">
        <v>44533</v>
      </c>
      <c r="C1180" s="36" t="s">
        <v>188</v>
      </c>
      <c r="D1180" s="36" t="s">
        <v>593</v>
      </c>
      <c r="E1180" s="36" t="s">
        <v>148</v>
      </c>
      <c r="J1180" s="87">
        <v>9273000</v>
      </c>
      <c r="K1180" s="85">
        <v>2021</v>
      </c>
      <c r="L1180" s="85">
        <v>10</v>
      </c>
      <c r="N1180" s="208" t="s">
        <v>44</v>
      </c>
    </row>
    <row r="1181" spans="1:14">
      <c r="A1181" s="36" t="s">
        <v>32</v>
      </c>
      <c r="B1181" s="37">
        <v>44533</v>
      </c>
      <c r="C1181" s="36" t="s">
        <v>188</v>
      </c>
      <c r="D1181" s="36" t="s">
        <v>620</v>
      </c>
      <c r="E1181" s="36" t="s">
        <v>77</v>
      </c>
      <c r="J1181" s="38">
        <v>2200000</v>
      </c>
      <c r="K1181" s="85">
        <v>2021</v>
      </c>
      <c r="L1181" s="85">
        <v>11</v>
      </c>
      <c r="N1181" s="208" t="s">
        <v>44</v>
      </c>
    </row>
    <row r="1182" spans="1:14">
      <c r="A1182" s="36" t="s">
        <v>33</v>
      </c>
      <c r="B1182" s="37">
        <v>44533</v>
      </c>
      <c r="C1182" s="36" t="s">
        <v>115</v>
      </c>
      <c r="D1182" s="36" t="s">
        <v>371</v>
      </c>
      <c r="E1182" s="36" t="s">
        <v>148</v>
      </c>
      <c r="J1182" s="38">
        <v>2996000</v>
      </c>
      <c r="K1182" s="85">
        <v>2021</v>
      </c>
      <c r="L1182" s="85">
        <v>11</v>
      </c>
      <c r="M1182" s="36" t="s">
        <v>107</v>
      </c>
      <c r="N1182" s="208" t="s">
        <v>44</v>
      </c>
    </row>
    <row r="1183" spans="1:14">
      <c r="A1183" s="36" t="s">
        <v>33</v>
      </c>
      <c r="B1183" s="37">
        <v>44536</v>
      </c>
      <c r="C1183" s="36" t="s">
        <v>322</v>
      </c>
      <c r="D1183" s="36" t="s">
        <v>369</v>
      </c>
      <c r="E1183" s="36" t="s">
        <v>79</v>
      </c>
      <c r="J1183" s="38">
        <v>1000000</v>
      </c>
      <c r="K1183" s="85">
        <v>2021</v>
      </c>
      <c r="L1183" s="85">
        <v>1</v>
      </c>
      <c r="N1183" s="208" t="s">
        <v>44</v>
      </c>
    </row>
    <row r="1184" spans="1:14">
      <c r="A1184" s="36" t="s">
        <v>33</v>
      </c>
      <c r="B1184" s="37">
        <v>44536</v>
      </c>
      <c r="C1184" s="36" t="s">
        <v>81</v>
      </c>
      <c r="D1184" s="36" t="s">
        <v>491</v>
      </c>
      <c r="E1184" s="36" t="s">
        <v>77</v>
      </c>
      <c r="J1184" s="38">
        <v>500000</v>
      </c>
      <c r="K1184" s="85">
        <v>2021</v>
      </c>
      <c r="L1184" s="85">
        <v>8</v>
      </c>
      <c r="N1184" s="208" t="s">
        <v>44</v>
      </c>
    </row>
    <row r="1185" spans="1:14">
      <c r="A1185" s="36" t="s">
        <v>32</v>
      </c>
      <c r="B1185" s="37">
        <v>44536</v>
      </c>
      <c r="C1185" s="36" t="s">
        <v>496</v>
      </c>
      <c r="D1185" s="36" t="s">
        <v>546</v>
      </c>
      <c r="E1185" s="36" t="s">
        <v>148</v>
      </c>
      <c r="J1185" s="87">
        <v>45666500</v>
      </c>
      <c r="K1185" s="85">
        <v>2021</v>
      </c>
      <c r="L1185" s="85">
        <v>10</v>
      </c>
      <c r="N1185" s="208" t="s">
        <v>44</v>
      </c>
    </row>
    <row r="1186" spans="1:14">
      <c r="A1186" s="36" t="s">
        <v>32</v>
      </c>
      <c r="B1186" s="37">
        <v>44536</v>
      </c>
      <c r="C1186" s="36" t="s">
        <v>618</v>
      </c>
      <c r="D1186" s="36" t="s">
        <v>619</v>
      </c>
      <c r="E1186" s="36" t="s">
        <v>77</v>
      </c>
      <c r="J1186" s="38">
        <v>3363360</v>
      </c>
      <c r="K1186" s="85">
        <v>2021</v>
      </c>
      <c r="L1186" s="85">
        <v>11</v>
      </c>
      <c r="N1186" s="208" t="s">
        <v>44</v>
      </c>
    </row>
    <row r="1187" spans="1:14">
      <c r="A1187" s="36" t="s">
        <v>33</v>
      </c>
      <c r="B1187" s="37">
        <v>44538</v>
      </c>
      <c r="C1187" s="36" t="s">
        <v>626</v>
      </c>
      <c r="D1187" s="36" t="s">
        <v>627</v>
      </c>
      <c r="E1187" s="36" t="s">
        <v>77</v>
      </c>
      <c r="J1187" s="38">
        <v>282000</v>
      </c>
      <c r="K1187" s="85">
        <v>2021</v>
      </c>
      <c r="L1187" s="85">
        <v>12</v>
      </c>
      <c r="N1187" s="208" t="s">
        <v>44</v>
      </c>
    </row>
    <row r="1188" spans="1:14">
      <c r="A1188" s="36" t="s">
        <v>33</v>
      </c>
      <c r="B1188" s="37">
        <v>44539</v>
      </c>
      <c r="C1188" s="36" t="s">
        <v>628</v>
      </c>
      <c r="D1188" s="36" t="s">
        <v>629</v>
      </c>
      <c r="E1188" s="36" t="s">
        <v>630</v>
      </c>
      <c r="G1188" s="87">
        <v>2200000</v>
      </c>
      <c r="H1188" s="87">
        <v>220000</v>
      </c>
      <c r="I1188" s="87">
        <v>2420000</v>
      </c>
      <c r="K1188" s="85">
        <v>2021</v>
      </c>
      <c r="L1188" s="85">
        <v>12</v>
      </c>
      <c r="N1188" s="208" t="s">
        <v>44</v>
      </c>
    </row>
    <row r="1189" spans="1:14">
      <c r="A1189" s="36" t="s">
        <v>32</v>
      </c>
      <c r="B1189" s="37">
        <v>44539</v>
      </c>
      <c r="C1189" s="36" t="s">
        <v>466</v>
      </c>
      <c r="D1189" s="36" t="s">
        <v>467</v>
      </c>
      <c r="E1189" s="36" t="s">
        <v>148</v>
      </c>
      <c r="J1189" s="87">
        <v>3696000</v>
      </c>
      <c r="K1189" s="85">
        <v>2021</v>
      </c>
      <c r="L1189" s="85">
        <v>11</v>
      </c>
      <c r="M1189" s="36" t="s">
        <v>631</v>
      </c>
      <c r="N1189" s="208" t="s">
        <v>44</v>
      </c>
    </row>
    <row r="1190" spans="1:14">
      <c r="A1190" s="36" t="s">
        <v>32</v>
      </c>
      <c r="B1190" s="37">
        <v>44540</v>
      </c>
      <c r="C1190" s="36" t="s">
        <v>180</v>
      </c>
      <c r="D1190" s="36" t="s">
        <v>344</v>
      </c>
      <c r="E1190" s="36" t="s">
        <v>148</v>
      </c>
      <c r="J1190" s="87">
        <v>15380750</v>
      </c>
      <c r="K1190" s="85">
        <v>2021</v>
      </c>
      <c r="L1190" s="85">
        <v>11</v>
      </c>
      <c r="N1190" s="208" t="s">
        <v>44</v>
      </c>
    </row>
    <row r="1191" spans="1:14">
      <c r="A1191" s="36" t="s">
        <v>32</v>
      </c>
      <c r="B1191" s="37">
        <v>44540</v>
      </c>
      <c r="C1191" s="36" t="s">
        <v>188</v>
      </c>
      <c r="D1191" s="36" t="s">
        <v>518</v>
      </c>
      <c r="E1191" s="36" t="s">
        <v>148</v>
      </c>
      <c r="J1191" s="87">
        <v>2673000</v>
      </c>
      <c r="K1191" s="85">
        <v>2021</v>
      </c>
      <c r="L1191" s="85">
        <v>10</v>
      </c>
      <c r="N1191" s="208" t="s">
        <v>44</v>
      </c>
    </row>
    <row r="1192" spans="1:14">
      <c r="A1192" s="36" t="s">
        <v>32</v>
      </c>
      <c r="B1192" s="37">
        <v>44543</v>
      </c>
      <c r="C1192" s="36" t="s">
        <v>188</v>
      </c>
      <c r="D1192" s="36" t="s">
        <v>517</v>
      </c>
      <c r="E1192" s="36" t="s">
        <v>148</v>
      </c>
      <c r="J1192" s="87">
        <v>21538000</v>
      </c>
      <c r="K1192" s="85">
        <v>2021</v>
      </c>
      <c r="L1192" s="85">
        <v>10</v>
      </c>
      <c r="N1192" s="208" t="s">
        <v>44</v>
      </c>
    </row>
    <row r="1193" spans="1:14">
      <c r="A1193" s="36" t="s">
        <v>32</v>
      </c>
      <c r="B1193" s="37">
        <v>44544</v>
      </c>
      <c r="C1193" s="36" t="s">
        <v>277</v>
      </c>
      <c r="D1193" s="36" t="s">
        <v>278</v>
      </c>
      <c r="E1193" s="36" t="s">
        <v>77</v>
      </c>
      <c r="J1193" s="87">
        <v>22677490</v>
      </c>
      <c r="K1193" s="85">
        <v>2021</v>
      </c>
      <c r="L1193" s="85">
        <v>10</v>
      </c>
      <c r="N1193" s="208" t="s">
        <v>44</v>
      </c>
    </row>
    <row r="1194" spans="1:14">
      <c r="A1194" s="36" t="s">
        <v>32</v>
      </c>
      <c r="B1194" s="37">
        <v>44544</v>
      </c>
      <c r="C1194" s="36" t="s">
        <v>175</v>
      </c>
      <c r="D1194" s="36" t="s">
        <v>597</v>
      </c>
      <c r="E1194" s="36" t="s">
        <v>148</v>
      </c>
      <c r="J1194" s="87">
        <v>3168000</v>
      </c>
      <c r="K1194" s="85">
        <v>2021</v>
      </c>
      <c r="L1194" s="85">
        <v>10</v>
      </c>
      <c r="N1194" s="208" t="s">
        <v>44</v>
      </c>
    </row>
    <row r="1195" spans="1:14">
      <c r="A1195" s="36" t="s">
        <v>32</v>
      </c>
      <c r="B1195" s="37">
        <v>44544</v>
      </c>
      <c r="C1195" s="36" t="s">
        <v>175</v>
      </c>
      <c r="D1195" s="36" t="s">
        <v>464</v>
      </c>
      <c r="E1195" s="36" t="s">
        <v>148</v>
      </c>
      <c r="J1195" s="87">
        <v>8223600</v>
      </c>
      <c r="K1195" s="85">
        <v>2021</v>
      </c>
      <c r="L1195" s="85">
        <v>10</v>
      </c>
      <c r="N1195" s="208" t="s">
        <v>44</v>
      </c>
    </row>
    <row r="1196" spans="1:14">
      <c r="A1196" s="36" t="s">
        <v>32</v>
      </c>
      <c r="B1196" s="37">
        <v>44545</v>
      </c>
      <c r="C1196" s="36" t="s">
        <v>268</v>
      </c>
      <c r="D1196" s="36" t="s">
        <v>589</v>
      </c>
      <c r="E1196" s="36" t="s">
        <v>148</v>
      </c>
      <c r="J1196" s="87">
        <v>16130400</v>
      </c>
      <c r="K1196" s="85">
        <v>2021</v>
      </c>
      <c r="L1196" s="85">
        <v>11</v>
      </c>
      <c r="N1196" s="208" t="s">
        <v>44</v>
      </c>
    </row>
    <row r="1197" spans="1:14">
      <c r="A1197" s="36" t="s">
        <v>32</v>
      </c>
      <c r="B1197" s="37">
        <v>44545</v>
      </c>
      <c r="C1197" s="36" t="s">
        <v>466</v>
      </c>
      <c r="D1197" s="36" t="s">
        <v>467</v>
      </c>
      <c r="E1197" s="36" t="s">
        <v>148</v>
      </c>
      <c r="J1197" s="87">
        <v>25827450</v>
      </c>
      <c r="K1197" s="85">
        <v>2021</v>
      </c>
      <c r="L1197" s="85">
        <v>11</v>
      </c>
      <c r="M1197" s="36" t="s">
        <v>632</v>
      </c>
      <c r="N1197" s="208" t="s">
        <v>44</v>
      </c>
    </row>
    <row r="1198" spans="1:14">
      <c r="A1198" s="36" t="s">
        <v>32</v>
      </c>
      <c r="B1198" s="37">
        <v>44545</v>
      </c>
      <c r="C1198" s="36" t="s">
        <v>466</v>
      </c>
      <c r="D1198" s="36" t="s">
        <v>467</v>
      </c>
      <c r="E1198" s="36" t="s">
        <v>148</v>
      </c>
      <c r="J1198" s="87">
        <v>53897580</v>
      </c>
      <c r="K1198" s="85">
        <v>2021</v>
      </c>
      <c r="L1198" s="85">
        <v>11</v>
      </c>
      <c r="M1198" s="36" t="s">
        <v>633</v>
      </c>
      <c r="N1198" s="208" t="s">
        <v>44</v>
      </c>
    </row>
    <row r="1199" spans="1:14">
      <c r="A1199" s="36" t="s">
        <v>33</v>
      </c>
      <c r="B1199" s="37">
        <v>44545</v>
      </c>
      <c r="C1199" s="36" t="s">
        <v>626</v>
      </c>
      <c r="D1199" s="36" t="s">
        <v>627</v>
      </c>
      <c r="E1199" s="36" t="s">
        <v>634</v>
      </c>
      <c r="G1199" s="87">
        <v>4464817</v>
      </c>
      <c r="H1199" s="87">
        <v>446483</v>
      </c>
      <c r="I1199" s="87">
        <v>4911300</v>
      </c>
      <c r="K1199" s="85">
        <v>2021</v>
      </c>
      <c r="L1199" s="85">
        <v>12</v>
      </c>
      <c r="N1199" s="208" t="s">
        <v>44</v>
      </c>
    </row>
    <row r="1200" spans="1:14">
      <c r="A1200" s="36" t="s">
        <v>33</v>
      </c>
      <c r="B1200" s="37">
        <v>44545</v>
      </c>
      <c r="C1200" s="36" t="s">
        <v>626</v>
      </c>
      <c r="D1200" s="36" t="s">
        <v>627</v>
      </c>
      <c r="E1200" s="36" t="s">
        <v>77</v>
      </c>
      <c r="J1200" s="38">
        <v>4629300</v>
      </c>
      <c r="K1200" s="85">
        <v>2021</v>
      </c>
      <c r="L1200" s="85">
        <v>12</v>
      </c>
      <c r="N1200" s="208" t="s">
        <v>44</v>
      </c>
    </row>
    <row r="1201" spans="1:14">
      <c r="A1201" s="36" t="s">
        <v>32</v>
      </c>
      <c r="B1201" s="37">
        <v>44550</v>
      </c>
      <c r="C1201" s="36" t="s">
        <v>171</v>
      </c>
      <c r="D1201" s="36" t="s">
        <v>486</v>
      </c>
      <c r="E1201" s="36" t="s">
        <v>77</v>
      </c>
      <c r="J1201" s="38">
        <v>9683188</v>
      </c>
      <c r="K1201" s="85">
        <v>2021</v>
      </c>
      <c r="L1201" s="85">
        <v>12</v>
      </c>
      <c r="N1201" s="208" t="s">
        <v>44</v>
      </c>
    </row>
    <row r="1202" spans="1:14">
      <c r="A1202" s="36" t="s">
        <v>33</v>
      </c>
      <c r="B1202" s="37">
        <v>44550</v>
      </c>
      <c r="C1202" s="36" t="s">
        <v>635</v>
      </c>
      <c r="D1202" s="36" t="s">
        <v>636</v>
      </c>
      <c r="E1202" s="36" t="s">
        <v>637</v>
      </c>
      <c r="G1202" s="87">
        <v>3190000</v>
      </c>
      <c r="H1202" s="87">
        <v>319000</v>
      </c>
      <c r="I1202" s="87">
        <v>3509000</v>
      </c>
      <c r="K1202" s="85">
        <v>2021</v>
      </c>
      <c r="L1202" s="85">
        <v>12</v>
      </c>
      <c r="N1202" s="208" t="s">
        <v>44</v>
      </c>
    </row>
    <row r="1203" spans="1:14">
      <c r="A1203" s="36" t="s">
        <v>33</v>
      </c>
      <c r="B1203" s="37">
        <v>44550</v>
      </c>
      <c r="C1203" s="36" t="s">
        <v>635</v>
      </c>
      <c r="D1203" s="36" t="s">
        <v>636</v>
      </c>
      <c r="E1203" s="36" t="s">
        <v>77</v>
      </c>
      <c r="J1203" s="38">
        <v>3509000</v>
      </c>
      <c r="K1203" s="85">
        <v>2021</v>
      </c>
      <c r="L1203" s="85">
        <v>12</v>
      </c>
      <c r="N1203" s="208" t="s">
        <v>44</v>
      </c>
    </row>
    <row r="1204" spans="1:14">
      <c r="A1204" s="36" t="s">
        <v>33</v>
      </c>
      <c r="B1204" s="37">
        <v>44551</v>
      </c>
      <c r="C1204" s="36" t="s">
        <v>587</v>
      </c>
      <c r="D1204" s="36" t="s">
        <v>486</v>
      </c>
      <c r="E1204" s="36" t="s">
        <v>148</v>
      </c>
      <c r="J1204" s="87">
        <v>495000</v>
      </c>
      <c r="K1204" s="85">
        <v>2021</v>
      </c>
      <c r="L1204" s="85">
        <v>10</v>
      </c>
      <c r="N1204" s="208" t="s">
        <v>44</v>
      </c>
    </row>
    <row r="1205" spans="1:14">
      <c r="A1205" s="36" t="s">
        <v>32</v>
      </c>
      <c r="B1205" s="37">
        <v>44557</v>
      </c>
      <c r="C1205" s="36" t="s">
        <v>605</v>
      </c>
      <c r="D1205" s="36" t="s">
        <v>606</v>
      </c>
      <c r="E1205" s="36" t="s">
        <v>148</v>
      </c>
      <c r="J1205" s="87">
        <v>2970000</v>
      </c>
      <c r="K1205" s="85">
        <v>2021</v>
      </c>
      <c r="L1205" s="85">
        <v>11</v>
      </c>
      <c r="N1205" s="208" t="s">
        <v>44</v>
      </c>
    </row>
    <row r="1206" spans="1:14">
      <c r="A1206" s="36" t="s">
        <v>32</v>
      </c>
      <c r="B1206" s="37">
        <v>44557</v>
      </c>
      <c r="C1206" s="36" t="s">
        <v>549</v>
      </c>
      <c r="D1206" s="36" t="s">
        <v>550</v>
      </c>
      <c r="E1206" s="36" t="s">
        <v>148</v>
      </c>
      <c r="J1206" s="87">
        <v>6214560</v>
      </c>
      <c r="K1206" s="85">
        <v>2021</v>
      </c>
      <c r="L1206" s="85">
        <v>11</v>
      </c>
      <c r="N1206" s="208" t="s">
        <v>44</v>
      </c>
    </row>
    <row r="1207" spans="1:14">
      <c r="A1207" s="36" t="s">
        <v>32</v>
      </c>
      <c r="B1207" s="37">
        <v>44557</v>
      </c>
      <c r="C1207" s="36" t="s">
        <v>188</v>
      </c>
      <c r="D1207" s="36" t="s">
        <v>622</v>
      </c>
      <c r="E1207" s="36" t="s">
        <v>148</v>
      </c>
      <c r="J1207" s="87">
        <v>3069000</v>
      </c>
      <c r="K1207" s="85">
        <v>2021</v>
      </c>
      <c r="L1207" s="85">
        <v>11</v>
      </c>
      <c r="N1207" s="208" t="s">
        <v>44</v>
      </c>
    </row>
    <row r="1208" spans="1:14">
      <c r="A1208" s="36" t="s">
        <v>32</v>
      </c>
      <c r="B1208" s="37">
        <v>44558</v>
      </c>
      <c r="C1208" s="36" t="s">
        <v>204</v>
      </c>
      <c r="D1208" s="36" t="s">
        <v>205</v>
      </c>
      <c r="E1208" s="36" t="s">
        <v>148</v>
      </c>
      <c r="J1208" s="87">
        <v>5624960</v>
      </c>
      <c r="K1208" s="85">
        <v>2021</v>
      </c>
      <c r="L1208" s="85">
        <v>11</v>
      </c>
      <c r="N1208" s="208" t="s">
        <v>44</v>
      </c>
    </row>
    <row r="1209" spans="1:14">
      <c r="A1209" s="36" t="s">
        <v>32</v>
      </c>
      <c r="B1209" s="37">
        <v>44558</v>
      </c>
      <c r="C1209" s="36" t="s">
        <v>511</v>
      </c>
      <c r="D1209" s="36" t="s">
        <v>512</v>
      </c>
      <c r="E1209" s="36" t="s">
        <v>148</v>
      </c>
      <c r="J1209" s="38">
        <v>2178330</v>
      </c>
      <c r="K1209" s="85">
        <v>2021</v>
      </c>
      <c r="L1209" s="85">
        <v>10</v>
      </c>
      <c r="M1209" s="36" t="s">
        <v>638</v>
      </c>
      <c r="N1209" s="208" t="s">
        <v>44</v>
      </c>
    </row>
    <row r="1210" spans="1:14">
      <c r="A1210" s="36" t="s">
        <v>32</v>
      </c>
      <c r="B1210" s="37">
        <v>44558</v>
      </c>
      <c r="C1210" s="36" t="s">
        <v>511</v>
      </c>
      <c r="D1210" s="36" t="s">
        <v>512</v>
      </c>
      <c r="E1210" s="36" t="s">
        <v>148</v>
      </c>
      <c r="J1210" s="87">
        <v>8290370</v>
      </c>
      <c r="K1210" s="85">
        <v>2021</v>
      </c>
      <c r="L1210" s="85">
        <v>11</v>
      </c>
      <c r="M1210" s="36" t="s">
        <v>638</v>
      </c>
      <c r="N1210" s="208" t="s">
        <v>44</v>
      </c>
    </row>
    <row r="1211" spans="1:14">
      <c r="A1211" s="36" t="s">
        <v>33</v>
      </c>
      <c r="B1211" s="37">
        <v>44559</v>
      </c>
      <c r="C1211" s="36" t="s">
        <v>320</v>
      </c>
      <c r="D1211" s="36" t="s">
        <v>347</v>
      </c>
      <c r="E1211" s="36" t="s">
        <v>143</v>
      </c>
      <c r="G1211" s="87">
        <v>120000</v>
      </c>
      <c r="H1211" s="87">
        <v>12000</v>
      </c>
      <c r="I1211" s="87">
        <v>132000</v>
      </c>
      <c r="K1211" s="85">
        <v>2021</v>
      </c>
      <c r="L1211" s="85">
        <v>12</v>
      </c>
      <c r="N1211" s="208" t="s">
        <v>44</v>
      </c>
    </row>
    <row r="1212" spans="1:14">
      <c r="A1212" s="36" t="s">
        <v>33</v>
      </c>
      <c r="B1212" s="37">
        <v>44559</v>
      </c>
      <c r="C1212" s="36" t="s">
        <v>103</v>
      </c>
      <c r="D1212" s="36" t="s">
        <v>205</v>
      </c>
      <c r="E1212" s="36" t="s">
        <v>148</v>
      </c>
      <c r="J1212" s="87">
        <v>598400</v>
      </c>
      <c r="K1212" s="85">
        <v>2021</v>
      </c>
      <c r="L1212" s="85">
        <v>11</v>
      </c>
      <c r="N1212" s="208" t="s">
        <v>44</v>
      </c>
    </row>
    <row r="1213" spans="1:14">
      <c r="A1213" s="36" t="s">
        <v>33</v>
      </c>
      <c r="B1213" s="37">
        <v>44560</v>
      </c>
      <c r="C1213" s="36" t="s">
        <v>131</v>
      </c>
      <c r="D1213" s="36" t="s">
        <v>439</v>
      </c>
      <c r="E1213" s="36" t="s">
        <v>639</v>
      </c>
      <c r="G1213" s="87">
        <v>423000</v>
      </c>
      <c r="H1213" s="87">
        <v>42300</v>
      </c>
      <c r="I1213" s="87">
        <v>465300</v>
      </c>
      <c r="K1213" s="85">
        <v>2021</v>
      </c>
      <c r="L1213" s="85">
        <v>12</v>
      </c>
      <c r="N1213" s="208" t="s">
        <v>44</v>
      </c>
    </row>
    <row r="1214" spans="1:14">
      <c r="A1214" s="36" t="s">
        <v>32</v>
      </c>
      <c r="B1214" s="37">
        <v>44560</v>
      </c>
      <c r="C1214" s="36" t="s">
        <v>456</v>
      </c>
      <c r="D1214" s="36" t="s">
        <v>457</v>
      </c>
      <c r="E1214" s="36" t="s">
        <v>148</v>
      </c>
      <c r="J1214" s="87">
        <v>7843000</v>
      </c>
      <c r="K1214" s="85">
        <v>2021</v>
      </c>
      <c r="L1214" s="85">
        <v>11</v>
      </c>
      <c r="N1214" s="208" t="s">
        <v>44</v>
      </c>
    </row>
    <row r="1215" spans="1:14">
      <c r="A1215" s="36" t="s">
        <v>32</v>
      </c>
      <c r="B1215" s="37">
        <v>44560</v>
      </c>
      <c r="C1215" s="36" t="s">
        <v>603</v>
      </c>
      <c r="D1215" s="36" t="s">
        <v>604</v>
      </c>
      <c r="E1215" s="36" t="s">
        <v>77</v>
      </c>
      <c r="J1215" s="38">
        <v>13600000</v>
      </c>
      <c r="K1215" s="85">
        <v>2021</v>
      </c>
      <c r="L1215" s="85">
        <v>11</v>
      </c>
      <c r="N1215" s="208" t="s">
        <v>44</v>
      </c>
    </row>
    <row r="1216" spans="1:14">
      <c r="A1216" s="36" t="s">
        <v>32</v>
      </c>
      <c r="B1216" s="37">
        <v>44561</v>
      </c>
      <c r="C1216" s="36" t="s">
        <v>174</v>
      </c>
      <c r="D1216" s="36" t="s">
        <v>540</v>
      </c>
      <c r="E1216" s="36" t="s">
        <v>77</v>
      </c>
      <c r="J1216" s="87">
        <v>41600350</v>
      </c>
      <c r="K1216" s="85">
        <v>2021</v>
      </c>
      <c r="L1216" s="85">
        <v>11</v>
      </c>
      <c r="N1216" s="208" t="s">
        <v>44</v>
      </c>
    </row>
    <row r="1217" spans="1:14">
      <c r="A1217" s="36" t="s">
        <v>32</v>
      </c>
      <c r="B1217" s="37">
        <v>44561</v>
      </c>
      <c r="C1217" s="36" t="s">
        <v>174</v>
      </c>
      <c r="D1217" s="36" t="s">
        <v>540</v>
      </c>
      <c r="E1217" s="36" t="s">
        <v>76</v>
      </c>
      <c r="G1217" s="87">
        <v>33891300</v>
      </c>
      <c r="H1217" s="87">
        <v>3389130</v>
      </c>
      <c r="I1217" s="87">
        <v>37280430</v>
      </c>
      <c r="K1217" s="85">
        <v>2021</v>
      </c>
      <c r="L1217" s="85">
        <v>12</v>
      </c>
      <c r="N1217" s="208" t="s">
        <v>44</v>
      </c>
    </row>
    <row r="1218" spans="1:14">
      <c r="A1218" s="36" t="s">
        <v>32</v>
      </c>
      <c r="B1218" s="37">
        <v>44561</v>
      </c>
      <c r="C1218" s="36" t="s">
        <v>209</v>
      </c>
      <c r="D1218" s="36" t="s">
        <v>541</v>
      </c>
      <c r="E1218" s="36" t="s">
        <v>76</v>
      </c>
      <c r="G1218" s="87">
        <v>15004200</v>
      </c>
      <c r="H1218" s="87">
        <v>1500420</v>
      </c>
      <c r="I1218" s="87">
        <v>16504620</v>
      </c>
      <c r="K1218" s="85">
        <v>2021</v>
      </c>
      <c r="L1218" s="85">
        <v>12</v>
      </c>
      <c r="N1218" s="208" t="s">
        <v>44</v>
      </c>
    </row>
    <row r="1219" spans="1:14">
      <c r="A1219" s="36" t="s">
        <v>32</v>
      </c>
      <c r="B1219" s="37">
        <v>44561</v>
      </c>
      <c r="C1219" s="36" t="s">
        <v>640</v>
      </c>
      <c r="D1219" s="36" t="s">
        <v>641</v>
      </c>
      <c r="E1219" s="36" t="s">
        <v>269</v>
      </c>
      <c r="G1219" s="87">
        <v>5875000</v>
      </c>
      <c r="H1219" s="87">
        <v>587500</v>
      </c>
      <c r="I1219" s="87">
        <v>6462500</v>
      </c>
      <c r="K1219" s="85">
        <v>2021</v>
      </c>
      <c r="L1219" s="85">
        <v>12</v>
      </c>
      <c r="N1219" s="208" t="s">
        <v>44</v>
      </c>
    </row>
    <row r="1220" spans="1:14">
      <c r="A1220" s="36" t="s">
        <v>32</v>
      </c>
      <c r="B1220" s="37">
        <v>44561</v>
      </c>
      <c r="C1220" s="36" t="s">
        <v>346</v>
      </c>
      <c r="D1220" s="36" t="s">
        <v>378</v>
      </c>
      <c r="E1220" s="36" t="s">
        <v>148</v>
      </c>
      <c r="J1220" s="87">
        <v>3423200</v>
      </c>
      <c r="K1220" s="85">
        <v>2021</v>
      </c>
      <c r="L1220" s="85">
        <v>10</v>
      </c>
      <c r="N1220" s="208" t="s">
        <v>44</v>
      </c>
    </row>
    <row r="1221" spans="1:14">
      <c r="A1221" s="36" t="s">
        <v>32</v>
      </c>
      <c r="B1221" s="37">
        <v>44561</v>
      </c>
      <c r="C1221" s="36" t="s">
        <v>346</v>
      </c>
      <c r="D1221" s="36" t="s">
        <v>378</v>
      </c>
      <c r="E1221" s="36" t="s">
        <v>76</v>
      </c>
      <c r="G1221" s="87">
        <v>9375000</v>
      </c>
      <c r="H1221" s="87">
        <v>937500</v>
      </c>
      <c r="I1221" s="87">
        <v>10312500</v>
      </c>
      <c r="K1221" s="85">
        <v>2021</v>
      </c>
      <c r="L1221" s="85">
        <v>12</v>
      </c>
      <c r="N1221" s="208" t="s">
        <v>44</v>
      </c>
    </row>
    <row r="1222" spans="1:14">
      <c r="A1222" s="36" t="s">
        <v>33</v>
      </c>
      <c r="B1222" s="37">
        <v>44561</v>
      </c>
      <c r="C1222" s="36" t="s">
        <v>81</v>
      </c>
      <c r="D1222" s="36" t="s">
        <v>491</v>
      </c>
      <c r="E1222" s="36" t="s">
        <v>77</v>
      </c>
      <c r="J1222" s="38">
        <v>4050000</v>
      </c>
      <c r="K1222" s="85">
        <v>2021</v>
      </c>
      <c r="L1222" s="85">
        <v>8</v>
      </c>
      <c r="N1222" s="208" t="s">
        <v>44</v>
      </c>
    </row>
    <row r="1223" spans="1:14">
      <c r="A1223" s="36" t="s">
        <v>32</v>
      </c>
      <c r="B1223" s="37">
        <v>44561</v>
      </c>
      <c r="C1223" s="36" t="s">
        <v>204</v>
      </c>
      <c r="D1223" s="36" t="s">
        <v>205</v>
      </c>
      <c r="E1223" s="36" t="s">
        <v>76</v>
      </c>
      <c r="G1223" s="87">
        <v>2085000</v>
      </c>
      <c r="H1223" s="87">
        <v>208500</v>
      </c>
      <c r="I1223" s="87">
        <v>2293500</v>
      </c>
      <c r="K1223" s="85">
        <v>2021</v>
      </c>
      <c r="L1223" s="85">
        <v>12</v>
      </c>
      <c r="N1223" s="208" t="s">
        <v>44</v>
      </c>
    </row>
    <row r="1224" spans="1:14">
      <c r="A1224" s="36" t="s">
        <v>32</v>
      </c>
      <c r="B1224" s="37">
        <v>44561</v>
      </c>
      <c r="C1224" s="36" t="s">
        <v>204</v>
      </c>
      <c r="D1224" s="36" t="s">
        <v>205</v>
      </c>
      <c r="E1224" s="36" t="s">
        <v>148</v>
      </c>
      <c r="J1224" s="87">
        <v>2293500</v>
      </c>
      <c r="K1224" s="85">
        <v>2021</v>
      </c>
      <c r="L1224" s="85">
        <v>12</v>
      </c>
      <c r="N1224" s="208" t="s">
        <v>44</v>
      </c>
    </row>
    <row r="1225" spans="1:14">
      <c r="A1225" s="36" t="s">
        <v>33</v>
      </c>
      <c r="B1225" s="37">
        <v>44561</v>
      </c>
      <c r="C1225" s="36" t="s">
        <v>544</v>
      </c>
      <c r="D1225" s="36" t="s">
        <v>545</v>
      </c>
      <c r="E1225" s="36" t="s">
        <v>77</v>
      </c>
      <c r="J1225" s="87">
        <v>1479500</v>
      </c>
      <c r="K1225" s="85">
        <v>2021</v>
      </c>
      <c r="L1225" s="85">
        <v>11</v>
      </c>
      <c r="M1225" s="36" t="s">
        <v>107</v>
      </c>
      <c r="N1225" s="208" t="s">
        <v>44</v>
      </c>
    </row>
    <row r="1226" spans="1:14">
      <c r="A1226" s="36" t="s">
        <v>33</v>
      </c>
      <c r="B1226" s="37">
        <v>44561</v>
      </c>
      <c r="C1226" s="36" t="s">
        <v>544</v>
      </c>
      <c r="D1226" s="36" t="s">
        <v>545</v>
      </c>
      <c r="E1226" s="36" t="s">
        <v>125</v>
      </c>
      <c r="G1226" s="87">
        <v>1100000</v>
      </c>
      <c r="H1226" s="87">
        <v>110000</v>
      </c>
      <c r="I1226" s="87">
        <v>1210000</v>
      </c>
      <c r="K1226" s="85">
        <v>2021</v>
      </c>
      <c r="L1226" s="85">
        <v>12</v>
      </c>
      <c r="M1226" s="36" t="s">
        <v>107</v>
      </c>
      <c r="N1226" s="208" t="s">
        <v>44</v>
      </c>
    </row>
    <row r="1227" spans="1:14">
      <c r="A1227" s="36" t="s">
        <v>33</v>
      </c>
      <c r="B1227" s="37">
        <v>44561</v>
      </c>
      <c r="C1227" s="36" t="s">
        <v>584</v>
      </c>
      <c r="D1227" s="36" t="s">
        <v>205</v>
      </c>
      <c r="E1227" s="36" t="s">
        <v>148</v>
      </c>
      <c r="J1227" s="87">
        <v>264000</v>
      </c>
      <c r="K1227" s="85">
        <v>2021</v>
      </c>
      <c r="L1227" s="85">
        <v>11</v>
      </c>
      <c r="N1227" s="208" t="s">
        <v>44</v>
      </c>
    </row>
    <row r="1228" spans="1:14">
      <c r="A1228" s="36" t="s">
        <v>33</v>
      </c>
      <c r="B1228" s="37">
        <v>44561</v>
      </c>
      <c r="C1228" s="36" t="s">
        <v>584</v>
      </c>
      <c r="D1228" s="36" t="s">
        <v>205</v>
      </c>
      <c r="E1228" s="36" t="s">
        <v>642</v>
      </c>
      <c r="G1228" s="87">
        <v>150000</v>
      </c>
      <c r="H1228" s="87">
        <v>15000</v>
      </c>
      <c r="I1228" s="87">
        <v>165000</v>
      </c>
      <c r="K1228" s="85">
        <v>2021</v>
      </c>
      <c r="L1228" s="85">
        <v>12</v>
      </c>
      <c r="N1228" s="208" t="s">
        <v>44</v>
      </c>
    </row>
    <row r="1229" spans="1:14">
      <c r="A1229" s="36" t="s">
        <v>33</v>
      </c>
      <c r="B1229" s="37">
        <v>44561</v>
      </c>
      <c r="C1229" s="36" t="s">
        <v>124</v>
      </c>
      <c r="D1229" s="36" t="s">
        <v>229</v>
      </c>
      <c r="E1229" s="36" t="s">
        <v>643</v>
      </c>
      <c r="G1229" s="87">
        <v>3633636</v>
      </c>
      <c r="H1229" s="87">
        <v>363363.60000000003</v>
      </c>
      <c r="I1229" s="87">
        <v>3996999.6</v>
      </c>
      <c r="K1229" s="85">
        <v>2021</v>
      </c>
      <c r="L1229" s="85">
        <v>12</v>
      </c>
      <c r="M1229" s="36" t="s">
        <v>107</v>
      </c>
      <c r="N1229" s="208" t="s">
        <v>44</v>
      </c>
    </row>
    <row r="1230" spans="1:14">
      <c r="A1230" s="36" t="s">
        <v>32</v>
      </c>
      <c r="B1230" s="37">
        <v>44561</v>
      </c>
      <c r="C1230" s="36" t="s">
        <v>496</v>
      </c>
      <c r="D1230" s="36" t="s">
        <v>546</v>
      </c>
      <c r="E1230" s="36" t="s">
        <v>76</v>
      </c>
      <c r="G1230" s="87">
        <v>17480000</v>
      </c>
      <c r="H1230" s="87">
        <v>1748000</v>
      </c>
      <c r="I1230" s="87">
        <v>19228000</v>
      </c>
      <c r="K1230" s="85">
        <v>2021</v>
      </c>
      <c r="L1230" s="85">
        <v>12</v>
      </c>
      <c r="N1230" s="208" t="s">
        <v>44</v>
      </c>
    </row>
    <row r="1231" spans="1:14">
      <c r="A1231" s="36" t="s">
        <v>32</v>
      </c>
      <c r="B1231" s="37">
        <v>44561</v>
      </c>
      <c r="C1231" s="36" t="s">
        <v>334</v>
      </c>
      <c r="D1231" s="36" t="s">
        <v>586</v>
      </c>
      <c r="E1231" s="36" t="s">
        <v>77</v>
      </c>
      <c r="J1231" s="87">
        <v>13961915</v>
      </c>
      <c r="K1231" s="85">
        <v>2021</v>
      </c>
      <c r="L1231" s="85">
        <v>11</v>
      </c>
      <c r="N1231" s="208" t="s">
        <v>44</v>
      </c>
    </row>
    <row r="1232" spans="1:14">
      <c r="A1232" s="36" t="s">
        <v>32</v>
      </c>
      <c r="B1232" s="37">
        <v>44561</v>
      </c>
      <c r="C1232" s="36" t="s">
        <v>334</v>
      </c>
      <c r="D1232" s="36" t="s">
        <v>586</v>
      </c>
      <c r="E1232" s="36" t="s">
        <v>76</v>
      </c>
      <c r="G1232" s="87">
        <v>8097770</v>
      </c>
      <c r="H1232" s="87">
        <v>809777</v>
      </c>
      <c r="I1232" s="87">
        <v>8907547</v>
      </c>
      <c r="K1232" s="85">
        <v>2021</v>
      </c>
      <c r="L1232" s="85">
        <v>12</v>
      </c>
      <c r="N1232" s="208" t="s">
        <v>44</v>
      </c>
    </row>
    <row r="1233" spans="1:14">
      <c r="A1233" s="36" t="s">
        <v>32</v>
      </c>
      <c r="B1233" s="37">
        <v>44561</v>
      </c>
      <c r="C1233" s="36" t="s">
        <v>498</v>
      </c>
      <c r="D1233" s="36" t="s">
        <v>499</v>
      </c>
      <c r="E1233" s="36" t="s">
        <v>78</v>
      </c>
      <c r="G1233" s="87">
        <v>2510000</v>
      </c>
      <c r="H1233" s="87">
        <v>251000</v>
      </c>
      <c r="I1233" s="87">
        <v>2761000</v>
      </c>
      <c r="K1233" s="85">
        <v>2021</v>
      </c>
      <c r="L1233" s="85">
        <v>12</v>
      </c>
      <c r="N1233" s="208" t="s">
        <v>44</v>
      </c>
    </row>
    <row r="1234" spans="1:14">
      <c r="A1234" s="36" t="s">
        <v>32</v>
      </c>
      <c r="B1234" s="37">
        <v>44561</v>
      </c>
      <c r="C1234" s="36" t="s">
        <v>181</v>
      </c>
      <c r="D1234" s="36" t="s">
        <v>372</v>
      </c>
      <c r="E1234" s="36" t="s">
        <v>76</v>
      </c>
      <c r="G1234" s="87">
        <v>15152000</v>
      </c>
      <c r="H1234" s="87">
        <v>1515200</v>
      </c>
      <c r="I1234" s="87">
        <v>16667200</v>
      </c>
      <c r="K1234" s="85">
        <v>2021</v>
      </c>
      <c r="L1234" s="85">
        <v>12</v>
      </c>
      <c r="N1234" s="208" t="s">
        <v>44</v>
      </c>
    </row>
    <row r="1235" spans="1:14">
      <c r="A1235" s="36" t="s">
        <v>33</v>
      </c>
      <c r="B1235" s="37">
        <v>44561</v>
      </c>
      <c r="C1235" s="36" t="s">
        <v>320</v>
      </c>
      <c r="D1235" s="36" t="s">
        <v>378</v>
      </c>
      <c r="E1235" s="36" t="s">
        <v>148</v>
      </c>
      <c r="J1235" s="87">
        <v>330000</v>
      </c>
      <c r="K1235" s="85">
        <v>2021</v>
      </c>
      <c r="L1235" s="85">
        <v>11</v>
      </c>
      <c r="N1235" s="208" t="s">
        <v>44</v>
      </c>
    </row>
    <row r="1236" spans="1:14">
      <c r="A1236" s="36" t="s">
        <v>32</v>
      </c>
      <c r="B1236" s="37">
        <v>44561</v>
      </c>
      <c r="C1236" s="36" t="s">
        <v>503</v>
      </c>
      <c r="D1236" s="36" t="s">
        <v>504</v>
      </c>
      <c r="E1236" s="36" t="s">
        <v>76</v>
      </c>
      <c r="G1236" s="87">
        <v>7262000</v>
      </c>
      <c r="H1236" s="87">
        <v>726200</v>
      </c>
      <c r="I1236" s="87">
        <v>7988200</v>
      </c>
      <c r="K1236" s="85">
        <v>2021</v>
      </c>
      <c r="L1236" s="85">
        <v>12</v>
      </c>
      <c r="N1236" s="208" t="s">
        <v>44</v>
      </c>
    </row>
    <row r="1237" spans="1:14">
      <c r="A1237" s="36" t="s">
        <v>32</v>
      </c>
      <c r="B1237" s="37">
        <v>44561</v>
      </c>
      <c r="C1237" s="36" t="s">
        <v>505</v>
      </c>
      <c r="D1237" s="36" t="s">
        <v>506</v>
      </c>
      <c r="E1237" s="36" t="s">
        <v>77</v>
      </c>
      <c r="J1237" s="87">
        <v>52766736</v>
      </c>
      <c r="K1237" s="85">
        <v>2021</v>
      </c>
      <c r="L1237" s="85">
        <v>11</v>
      </c>
      <c r="N1237" s="208" t="s">
        <v>44</v>
      </c>
    </row>
    <row r="1238" spans="1:14">
      <c r="A1238" s="36" t="s">
        <v>32</v>
      </c>
      <c r="B1238" s="37">
        <v>44561</v>
      </c>
      <c r="C1238" s="36" t="s">
        <v>505</v>
      </c>
      <c r="D1238" s="36" t="s">
        <v>506</v>
      </c>
      <c r="E1238" s="36" t="s">
        <v>76</v>
      </c>
      <c r="G1238" s="87">
        <v>52117950</v>
      </c>
      <c r="H1238" s="87">
        <v>5211795</v>
      </c>
      <c r="I1238" s="87">
        <v>57329745</v>
      </c>
      <c r="K1238" s="85">
        <v>2021</v>
      </c>
      <c r="L1238" s="85">
        <v>12</v>
      </c>
      <c r="N1238" s="208" t="s">
        <v>44</v>
      </c>
    </row>
    <row r="1239" spans="1:14">
      <c r="A1239" s="36" t="s">
        <v>32</v>
      </c>
      <c r="B1239" s="37">
        <v>44561</v>
      </c>
      <c r="C1239" s="36" t="s">
        <v>264</v>
      </c>
      <c r="D1239" s="36" t="s">
        <v>644</v>
      </c>
      <c r="E1239" s="36" t="s">
        <v>76</v>
      </c>
      <c r="G1239" s="87">
        <v>12600000</v>
      </c>
      <c r="H1239" s="87">
        <v>1260000</v>
      </c>
      <c r="I1239" s="87">
        <v>13860000</v>
      </c>
      <c r="K1239" s="85">
        <v>2021</v>
      </c>
      <c r="L1239" s="85">
        <v>12</v>
      </c>
      <c r="N1239" s="208" t="s">
        <v>44</v>
      </c>
    </row>
    <row r="1240" spans="1:14">
      <c r="A1240" s="36" t="s">
        <v>32</v>
      </c>
      <c r="B1240" s="37">
        <v>44561</v>
      </c>
      <c r="C1240" s="36" t="s">
        <v>511</v>
      </c>
      <c r="D1240" s="36" t="s">
        <v>512</v>
      </c>
      <c r="E1240" s="36" t="s">
        <v>76</v>
      </c>
      <c r="G1240" s="87">
        <v>20140900</v>
      </c>
      <c r="H1240" s="87">
        <v>2014090</v>
      </c>
      <c r="I1240" s="87">
        <v>22154990</v>
      </c>
      <c r="K1240" s="85">
        <v>2021</v>
      </c>
      <c r="L1240" s="85">
        <v>12</v>
      </c>
      <c r="N1240" s="208" t="s">
        <v>44</v>
      </c>
    </row>
    <row r="1241" spans="1:14">
      <c r="A1241" s="36" t="s">
        <v>32</v>
      </c>
      <c r="B1241" s="37">
        <v>44561</v>
      </c>
      <c r="C1241" s="36" t="s">
        <v>552</v>
      </c>
      <c r="D1241" s="36" t="s">
        <v>553</v>
      </c>
      <c r="E1241" s="36" t="s">
        <v>76</v>
      </c>
      <c r="G1241" s="87">
        <v>9709200</v>
      </c>
      <c r="H1241" s="87">
        <v>970920</v>
      </c>
      <c r="I1241" s="87">
        <v>10680120</v>
      </c>
      <c r="K1241" s="85">
        <v>2021</v>
      </c>
      <c r="L1241" s="85">
        <v>12</v>
      </c>
      <c r="N1241" s="208" t="s">
        <v>44</v>
      </c>
    </row>
    <row r="1242" spans="1:14">
      <c r="A1242" s="36" t="s">
        <v>19</v>
      </c>
      <c r="B1242" s="37">
        <v>44561</v>
      </c>
      <c r="C1242" s="36" t="s">
        <v>645</v>
      </c>
      <c r="D1242" s="36" t="s">
        <v>646</v>
      </c>
      <c r="E1242" s="36" t="s">
        <v>647</v>
      </c>
      <c r="G1242" s="87">
        <v>410000</v>
      </c>
      <c r="H1242" s="87">
        <v>41000</v>
      </c>
      <c r="I1242" s="87">
        <v>451000</v>
      </c>
      <c r="K1242" s="85">
        <v>2021</v>
      </c>
      <c r="L1242" s="85">
        <v>12</v>
      </c>
      <c r="N1242" s="208" t="s">
        <v>44</v>
      </c>
    </row>
    <row r="1243" spans="1:14">
      <c r="A1243" s="36" t="s">
        <v>19</v>
      </c>
      <c r="B1243" s="37">
        <v>44561</v>
      </c>
      <c r="C1243" s="36" t="s">
        <v>615</v>
      </c>
      <c r="D1243" s="36" t="s">
        <v>616</v>
      </c>
      <c r="E1243" s="36" t="s">
        <v>617</v>
      </c>
      <c r="G1243" s="87">
        <v>2916363</v>
      </c>
      <c r="H1243" s="87">
        <v>291637</v>
      </c>
      <c r="I1243" s="87">
        <v>3208000</v>
      </c>
      <c r="J1243" s="87"/>
      <c r="K1243" s="85">
        <v>2021</v>
      </c>
      <c r="L1243" s="85">
        <v>12</v>
      </c>
      <c r="N1243" s="208" t="s">
        <v>44</v>
      </c>
    </row>
    <row r="1244" spans="1:14">
      <c r="A1244" s="36" t="s">
        <v>32</v>
      </c>
      <c r="B1244" s="37">
        <v>44561</v>
      </c>
      <c r="C1244" s="36" t="s">
        <v>185</v>
      </c>
      <c r="D1244" s="36" t="s">
        <v>648</v>
      </c>
      <c r="E1244" s="36" t="s">
        <v>76</v>
      </c>
      <c r="G1244" s="87">
        <v>24455686</v>
      </c>
      <c r="H1244" s="87">
        <v>2445568.6</v>
      </c>
      <c r="I1244" s="87">
        <v>26901254.600000001</v>
      </c>
      <c r="K1244" s="85">
        <v>2021</v>
      </c>
      <c r="L1244" s="85">
        <v>12</v>
      </c>
      <c r="N1244" s="208" t="s">
        <v>44</v>
      </c>
    </row>
    <row r="1245" spans="1:14">
      <c r="A1245" s="36" t="s">
        <v>32</v>
      </c>
      <c r="B1245" s="37">
        <v>44561</v>
      </c>
      <c r="C1245" s="36" t="s">
        <v>188</v>
      </c>
      <c r="D1245" s="36" t="s">
        <v>621</v>
      </c>
      <c r="E1245" s="36" t="s">
        <v>148</v>
      </c>
      <c r="J1245" s="87">
        <v>5500000</v>
      </c>
      <c r="K1245" s="85">
        <v>2021</v>
      </c>
      <c r="L1245" s="85">
        <v>11</v>
      </c>
      <c r="N1245" s="208" t="s">
        <v>44</v>
      </c>
    </row>
    <row r="1246" spans="1:14">
      <c r="A1246" s="36" t="s">
        <v>32</v>
      </c>
      <c r="B1246" s="37">
        <v>44561</v>
      </c>
      <c r="C1246" s="36" t="s">
        <v>188</v>
      </c>
      <c r="D1246" s="36" t="s">
        <v>624</v>
      </c>
      <c r="E1246" s="36" t="s">
        <v>148</v>
      </c>
      <c r="J1246" s="87">
        <v>3421000</v>
      </c>
      <c r="K1246" s="85">
        <v>2021</v>
      </c>
      <c r="L1246" s="85">
        <v>11</v>
      </c>
      <c r="N1246" s="208" t="s">
        <v>44</v>
      </c>
    </row>
    <row r="1247" spans="1:14">
      <c r="A1247" s="36" t="s">
        <v>32</v>
      </c>
      <c r="B1247" s="37">
        <v>44561</v>
      </c>
      <c r="C1247" s="36" t="s">
        <v>188</v>
      </c>
      <c r="D1247" s="36" t="s">
        <v>595</v>
      </c>
      <c r="E1247" s="36" t="s">
        <v>148</v>
      </c>
      <c r="J1247" s="87">
        <v>4796000</v>
      </c>
      <c r="K1247" s="85">
        <v>2021</v>
      </c>
      <c r="L1247" s="85">
        <v>11</v>
      </c>
      <c r="N1247" s="208" t="s">
        <v>44</v>
      </c>
    </row>
    <row r="1248" spans="1:14">
      <c r="A1248" s="36" t="s">
        <v>32</v>
      </c>
      <c r="B1248" s="37">
        <v>44561</v>
      </c>
      <c r="C1248" s="36" t="s">
        <v>188</v>
      </c>
      <c r="D1248" s="36" t="s">
        <v>408</v>
      </c>
      <c r="E1248" s="36" t="s">
        <v>148</v>
      </c>
      <c r="J1248" s="87">
        <v>7744000</v>
      </c>
      <c r="K1248" s="85">
        <v>2021</v>
      </c>
      <c r="L1248" s="85">
        <v>11</v>
      </c>
      <c r="N1248" s="208" t="s">
        <v>44</v>
      </c>
    </row>
    <row r="1249" spans="1:14">
      <c r="A1249" s="36" t="s">
        <v>32</v>
      </c>
      <c r="B1249" s="37">
        <v>44561</v>
      </c>
      <c r="C1249" s="36" t="s">
        <v>188</v>
      </c>
      <c r="D1249" s="36" t="s">
        <v>443</v>
      </c>
      <c r="E1249" s="36" t="s">
        <v>76</v>
      </c>
      <c r="G1249" s="87">
        <v>3430000</v>
      </c>
      <c r="H1249" s="87">
        <v>343000</v>
      </c>
      <c r="I1249" s="87">
        <v>3773000</v>
      </c>
      <c r="K1249" s="85">
        <v>2021</v>
      </c>
      <c r="L1249" s="85">
        <v>12</v>
      </c>
      <c r="N1249" s="208" t="s">
        <v>44</v>
      </c>
    </row>
    <row r="1250" spans="1:14">
      <c r="A1250" s="36" t="s">
        <v>32</v>
      </c>
      <c r="B1250" s="37">
        <v>44561</v>
      </c>
      <c r="C1250" s="36" t="s">
        <v>188</v>
      </c>
      <c r="D1250" s="36" t="s">
        <v>596</v>
      </c>
      <c r="E1250" s="36" t="s">
        <v>76</v>
      </c>
      <c r="G1250" s="87">
        <v>2750000</v>
      </c>
      <c r="H1250" s="87">
        <v>275000</v>
      </c>
      <c r="I1250" s="87">
        <v>3025000</v>
      </c>
      <c r="K1250" s="85">
        <v>2021</v>
      </c>
      <c r="L1250" s="85">
        <v>12</v>
      </c>
      <c r="N1250" s="208" t="s">
        <v>44</v>
      </c>
    </row>
    <row r="1251" spans="1:14">
      <c r="A1251" s="36" t="s">
        <v>32</v>
      </c>
      <c r="B1251" s="37">
        <v>44561</v>
      </c>
      <c r="C1251" s="36" t="s">
        <v>188</v>
      </c>
      <c r="D1251" s="36" t="s">
        <v>649</v>
      </c>
      <c r="E1251" s="36" t="s">
        <v>76</v>
      </c>
      <c r="G1251" s="87">
        <v>6170000</v>
      </c>
      <c r="H1251" s="87">
        <v>617000</v>
      </c>
      <c r="I1251" s="87">
        <v>6787000</v>
      </c>
      <c r="K1251" s="85">
        <v>2021</v>
      </c>
      <c r="L1251" s="85">
        <v>12</v>
      </c>
      <c r="N1251" s="208" t="s">
        <v>44</v>
      </c>
    </row>
    <row r="1252" spans="1:14">
      <c r="A1252" s="36" t="s">
        <v>32</v>
      </c>
      <c r="B1252" s="37">
        <v>44561</v>
      </c>
      <c r="C1252" s="36" t="s">
        <v>188</v>
      </c>
      <c r="D1252" s="36" t="s">
        <v>622</v>
      </c>
      <c r="E1252" s="36" t="s">
        <v>76</v>
      </c>
      <c r="G1252" s="87">
        <v>1860000</v>
      </c>
      <c r="H1252" s="87">
        <v>186000</v>
      </c>
      <c r="I1252" s="87">
        <v>2046000</v>
      </c>
      <c r="K1252" s="85">
        <v>2021</v>
      </c>
      <c r="L1252" s="85">
        <v>12</v>
      </c>
      <c r="N1252" s="208" t="s">
        <v>44</v>
      </c>
    </row>
    <row r="1253" spans="1:14">
      <c r="A1253" s="36" t="s">
        <v>32</v>
      </c>
      <c r="B1253" s="37">
        <v>44561</v>
      </c>
      <c r="C1253" s="36" t="s">
        <v>188</v>
      </c>
      <c r="D1253" s="36" t="s">
        <v>650</v>
      </c>
      <c r="E1253" s="36" t="s">
        <v>76</v>
      </c>
      <c r="G1253" s="87">
        <v>3730000</v>
      </c>
      <c r="H1253" s="87">
        <v>373000</v>
      </c>
      <c r="I1253" s="87">
        <v>4103000</v>
      </c>
      <c r="K1253" s="85">
        <v>2021</v>
      </c>
      <c r="L1253" s="85">
        <v>12</v>
      </c>
      <c r="N1253" s="208" t="s">
        <v>44</v>
      </c>
    </row>
    <row r="1254" spans="1:14">
      <c r="A1254" s="36" t="s">
        <v>32</v>
      </c>
      <c r="B1254" s="37">
        <v>44561</v>
      </c>
      <c r="C1254" s="36" t="s">
        <v>188</v>
      </c>
      <c r="D1254" s="36" t="s">
        <v>624</v>
      </c>
      <c r="E1254" s="36" t="s">
        <v>76</v>
      </c>
      <c r="G1254" s="87">
        <v>2070000</v>
      </c>
      <c r="H1254" s="87">
        <v>207000</v>
      </c>
      <c r="I1254" s="87">
        <v>2277000</v>
      </c>
      <c r="K1254" s="85">
        <v>2021</v>
      </c>
      <c r="L1254" s="85">
        <v>12</v>
      </c>
      <c r="N1254" s="208" t="s">
        <v>44</v>
      </c>
    </row>
    <row r="1255" spans="1:14">
      <c r="A1255" s="36" t="s">
        <v>32</v>
      </c>
      <c r="B1255" s="37">
        <v>44561</v>
      </c>
      <c r="C1255" s="36" t="s">
        <v>188</v>
      </c>
      <c r="D1255" s="36" t="s">
        <v>557</v>
      </c>
      <c r="E1255" s="36" t="s">
        <v>76</v>
      </c>
      <c r="G1255" s="87">
        <v>4290000</v>
      </c>
      <c r="H1255" s="87">
        <v>429000</v>
      </c>
      <c r="I1255" s="87">
        <v>4719000</v>
      </c>
      <c r="K1255" s="85">
        <v>2021</v>
      </c>
      <c r="L1255" s="85">
        <v>12</v>
      </c>
      <c r="N1255" s="208" t="s">
        <v>44</v>
      </c>
    </row>
    <row r="1256" spans="1:14">
      <c r="A1256" s="36" t="s">
        <v>32</v>
      </c>
      <c r="B1256" s="37">
        <v>44561</v>
      </c>
      <c r="C1256" s="36" t="s">
        <v>188</v>
      </c>
      <c r="D1256" s="36" t="s">
        <v>517</v>
      </c>
      <c r="E1256" s="36" t="s">
        <v>76</v>
      </c>
      <c r="G1256" s="87">
        <v>23540000</v>
      </c>
      <c r="H1256" s="87">
        <v>2354000</v>
      </c>
      <c r="I1256" s="87">
        <v>25894000</v>
      </c>
      <c r="K1256" s="85">
        <v>2021</v>
      </c>
      <c r="L1256" s="85">
        <v>12</v>
      </c>
      <c r="N1256" s="208" t="s">
        <v>44</v>
      </c>
    </row>
    <row r="1257" spans="1:14">
      <c r="A1257" s="36" t="s">
        <v>32</v>
      </c>
      <c r="B1257" s="37">
        <v>44561</v>
      </c>
      <c r="C1257" s="36" t="s">
        <v>188</v>
      </c>
      <c r="D1257" s="36" t="s">
        <v>624</v>
      </c>
      <c r="E1257" s="36" t="s">
        <v>148</v>
      </c>
      <c r="J1257" s="87">
        <v>2277000</v>
      </c>
      <c r="K1257" s="85">
        <v>2021</v>
      </c>
      <c r="L1257" s="85">
        <v>12</v>
      </c>
      <c r="N1257" s="208" t="s">
        <v>44</v>
      </c>
    </row>
    <row r="1258" spans="1:14">
      <c r="A1258" s="36" t="s">
        <v>32</v>
      </c>
      <c r="B1258" s="37">
        <v>44561</v>
      </c>
      <c r="C1258" s="36" t="s">
        <v>188</v>
      </c>
      <c r="D1258" s="36" t="s">
        <v>517</v>
      </c>
      <c r="E1258" s="36" t="s">
        <v>148</v>
      </c>
      <c r="J1258" s="87">
        <v>25894000</v>
      </c>
      <c r="K1258" s="85">
        <v>2021</v>
      </c>
      <c r="L1258" s="85">
        <v>12</v>
      </c>
      <c r="N1258" s="208" t="s">
        <v>44</v>
      </c>
    </row>
    <row r="1259" spans="1:14">
      <c r="A1259" s="36" t="s">
        <v>32</v>
      </c>
      <c r="B1259" s="37">
        <v>44561</v>
      </c>
      <c r="C1259" s="36" t="s">
        <v>411</v>
      </c>
      <c r="D1259" s="36" t="s">
        <v>412</v>
      </c>
      <c r="E1259" s="36" t="s">
        <v>148</v>
      </c>
      <c r="J1259" s="87">
        <v>24121900</v>
      </c>
      <c r="K1259" s="85">
        <v>2021</v>
      </c>
      <c r="L1259" s="85">
        <v>11</v>
      </c>
      <c r="N1259" s="208" t="s">
        <v>44</v>
      </c>
    </row>
    <row r="1260" spans="1:14">
      <c r="A1260" s="36" t="s">
        <v>32</v>
      </c>
      <c r="B1260" s="37">
        <v>44561</v>
      </c>
      <c r="C1260" s="36" t="s">
        <v>411</v>
      </c>
      <c r="D1260" s="36" t="s">
        <v>412</v>
      </c>
      <c r="E1260" s="36" t="s">
        <v>148</v>
      </c>
      <c r="J1260" s="87">
        <v>12977800</v>
      </c>
      <c r="K1260" s="85">
        <v>2021</v>
      </c>
      <c r="L1260" s="85">
        <v>11</v>
      </c>
      <c r="N1260" s="208" t="s">
        <v>44</v>
      </c>
    </row>
    <row r="1261" spans="1:14">
      <c r="A1261" s="36" t="s">
        <v>32</v>
      </c>
      <c r="B1261" s="37">
        <v>44561</v>
      </c>
      <c r="C1261" s="36" t="s">
        <v>411</v>
      </c>
      <c r="D1261" s="36" t="s">
        <v>412</v>
      </c>
      <c r="E1261" s="36" t="s">
        <v>78</v>
      </c>
      <c r="G1261" s="87">
        <v>21204000</v>
      </c>
      <c r="H1261" s="87">
        <v>2120400</v>
      </c>
      <c r="I1261" s="87">
        <v>23324400</v>
      </c>
      <c r="K1261" s="85">
        <v>2021</v>
      </c>
      <c r="L1261" s="85">
        <v>12</v>
      </c>
      <c r="N1261" s="208" t="s">
        <v>44</v>
      </c>
    </row>
    <row r="1262" spans="1:14">
      <c r="A1262" s="36" t="s">
        <v>32</v>
      </c>
      <c r="B1262" s="37">
        <v>44561</v>
      </c>
      <c r="C1262" s="36" t="s">
        <v>411</v>
      </c>
      <c r="D1262" s="36" t="s">
        <v>412</v>
      </c>
      <c r="E1262" s="36" t="s">
        <v>269</v>
      </c>
      <c r="G1262" s="87">
        <v>29337000</v>
      </c>
      <c r="H1262" s="87">
        <v>2933700</v>
      </c>
      <c r="I1262" s="87">
        <v>32270700</v>
      </c>
      <c r="K1262" s="85">
        <v>2021</v>
      </c>
      <c r="L1262" s="85">
        <v>12</v>
      </c>
      <c r="N1262" s="208" t="s">
        <v>44</v>
      </c>
    </row>
    <row r="1263" spans="1:14">
      <c r="A1263" s="36" t="s">
        <v>32</v>
      </c>
      <c r="B1263" s="37">
        <v>44561</v>
      </c>
      <c r="C1263" s="36" t="s">
        <v>175</v>
      </c>
      <c r="D1263" s="36" t="s">
        <v>597</v>
      </c>
      <c r="E1263" s="36" t="s">
        <v>148</v>
      </c>
      <c r="J1263" s="87">
        <v>3395040</v>
      </c>
      <c r="K1263" s="85">
        <v>2021</v>
      </c>
      <c r="L1263" s="85">
        <v>11</v>
      </c>
      <c r="N1263" s="208" t="s">
        <v>44</v>
      </c>
    </row>
    <row r="1264" spans="1:14">
      <c r="A1264" s="36" t="s">
        <v>32</v>
      </c>
      <c r="B1264" s="37">
        <v>44561</v>
      </c>
      <c r="C1264" s="36" t="s">
        <v>175</v>
      </c>
      <c r="D1264" s="36" t="s">
        <v>559</v>
      </c>
      <c r="E1264" s="36" t="s">
        <v>76</v>
      </c>
      <c r="G1264" s="87">
        <v>11938000</v>
      </c>
      <c r="H1264" s="87">
        <v>1193800</v>
      </c>
      <c r="I1264" s="87">
        <v>13131800</v>
      </c>
      <c r="K1264" s="85">
        <v>2021</v>
      </c>
      <c r="L1264" s="85">
        <v>12</v>
      </c>
      <c r="N1264" s="208" t="s">
        <v>44</v>
      </c>
    </row>
    <row r="1265" spans="1:14">
      <c r="A1265" s="36" t="s">
        <v>32</v>
      </c>
      <c r="B1265" s="37">
        <v>44561</v>
      </c>
      <c r="C1265" s="36" t="s">
        <v>466</v>
      </c>
      <c r="D1265" s="36" t="s">
        <v>467</v>
      </c>
      <c r="E1265" s="36" t="s">
        <v>76</v>
      </c>
      <c r="G1265" s="87">
        <v>33881840</v>
      </c>
      <c r="H1265" s="87">
        <v>3388184</v>
      </c>
      <c r="I1265" s="87">
        <v>37270024</v>
      </c>
      <c r="K1265" s="85">
        <v>2021</v>
      </c>
      <c r="L1265" s="85">
        <v>12</v>
      </c>
      <c r="N1265" s="208" t="s">
        <v>44</v>
      </c>
    </row>
    <row r="1266" spans="1:14">
      <c r="A1266" s="36" t="s">
        <v>33</v>
      </c>
      <c r="B1266" s="37">
        <v>44561</v>
      </c>
      <c r="C1266" s="36" t="s">
        <v>115</v>
      </c>
      <c r="D1266" s="36" t="s">
        <v>371</v>
      </c>
      <c r="E1266" s="36" t="s">
        <v>643</v>
      </c>
      <c r="G1266" s="87">
        <v>2370909</v>
      </c>
      <c r="H1266" s="87">
        <v>237090.90000000002</v>
      </c>
      <c r="I1266" s="87">
        <v>2607999.9</v>
      </c>
      <c r="K1266" s="85">
        <v>2021</v>
      </c>
      <c r="L1266" s="85">
        <v>12</v>
      </c>
      <c r="M1266" s="36" t="s">
        <v>107</v>
      </c>
      <c r="N1266" s="208" t="s">
        <v>44</v>
      </c>
    </row>
    <row r="1267" spans="1:14">
      <c r="A1267" s="36" t="s">
        <v>19</v>
      </c>
      <c r="B1267" s="37">
        <v>44561</v>
      </c>
      <c r="C1267" s="36" t="s">
        <v>422</v>
      </c>
      <c r="D1267" s="36" t="s">
        <v>423</v>
      </c>
      <c r="E1267" s="36" t="s">
        <v>164</v>
      </c>
      <c r="G1267" s="87">
        <v>1013600</v>
      </c>
      <c r="H1267" s="87">
        <v>101360</v>
      </c>
      <c r="I1267" s="87">
        <v>1114960</v>
      </c>
      <c r="K1267" s="85">
        <v>2021</v>
      </c>
      <c r="L1267" s="85">
        <v>12</v>
      </c>
      <c r="N1267" s="208" t="s">
        <v>44</v>
      </c>
    </row>
    <row r="1268" spans="1:14">
      <c r="A1268" s="36" t="s">
        <v>32</v>
      </c>
      <c r="B1268" s="37">
        <v>44561</v>
      </c>
      <c r="C1268" s="36" t="s">
        <v>651</v>
      </c>
      <c r="D1268" s="36" t="s">
        <v>652</v>
      </c>
      <c r="E1268" s="36" t="s">
        <v>76</v>
      </c>
      <c r="G1268" s="87">
        <v>18000000</v>
      </c>
      <c r="H1268" s="87">
        <v>1800000</v>
      </c>
      <c r="I1268" s="87">
        <v>19800000</v>
      </c>
      <c r="K1268" s="85">
        <v>2021</v>
      </c>
      <c r="L1268" s="85">
        <v>12</v>
      </c>
      <c r="N1268" s="208" t="s">
        <v>44</v>
      </c>
    </row>
    <row r="1269" spans="1:14">
      <c r="A1269" s="36" t="s">
        <v>33</v>
      </c>
      <c r="B1269" s="37">
        <v>44561</v>
      </c>
      <c r="C1269" s="36" t="s">
        <v>103</v>
      </c>
      <c r="D1269" s="36" t="s">
        <v>205</v>
      </c>
      <c r="E1269" s="36" t="s">
        <v>653</v>
      </c>
      <c r="G1269" s="87">
        <v>135000</v>
      </c>
      <c r="H1269" s="87">
        <v>13500</v>
      </c>
      <c r="I1269" s="87">
        <v>148500</v>
      </c>
      <c r="K1269" s="85">
        <v>2021</v>
      </c>
      <c r="L1269" s="85">
        <v>12</v>
      </c>
      <c r="N1269" s="208" t="s">
        <v>44</v>
      </c>
    </row>
    <row r="1270" spans="1:14">
      <c r="A1270" s="36" t="s">
        <v>32</v>
      </c>
      <c r="B1270" s="37">
        <v>44561</v>
      </c>
      <c r="C1270" s="36" t="s">
        <v>474</v>
      </c>
      <c r="D1270" s="36" t="s">
        <v>569</v>
      </c>
      <c r="E1270" s="36" t="s">
        <v>148</v>
      </c>
      <c r="J1270" s="87">
        <v>7700000</v>
      </c>
      <c r="K1270" s="85">
        <v>2021</v>
      </c>
      <c r="L1270" s="85">
        <v>11</v>
      </c>
      <c r="N1270" s="208" t="s">
        <v>44</v>
      </c>
    </row>
    <row r="1271" spans="1:14">
      <c r="A1271" s="36" t="s">
        <v>33</v>
      </c>
      <c r="B1271" s="37">
        <v>44562</v>
      </c>
      <c r="C1271" s="36" t="s">
        <v>119</v>
      </c>
      <c r="D1271" s="36" t="s">
        <v>372</v>
      </c>
      <c r="E1271" s="36" t="s">
        <v>76</v>
      </c>
      <c r="G1271" s="87">
        <v>5080000</v>
      </c>
      <c r="H1271" s="87">
        <v>508000</v>
      </c>
      <c r="I1271" s="87">
        <v>5588000</v>
      </c>
      <c r="K1271" s="85">
        <v>2021</v>
      </c>
      <c r="L1271" s="85">
        <v>1</v>
      </c>
      <c r="N1271" s="208" t="s">
        <v>44</v>
      </c>
    </row>
    <row r="1272" spans="1:14">
      <c r="A1272" s="36" t="s">
        <v>32</v>
      </c>
      <c r="B1272" s="37">
        <v>44562</v>
      </c>
      <c r="C1272" s="36" t="s">
        <v>188</v>
      </c>
      <c r="D1272" s="36" t="s">
        <v>443</v>
      </c>
      <c r="E1272" s="36" t="s">
        <v>77</v>
      </c>
      <c r="J1272" s="38">
        <v>3773000</v>
      </c>
      <c r="K1272" s="85">
        <v>2021</v>
      </c>
      <c r="L1272" s="85">
        <v>12</v>
      </c>
      <c r="N1272" s="208" t="s">
        <v>44</v>
      </c>
    </row>
    <row r="1273" spans="1:14">
      <c r="A1273" s="36" t="s">
        <v>18</v>
      </c>
      <c r="B1273" s="37">
        <v>44564</v>
      </c>
      <c r="C1273" s="36" t="s">
        <v>498</v>
      </c>
      <c r="D1273" s="36" t="s">
        <v>499</v>
      </c>
      <c r="E1273" s="36" t="s">
        <v>148</v>
      </c>
      <c r="J1273" s="87">
        <v>10263000</v>
      </c>
      <c r="K1273" s="85">
        <v>2021</v>
      </c>
      <c r="L1273" s="85">
        <v>10</v>
      </c>
      <c r="N1273" s="208" t="s">
        <v>44</v>
      </c>
    </row>
    <row r="1274" spans="1:14">
      <c r="A1274" s="36" t="s">
        <v>32</v>
      </c>
      <c r="B1274" s="37">
        <v>44564</v>
      </c>
      <c r="C1274" s="36" t="s">
        <v>181</v>
      </c>
      <c r="D1274" s="36" t="s">
        <v>372</v>
      </c>
      <c r="E1274" s="36" t="s">
        <v>148</v>
      </c>
      <c r="J1274" s="87">
        <v>9685500</v>
      </c>
      <c r="K1274" s="85">
        <v>2021</v>
      </c>
      <c r="L1274" s="85">
        <v>11</v>
      </c>
      <c r="N1274" s="208" t="s">
        <v>44</v>
      </c>
    </row>
    <row r="1275" spans="1:14">
      <c r="A1275" s="36" t="s">
        <v>32</v>
      </c>
      <c r="B1275" s="37">
        <v>44564</v>
      </c>
      <c r="C1275" s="36" t="s">
        <v>654</v>
      </c>
      <c r="D1275" s="36" t="s">
        <v>655</v>
      </c>
      <c r="E1275" s="36" t="s">
        <v>76</v>
      </c>
      <c r="G1275" s="87">
        <v>6700000</v>
      </c>
      <c r="H1275" s="87">
        <v>670000</v>
      </c>
      <c r="I1275" s="87">
        <v>7370000</v>
      </c>
      <c r="K1275" s="85">
        <v>2022</v>
      </c>
      <c r="L1275" s="85">
        <v>1</v>
      </c>
      <c r="N1275" s="208" t="s">
        <v>44</v>
      </c>
    </row>
    <row r="1276" spans="1:14">
      <c r="A1276" s="36" t="s">
        <v>32</v>
      </c>
      <c r="B1276" s="37">
        <v>44565</v>
      </c>
      <c r="C1276" s="36" t="s">
        <v>209</v>
      </c>
      <c r="D1276" s="36" t="s">
        <v>541</v>
      </c>
      <c r="E1276" s="36" t="s">
        <v>77</v>
      </c>
      <c r="J1276" s="87">
        <v>6881820</v>
      </c>
      <c r="K1276" s="85">
        <v>2021</v>
      </c>
      <c r="L1276" s="85">
        <v>11</v>
      </c>
      <c r="N1276" s="208" t="s">
        <v>44</v>
      </c>
    </row>
    <row r="1277" spans="1:14">
      <c r="A1277" s="36" t="s">
        <v>33</v>
      </c>
      <c r="B1277" s="37">
        <v>44565</v>
      </c>
      <c r="C1277" s="36" t="s">
        <v>131</v>
      </c>
      <c r="D1277" s="36" t="s">
        <v>439</v>
      </c>
      <c r="E1277" s="36" t="s">
        <v>77</v>
      </c>
      <c r="J1277" s="87">
        <v>465300</v>
      </c>
      <c r="K1277" s="85">
        <v>2021</v>
      </c>
      <c r="L1277" s="85">
        <v>12</v>
      </c>
      <c r="N1277" s="208" t="s">
        <v>44</v>
      </c>
    </row>
    <row r="1278" spans="1:14">
      <c r="A1278" s="36" t="s">
        <v>33</v>
      </c>
      <c r="B1278" s="37">
        <v>44565</v>
      </c>
      <c r="C1278" s="36" t="s">
        <v>119</v>
      </c>
      <c r="D1278" s="36" t="s">
        <v>372</v>
      </c>
      <c r="E1278" s="36" t="s">
        <v>148</v>
      </c>
      <c r="J1278" s="87">
        <v>9040900</v>
      </c>
      <c r="K1278" s="85">
        <v>2021</v>
      </c>
      <c r="L1278" s="85">
        <v>11</v>
      </c>
      <c r="M1278" s="36" t="s">
        <v>159</v>
      </c>
      <c r="N1278" s="208" t="s">
        <v>44</v>
      </c>
    </row>
    <row r="1279" spans="1:14">
      <c r="A1279" s="36" t="s">
        <v>32</v>
      </c>
      <c r="B1279" s="37">
        <v>44565</v>
      </c>
      <c r="C1279" s="36" t="s">
        <v>264</v>
      </c>
      <c r="D1279" s="36" t="s">
        <v>656</v>
      </c>
      <c r="E1279" s="36" t="s">
        <v>77</v>
      </c>
      <c r="J1279" s="87">
        <v>18700000</v>
      </c>
      <c r="K1279" s="85">
        <v>2021</v>
      </c>
      <c r="L1279" s="85">
        <v>11</v>
      </c>
      <c r="N1279" s="208" t="s">
        <v>44</v>
      </c>
    </row>
    <row r="1280" spans="1:14">
      <c r="A1280" s="36" t="s">
        <v>32</v>
      </c>
      <c r="B1280" s="37">
        <v>44565</v>
      </c>
      <c r="C1280" s="36" t="s">
        <v>552</v>
      </c>
      <c r="D1280" s="36" t="s">
        <v>553</v>
      </c>
      <c r="E1280" s="36" t="s">
        <v>148</v>
      </c>
      <c r="J1280" s="38">
        <v>15972000</v>
      </c>
      <c r="K1280" s="85">
        <v>2021</v>
      </c>
      <c r="L1280" s="85">
        <v>11</v>
      </c>
      <c r="N1280" s="208" t="s">
        <v>44</v>
      </c>
    </row>
    <row r="1281" spans="1:14">
      <c r="A1281" s="36" t="s">
        <v>32</v>
      </c>
      <c r="B1281" s="37">
        <v>44565</v>
      </c>
      <c r="C1281" s="36" t="s">
        <v>552</v>
      </c>
      <c r="D1281" s="36" t="s">
        <v>553</v>
      </c>
      <c r="E1281" s="36" t="s">
        <v>657</v>
      </c>
      <c r="J1281" s="38">
        <v>220</v>
      </c>
      <c r="K1281" s="85">
        <v>2021</v>
      </c>
      <c r="L1281" s="85">
        <v>11</v>
      </c>
      <c r="N1281" s="208" t="s">
        <v>44</v>
      </c>
    </row>
    <row r="1282" spans="1:14">
      <c r="A1282" s="36" t="s">
        <v>19</v>
      </c>
      <c r="B1282" s="37">
        <v>44565</v>
      </c>
      <c r="C1282" s="36" t="s">
        <v>645</v>
      </c>
      <c r="D1282" s="36" t="s">
        <v>646</v>
      </c>
      <c r="E1282" s="36" t="s">
        <v>148</v>
      </c>
      <c r="J1282" s="38">
        <v>451000</v>
      </c>
      <c r="K1282" s="85">
        <v>2021</v>
      </c>
      <c r="L1282" s="85">
        <v>12</v>
      </c>
      <c r="N1282" s="208" t="s">
        <v>44</v>
      </c>
    </row>
    <row r="1283" spans="1:14">
      <c r="A1283" s="36" t="s">
        <v>19</v>
      </c>
      <c r="B1283" s="37">
        <v>44565</v>
      </c>
      <c r="C1283" s="36" t="s">
        <v>615</v>
      </c>
      <c r="D1283" s="36" t="s">
        <v>616</v>
      </c>
      <c r="E1283" s="36" t="s">
        <v>148</v>
      </c>
      <c r="J1283" s="38">
        <v>3208000</v>
      </c>
      <c r="K1283" s="85">
        <v>2021</v>
      </c>
      <c r="L1283" s="85">
        <v>12</v>
      </c>
      <c r="N1283" s="208" t="s">
        <v>44</v>
      </c>
    </row>
    <row r="1284" spans="1:14">
      <c r="A1284" s="36" t="s">
        <v>32</v>
      </c>
      <c r="B1284" s="37">
        <v>44565</v>
      </c>
      <c r="C1284" s="36" t="s">
        <v>654</v>
      </c>
      <c r="D1284" s="36" t="s">
        <v>655</v>
      </c>
      <c r="E1284" s="36" t="s">
        <v>77</v>
      </c>
      <c r="J1284" s="38">
        <v>7370000</v>
      </c>
      <c r="K1284" s="85">
        <v>2022</v>
      </c>
      <c r="L1284" s="85">
        <v>1</v>
      </c>
      <c r="N1284" s="208" t="s">
        <v>44</v>
      </c>
    </row>
    <row r="1285" spans="1:14">
      <c r="A1285" s="36" t="s">
        <v>19</v>
      </c>
      <c r="B1285" s="37">
        <v>44565</v>
      </c>
      <c r="C1285" s="36" t="s">
        <v>422</v>
      </c>
      <c r="D1285" s="36" t="s">
        <v>423</v>
      </c>
      <c r="E1285" s="36" t="s">
        <v>148</v>
      </c>
      <c r="J1285" s="38">
        <v>1114960</v>
      </c>
      <c r="K1285" s="85">
        <v>2021</v>
      </c>
      <c r="L1285" s="85">
        <v>12</v>
      </c>
      <c r="N1285" s="208" t="s">
        <v>44</v>
      </c>
    </row>
    <row r="1286" spans="1:14">
      <c r="A1286" s="36" t="s">
        <v>33</v>
      </c>
      <c r="B1286" s="37">
        <v>44566</v>
      </c>
      <c r="C1286" s="36" t="s">
        <v>658</v>
      </c>
      <c r="D1286" s="36" t="s">
        <v>659</v>
      </c>
      <c r="E1286" s="36" t="s">
        <v>660</v>
      </c>
      <c r="G1286" s="87">
        <v>5694300</v>
      </c>
      <c r="H1286" s="87">
        <v>569430</v>
      </c>
      <c r="I1286" s="87">
        <v>6263730</v>
      </c>
      <c r="K1286" s="85">
        <v>2021</v>
      </c>
      <c r="L1286" s="85">
        <v>1</v>
      </c>
      <c r="N1286" s="208" t="s">
        <v>44</v>
      </c>
    </row>
    <row r="1287" spans="1:14">
      <c r="A1287" s="36" t="s">
        <v>33</v>
      </c>
      <c r="B1287" s="37">
        <v>44566</v>
      </c>
      <c r="C1287" s="36" t="s">
        <v>658</v>
      </c>
      <c r="D1287" s="36" t="s">
        <v>659</v>
      </c>
      <c r="E1287" s="36" t="s">
        <v>77</v>
      </c>
      <c r="J1287" s="38">
        <v>6263730</v>
      </c>
      <c r="K1287" s="85">
        <v>2021</v>
      </c>
      <c r="L1287" s="85">
        <v>1</v>
      </c>
      <c r="N1287" s="208" t="s">
        <v>44</v>
      </c>
    </row>
    <row r="1288" spans="1:14">
      <c r="A1288" s="36" t="s">
        <v>33</v>
      </c>
      <c r="B1288" s="37">
        <v>44566</v>
      </c>
      <c r="C1288" s="36" t="s">
        <v>124</v>
      </c>
      <c r="D1288" s="36" t="s">
        <v>229</v>
      </c>
      <c r="E1288" s="36" t="s">
        <v>77</v>
      </c>
      <c r="J1288" s="38">
        <v>3997000</v>
      </c>
      <c r="K1288" s="85">
        <v>2021</v>
      </c>
      <c r="L1288" s="85">
        <v>12</v>
      </c>
      <c r="M1288" s="36" t="s">
        <v>107</v>
      </c>
      <c r="N1288" s="208" t="s">
        <v>44</v>
      </c>
    </row>
    <row r="1289" spans="1:14">
      <c r="A1289" s="36" t="s">
        <v>18</v>
      </c>
      <c r="B1289" s="37">
        <v>44566</v>
      </c>
      <c r="C1289" s="36" t="s">
        <v>496</v>
      </c>
      <c r="D1289" s="36" t="s">
        <v>546</v>
      </c>
      <c r="E1289" s="36" t="s">
        <v>148</v>
      </c>
      <c r="J1289" s="87">
        <v>29348000</v>
      </c>
      <c r="K1289" s="85">
        <v>2021</v>
      </c>
      <c r="L1289" s="85">
        <v>11</v>
      </c>
      <c r="N1289" s="208" t="s">
        <v>44</v>
      </c>
    </row>
    <row r="1290" spans="1:14">
      <c r="A1290" s="36" t="s">
        <v>33</v>
      </c>
      <c r="B1290" s="37">
        <v>44566</v>
      </c>
      <c r="C1290" s="36" t="s">
        <v>115</v>
      </c>
      <c r="D1290" s="36" t="s">
        <v>371</v>
      </c>
      <c r="E1290" s="36" t="s">
        <v>77</v>
      </c>
      <c r="J1290" s="38">
        <v>2608000</v>
      </c>
      <c r="K1290" s="85">
        <v>2021</v>
      </c>
      <c r="L1290" s="85">
        <v>12</v>
      </c>
      <c r="M1290" s="36" t="s">
        <v>107</v>
      </c>
      <c r="N1290" s="208" t="s">
        <v>44</v>
      </c>
    </row>
    <row r="1291" spans="1:14">
      <c r="A1291" s="36" t="s">
        <v>32</v>
      </c>
      <c r="B1291" s="37">
        <v>44566</v>
      </c>
      <c r="C1291" s="36" t="s">
        <v>661</v>
      </c>
      <c r="D1291" s="36" t="s">
        <v>662</v>
      </c>
      <c r="E1291" s="36" t="s">
        <v>76</v>
      </c>
      <c r="G1291" s="87">
        <v>7000000</v>
      </c>
      <c r="H1291" s="87">
        <v>700000</v>
      </c>
      <c r="I1291" s="87">
        <v>7700000</v>
      </c>
      <c r="K1291" s="85">
        <v>2022</v>
      </c>
      <c r="L1291" s="85">
        <v>1</v>
      </c>
      <c r="N1291" s="208" t="s">
        <v>44</v>
      </c>
    </row>
    <row r="1292" spans="1:14">
      <c r="A1292" s="36" t="s">
        <v>32</v>
      </c>
      <c r="B1292" s="37">
        <v>44566</v>
      </c>
      <c r="C1292" s="36" t="s">
        <v>661</v>
      </c>
      <c r="D1292" s="36" t="s">
        <v>662</v>
      </c>
      <c r="E1292" s="36" t="s">
        <v>77</v>
      </c>
      <c r="J1292" s="38">
        <v>7700000</v>
      </c>
      <c r="K1292" s="85">
        <v>2022</v>
      </c>
      <c r="L1292" s="85">
        <v>1</v>
      </c>
      <c r="N1292" s="208" t="s">
        <v>44</v>
      </c>
    </row>
    <row r="1293" spans="1:14">
      <c r="A1293" s="36" t="s">
        <v>32</v>
      </c>
      <c r="B1293" s="37">
        <v>44567</v>
      </c>
      <c r="C1293" s="36" t="s">
        <v>609</v>
      </c>
      <c r="D1293" s="36" t="s">
        <v>610</v>
      </c>
      <c r="E1293" s="36" t="s">
        <v>148</v>
      </c>
      <c r="J1293" s="87">
        <v>1870000</v>
      </c>
      <c r="K1293" s="85">
        <v>2021</v>
      </c>
      <c r="L1293" s="85">
        <v>11</v>
      </c>
      <c r="N1293" s="208" t="s">
        <v>44</v>
      </c>
    </row>
    <row r="1294" spans="1:14">
      <c r="A1294" s="36" t="s">
        <v>32</v>
      </c>
      <c r="B1294" s="37">
        <v>44567</v>
      </c>
      <c r="C1294" s="36" t="s">
        <v>188</v>
      </c>
      <c r="D1294" s="36" t="s">
        <v>192</v>
      </c>
      <c r="E1294" s="36" t="s">
        <v>148</v>
      </c>
      <c r="J1294" s="87">
        <v>14067130</v>
      </c>
      <c r="K1294" s="85">
        <v>2021</v>
      </c>
      <c r="L1294" s="85">
        <v>4</v>
      </c>
      <c r="N1294" s="208" t="s">
        <v>44</v>
      </c>
    </row>
    <row r="1295" spans="1:14">
      <c r="A1295" s="36" t="s">
        <v>32</v>
      </c>
      <c r="B1295" s="37">
        <v>44567</v>
      </c>
      <c r="C1295" s="36" t="s">
        <v>188</v>
      </c>
      <c r="D1295" s="36" t="s">
        <v>190</v>
      </c>
      <c r="E1295" s="36" t="s">
        <v>148</v>
      </c>
      <c r="J1295" s="38">
        <v>1100000</v>
      </c>
      <c r="K1295" s="85">
        <v>2021</v>
      </c>
      <c r="L1295" s="85">
        <v>6</v>
      </c>
      <c r="N1295" s="208" t="s">
        <v>44</v>
      </c>
    </row>
    <row r="1296" spans="1:14">
      <c r="A1296" s="36" t="s">
        <v>33</v>
      </c>
      <c r="B1296" s="37">
        <v>44567</v>
      </c>
      <c r="C1296" s="36" t="s">
        <v>446</v>
      </c>
      <c r="D1296" s="36" t="s">
        <v>663</v>
      </c>
      <c r="E1296" s="36" t="s">
        <v>447</v>
      </c>
      <c r="G1296" s="87">
        <v>7238704</v>
      </c>
      <c r="H1296" s="87">
        <v>723870.4</v>
      </c>
      <c r="I1296" s="87">
        <v>7962574.4000000004</v>
      </c>
      <c r="K1296" s="85">
        <v>2021</v>
      </c>
      <c r="L1296" s="85">
        <v>1</v>
      </c>
      <c r="N1296" s="208" t="s">
        <v>44</v>
      </c>
    </row>
    <row r="1297" spans="1:14">
      <c r="A1297" s="36" t="s">
        <v>33</v>
      </c>
      <c r="B1297" s="37">
        <v>44567</v>
      </c>
      <c r="C1297" s="36" t="s">
        <v>446</v>
      </c>
      <c r="D1297" s="36" t="s">
        <v>663</v>
      </c>
      <c r="E1297" s="36" t="s">
        <v>77</v>
      </c>
      <c r="J1297" s="38">
        <v>7962574</v>
      </c>
      <c r="K1297" s="85">
        <v>2021</v>
      </c>
      <c r="L1297" s="85">
        <v>1</v>
      </c>
      <c r="N1297" s="208" t="s">
        <v>44</v>
      </c>
    </row>
    <row r="1298" spans="1:14">
      <c r="A1298" s="36" t="s">
        <v>32</v>
      </c>
      <c r="B1298" s="37">
        <v>44571</v>
      </c>
      <c r="C1298" s="36" t="s">
        <v>640</v>
      </c>
      <c r="D1298" s="36" t="s">
        <v>641</v>
      </c>
      <c r="E1298" s="36" t="s">
        <v>77</v>
      </c>
      <c r="J1298" s="38">
        <v>6462500</v>
      </c>
      <c r="K1298" s="85">
        <v>2021</v>
      </c>
      <c r="L1298" s="85">
        <v>12</v>
      </c>
      <c r="N1298" s="208" t="s">
        <v>44</v>
      </c>
    </row>
    <row r="1299" spans="1:14">
      <c r="A1299" s="36" t="s">
        <v>32</v>
      </c>
      <c r="B1299" s="37">
        <v>44571</v>
      </c>
      <c r="C1299" s="36" t="s">
        <v>603</v>
      </c>
      <c r="D1299" s="36" t="s">
        <v>604</v>
      </c>
      <c r="E1299" s="36" t="s">
        <v>77</v>
      </c>
      <c r="J1299" s="38">
        <v>1360000</v>
      </c>
      <c r="K1299" s="85">
        <v>2021</v>
      </c>
      <c r="L1299" s="85">
        <v>11</v>
      </c>
      <c r="N1299" s="208" t="s">
        <v>44</v>
      </c>
    </row>
    <row r="1300" spans="1:14">
      <c r="A1300" s="36" t="s">
        <v>32</v>
      </c>
      <c r="B1300" s="37">
        <v>44571</v>
      </c>
      <c r="C1300" s="36" t="s">
        <v>352</v>
      </c>
      <c r="D1300" s="36" t="s">
        <v>427</v>
      </c>
      <c r="E1300" s="36" t="s">
        <v>76</v>
      </c>
      <c r="G1300" s="87">
        <v>4139400</v>
      </c>
      <c r="H1300" s="87">
        <v>413940</v>
      </c>
      <c r="I1300" s="87">
        <v>4553340</v>
      </c>
      <c r="K1300" s="85">
        <v>2022</v>
      </c>
      <c r="L1300" s="85">
        <v>1</v>
      </c>
      <c r="N1300" s="208" t="s">
        <v>44</v>
      </c>
    </row>
    <row r="1301" spans="1:14">
      <c r="A1301" s="36" t="s">
        <v>32</v>
      </c>
      <c r="B1301" s="37">
        <v>44572</v>
      </c>
      <c r="C1301" s="36" t="s">
        <v>188</v>
      </c>
      <c r="D1301" s="36" t="s">
        <v>518</v>
      </c>
      <c r="E1301" s="36" t="s">
        <v>148</v>
      </c>
      <c r="J1301" s="87">
        <v>1925000</v>
      </c>
      <c r="K1301" s="85">
        <v>2021</v>
      </c>
      <c r="L1301" s="85">
        <v>11</v>
      </c>
      <c r="N1301" s="208" t="s">
        <v>44</v>
      </c>
    </row>
    <row r="1302" spans="1:14">
      <c r="A1302" s="36" t="s">
        <v>32</v>
      </c>
      <c r="B1302" s="37">
        <v>44572</v>
      </c>
      <c r="C1302" s="36" t="s">
        <v>651</v>
      </c>
      <c r="D1302" s="36" t="s">
        <v>652</v>
      </c>
      <c r="E1302" s="36" t="s">
        <v>77</v>
      </c>
      <c r="J1302" s="38">
        <v>19800000</v>
      </c>
      <c r="K1302" s="85">
        <v>2021</v>
      </c>
      <c r="L1302" s="85">
        <v>12</v>
      </c>
      <c r="N1302" s="208" t="s">
        <v>44</v>
      </c>
    </row>
    <row r="1303" spans="1:14">
      <c r="A1303" s="36" t="s">
        <v>32</v>
      </c>
      <c r="B1303" s="37">
        <v>44575</v>
      </c>
      <c r="C1303" s="36" t="s">
        <v>664</v>
      </c>
      <c r="D1303" s="36" t="s">
        <v>629</v>
      </c>
      <c r="E1303" s="36" t="s">
        <v>76</v>
      </c>
      <c r="G1303" s="87">
        <v>32600000</v>
      </c>
      <c r="H1303" s="87">
        <v>3260000</v>
      </c>
      <c r="I1303" s="87">
        <v>35860000</v>
      </c>
      <c r="K1303" s="85">
        <v>2022</v>
      </c>
      <c r="L1303" s="85">
        <v>1</v>
      </c>
      <c r="N1303" s="208" t="s">
        <v>44</v>
      </c>
    </row>
    <row r="1304" spans="1:14">
      <c r="A1304" s="36" t="s">
        <v>32</v>
      </c>
      <c r="B1304" s="37">
        <v>44575</v>
      </c>
      <c r="C1304" s="36" t="s">
        <v>664</v>
      </c>
      <c r="D1304" s="36" t="s">
        <v>629</v>
      </c>
      <c r="E1304" s="36" t="s">
        <v>77</v>
      </c>
      <c r="J1304" s="38">
        <v>35860000</v>
      </c>
      <c r="K1304" s="85">
        <v>2022</v>
      </c>
      <c r="L1304" s="85">
        <v>1</v>
      </c>
      <c r="N1304" s="208" t="s">
        <v>44</v>
      </c>
    </row>
    <row r="1305" spans="1:14">
      <c r="A1305" s="36" t="s">
        <v>32</v>
      </c>
      <c r="B1305" s="37">
        <v>44576</v>
      </c>
      <c r="C1305" s="36" t="s">
        <v>466</v>
      </c>
      <c r="D1305" s="36" t="s">
        <v>467</v>
      </c>
      <c r="E1305" s="36" t="s">
        <v>77</v>
      </c>
      <c r="J1305" s="38">
        <v>37270024</v>
      </c>
      <c r="K1305" s="85">
        <v>2021</v>
      </c>
      <c r="L1305" s="85">
        <v>12</v>
      </c>
      <c r="M1305" s="36" t="s">
        <v>665</v>
      </c>
      <c r="N1305" s="208" t="s">
        <v>44</v>
      </c>
    </row>
    <row r="1306" spans="1:14">
      <c r="A1306" s="36" t="s">
        <v>33</v>
      </c>
      <c r="B1306" s="37">
        <v>44578</v>
      </c>
      <c r="C1306" s="36" t="s">
        <v>120</v>
      </c>
      <c r="D1306" s="36" t="s">
        <v>121</v>
      </c>
      <c r="E1306" s="36" t="s">
        <v>122</v>
      </c>
      <c r="G1306" s="87">
        <v>727272</v>
      </c>
      <c r="H1306" s="87">
        <v>72728</v>
      </c>
      <c r="I1306" s="87">
        <v>800000</v>
      </c>
      <c r="K1306" s="85">
        <v>2021</v>
      </c>
      <c r="L1306" s="85">
        <v>1</v>
      </c>
      <c r="M1306" s="36" t="s">
        <v>666</v>
      </c>
      <c r="N1306" s="208" t="s">
        <v>44</v>
      </c>
    </row>
    <row r="1307" spans="1:14">
      <c r="A1307" s="36" t="s">
        <v>33</v>
      </c>
      <c r="B1307" s="37">
        <v>44579</v>
      </c>
      <c r="C1307" s="36" t="s">
        <v>120</v>
      </c>
      <c r="D1307" s="36" t="s">
        <v>121</v>
      </c>
      <c r="E1307" s="36" t="s">
        <v>77</v>
      </c>
      <c r="J1307" s="38">
        <v>800000</v>
      </c>
      <c r="K1307" s="85">
        <v>2021</v>
      </c>
      <c r="L1307" s="85">
        <v>1</v>
      </c>
      <c r="N1307" s="208" t="s">
        <v>44</v>
      </c>
    </row>
    <row r="1308" spans="1:14">
      <c r="A1308" s="36" t="s">
        <v>32</v>
      </c>
      <c r="B1308" s="37">
        <v>44579</v>
      </c>
      <c r="C1308" s="36" t="s">
        <v>667</v>
      </c>
      <c r="D1308" s="36" t="s">
        <v>668</v>
      </c>
      <c r="E1308" s="36" t="s">
        <v>78</v>
      </c>
      <c r="G1308" s="87">
        <v>29875000</v>
      </c>
      <c r="H1308" s="87">
        <v>2987500</v>
      </c>
      <c r="I1308" s="87">
        <v>32862500</v>
      </c>
      <c r="K1308" s="85">
        <v>2022</v>
      </c>
      <c r="L1308" s="85">
        <v>1</v>
      </c>
      <c r="N1308" s="208" t="s">
        <v>44</v>
      </c>
    </row>
    <row r="1309" spans="1:14">
      <c r="A1309" s="36" t="s">
        <v>32</v>
      </c>
      <c r="B1309" s="37">
        <v>44581</v>
      </c>
      <c r="C1309" s="36" t="s">
        <v>188</v>
      </c>
      <c r="D1309" s="36" t="s">
        <v>625</v>
      </c>
      <c r="E1309" s="36" t="s">
        <v>148</v>
      </c>
      <c r="J1309" s="87">
        <v>6182000</v>
      </c>
      <c r="K1309" s="85">
        <v>2021</v>
      </c>
      <c r="L1309" s="85">
        <v>11</v>
      </c>
      <c r="N1309" s="208" t="s">
        <v>44</v>
      </c>
    </row>
    <row r="1310" spans="1:14">
      <c r="A1310" s="36" t="s">
        <v>32</v>
      </c>
      <c r="B1310" s="37">
        <v>44582</v>
      </c>
      <c r="C1310" s="36" t="s">
        <v>174</v>
      </c>
      <c r="D1310" s="36" t="s">
        <v>540</v>
      </c>
      <c r="E1310" s="36" t="s">
        <v>77</v>
      </c>
      <c r="J1310" s="87">
        <v>37280430</v>
      </c>
      <c r="K1310" s="85">
        <v>2021</v>
      </c>
      <c r="L1310" s="85">
        <v>12</v>
      </c>
      <c r="N1310" s="208" t="s">
        <v>44</v>
      </c>
    </row>
    <row r="1311" spans="1:14">
      <c r="A1311" s="36" t="s">
        <v>32</v>
      </c>
      <c r="B1311" s="37">
        <v>44582</v>
      </c>
      <c r="C1311" s="36" t="s">
        <v>185</v>
      </c>
      <c r="D1311" s="36" t="s">
        <v>105</v>
      </c>
      <c r="E1311" s="36" t="s">
        <v>148</v>
      </c>
      <c r="J1311" s="87">
        <v>6156150</v>
      </c>
      <c r="K1311" s="85">
        <v>2021</v>
      </c>
      <c r="L1311" s="85">
        <v>11</v>
      </c>
      <c r="N1311" s="208" t="s">
        <v>44</v>
      </c>
    </row>
    <row r="1312" spans="1:14">
      <c r="A1312" s="36" t="s">
        <v>32</v>
      </c>
      <c r="B1312" s="37">
        <v>44582</v>
      </c>
      <c r="C1312" s="36" t="s">
        <v>185</v>
      </c>
      <c r="D1312" s="36" t="s">
        <v>648</v>
      </c>
      <c r="E1312" s="36" t="s">
        <v>148</v>
      </c>
      <c r="J1312" s="87">
        <v>26901254.600000001</v>
      </c>
      <c r="K1312" s="85">
        <v>2021</v>
      </c>
      <c r="L1312" s="85">
        <v>12</v>
      </c>
      <c r="N1312" s="208" t="s">
        <v>44</v>
      </c>
    </row>
    <row r="1313" spans="1:14">
      <c r="A1313" s="36" t="s">
        <v>32</v>
      </c>
      <c r="B1313" s="37">
        <v>44582</v>
      </c>
      <c r="C1313" s="36" t="s">
        <v>188</v>
      </c>
      <c r="D1313" s="36" t="s">
        <v>596</v>
      </c>
      <c r="E1313" s="36" t="s">
        <v>148</v>
      </c>
      <c r="J1313" s="87">
        <v>2299000</v>
      </c>
      <c r="K1313" s="85">
        <v>2021</v>
      </c>
      <c r="L1313" s="85">
        <v>10</v>
      </c>
      <c r="N1313" s="208" t="s">
        <v>44</v>
      </c>
    </row>
    <row r="1314" spans="1:14">
      <c r="A1314" s="36" t="s">
        <v>32</v>
      </c>
      <c r="B1314" s="37">
        <v>44582</v>
      </c>
      <c r="C1314" s="36" t="s">
        <v>188</v>
      </c>
      <c r="D1314" s="36" t="s">
        <v>596</v>
      </c>
      <c r="E1314" s="36" t="s">
        <v>148</v>
      </c>
      <c r="J1314" s="87">
        <v>3025000</v>
      </c>
      <c r="K1314" s="85">
        <v>2021</v>
      </c>
      <c r="L1314" s="85">
        <v>12</v>
      </c>
      <c r="N1314" s="208" t="s">
        <v>44</v>
      </c>
    </row>
    <row r="1315" spans="1:14">
      <c r="A1315" s="36" t="s">
        <v>33</v>
      </c>
      <c r="B1315" s="37">
        <v>44586</v>
      </c>
      <c r="C1315" s="36" t="s">
        <v>120</v>
      </c>
      <c r="D1315" s="36" t="s">
        <v>121</v>
      </c>
      <c r="E1315" s="36" t="s">
        <v>122</v>
      </c>
      <c r="G1315" s="87">
        <v>727272</v>
      </c>
      <c r="H1315" s="87">
        <v>72728</v>
      </c>
      <c r="I1315" s="87">
        <v>800000</v>
      </c>
      <c r="K1315" s="85">
        <v>2022</v>
      </c>
      <c r="L1315" s="85">
        <v>1</v>
      </c>
      <c r="N1315" s="208" t="s">
        <v>44</v>
      </c>
    </row>
    <row r="1316" spans="1:14">
      <c r="A1316" s="36" t="s">
        <v>33</v>
      </c>
      <c r="B1316" s="37">
        <v>44587</v>
      </c>
      <c r="C1316" s="36" t="s">
        <v>131</v>
      </c>
      <c r="D1316" s="36" t="s">
        <v>439</v>
      </c>
      <c r="E1316" s="36" t="s">
        <v>669</v>
      </c>
      <c r="G1316" s="87">
        <v>100000</v>
      </c>
      <c r="H1316" s="87">
        <v>10000</v>
      </c>
      <c r="I1316" s="87">
        <v>110000</v>
      </c>
      <c r="K1316" s="85">
        <v>2022</v>
      </c>
      <c r="L1316" s="85">
        <v>1</v>
      </c>
      <c r="N1316" s="208" t="s">
        <v>44</v>
      </c>
    </row>
    <row r="1317" spans="1:14">
      <c r="A1317" s="36" t="s">
        <v>33</v>
      </c>
      <c r="B1317" s="37">
        <v>44587</v>
      </c>
      <c r="C1317" s="36" t="s">
        <v>131</v>
      </c>
      <c r="D1317" s="36" t="s">
        <v>439</v>
      </c>
      <c r="E1317" s="36" t="s">
        <v>77</v>
      </c>
      <c r="J1317" s="38">
        <v>110000</v>
      </c>
      <c r="K1317" s="85">
        <v>2022</v>
      </c>
      <c r="L1317" s="85">
        <v>1</v>
      </c>
      <c r="N1317" s="208" t="s">
        <v>44</v>
      </c>
    </row>
    <row r="1318" spans="1:14">
      <c r="A1318" s="36" t="s">
        <v>33</v>
      </c>
      <c r="B1318" s="37">
        <v>44587</v>
      </c>
      <c r="C1318" s="36" t="s">
        <v>120</v>
      </c>
      <c r="D1318" s="36" t="s">
        <v>121</v>
      </c>
      <c r="E1318" s="36" t="s">
        <v>77</v>
      </c>
      <c r="J1318" s="38">
        <v>800000</v>
      </c>
      <c r="K1318" s="85">
        <v>2022</v>
      </c>
      <c r="L1318" s="85">
        <v>1</v>
      </c>
      <c r="N1318" s="208" t="s">
        <v>44</v>
      </c>
    </row>
    <row r="1319" spans="1:14">
      <c r="A1319" s="36" t="s">
        <v>32</v>
      </c>
      <c r="B1319" s="37">
        <v>44587</v>
      </c>
      <c r="C1319" s="36" t="s">
        <v>277</v>
      </c>
      <c r="D1319" s="36" t="s">
        <v>278</v>
      </c>
      <c r="E1319" s="36" t="s">
        <v>77</v>
      </c>
      <c r="J1319" s="87">
        <v>44481426</v>
      </c>
      <c r="K1319" s="85">
        <v>2021</v>
      </c>
      <c r="L1319" s="85">
        <v>11</v>
      </c>
      <c r="N1319" s="208" t="s">
        <v>44</v>
      </c>
    </row>
    <row r="1320" spans="1:14">
      <c r="A1320" s="36" t="s">
        <v>32</v>
      </c>
      <c r="B1320" s="37">
        <v>44587</v>
      </c>
      <c r="C1320" s="36" t="s">
        <v>352</v>
      </c>
      <c r="D1320" s="36" t="s">
        <v>427</v>
      </c>
      <c r="E1320" s="36" t="s">
        <v>77</v>
      </c>
      <c r="J1320" s="38">
        <v>4553340</v>
      </c>
      <c r="K1320" s="85">
        <v>2022</v>
      </c>
      <c r="L1320" s="85">
        <v>1</v>
      </c>
      <c r="N1320" s="208" t="s">
        <v>44</v>
      </c>
    </row>
    <row r="1321" spans="1:14">
      <c r="A1321" s="36" t="s">
        <v>32</v>
      </c>
      <c r="B1321" s="37">
        <v>44587</v>
      </c>
      <c r="C1321" s="36" t="s">
        <v>352</v>
      </c>
      <c r="D1321" s="36" t="s">
        <v>427</v>
      </c>
      <c r="E1321" s="36" t="s">
        <v>148</v>
      </c>
      <c r="J1321" s="87">
        <v>9787800</v>
      </c>
      <c r="K1321" s="85">
        <v>2021</v>
      </c>
      <c r="L1321" s="85">
        <v>11</v>
      </c>
      <c r="N1321" s="208" t="s">
        <v>44</v>
      </c>
    </row>
    <row r="1322" spans="1:14">
      <c r="A1322" s="36" t="s">
        <v>32</v>
      </c>
      <c r="B1322" s="37">
        <v>44588</v>
      </c>
      <c r="C1322" s="36" t="s">
        <v>511</v>
      </c>
      <c r="D1322" s="36" t="s">
        <v>512</v>
      </c>
      <c r="E1322" s="36" t="s">
        <v>148</v>
      </c>
      <c r="J1322" s="87">
        <v>9181480</v>
      </c>
      <c r="K1322" s="85">
        <v>2022</v>
      </c>
      <c r="L1322" s="85">
        <v>1</v>
      </c>
      <c r="M1322" s="36" t="s">
        <v>638</v>
      </c>
      <c r="N1322" s="208" t="s">
        <v>44</v>
      </c>
    </row>
    <row r="1323" spans="1:14">
      <c r="A1323" s="36" t="s">
        <v>32</v>
      </c>
      <c r="B1323" s="37">
        <v>44588</v>
      </c>
      <c r="C1323" s="36" t="s">
        <v>511</v>
      </c>
      <c r="D1323" s="36" t="s">
        <v>512</v>
      </c>
      <c r="E1323" s="36" t="s">
        <v>148</v>
      </c>
      <c r="J1323" s="87">
        <v>22154990</v>
      </c>
      <c r="K1323" s="85">
        <v>2021</v>
      </c>
      <c r="L1323" s="85">
        <v>12</v>
      </c>
      <c r="M1323" s="36" t="s">
        <v>638</v>
      </c>
      <c r="N1323" s="208" t="s">
        <v>44</v>
      </c>
    </row>
    <row r="1324" spans="1:14">
      <c r="A1324" s="36" t="s">
        <v>32</v>
      </c>
      <c r="B1324" s="37">
        <v>44588</v>
      </c>
      <c r="C1324" s="36" t="s">
        <v>188</v>
      </c>
      <c r="D1324" s="36" t="s">
        <v>443</v>
      </c>
      <c r="E1324" s="36" t="s">
        <v>76</v>
      </c>
      <c r="G1324" s="87">
        <v>3070000</v>
      </c>
      <c r="H1324" s="87">
        <v>307000</v>
      </c>
      <c r="I1324" s="87">
        <v>3377000</v>
      </c>
      <c r="K1324" s="85">
        <v>2022</v>
      </c>
      <c r="L1324" s="85">
        <v>1</v>
      </c>
      <c r="N1324" s="208" t="s">
        <v>44</v>
      </c>
    </row>
    <row r="1325" spans="1:14">
      <c r="A1325" s="36" t="s">
        <v>32</v>
      </c>
      <c r="B1325" s="37">
        <v>44588</v>
      </c>
      <c r="C1325" s="36" t="s">
        <v>188</v>
      </c>
      <c r="D1325" s="36" t="s">
        <v>443</v>
      </c>
      <c r="E1325" s="36" t="s">
        <v>77</v>
      </c>
      <c r="J1325" s="38">
        <v>3377000</v>
      </c>
      <c r="K1325" s="85">
        <v>2022</v>
      </c>
      <c r="L1325" s="85">
        <v>1</v>
      </c>
      <c r="N1325" s="208" t="s">
        <v>44</v>
      </c>
    </row>
    <row r="1326" spans="1:14">
      <c r="A1326" s="36" t="s">
        <v>33</v>
      </c>
      <c r="B1326" s="37">
        <v>44588</v>
      </c>
      <c r="C1326" s="36" t="s">
        <v>103</v>
      </c>
      <c r="D1326" s="36" t="s">
        <v>205</v>
      </c>
      <c r="E1326" s="36" t="s">
        <v>77</v>
      </c>
      <c r="J1326" s="38">
        <v>148500</v>
      </c>
      <c r="K1326" s="85">
        <v>2021</v>
      </c>
      <c r="L1326" s="85">
        <v>12</v>
      </c>
      <c r="N1326" s="208" t="s">
        <v>44</v>
      </c>
    </row>
    <row r="1327" spans="1:14">
      <c r="A1327" s="36" t="s">
        <v>32</v>
      </c>
      <c r="B1327" s="37">
        <v>44589</v>
      </c>
      <c r="C1327" s="36" t="s">
        <v>209</v>
      </c>
      <c r="D1327" s="36" t="s">
        <v>541</v>
      </c>
      <c r="E1327" s="36" t="s">
        <v>77</v>
      </c>
      <c r="J1327" s="87">
        <v>16504620</v>
      </c>
      <c r="K1327" s="85">
        <v>2021</v>
      </c>
      <c r="L1327" s="85">
        <v>12</v>
      </c>
      <c r="N1327" s="208" t="s">
        <v>44</v>
      </c>
    </row>
    <row r="1328" spans="1:14">
      <c r="A1328" s="36" t="s">
        <v>32</v>
      </c>
      <c r="B1328" s="37">
        <v>44589</v>
      </c>
      <c r="C1328" s="36" t="s">
        <v>346</v>
      </c>
      <c r="D1328" s="36" t="s">
        <v>378</v>
      </c>
      <c r="E1328" s="36" t="s">
        <v>148</v>
      </c>
      <c r="J1328" s="87">
        <v>5890500</v>
      </c>
      <c r="K1328" s="85">
        <v>2021</v>
      </c>
      <c r="L1328" s="85">
        <v>11</v>
      </c>
      <c r="N1328" s="208" t="s">
        <v>44</v>
      </c>
    </row>
    <row r="1329" spans="1:14">
      <c r="A1329" s="36" t="s">
        <v>33</v>
      </c>
      <c r="B1329" s="37">
        <v>44589</v>
      </c>
      <c r="C1329" s="36" t="s">
        <v>544</v>
      </c>
      <c r="D1329" s="36" t="s">
        <v>545</v>
      </c>
      <c r="E1329" s="36" t="s">
        <v>77</v>
      </c>
      <c r="J1329" s="87">
        <v>1210000</v>
      </c>
      <c r="K1329" s="85">
        <v>2021</v>
      </c>
      <c r="L1329" s="85">
        <v>12</v>
      </c>
      <c r="M1329" s="36" t="s">
        <v>107</v>
      </c>
      <c r="N1329" s="208" t="s">
        <v>44</v>
      </c>
    </row>
    <row r="1330" spans="1:14">
      <c r="A1330" s="36" t="s">
        <v>33</v>
      </c>
      <c r="B1330" s="37">
        <v>44589</v>
      </c>
      <c r="C1330" s="36" t="s">
        <v>584</v>
      </c>
      <c r="D1330" s="36" t="s">
        <v>205</v>
      </c>
      <c r="E1330" s="36" t="s">
        <v>148</v>
      </c>
      <c r="J1330" s="87">
        <v>165000</v>
      </c>
      <c r="K1330" s="85">
        <v>2021</v>
      </c>
      <c r="L1330" s="85">
        <v>12</v>
      </c>
      <c r="N1330" s="208" t="s">
        <v>44</v>
      </c>
    </row>
    <row r="1331" spans="1:14">
      <c r="A1331" s="36" t="s">
        <v>32</v>
      </c>
      <c r="B1331" s="37">
        <v>44589</v>
      </c>
      <c r="C1331" s="36" t="s">
        <v>334</v>
      </c>
      <c r="D1331" s="36" t="s">
        <v>586</v>
      </c>
      <c r="E1331" s="36" t="s">
        <v>77</v>
      </c>
      <c r="J1331" s="87">
        <v>8907547</v>
      </c>
      <c r="K1331" s="85">
        <v>2021</v>
      </c>
      <c r="L1331" s="85">
        <v>12</v>
      </c>
      <c r="N1331" s="208" t="s">
        <v>44</v>
      </c>
    </row>
    <row r="1332" spans="1:14">
      <c r="A1332" s="36" t="s">
        <v>18</v>
      </c>
      <c r="B1332" s="37">
        <v>44589</v>
      </c>
      <c r="C1332" s="36" t="s">
        <v>498</v>
      </c>
      <c r="D1332" s="36" t="s">
        <v>499</v>
      </c>
      <c r="E1332" s="36" t="s">
        <v>148</v>
      </c>
      <c r="J1332" s="87">
        <v>2761000</v>
      </c>
      <c r="K1332" s="85">
        <v>2021</v>
      </c>
      <c r="L1332" s="85">
        <v>12</v>
      </c>
      <c r="N1332" s="208" t="s">
        <v>44</v>
      </c>
    </row>
    <row r="1333" spans="1:14">
      <c r="A1333" s="36" t="s">
        <v>33</v>
      </c>
      <c r="B1333" s="37">
        <v>44589</v>
      </c>
      <c r="C1333" s="36" t="s">
        <v>320</v>
      </c>
      <c r="D1333" s="36" t="s">
        <v>378</v>
      </c>
      <c r="E1333" s="36" t="s">
        <v>148</v>
      </c>
      <c r="J1333" s="87">
        <v>132000</v>
      </c>
      <c r="K1333" s="85">
        <v>2021</v>
      </c>
      <c r="L1333" s="85">
        <v>12</v>
      </c>
      <c r="N1333" s="208" t="s">
        <v>44</v>
      </c>
    </row>
    <row r="1334" spans="1:14">
      <c r="A1334" s="36" t="s">
        <v>32</v>
      </c>
      <c r="B1334" s="37">
        <v>44589</v>
      </c>
      <c r="C1334" s="36" t="s">
        <v>503</v>
      </c>
      <c r="D1334" s="36" t="s">
        <v>504</v>
      </c>
      <c r="E1334" s="36" t="s">
        <v>148</v>
      </c>
      <c r="J1334" s="87">
        <v>7988200</v>
      </c>
      <c r="K1334" s="85">
        <v>2021</v>
      </c>
      <c r="L1334" s="85">
        <v>12</v>
      </c>
      <c r="N1334" s="208" t="s">
        <v>44</v>
      </c>
    </row>
    <row r="1335" spans="1:14">
      <c r="A1335" s="36" t="s">
        <v>33</v>
      </c>
      <c r="B1335" s="37">
        <v>44589</v>
      </c>
      <c r="C1335" s="36" t="s">
        <v>119</v>
      </c>
      <c r="D1335" s="36" t="s">
        <v>372</v>
      </c>
      <c r="E1335" s="36" t="s">
        <v>148</v>
      </c>
      <c r="J1335" s="87">
        <v>5588000</v>
      </c>
      <c r="K1335" s="85">
        <v>2021</v>
      </c>
      <c r="L1335" s="85">
        <v>1</v>
      </c>
      <c r="N1335" s="208" t="s">
        <v>44</v>
      </c>
    </row>
    <row r="1336" spans="1:14">
      <c r="A1336" s="36" t="s">
        <v>32</v>
      </c>
      <c r="B1336" s="37">
        <v>44589</v>
      </c>
      <c r="C1336" s="36" t="s">
        <v>505</v>
      </c>
      <c r="D1336" s="36" t="s">
        <v>506</v>
      </c>
      <c r="E1336" s="36" t="s">
        <v>77</v>
      </c>
      <c r="J1336" s="87">
        <v>57329745</v>
      </c>
      <c r="K1336" s="85">
        <v>2021</v>
      </c>
      <c r="L1336" s="85">
        <v>12</v>
      </c>
      <c r="N1336" s="208" t="s">
        <v>44</v>
      </c>
    </row>
    <row r="1337" spans="1:14">
      <c r="A1337" s="36" t="s">
        <v>32</v>
      </c>
      <c r="B1337" s="37">
        <v>44589</v>
      </c>
      <c r="C1337" s="36" t="s">
        <v>264</v>
      </c>
      <c r="D1337" s="36" t="s">
        <v>644</v>
      </c>
      <c r="E1337" s="36" t="s">
        <v>77</v>
      </c>
      <c r="J1337" s="87">
        <v>13860000</v>
      </c>
      <c r="K1337" s="85">
        <v>2021</v>
      </c>
      <c r="L1337" s="85">
        <v>12</v>
      </c>
      <c r="N1337" s="208" t="s">
        <v>44</v>
      </c>
    </row>
    <row r="1338" spans="1:14">
      <c r="A1338" s="36" t="s">
        <v>32</v>
      </c>
      <c r="B1338" s="37">
        <v>44589</v>
      </c>
      <c r="C1338" s="36" t="s">
        <v>552</v>
      </c>
      <c r="D1338" s="36" t="s">
        <v>553</v>
      </c>
      <c r="E1338" s="36" t="s">
        <v>148</v>
      </c>
      <c r="J1338" s="87">
        <v>10680120</v>
      </c>
      <c r="K1338" s="85">
        <v>2021</v>
      </c>
      <c r="L1338" s="85">
        <v>12</v>
      </c>
      <c r="N1338" s="208" t="s">
        <v>44</v>
      </c>
    </row>
    <row r="1339" spans="1:14">
      <c r="A1339" s="36" t="s">
        <v>32</v>
      </c>
      <c r="B1339" s="37">
        <v>44589</v>
      </c>
      <c r="C1339" s="36" t="s">
        <v>441</v>
      </c>
      <c r="D1339" s="36" t="s">
        <v>514</v>
      </c>
      <c r="E1339" s="36" t="s">
        <v>148</v>
      </c>
      <c r="J1339" s="87">
        <v>3960000</v>
      </c>
      <c r="K1339" s="85">
        <v>2021</v>
      </c>
      <c r="L1339" s="85">
        <v>11</v>
      </c>
      <c r="N1339" s="208" t="s">
        <v>44</v>
      </c>
    </row>
    <row r="1340" spans="1:14">
      <c r="A1340" s="36" t="s">
        <v>32</v>
      </c>
      <c r="B1340" s="37">
        <v>44589</v>
      </c>
      <c r="C1340" s="36" t="s">
        <v>188</v>
      </c>
      <c r="D1340" s="36" t="s">
        <v>623</v>
      </c>
      <c r="E1340" s="36" t="s">
        <v>148</v>
      </c>
      <c r="J1340" s="87">
        <v>3740000</v>
      </c>
      <c r="K1340" s="85">
        <v>2021</v>
      </c>
      <c r="L1340" s="85">
        <v>11</v>
      </c>
      <c r="N1340" s="208" t="s">
        <v>44</v>
      </c>
    </row>
    <row r="1341" spans="1:14">
      <c r="A1341" s="36" t="s">
        <v>32</v>
      </c>
      <c r="B1341" s="37">
        <v>44589</v>
      </c>
      <c r="C1341" s="36" t="s">
        <v>188</v>
      </c>
      <c r="D1341" s="36" t="s">
        <v>517</v>
      </c>
      <c r="E1341" s="36" t="s">
        <v>148</v>
      </c>
      <c r="J1341" s="87">
        <v>13926000</v>
      </c>
      <c r="K1341" s="85">
        <v>2021</v>
      </c>
      <c r="L1341" s="85">
        <v>11</v>
      </c>
      <c r="N1341" s="208" t="s">
        <v>44</v>
      </c>
    </row>
    <row r="1342" spans="1:14">
      <c r="A1342" s="36" t="s">
        <v>32</v>
      </c>
      <c r="B1342" s="37">
        <v>44589</v>
      </c>
      <c r="C1342" s="36" t="s">
        <v>188</v>
      </c>
      <c r="D1342" s="36" t="s">
        <v>649</v>
      </c>
      <c r="E1342" s="36" t="s">
        <v>148</v>
      </c>
      <c r="J1342" s="87">
        <v>6787000</v>
      </c>
      <c r="K1342" s="85">
        <v>2021</v>
      </c>
      <c r="L1342" s="85">
        <v>12</v>
      </c>
      <c r="N1342" s="208" t="s">
        <v>44</v>
      </c>
    </row>
    <row r="1343" spans="1:14">
      <c r="A1343" s="36" t="s">
        <v>32</v>
      </c>
      <c r="B1343" s="37">
        <v>44589</v>
      </c>
      <c r="C1343" s="36" t="s">
        <v>188</v>
      </c>
      <c r="D1343" s="36" t="s">
        <v>622</v>
      </c>
      <c r="E1343" s="36" t="s">
        <v>148</v>
      </c>
      <c r="J1343" s="87">
        <v>2046000</v>
      </c>
      <c r="K1343" s="85">
        <v>2021</v>
      </c>
      <c r="L1343" s="85">
        <v>12</v>
      </c>
      <c r="N1343" s="208" t="s">
        <v>44</v>
      </c>
    </row>
    <row r="1344" spans="1:14">
      <c r="A1344" s="36" t="s">
        <v>32</v>
      </c>
      <c r="B1344" s="37">
        <v>44589</v>
      </c>
      <c r="C1344" s="36" t="s">
        <v>188</v>
      </c>
      <c r="D1344" s="36" t="s">
        <v>557</v>
      </c>
      <c r="E1344" s="36" t="s">
        <v>148</v>
      </c>
      <c r="J1344" s="87">
        <v>4719000</v>
      </c>
      <c r="K1344" s="85">
        <v>2021</v>
      </c>
      <c r="L1344" s="85">
        <v>12</v>
      </c>
      <c r="N1344" s="208" t="s">
        <v>44</v>
      </c>
    </row>
    <row r="1345" spans="1:14">
      <c r="A1345" s="36" t="s">
        <v>32</v>
      </c>
      <c r="B1345" s="37">
        <v>44589</v>
      </c>
      <c r="C1345" s="36" t="s">
        <v>411</v>
      </c>
      <c r="D1345" s="36" t="s">
        <v>412</v>
      </c>
      <c r="E1345" s="36" t="s">
        <v>148</v>
      </c>
      <c r="J1345" s="87">
        <v>23324400</v>
      </c>
      <c r="K1345" s="85">
        <v>2021</v>
      </c>
      <c r="L1345" s="85">
        <v>12</v>
      </c>
      <c r="N1345" s="208" t="s">
        <v>44</v>
      </c>
    </row>
    <row r="1346" spans="1:14">
      <c r="A1346" s="36" t="s">
        <v>32</v>
      </c>
      <c r="B1346" s="37">
        <v>44589</v>
      </c>
      <c r="C1346" s="36" t="s">
        <v>411</v>
      </c>
      <c r="D1346" s="36" t="s">
        <v>412</v>
      </c>
      <c r="E1346" s="36" t="s">
        <v>148</v>
      </c>
      <c r="J1346" s="87">
        <v>32270700</v>
      </c>
      <c r="K1346" s="85">
        <v>2021</v>
      </c>
      <c r="L1346" s="85">
        <v>12</v>
      </c>
      <c r="N1346" s="208" t="s">
        <v>44</v>
      </c>
    </row>
    <row r="1347" spans="1:14">
      <c r="A1347" s="36" t="s">
        <v>32</v>
      </c>
      <c r="B1347" s="37">
        <v>44589</v>
      </c>
      <c r="C1347" s="36" t="s">
        <v>175</v>
      </c>
      <c r="D1347" s="36" t="s">
        <v>559</v>
      </c>
      <c r="E1347" s="36" t="s">
        <v>148</v>
      </c>
      <c r="J1347" s="87">
        <v>13131800</v>
      </c>
      <c r="K1347" s="85">
        <v>2021</v>
      </c>
      <c r="L1347" s="85">
        <v>12</v>
      </c>
      <c r="N1347" s="208" t="s">
        <v>44</v>
      </c>
    </row>
    <row r="1348" spans="1:14">
      <c r="A1348" s="36" t="s">
        <v>32</v>
      </c>
      <c r="B1348" s="37">
        <v>44589</v>
      </c>
      <c r="C1348" s="36" t="s">
        <v>667</v>
      </c>
      <c r="D1348" s="36" t="s">
        <v>668</v>
      </c>
      <c r="E1348" s="36" t="s">
        <v>77</v>
      </c>
      <c r="J1348" s="38">
        <v>10000000</v>
      </c>
      <c r="K1348" s="85">
        <v>2022</v>
      </c>
      <c r="L1348" s="85">
        <v>1</v>
      </c>
      <c r="N1348" s="208" t="s">
        <v>44</v>
      </c>
    </row>
    <row r="1349" spans="1:14">
      <c r="A1349" s="36" t="s">
        <v>32</v>
      </c>
      <c r="B1349" s="37">
        <v>44592</v>
      </c>
      <c r="C1349" s="36" t="s">
        <v>605</v>
      </c>
      <c r="D1349" s="36" t="s">
        <v>606</v>
      </c>
      <c r="E1349" s="36" t="s">
        <v>78</v>
      </c>
      <c r="G1349" s="87">
        <v>1500000</v>
      </c>
      <c r="H1349" s="87">
        <v>150000</v>
      </c>
      <c r="I1349" s="87">
        <v>1650000</v>
      </c>
      <c r="K1349" s="85">
        <v>2022</v>
      </c>
      <c r="L1349" s="85">
        <v>1</v>
      </c>
      <c r="N1349" s="208" t="s">
        <v>44</v>
      </c>
    </row>
    <row r="1350" spans="1:14">
      <c r="A1350" s="36" t="s">
        <v>32</v>
      </c>
      <c r="B1350" s="37">
        <v>44592</v>
      </c>
      <c r="C1350" s="36" t="s">
        <v>174</v>
      </c>
      <c r="D1350" s="36" t="s">
        <v>540</v>
      </c>
      <c r="E1350" s="36" t="s">
        <v>76</v>
      </c>
      <c r="G1350" s="87">
        <v>24691500</v>
      </c>
      <c r="H1350" s="87">
        <v>2469150</v>
      </c>
      <c r="I1350" s="87">
        <v>27160650</v>
      </c>
      <c r="K1350" s="85">
        <v>2022</v>
      </c>
      <c r="L1350" s="85">
        <v>1</v>
      </c>
      <c r="N1350" s="208" t="s">
        <v>44</v>
      </c>
    </row>
    <row r="1351" spans="1:14">
      <c r="A1351" s="36" t="s">
        <v>32</v>
      </c>
      <c r="B1351" s="37">
        <v>44592</v>
      </c>
      <c r="C1351" s="36" t="s">
        <v>209</v>
      </c>
      <c r="D1351" s="36" t="s">
        <v>541</v>
      </c>
      <c r="E1351" s="36" t="s">
        <v>76</v>
      </c>
      <c r="G1351" s="87">
        <v>23669140</v>
      </c>
      <c r="H1351" s="87">
        <v>2366914</v>
      </c>
      <c r="I1351" s="87">
        <v>26036054</v>
      </c>
      <c r="K1351" s="85">
        <v>2022</v>
      </c>
      <c r="L1351" s="85">
        <v>1</v>
      </c>
      <c r="N1351" s="208" t="s">
        <v>44</v>
      </c>
    </row>
    <row r="1352" spans="1:14">
      <c r="A1352" s="36" t="s">
        <v>32</v>
      </c>
      <c r="B1352" s="37">
        <v>44592</v>
      </c>
      <c r="C1352" s="36" t="s">
        <v>670</v>
      </c>
      <c r="D1352" s="36" t="s">
        <v>671</v>
      </c>
      <c r="E1352" s="36" t="s">
        <v>76</v>
      </c>
      <c r="G1352" s="87">
        <v>1219200</v>
      </c>
      <c r="H1352" s="87">
        <v>121920</v>
      </c>
      <c r="I1352" s="87">
        <v>1341120</v>
      </c>
      <c r="K1352" s="85">
        <v>2022</v>
      </c>
      <c r="L1352" s="85">
        <v>1</v>
      </c>
      <c r="N1352" s="208" t="s">
        <v>44</v>
      </c>
    </row>
    <row r="1353" spans="1:14">
      <c r="A1353" s="36" t="s">
        <v>32</v>
      </c>
      <c r="B1353" s="37">
        <v>44592</v>
      </c>
      <c r="C1353" s="36" t="s">
        <v>346</v>
      </c>
      <c r="D1353" s="36" t="s">
        <v>347</v>
      </c>
      <c r="E1353" s="36" t="s">
        <v>78</v>
      </c>
      <c r="G1353" s="87">
        <v>15375000</v>
      </c>
      <c r="H1353" s="87">
        <v>1537500</v>
      </c>
      <c r="I1353" s="87">
        <v>16912500</v>
      </c>
      <c r="K1353" s="85">
        <v>2022</v>
      </c>
      <c r="L1353" s="85">
        <v>1</v>
      </c>
      <c r="N1353" s="208" t="s">
        <v>44</v>
      </c>
    </row>
    <row r="1354" spans="1:14">
      <c r="A1354" s="36" t="s">
        <v>32</v>
      </c>
      <c r="B1354" s="37">
        <v>44592</v>
      </c>
      <c r="C1354" s="36" t="s">
        <v>672</v>
      </c>
      <c r="D1354" s="36" t="s">
        <v>673</v>
      </c>
      <c r="E1354" s="36" t="s">
        <v>76</v>
      </c>
      <c r="G1354" s="87">
        <v>7000000</v>
      </c>
      <c r="H1354" s="87">
        <v>700000</v>
      </c>
      <c r="I1354" s="87">
        <v>7700000</v>
      </c>
      <c r="K1354" s="85">
        <v>2022</v>
      </c>
      <c r="L1354" s="85">
        <v>1</v>
      </c>
      <c r="N1354" s="208" t="s">
        <v>44</v>
      </c>
    </row>
    <row r="1355" spans="1:14">
      <c r="A1355" s="36" t="s">
        <v>32</v>
      </c>
      <c r="B1355" s="37">
        <v>44592</v>
      </c>
      <c r="C1355" s="36" t="s">
        <v>204</v>
      </c>
      <c r="D1355" s="36" t="s">
        <v>674</v>
      </c>
      <c r="E1355" s="36" t="s">
        <v>76</v>
      </c>
      <c r="G1355" s="87">
        <v>2975000</v>
      </c>
      <c r="H1355" s="87">
        <v>297500</v>
      </c>
      <c r="I1355" s="87">
        <v>3272500</v>
      </c>
      <c r="K1355" s="85">
        <v>2022</v>
      </c>
      <c r="L1355" s="85">
        <v>1</v>
      </c>
      <c r="N1355" s="208" t="s">
        <v>44</v>
      </c>
    </row>
    <row r="1356" spans="1:14">
      <c r="A1356" s="36" t="s">
        <v>32</v>
      </c>
      <c r="B1356" s="37">
        <v>44592</v>
      </c>
      <c r="C1356" s="36" t="s">
        <v>204</v>
      </c>
      <c r="D1356" s="36" t="s">
        <v>675</v>
      </c>
      <c r="E1356" s="36" t="s">
        <v>76</v>
      </c>
      <c r="G1356" s="87">
        <v>1380000</v>
      </c>
      <c r="H1356" s="87">
        <v>138000</v>
      </c>
      <c r="I1356" s="87">
        <v>1518000</v>
      </c>
      <c r="K1356" s="85">
        <v>2022</v>
      </c>
      <c r="L1356" s="85">
        <v>1</v>
      </c>
      <c r="N1356" s="208" t="s">
        <v>44</v>
      </c>
    </row>
    <row r="1357" spans="1:14">
      <c r="A1357" s="36" t="s">
        <v>33</v>
      </c>
      <c r="B1357" s="37">
        <v>44592</v>
      </c>
      <c r="C1357" s="36" t="s">
        <v>544</v>
      </c>
      <c r="D1357" s="36" t="s">
        <v>545</v>
      </c>
      <c r="E1357" s="36" t="s">
        <v>125</v>
      </c>
      <c r="G1357" s="87">
        <v>830000</v>
      </c>
      <c r="H1357" s="87">
        <v>83000</v>
      </c>
      <c r="I1357" s="87">
        <v>913000</v>
      </c>
      <c r="K1357" s="85">
        <v>2022</v>
      </c>
      <c r="L1357" s="85">
        <v>1</v>
      </c>
      <c r="M1357" s="36" t="s">
        <v>107</v>
      </c>
      <c r="N1357" s="208" t="s">
        <v>44</v>
      </c>
    </row>
    <row r="1358" spans="1:14">
      <c r="A1358" s="36" t="s">
        <v>32</v>
      </c>
      <c r="B1358" s="37">
        <v>44592</v>
      </c>
      <c r="C1358" s="36" t="s">
        <v>676</v>
      </c>
      <c r="D1358" s="36" t="s">
        <v>518</v>
      </c>
      <c r="E1358" s="36" t="s">
        <v>76</v>
      </c>
      <c r="G1358" s="87">
        <v>5400000</v>
      </c>
      <c r="H1358" s="87">
        <v>540000</v>
      </c>
      <c r="I1358" s="87">
        <v>5940000</v>
      </c>
      <c r="K1358" s="85">
        <v>2022</v>
      </c>
      <c r="L1358" s="85">
        <v>1</v>
      </c>
      <c r="N1358" s="208" t="s">
        <v>44</v>
      </c>
    </row>
    <row r="1359" spans="1:14">
      <c r="A1359" s="36" t="s">
        <v>33</v>
      </c>
      <c r="B1359" s="37">
        <v>44592</v>
      </c>
      <c r="C1359" s="36" t="s">
        <v>584</v>
      </c>
      <c r="D1359" s="36" t="s">
        <v>205</v>
      </c>
      <c r="E1359" s="36" t="s">
        <v>125</v>
      </c>
      <c r="G1359" s="87">
        <v>18000</v>
      </c>
      <c r="H1359" s="87">
        <v>1800</v>
      </c>
      <c r="I1359" s="87">
        <v>19800</v>
      </c>
      <c r="K1359" s="85">
        <v>2022</v>
      </c>
      <c r="L1359" s="85">
        <v>1</v>
      </c>
      <c r="N1359" s="208" t="s">
        <v>44</v>
      </c>
    </row>
    <row r="1360" spans="1:14">
      <c r="A1360" s="36" t="s">
        <v>33</v>
      </c>
      <c r="B1360" s="37">
        <v>44592</v>
      </c>
      <c r="C1360" s="36" t="s">
        <v>124</v>
      </c>
      <c r="D1360" s="36" t="s">
        <v>229</v>
      </c>
      <c r="E1360" s="36" t="s">
        <v>125</v>
      </c>
      <c r="G1360" s="87">
        <v>4346364</v>
      </c>
      <c r="H1360" s="87">
        <v>434636.4</v>
      </c>
      <c r="I1360" s="87">
        <v>4781000.4000000004</v>
      </c>
      <c r="K1360" s="85">
        <v>2022</v>
      </c>
      <c r="L1360" s="85">
        <v>1</v>
      </c>
      <c r="M1360" s="36" t="s">
        <v>107</v>
      </c>
      <c r="N1360" s="208" t="s">
        <v>44</v>
      </c>
    </row>
    <row r="1361" spans="1:14">
      <c r="A1361" s="36" t="s">
        <v>32</v>
      </c>
      <c r="B1361" s="37">
        <v>44592</v>
      </c>
      <c r="C1361" s="36" t="s">
        <v>496</v>
      </c>
      <c r="D1361" s="36" t="s">
        <v>546</v>
      </c>
      <c r="E1361" s="36" t="s">
        <v>76</v>
      </c>
      <c r="G1361" s="87">
        <v>6440000</v>
      </c>
      <c r="H1361" s="87">
        <v>644000</v>
      </c>
      <c r="I1361" s="87">
        <v>7084000</v>
      </c>
      <c r="K1361" s="85">
        <v>2022</v>
      </c>
      <c r="L1361" s="85">
        <v>1</v>
      </c>
      <c r="N1361" s="208" t="s">
        <v>44</v>
      </c>
    </row>
    <row r="1362" spans="1:14">
      <c r="A1362" s="36" t="s">
        <v>32</v>
      </c>
      <c r="B1362" s="37">
        <v>44592</v>
      </c>
      <c r="C1362" s="36" t="s">
        <v>181</v>
      </c>
      <c r="D1362" s="36" t="s">
        <v>372</v>
      </c>
      <c r="E1362" s="36" t="s">
        <v>76</v>
      </c>
      <c r="G1362" s="87">
        <v>15798000</v>
      </c>
      <c r="H1362" s="87">
        <v>1579800</v>
      </c>
      <c r="I1362" s="87">
        <v>17377800</v>
      </c>
      <c r="K1362" s="85">
        <v>2022</v>
      </c>
      <c r="L1362" s="85">
        <v>1</v>
      </c>
      <c r="N1362" s="208" t="s">
        <v>44</v>
      </c>
    </row>
    <row r="1363" spans="1:14">
      <c r="A1363" s="36" t="s">
        <v>32</v>
      </c>
      <c r="B1363" s="37">
        <v>44592</v>
      </c>
      <c r="C1363" s="36" t="s">
        <v>677</v>
      </c>
      <c r="D1363" s="36" t="s">
        <v>678</v>
      </c>
      <c r="E1363" s="36" t="s">
        <v>76</v>
      </c>
      <c r="G1363" s="87">
        <v>14698920</v>
      </c>
      <c r="H1363" s="87">
        <v>1469892</v>
      </c>
      <c r="I1363" s="87">
        <v>16168812</v>
      </c>
      <c r="K1363" s="85">
        <v>2022</v>
      </c>
      <c r="L1363" s="85">
        <v>1</v>
      </c>
      <c r="N1363" s="208" t="s">
        <v>44</v>
      </c>
    </row>
    <row r="1364" spans="1:14">
      <c r="A1364" s="36" t="s">
        <v>32</v>
      </c>
      <c r="B1364" s="37">
        <v>44592</v>
      </c>
      <c r="C1364" s="36" t="s">
        <v>503</v>
      </c>
      <c r="D1364" s="36" t="s">
        <v>504</v>
      </c>
      <c r="E1364" s="36" t="s">
        <v>76</v>
      </c>
      <c r="G1364" s="87">
        <v>11748000</v>
      </c>
      <c r="H1364" s="87">
        <v>1174800</v>
      </c>
      <c r="I1364" s="87">
        <v>12922800</v>
      </c>
      <c r="K1364" s="85">
        <v>2022</v>
      </c>
      <c r="L1364" s="85">
        <v>1</v>
      </c>
      <c r="N1364" s="208" t="s">
        <v>44</v>
      </c>
    </row>
    <row r="1365" spans="1:14">
      <c r="A1365" s="36" t="s">
        <v>33</v>
      </c>
      <c r="B1365" s="37">
        <v>44592</v>
      </c>
      <c r="C1365" s="36" t="s">
        <v>119</v>
      </c>
      <c r="D1365" s="36" t="s">
        <v>372</v>
      </c>
      <c r="E1365" s="36" t="s">
        <v>76</v>
      </c>
      <c r="G1365" s="87">
        <v>7860000</v>
      </c>
      <c r="H1365" s="87">
        <v>786000</v>
      </c>
      <c r="I1365" s="87">
        <v>8646000</v>
      </c>
      <c r="K1365" s="85">
        <v>2022</v>
      </c>
      <c r="L1365" s="85">
        <v>1</v>
      </c>
      <c r="N1365" s="208" t="s">
        <v>44</v>
      </c>
    </row>
    <row r="1366" spans="1:14">
      <c r="A1366" s="36" t="s">
        <v>32</v>
      </c>
      <c r="B1366" s="37">
        <v>44592</v>
      </c>
      <c r="C1366" s="36" t="s">
        <v>505</v>
      </c>
      <c r="D1366" s="36" t="s">
        <v>506</v>
      </c>
      <c r="E1366" s="36" t="s">
        <v>76</v>
      </c>
      <c r="G1366" s="87">
        <v>26041680</v>
      </c>
      <c r="H1366" s="87">
        <v>2604168</v>
      </c>
      <c r="I1366" s="87">
        <v>28645848</v>
      </c>
      <c r="K1366" s="85">
        <v>2022</v>
      </c>
      <c r="L1366" s="85">
        <v>1</v>
      </c>
      <c r="N1366" s="208" t="s">
        <v>44</v>
      </c>
    </row>
    <row r="1367" spans="1:14">
      <c r="A1367" s="36" t="s">
        <v>32</v>
      </c>
      <c r="B1367" s="37">
        <v>44592</v>
      </c>
      <c r="C1367" s="36" t="s">
        <v>264</v>
      </c>
      <c r="D1367" s="36" t="s">
        <v>679</v>
      </c>
      <c r="E1367" s="36" t="s">
        <v>76</v>
      </c>
      <c r="G1367" s="87">
        <v>5000000</v>
      </c>
      <c r="H1367" s="87">
        <v>500000</v>
      </c>
      <c r="I1367" s="87">
        <v>5500000</v>
      </c>
      <c r="K1367" s="85">
        <v>2022</v>
      </c>
      <c r="L1367" s="85">
        <v>1</v>
      </c>
      <c r="N1367" s="208" t="s">
        <v>44</v>
      </c>
    </row>
    <row r="1368" spans="1:14">
      <c r="A1368" s="36" t="s">
        <v>32</v>
      </c>
      <c r="B1368" s="37">
        <v>44592</v>
      </c>
      <c r="C1368" s="36" t="s">
        <v>511</v>
      </c>
      <c r="D1368" s="36" t="s">
        <v>512</v>
      </c>
      <c r="E1368" s="36" t="s">
        <v>76</v>
      </c>
      <c r="G1368" s="87">
        <v>8346800</v>
      </c>
      <c r="H1368" s="87">
        <v>834680</v>
      </c>
      <c r="I1368" s="87">
        <v>9181480</v>
      </c>
      <c r="K1368" s="85">
        <v>2022</v>
      </c>
      <c r="L1368" s="85">
        <v>1</v>
      </c>
      <c r="N1368" s="208" t="s">
        <v>44</v>
      </c>
    </row>
    <row r="1369" spans="1:14">
      <c r="A1369" s="36" t="s">
        <v>32</v>
      </c>
      <c r="B1369" s="37">
        <v>44592</v>
      </c>
      <c r="C1369" s="36" t="s">
        <v>680</v>
      </c>
      <c r="D1369" s="36" t="s">
        <v>681</v>
      </c>
      <c r="E1369" s="36" t="s">
        <v>76</v>
      </c>
      <c r="G1369" s="87">
        <v>1884000</v>
      </c>
      <c r="H1369" s="87">
        <v>188400</v>
      </c>
      <c r="I1369" s="87">
        <v>2072400</v>
      </c>
      <c r="K1369" s="85">
        <v>2022</v>
      </c>
      <c r="L1369" s="85">
        <v>1</v>
      </c>
      <c r="N1369" s="208" t="s">
        <v>44</v>
      </c>
    </row>
    <row r="1370" spans="1:14">
      <c r="A1370" s="36" t="s">
        <v>32</v>
      </c>
      <c r="B1370" s="37">
        <v>44592</v>
      </c>
      <c r="C1370" s="36" t="s">
        <v>552</v>
      </c>
      <c r="D1370" s="36" t="s">
        <v>553</v>
      </c>
      <c r="E1370" s="36" t="s">
        <v>76</v>
      </c>
      <c r="G1370" s="87">
        <v>2874000</v>
      </c>
      <c r="H1370" s="87">
        <v>287400</v>
      </c>
      <c r="I1370" s="87">
        <v>3161400</v>
      </c>
      <c r="K1370" s="85">
        <v>2022</v>
      </c>
      <c r="L1370" s="85">
        <v>1</v>
      </c>
      <c r="N1370" s="208" t="s">
        <v>44</v>
      </c>
    </row>
    <row r="1371" spans="1:14">
      <c r="A1371" s="36" t="s">
        <v>32</v>
      </c>
      <c r="B1371" s="37">
        <v>44592</v>
      </c>
      <c r="C1371" s="36" t="s">
        <v>291</v>
      </c>
      <c r="D1371" s="36" t="s">
        <v>682</v>
      </c>
      <c r="E1371" s="36" t="s">
        <v>78</v>
      </c>
      <c r="G1371" s="87">
        <v>7860000</v>
      </c>
      <c r="H1371" s="87">
        <v>786000</v>
      </c>
      <c r="I1371" s="87">
        <v>8646000</v>
      </c>
      <c r="K1371" s="85">
        <v>2022</v>
      </c>
      <c r="L1371" s="85">
        <v>1</v>
      </c>
      <c r="N1371" s="208" t="s">
        <v>44</v>
      </c>
    </row>
    <row r="1372" spans="1:14">
      <c r="A1372" s="36" t="s">
        <v>33</v>
      </c>
      <c r="B1372" s="37">
        <v>44592</v>
      </c>
      <c r="C1372" s="36" t="s">
        <v>226</v>
      </c>
      <c r="D1372" s="36" t="s">
        <v>227</v>
      </c>
      <c r="E1372" s="36" t="s">
        <v>228</v>
      </c>
      <c r="G1372" s="87">
        <v>2766363</v>
      </c>
      <c r="H1372" s="87">
        <v>2766367</v>
      </c>
      <c r="I1372" s="87">
        <v>3043000</v>
      </c>
      <c r="K1372" s="85">
        <v>2022</v>
      </c>
      <c r="L1372" s="85">
        <v>1</v>
      </c>
      <c r="N1372" s="208" t="s">
        <v>44</v>
      </c>
    </row>
    <row r="1373" spans="1:14">
      <c r="A1373" s="36" t="s">
        <v>32</v>
      </c>
      <c r="B1373" s="37">
        <v>44592</v>
      </c>
      <c r="C1373" s="36" t="s">
        <v>185</v>
      </c>
      <c r="D1373" s="36" t="s">
        <v>683</v>
      </c>
      <c r="E1373" s="36" t="s">
        <v>76</v>
      </c>
      <c r="G1373" s="87">
        <v>27159613</v>
      </c>
      <c r="H1373" s="87">
        <v>2715961.3000000003</v>
      </c>
      <c r="I1373" s="87">
        <v>29875574.300000001</v>
      </c>
      <c r="K1373" s="85">
        <v>2022</v>
      </c>
      <c r="L1373" s="85">
        <v>1</v>
      </c>
      <c r="N1373" s="208" t="s">
        <v>44</v>
      </c>
    </row>
    <row r="1374" spans="1:14">
      <c r="A1374" s="36" t="s">
        <v>32</v>
      </c>
      <c r="B1374" s="37">
        <v>44592</v>
      </c>
      <c r="C1374" s="36" t="s">
        <v>185</v>
      </c>
      <c r="D1374" s="36" t="s">
        <v>684</v>
      </c>
      <c r="E1374" s="36" t="s">
        <v>76</v>
      </c>
      <c r="G1374" s="87">
        <v>4399392</v>
      </c>
      <c r="H1374" s="87">
        <v>439939.2</v>
      </c>
      <c r="I1374" s="87">
        <v>4839331.2</v>
      </c>
      <c r="K1374" s="85">
        <v>2022</v>
      </c>
      <c r="L1374" s="85">
        <v>1</v>
      </c>
      <c r="N1374" s="208" t="s">
        <v>44</v>
      </c>
    </row>
    <row r="1375" spans="1:14">
      <c r="A1375" s="36" t="s">
        <v>32</v>
      </c>
      <c r="B1375" s="37">
        <v>44592</v>
      </c>
      <c r="C1375" s="36" t="s">
        <v>268</v>
      </c>
      <c r="D1375" s="36" t="s">
        <v>589</v>
      </c>
      <c r="E1375" s="36" t="s">
        <v>76</v>
      </c>
      <c r="G1375" s="87">
        <v>11070000</v>
      </c>
      <c r="H1375" s="87">
        <v>1107000</v>
      </c>
      <c r="I1375" s="87">
        <v>12177000</v>
      </c>
      <c r="K1375" s="85">
        <v>2022</v>
      </c>
      <c r="L1375" s="85">
        <v>1</v>
      </c>
      <c r="N1375" s="208" t="s">
        <v>44</v>
      </c>
    </row>
    <row r="1376" spans="1:14">
      <c r="A1376" s="36" t="s">
        <v>32</v>
      </c>
      <c r="B1376" s="37">
        <v>44592</v>
      </c>
      <c r="C1376" s="36" t="s">
        <v>685</v>
      </c>
      <c r="D1376" s="36" t="s">
        <v>517</v>
      </c>
      <c r="E1376" s="36" t="s">
        <v>76</v>
      </c>
      <c r="G1376" s="87">
        <v>1750000</v>
      </c>
      <c r="H1376" s="87">
        <v>175000</v>
      </c>
      <c r="I1376" s="87">
        <v>1925000</v>
      </c>
      <c r="K1376" s="85">
        <v>2022</v>
      </c>
      <c r="L1376" s="85">
        <v>1</v>
      </c>
      <c r="N1376" s="208" t="s">
        <v>44</v>
      </c>
    </row>
    <row r="1377" spans="1:14">
      <c r="A1377" s="36" t="s">
        <v>32</v>
      </c>
      <c r="B1377" s="37">
        <v>44592</v>
      </c>
      <c r="C1377" s="36" t="s">
        <v>685</v>
      </c>
      <c r="D1377" s="36" t="s">
        <v>517</v>
      </c>
      <c r="E1377" s="36" t="s">
        <v>148</v>
      </c>
      <c r="J1377" s="87">
        <v>1925000</v>
      </c>
      <c r="K1377" s="85">
        <v>2022</v>
      </c>
      <c r="L1377" s="85">
        <v>1</v>
      </c>
      <c r="N1377" s="208" t="s">
        <v>44</v>
      </c>
    </row>
    <row r="1378" spans="1:14">
      <c r="A1378" s="36" t="s">
        <v>32</v>
      </c>
      <c r="B1378" s="37">
        <v>44592</v>
      </c>
      <c r="C1378" s="36" t="s">
        <v>188</v>
      </c>
      <c r="D1378" s="36" t="s">
        <v>623</v>
      </c>
      <c r="E1378" s="36" t="s">
        <v>76</v>
      </c>
      <c r="G1378" s="87">
        <v>3400000</v>
      </c>
      <c r="H1378" s="87">
        <v>340000</v>
      </c>
      <c r="I1378" s="87">
        <v>3740000</v>
      </c>
      <c r="K1378" s="85">
        <v>2022</v>
      </c>
      <c r="L1378" s="85">
        <v>1</v>
      </c>
      <c r="N1378" s="208" t="s">
        <v>44</v>
      </c>
    </row>
    <row r="1379" spans="1:14">
      <c r="A1379" s="36" t="s">
        <v>32</v>
      </c>
      <c r="B1379" s="37">
        <v>44592</v>
      </c>
      <c r="C1379" s="36" t="s">
        <v>188</v>
      </c>
      <c r="D1379" s="36" t="s">
        <v>649</v>
      </c>
      <c r="E1379" s="36" t="s">
        <v>76</v>
      </c>
      <c r="G1379" s="87">
        <v>4110000</v>
      </c>
      <c r="H1379" s="87">
        <v>411000</v>
      </c>
      <c r="I1379" s="87">
        <v>4521000</v>
      </c>
      <c r="K1379" s="85">
        <v>2022</v>
      </c>
      <c r="L1379" s="85">
        <v>1</v>
      </c>
      <c r="N1379" s="208" t="s">
        <v>44</v>
      </c>
    </row>
    <row r="1380" spans="1:14">
      <c r="A1380" s="36" t="s">
        <v>32</v>
      </c>
      <c r="B1380" s="37">
        <v>44592</v>
      </c>
      <c r="C1380" s="36" t="s">
        <v>188</v>
      </c>
      <c r="D1380" s="36" t="s">
        <v>621</v>
      </c>
      <c r="E1380" s="36" t="s">
        <v>76</v>
      </c>
      <c r="G1380" s="87">
        <v>12250000</v>
      </c>
      <c r="H1380" s="87">
        <v>1225000</v>
      </c>
      <c r="I1380" s="87">
        <v>13475000</v>
      </c>
      <c r="K1380" s="85">
        <v>2022</v>
      </c>
      <c r="L1380" s="85">
        <v>1</v>
      </c>
      <c r="N1380" s="208" t="s">
        <v>44</v>
      </c>
    </row>
    <row r="1381" spans="1:14">
      <c r="A1381" s="36" t="s">
        <v>32</v>
      </c>
      <c r="B1381" s="37">
        <v>44592</v>
      </c>
      <c r="C1381" s="36" t="s">
        <v>188</v>
      </c>
      <c r="D1381" s="36" t="s">
        <v>650</v>
      </c>
      <c r="E1381" s="36" t="s">
        <v>76</v>
      </c>
      <c r="G1381" s="87">
        <v>2480000</v>
      </c>
      <c r="H1381" s="87">
        <v>248000</v>
      </c>
      <c r="I1381" s="87">
        <v>2728000</v>
      </c>
      <c r="K1381" s="85">
        <v>2022</v>
      </c>
      <c r="L1381" s="85">
        <v>1</v>
      </c>
      <c r="N1381" s="208" t="s">
        <v>44</v>
      </c>
    </row>
    <row r="1382" spans="1:14">
      <c r="A1382" s="36" t="s">
        <v>32</v>
      </c>
      <c r="B1382" s="37">
        <v>44592</v>
      </c>
      <c r="C1382" s="36" t="s">
        <v>188</v>
      </c>
      <c r="D1382" s="36" t="s">
        <v>624</v>
      </c>
      <c r="E1382" s="36" t="s">
        <v>76</v>
      </c>
      <c r="G1382" s="87">
        <v>3860000</v>
      </c>
      <c r="H1382" s="87">
        <v>386000</v>
      </c>
      <c r="I1382" s="87">
        <v>4246000</v>
      </c>
      <c r="K1382" s="85">
        <v>2022</v>
      </c>
      <c r="L1382" s="85">
        <v>1</v>
      </c>
      <c r="N1382" s="208" t="s">
        <v>44</v>
      </c>
    </row>
    <row r="1383" spans="1:14">
      <c r="A1383" s="36" t="s">
        <v>32</v>
      </c>
      <c r="B1383" s="37">
        <v>44592</v>
      </c>
      <c r="C1383" s="36" t="s">
        <v>188</v>
      </c>
      <c r="D1383" s="36" t="s">
        <v>557</v>
      </c>
      <c r="E1383" s="36" t="s">
        <v>76</v>
      </c>
      <c r="G1383" s="87">
        <v>3120000</v>
      </c>
      <c r="H1383" s="87">
        <v>312000</v>
      </c>
      <c r="I1383" s="87">
        <v>3432000</v>
      </c>
      <c r="K1383" s="85">
        <v>2022</v>
      </c>
      <c r="L1383" s="85">
        <v>1</v>
      </c>
      <c r="N1383" s="208" t="s">
        <v>44</v>
      </c>
    </row>
    <row r="1384" spans="1:14">
      <c r="A1384" s="36" t="s">
        <v>32</v>
      </c>
      <c r="B1384" s="37">
        <v>44592</v>
      </c>
      <c r="C1384" s="36" t="s">
        <v>411</v>
      </c>
      <c r="D1384" s="36" t="s">
        <v>412</v>
      </c>
      <c r="E1384" s="36" t="s">
        <v>76</v>
      </c>
      <c r="G1384" s="87">
        <v>39189000</v>
      </c>
      <c r="H1384" s="87">
        <v>3918900</v>
      </c>
      <c r="I1384" s="87">
        <v>43107900</v>
      </c>
      <c r="K1384" s="85">
        <v>2022</v>
      </c>
      <c r="L1384" s="85">
        <v>1</v>
      </c>
      <c r="N1384" s="208" t="s">
        <v>44</v>
      </c>
    </row>
    <row r="1385" spans="1:14">
      <c r="A1385" s="36" t="s">
        <v>32</v>
      </c>
      <c r="B1385" s="37">
        <v>44592</v>
      </c>
      <c r="C1385" s="36" t="s">
        <v>466</v>
      </c>
      <c r="D1385" s="36" t="s">
        <v>467</v>
      </c>
      <c r="E1385" s="36" t="s">
        <v>76</v>
      </c>
      <c r="G1385" s="87">
        <v>61057660</v>
      </c>
      <c r="H1385" s="87">
        <v>6105766</v>
      </c>
      <c r="I1385" s="87">
        <v>67163426</v>
      </c>
      <c r="K1385" s="85">
        <v>2022</v>
      </c>
      <c r="L1385" s="85">
        <v>1</v>
      </c>
      <c r="N1385" s="208" t="s">
        <v>44</v>
      </c>
    </row>
    <row r="1386" spans="1:14">
      <c r="A1386" s="36" t="s">
        <v>32</v>
      </c>
      <c r="B1386" s="37">
        <v>44592</v>
      </c>
      <c r="C1386" s="36" t="s">
        <v>466</v>
      </c>
      <c r="D1386" s="36" t="s">
        <v>467</v>
      </c>
      <c r="E1386" s="36" t="s">
        <v>76</v>
      </c>
      <c r="G1386" s="87">
        <v>3544046</v>
      </c>
      <c r="H1386" s="87">
        <v>354404.60000000003</v>
      </c>
      <c r="I1386" s="87">
        <v>3898450.6</v>
      </c>
      <c r="K1386" s="85">
        <v>2022</v>
      </c>
      <c r="L1386" s="85">
        <v>1</v>
      </c>
      <c r="N1386" s="208" t="s">
        <v>44</v>
      </c>
    </row>
    <row r="1387" spans="1:14">
      <c r="A1387" s="36" t="s">
        <v>33</v>
      </c>
      <c r="B1387" s="37">
        <v>44592</v>
      </c>
      <c r="C1387" s="36" t="s">
        <v>115</v>
      </c>
      <c r="D1387" s="36" t="s">
        <v>371</v>
      </c>
      <c r="E1387" s="36" t="s">
        <v>125</v>
      </c>
      <c r="G1387" s="87">
        <v>2812727</v>
      </c>
      <c r="H1387" s="87">
        <v>281272.7</v>
      </c>
      <c r="I1387" s="87">
        <v>3093999.7</v>
      </c>
      <c r="K1387" s="85">
        <v>2022</v>
      </c>
      <c r="L1387" s="85">
        <v>1</v>
      </c>
      <c r="M1387" s="36" t="s">
        <v>107</v>
      </c>
      <c r="N1387" s="208" t="s">
        <v>44</v>
      </c>
    </row>
    <row r="1388" spans="1:14">
      <c r="A1388" s="36" t="s">
        <v>32</v>
      </c>
      <c r="B1388" s="37">
        <v>44592</v>
      </c>
      <c r="C1388" s="36" t="s">
        <v>654</v>
      </c>
      <c r="D1388" s="36" t="s">
        <v>655</v>
      </c>
      <c r="E1388" s="36" t="s">
        <v>76</v>
      </c>
      <c r="G1388" s="87">
        <v>4000000</v>
      </c>
      <c r="H1388" s="87">
        <v>400000</v>
      </c>
      <c r="I1388" s="87">
        <v>4400000</v>
      </c>
      <c r="K1388" s="85">
        <v>2022</v>
      </c>
      <c r="L1388" s="85">
        <v>1</v>
      </c>
      <c r="N1388" s="208" t="s">
        <v>44</v>
      </c>
    </row>
    <row r="1389" spans="1:14">
      <c r="A1389" s="36" t="s">
        <v>33</v>
      </c>
      <c r="B1389" s="37">
        <v>44592</v>
      </c>
      <c r="C1389" s="36" t="s">
        <v>168</v>
      </c>
      <c r="D1389" s="36" t="s">
        <v>258</v>
      </c>
      <c r="E1389" s="36" t="s">
        <v>259</v>
      </c>
      <c r="G1389" s="87">
        <v>1181200</v>
      </c>
      <c r="H1389" s="87">
        <v>118120</v>
      </c>
      <c r="I1389" s="87">
        <v>1299320</v>
      </c>
      <c r="K1389" s="85">
        <v>2022</v>
      </c>
      <c r="L1389" s="85">
        <v>1</v>
      </c>
      <c r="N1389" s="208" t="s">
        <v>44</v>
      </c>
    </row>
    <row r="1390" spans="1:14">
      <c r="A1390" s="36" t="s">
        <v>32</v>
      </c>
      <c r="B1390" s="37">
        <v>44592</v>
      </c>
      <c r="C1390" s="36" t="s">
        <v>474</v>
      </c>
      <c r="D1390" s="36" t="s">
        <v>686</v>
      </c>
      <c r="E1390" s="36" t="s">
        <v>76</v>
      </c>
      <c r="G1390" s="87">
        <v>4640000</v>
      </c>
      <c r="H1390" s="87">
        <v>464000</v>
      </c>
      <c r="I1390" s="87">
        <v>5104000</v>
      </c>
      <c r="K1390" s="85">
        <v>2022</v>
      </c>
      <c r="L1390" s="85">
        <v>1</v>
      </c>
      <c r="N1390" s="208" t="s">
        <v>44</v>
      </c>
    </row>
    <row r="1391" spans="1:14">
      <c r="A1391" s="36" t="s">
        <v>32</v>
      </c>
      <c r="B1391" s="37">
        <v>44592</v>
      </c>
      <c r="C1391" s="36" t="s">
        <v>474</v>
      </c>
      <c r="D1391" s="36" t="s">
        <v>569</v>
      </c>
      <c r="E1391" s="36" t="s">
        <v>76</v>
      </c>
      <c r="G1391" s="87">
        <v>18760000</v>
      </c>
      <c r="H1391" s="87">
        <v>1876000</v>
      </c>
      <c r="I1391" s="87">
        <v>20636000</v>
      </c>
      <c r="K1391" s="85">
        <v>2022</v>
      </c>
      <c r="L1391" s="85">
        <v>1</v>
      </c>
      <c r="N1391" s="208" t="s">
        <v>44</v>
      </c>
    </row>
    <row r="1392" spans="1:14">
      <c r="A1392" s="36" t="s">
        <v>32</v>
      </c>
      <c r="B1392" s="37">
        <v>44592</v>
      </c>
      <c r="C1392" s="36" t="s">
        <v>661</v>
      </c>
      <c r="D1392" s="36" t="s">
        <v>687</v>
      </c>
      <c r="E1392" s="36" t="s">
        <v>76</v>
      </c>
      <c r="G1392" s="87">
        <v>8700000</v>
      </c>
      <c r="H1392" s="87">
        <v>870000</v>
      </c>
      <c r="I1392" s="87">
        <v>9570000</v>
      </c>
      <c r="K1392" s="85">
        <v>2022</v>
      </c>
      <c r="L1392" s="85">
        <v>1</v>
      </c>
      <c r="N1392" s="208" t="s">
        <v>44</v>
      </c>
    </row>
    <row r="1393" spans="1:14">
      <c r="A1393" s="36" t="s">
        <v>32</v>
      </c>
      <c r="B1393" s="37">
        <v>44592</v>
      </c>
      <c r="C1393" s="36" t="s">
        <v>688</v>
      </c>
      <c r="D1393" s="36" t="s">
        <v>1731</v>
      </c>
      <c r="E1393" s="36" t="s">
        <v>76</v>
      </c>
      <c r="G1393" s="87">
        <v>8400000</v>
      </c>
      <c r="H1393" s="87">
        <v>840000</v>
      </c>
      <c r="I1393" s="87">
        <v>9240000</v>
      </c>
      <c r="K1393" s="85">
        <v>2022</v>
      </c>
      <c r="L1393" s="85">
        <v>1</v>
      </c>
      <c r="N1393" s="208" t="s">
        <v>44</v>
      </c>
    </row>
    <row r="1394" spans="1:14">
      <c r="A1394" s="36" t="s">
        <v>18</v>
      </c>
      <c r="B1394" s="37">
        <v>44593</v>
      </c>
      <c r="C1394" s="36" t="s">
        <v>689</v>
      </c>
      <c r="D1394" s="36" t="s">
        <v>690</v>
      </c>
      <c r="E1394" s="36" t="s">
        <v>246</v>
      </c>
      <c r="G1394" s="87">
        <v>3190000</v>
      </c>
      <c r="H1394" s="87">
        <v>319000</v>
      </c>
      <c r="I1394" s="87">
        <v>3509000</v>
      </c>
      <c r="K1394" s="85">
        <v>2022</v>
      </c>
      <c r="L1394" s="85">
        <v>2</v>
      </c>
      <c r="N1394" s="208" t="s">
        <v>44</v>
      </c>
    </row>
    <row r="1395" spans="1:14">
      <c r="A1395" s="36" t="s">
        <v>18</v>
      </c>
      <c r="B1395" s="37">
        <v>44593</v>
      </c>
      <c r="C1395" s="36" t="s">
        <v>691</v>
      </c>
      <c r="D1395" s="36" t="s">
        <v>517</v>
      </c>
      <c r="E1395" s="36" t="s">
        <v>246</v>
      </c>
      <c r="G1395" s="87">
        <v>1250000</v>
      </c>
      <c r="H1395" s="87">
        <v>125000</v>
      </c>
      <c r="I1395" s="87">
        <v>1375000</v>
      </c>
      <c r="K1395" s="85">
        <v>2022</v>
      </c>
      <c r="L1395" s="85">
        <v>2</v>
      </c>
      <c r="N1395" s="208" t="s">
        <v>44</v>
      </c>
    </row>
    <row r="1396" spans="1:14">
      <c r="A1396" s="36" t="s">
        <v>18</v>
      </c>
      <c r="B1396" s="37">
        <v>44596</v>
      </c>
      <c r="C1396" s="36" t="s">
        <v>496</v>
      </c>
      <c r="D1396" s="36" t="s">
        <v>546</v>
      </c>
      <c r="E1396" s="36" t="s">
        <v>148</v>
      </c>
      <c r="J1396" s="87">
        <v>19228000</v>
      </c>
      <c r="K1396" s="85">
        <v>2021</v>
      </c>
      <c r="L1396" s="85">
        <v>12</v>
      </c>
      <c r="N1396" s="208" t="s">
        <v>44</v>
      </c>
    </row>
    <row r="1397" spans="1:14">
      <c r="A1397" s="36" t="s">
        <v>32</v>
      </c>
      <c r="B1397" s="37">
        <v>44596</v>
      </c>
      <c r="C1397" s="36" t="s">
        <v>181</v>
      </c>
      <c r="D1397" s="36" t="s">
        <v>453</v>
      </c>
      <c r="E1397" s="36" t="s">
        <v>148</v>
      </c>
      <c r="J1397" s="87">
        <v>2530000</v>
      </c>
      <c r="K1397" s="85">
        <v>2021</v>
      </c>
      <c r="L1397" s="85">
        <v>11</v>
      </c>
      <c r="N1397" s="208" t="s">
        <v>44</v>
      </c>
    </row>
    <row r="1398" spans="1:14">
      <c r="A1398" s="36" t="s">
        <v>33</v>
      </c>
      <c r="B1398" s="37">
        <v>44596</v>
      </c>
      <c r="C1398" s="36" t="s">
        <v>226</v>
      </c>
      <c r="D1398" s="36" t="s">
        <v>227</v>
      </c>
      <c r="E1398" s="36" t="s">
        <v>77</v>
      </c>
      <c r="J1398" s="38">
        <v>3043000</v>
      </c>
      <c r="K1398" s="85">
        <v>2022</v>
      </c>
      <c r="L1398" s="85">
        <v>1</v>
      </c>
      <c r="N1398" s="208" t="s">
        <v>44</v>
      </c>
    </row>
    <row r="1399" spans="1:14">
      <c r="A1399" s="36" t="s">
        <v>32</v>
      </c>
      <c r="B1399" s="37">
        <v>44596</v>
      </c>
      <c r="C1399" s="36" t="s">
        <v>188</v>
      </c>
      <c r="D1399" s="36" t="s">
        <v>650</v>
      </c>
      <c r="E1399" s="36" t="s">
        <v>148</v>
      </c>
      <c r="J1399" s="87">
        <v>4103000</v>
      </c>
      <c r="K1399" s="85">
        <v>2021</v>
      </c>
      <c r="L1399" s="85">
        <v>12</v>
      </c>
      <c r="N1399" s="208" t="s">
        <v>44</v>
      </c>
    </row>
    <row r="1400" spans="1:14">
      <c r="A1400" s="36" t="s">
        <v>33</v>
      </c>
      <c r="B1400" s="37">
        <v>44596</v>
      </c>
      <c r="C1400" s="36" t="s">
        <v>168</v>
      </c>
      <c r="D1400" s="36" t="s">
        <v>258</v>
      </c>
      <c r="E1400" s="36" t="s">
        <v>77</v>
      </c>
      <c r="J1400" s="38">
        <v>1299320</v>
      </c>
      <c r="K1400" s="85">
        <v>2022</v>
      </c>
      <c r="L1400" s="85">
        <v>1</v>
      </c>
      <c r="N1400" s="208" t="s">
        <v>44</v>
      </c>
    </row>
    <row r="1401" spans="1:14">
      <c r="A1401" s="36" t="s">
        <v>33</v>
      </c>
      <c r="B1401" s="37">
        <v>44599</v>
      </c>
      <c r="C1401" s="36" t="s">
        <v>584</v>
      </c>
      <c r="D1401" s="36" t="s">
        <v>205</v>
      </c>
      <c r="E1401" s="36" t="s">
        <v>77</v>
      </c>
      <c r="J1401" s="38">
        <v>19800</v>
      </c>
      <c r="K1401" s="85">
        <v>2022</v>
      </c>
      <c r="L1401" s="85">
        <v>1</v>
      </c>
      <c r="N1401" s="208" t="s">
        <v>44</v>
      </c>
    </row>
    <row r="1402" spans="1:14">
      <c r="A1402" s="36" t="s">
        <v>33</v>
      </c>
      <c r="B1402" s="37">
        <v>44599</v>
      </c>
      <c r="C1402" s="36" t="s">
        <v>124</v>
      </c>
      <c r="D1402" s="36" t="s">
        <v>229</v>
      </c>
      <c r="E1402" s="36" t="s">
        <v>77</v>
      </c>
      <c r="J1402" s="38">
        <v>4781000</v>
      </c>
      <c r="K1402" s="85">
        <v>2022</v>
      </c>
      <c r="L1402" s="85">
        <v>1</v>
      </c>
      <c r="M1402" s="36" t="s">
        <v>107</v>
      </c>
      <c r="N1402" s="208" t="s">
        <v>44</v>
      </c>
    </row>
    <row r="1403" spans="1:14">
      <c r="A1403" s="36" t="s">
        <v>33</v>
      </c>
      <c r="B1403" s="37">
        <v>44599</v>
      </c>
      <c r="C1403" s="36" t="s">
        <v>115</v>
      </c>
      <c r="D1403" s="36" t="s">
        <v>371</v>
      </c>
      <c r="E1403" s="36" t="s">
        <v>77</v>
      </c>
      <c r="J1403" s="38">
        <v>3094000</v>
      </c>
      <c r="K1403" s="85">
        <v>2022</v>
      </c>
      <c r="L1403" s="85">
        <v>1</v>
      </c>
      <c r="M1403" s="36" t="s">
        <v>107</v>
      </c>
      <c r="N1403" s="208" t="s">
        <v>44</v>
      </c>
    </row>
    <row r="1404" spans="1:14">
      <c r="A1404" s="36" t="s">
        <v>32</v>
      </c>
      <c r="B1404" s="37">
        <v>44600</v>
      </c>
      <c r="C1404" s="36" t="s">
        <v>466</v>
      </c>
      <c r="D1404" s="36" t="s">
        <v>467</v>
      </c>
      <c r="E1404" s="36" t="s">
        <v>77</v>
      </c>
      <c r="J1404" s="87">
        <v>3898450.6</v>
      </c>
      <c r="K1404" s="85">
        <v>2022</v>
      </c>
      <c r="L1404" s="85">
        <v>1</v>
      </c>
      <c r="N1404" s="208" t="s">
        <v>44</v>
      </c>
    </row>
    <row r="1405" spans="1:14">
      <c r="A1405" s="36" t="s">
        <v>33</v>
      </c>
      <c r="B1405" s="37">
        <v>44602</v>
      </c>
      <c r="C1405" s="36" t="s">
        <v>692</v>
      </c>
      <c r="D1405" s="36" t="s">
        <v>693</v>
      </c>
      <c r="E1405" s="36" t="s">
        <v>445</v>
      </c>
      <c r="G1405" s="87">
        <v>10000000</v>
      </c>
      <c r="H1405" s="87">
        <v>1000000</v>
      </c>
      <c r="I1405" s="87">
        <v>11000000</v>
      </c>
      <c r="K1405" s="85">
        <v>2022</v>
      </c>
      <c r="L1405" s="85">
        <v>2</v>
      </c>
      <c r="N1405" s="208" t="s">
        <v>44</v>
      </c>
    </row>
    <row r="1406" spans="1:14">
      <c r="A1406" s="36" t="s">
        <v>32</v>
      </c>
      <c r="B1406" s="37">
        <v>44602</v>
      </c>
      <c r="C1406" s="36" t="s">
        <v>688</v>
      </c>
      <c r="D1406" s="36" t="s">
        <v>1731</v>
      </c>
      <c r="E1406" s="36" t="s">
        <v>77</v>
      </c>
      <c r="J1406" s="38">
        <v>9240000</v>
      </c>
      <c r="K1406" s="85">
        <v>2022</v>
      </c>
      <c r="L1406" s="85">
        <v>1</v>
      </c>
      <c r="N1406" s="208" t="s">
        <v>44</v>
      </c>
    </row>
    <row r="1407" spans="1:14">
      <c r="A1407" s="36" t="s">
        <v>32</v>
      </c>
      <c r="B1407" s="37">
        <v>44603</v>
      </c>
      <c r="C1407" s="36" t="s">
        <v>667</v>
      </c>
      <c r="D1407" s="36" t="s">
        <v>668</v>
      </c>
      <c r="E1407" s="36" t="s">
        <v>77</v>
      </c>
      <c r="J1407" s="38">
        <v>10000000</v>
      </c>
      <c r="K1407" s="85">
        <v>2022</v>
      </c>
      <c r="L1407" s="85">
        <v>1</v>
      </c>
      <c r="N1407" s="208" t="s">
        <v>44</v>
      </c>
    </row>
    <row r="1408" spans="1:14">
      <c r="A1408" s="36" t="s">
        <v>33</v>
      </c>
      <c r="B1408" s="37">
        <v>44606</v>
      </c>
      <c r="C1408" s="36" t="s">
        <v>628</v>
      </c>
      <c r="D1408" s="36" t="s">
        <v>629</v>
      </c>
      <c r="E1408" s="36" t="s">
        <v>148</v>
      </c>
      <c r="J1408" s="87">
        <v>2420000</v>
      </c>
      <c r="K1408" s="85">
        <v>2021</v>
      </c>
      <c r="L1408" s="85">
        <v>12</v>
      </c>
      <c r="N1408" s="208" t="s">
        <v>44</v>
      </c>
    </row>
    <row r="1409" spans="1:14">
      <c r="A1409" s="36" t="s">
        <v>18</v>
      </c>
      <c r="B1409" s="37">
        <v>44607</v>
      </c>
      <c r="C1409" s="36" t="s">
        <v>694</v>
      </c>
      <c r="D1409" s="36" t="s">
        <v>695</v>
      </c>
      <c r="E1409" s="36" t="s">
        <v>250</v>
      </c>
      <c r="G1409" s="87">
        <v>19875000</v>
      </c>
      <c r="H1409" s="87">
        <v>1987500</v>
      </c>
      <c r="I1409" s="87">
        <v>21862500</v>
      </c>
      <c r="K1409" s="85">
        <v>2022</v>
      </c>
      <c r="L1409" s="85">
        <v>2</v>
      </c>
      <c r="N1409" s="208" t="s">
        <v>44</v>
      </c>
    </row>
    <row r="1410" spans="1:14">
      <c r="A1410" s="36" t="s">
        <v>32</v>
      </c>
      <c r="B1410" s="37">
        <v>44607</v>
      </c>
      <c r="C1410" s="36" t="s">
        <v>466</v>
      </c>
      <c r="D1410" s="36" t="s">
        <v>467</v>
      </c>
      <c r="E1410" s="36" t="s">
        <v>77</v>
      </c>
      <c r="J1410" s="87">
        <v>67163426</v>
      </c>
      <c r="K1410" s="85">
        <v>2022</v>
      </c>
      <c r="L1410" s="85">
        <v>1</v>
      </c>
      <c r="M1410" s="36" t="s">
        <v>696</v>
      </c>
      <c r="N1410" s="208" t="s">
        <v>44</v>
      </c>
    </row>
    <row r="1411" spans="1:14">
      <c r="A1411" s="36" t="s">
        <v>32</v>
      </c>
      <c r="B1411" s="37">
        <v>44608</v>
      </c>
      <c r="C1411" s="36" t="s">
        <v>181</v>
      </c>
      <c r="D1411" s="36" t="s">
        <v>372</v>
      </c>
      <c r="E1411" s="36" t="s">
        <v>148</v>
      </c>
      <c r="J1411" s="87">
        <v>16667200</v>
      </c>
      <c r="K1411" s="85">
        <v>2021</v>
      </c>
      <c r="L1411" s="85">
        <v>12</v>
      </c>
      <c r="N1411" s="208" t="s">
        <v>44</v>
      </c>
    </row>
    <row r="1412" spans="1:14">
      <c r="A1412" s="36" t="s">
        <v>32</v>
      </c>
      <c r="B1412" s="37">
        <v>44608</v>
      </c>
      <c r="C1412" s="36" t="s">
        <v>268</v>
      </c>
      <c r="D1412" s="36" t="s">
        <v>589</v>
      </c>
      <c r="E1412" s="36" t="s">
        <v>148</v>
      </c>
      <c r="J1412" s="87">
        <v>12177000</v>
      </c>
      <c r="K1412" s="85">
        <v>2022</v>
      </c>
      <c r="L1412" s="85">
        <v>1</v>
      </c>
      <c r="N1412" s="208" t="s">
        <v>44</v>
      </c>
    </row>
    <row r="1413" spans="1:14">
      <c r="A1413" s="36" t="s">
        <v>32</v>
      </c>
      <c r="B1413" s="37">
        <v>44610</v>
      </c>
      <c r="C1413" s="36" t="s">
        <v>677</v>
      </c>
      <c r="D1413" s="36" t="s">
        <v>678</v>
      </c>
      <c r="E1413" s="36" t="s">
        <v>148</v>
      </c>
      <c r="J1413" s="87">
        <v>16168812</v>
      </c>
      <c r="K1413" s="85">
        <v>2022</v>
      </c>
      <c r="L1413" s="85">
        <v>1</v>
      </c>
      <c r="N1413" s="208" t="s">
        <v>44</v>
      </c>
    </row>
    <row r="1414" spans="1:14">
      <c r="A1414" s="36" t="s">
        <v>32</v>
      </c>
      <c r="B1414" s="37">
        <v>44613</v>
      </c>
      <c r="C1414" s="36" t="s">
        <v>672</v>
      </c>
      <c r="D1414" s="36" t="s">
        <v>673</v>
      </c>
      <c r="E1414" s="36" t="s">
        <v>148</v>
      </c>
      <c r="J1414" s="87">
        <v>7700000</v>
      </c>
      <c r="K1414" s="85">
        <v>2022</v>
      </c>
      <c r="L1414" s="85">
        <v>1</v>
      </c>
      <c r="N1414" s="208" t="s">
        <v>44</v>
      </c>
    </row>
    <row r="1415" spans="1:14">
      <c r="A1415" s="36" t="s">
        <v>32</v>
      </c>
      <c r="B1415" s="37">
        <v>44614</v>
      </c>
      <c r="C1415" s="36" t="s">
        <v>185</v>
      </c>
      <c r="D1415" s="36" t="s">
        <v>683</v>
      </c>
      <c r="E1415" s="36" t="s">
        <v>148</v>
      </c>
      <c r="J1415" s="87">
        <v>29875574.300000001</v>
      </c>
      <c r="K1415" s="85">
        <v>2022</v>
      </c>
      <c r="L1415" s="85">
        <v>1</v>
      </c>
      <c r="N1415" s="208" t="s">
        <v>44</v>
      </c>
    </row>
    <row r="1416" spans="1:14">
      <c r="A1416" s="36" t="s">
        <v>18</v>
      </c>
      <c r="B1416" s="37">
        <v>44617</v>
      </c>
      <c r="C1416" s="36" t="s">
        <v>697</v>
      </c>
      <c r="D1416" s="36" t="s">
        <v>698</v>
      </c>
      <c r="E1416" s="36" t="s">
        <v>699</v>
      </c>
      <c r="G1416" s="87">
        <v>2287500</v>
      </c>
      <c r="H1416" s="87">
        <v>228750</v>
      </c>
      <c r="I1416" s="87">
        <v>2516250</v>
      </c>
      <c r="K1416" s="85">
        <v>2022</v>
      </c>
      <c r="L1416" s="85">
        <v>2</v>
      </c>
      <c r="N1416" s="208" t="s">
        <v>44</v>
      </c>
    </row>
    <row r="1417" spans="1:14">
      <c r="A1417" s="36" t="s">
        <v>18</v>
      </c>
      <c r="B1417" s="37">
        <v>44617</v>
      </c>
      <c r="C1417" s="36" t="s">
        <v>694</v>
      </c>
      <c r="D1417" s="36" t="s">
        <v>695</v>
      </c>
      <c r="E1417" s="36" t="s">
        <v>77</v>
      </c>
      <c r="J1417" s="87">
        <v>21862500</v>
      </c>
      <c r="K1417" s="85">
        <v>2022</v>
      </c>
      <c r="L1417" s="85">
        <v>2</v>
      </c>
      <c r="N1417" s="208" t="s">
        <v>44</v>
      </c>
    </row>
    <row r="1418" spans="1:14">
      <c r="A1418" s="36" t="s">
        <v>33</v>
      </c>
      <c r="B1418" s="37">
        <v>44620</v>
      </c>
      <c r="C1418" s="36" t="s">
        <v>700</v>
      </c>
      <c r="D1418" s="36" t="s">
        <v>701</v>
      </c>
      <c r="E1418" s="36" t="s">
        <v>76</v>
      </c>
      <c r="G1418" s="87">
        <v>3510000</v>
      </c>
      <c r="H1418" s="87">
        <v>351000</v>
      </c>
      <c r="I1418" s="87">
        <v>3861000</v>
      </c>
      <c r="K1418" s="85">
        <v>2022</v>
      </c>
      <c r="L1418" s="85">
        <v>2</v>
      </c>
      <c r="N1418" s="208" t="s">
        <v>44</v>
      </c>
    </row>
    <row r="1419" spans="1:14">
      <c r="A1419" s="36" t="s">
        <v>32</v>
      </c>
      <c r="B1419" s="37">
        <v>44620</v>
      </c>
      <c r="C1419" s="36" t="s">
        <v>605</v>
      </c>
      <c r="D1419" s="36" t="s">
        <v>606</v>
      </c>
      <c r="E1419" s="36" t="s">
        <v>148</v>
      </c>
      <c r="J1419" s="87">
        <v>1650000</v>
      </c>
      <c r="K1419" s="85">
        <v>2022</v>
      </c>
      <c r="L1419" s="85">
        <v>1</v>
      </c>
      <c r="N1419" s="208" t="s">
        <v>44</v>
      </c>
    </row>
    <row r="1420" spans="1:14">
      <c r="A1420" s="36" t="s">
        <v>18</v>
      </c>
      <c r="B1420" s="37">
        <v>44620</v>
      </c>
      <c r="C1420" s="36" t="s">
        <v>689</v>
      </c>
      <c r="D1420" s="36" t="s">
        <v>690</v>
      </c>
      <c r="E1420" s="36" t="s">
        <v>148</v>
      </c>
      <c r="J1420" s="87">
        <v>3509000</v>
      </c>
      <c r="K1420" s="85">
        <v>2022</v>
      </c>
      <c r="L1420" s="85">
        <v>2</v>
      </c>
      <c r="N1420" s="208" t="s">
        <v>44</v>
      </c>
    </row>
    <row r="1421" spans="1:14">
      <c r="A1421" s="36" t="s">
        <v>18</v>
      </c>
      <c r="B1421" s="37">
        <v>44620</v>
      </c>
      <c r="C1421" s="36" t="s">
        <v>689</v>
      </c>
      <c r="D1421" s="36" t="s">
        <v>690</v>
      </c>
      <c r="E1421" s="36" t="s">
        <v>246</v>
      </c>
      <c r="G1421" s="87">
        <v>17484800</v>
      </c>
      <c r="H1421" s="87">
        <v>1748480</v>
      </c>
      <c r="I1421" s="87">
        <v>19233280</v>
      </c>
      <c r="K1421" s="85">
        <v>2022</v>
      </c>
      <c r="L1421" s="85">
        <v>2</v>
      </c>
      <c r="N1421" s="208" t="s">
        <v>44</v>
      </c>
    </row>
    <row r="1422" spans="1:14">
      <c r="A1422" s="36" t="s">
        <v>18</v>
      </c>
      <c r="B1422" s="37">
        <v>44620</v>
      </c>
      <c r="C1422" s="36" t="s">
        <v>353</v>
      </c>
      <c r="D1422" s="36" t="s">
        <v>540</v>
      </c>
      <c r="E1422" s="36" t="s">
        <v>246</v>
      </c>
      <c r="G1422" s="87">
        <v>70048300</v>
      </c>
      <c r="H1422" s="87">
        <v>7004830</v>
      </c>
      <c r="I1422" s="87">
        <v>77053130</v>
      </c>
      <c r="K1422" s="85">
        <v>2022</v>
      </c>
      <c r="L1422" s="85">
        <v>2</v>
      </c>
      <c r="N1422" s="208" t="s">
        <v>44</v>
      </c>
    </row>
    <row r="1423" spans="1:14">
      <c r="A1423" s="36" t="s">
        <v>18</v>
      </c>
      <c r="B1423" s="37">
        <v>44620</v>
      </c>
      <c r="C1423" s="36" t="s">
        <v>353</v>
      </c>
      <c r="D1423" s="36" t="s">
        <v>702</v>
      </c>
      <c r="E1423" s="36" t="s">
        <v>246</v>
      </c>
      <c r="G1423" s="87">
        <v>12907800</v>
      </c>
      <c r="H1423" s="87">
        <v>1290780</v>
      </c>
      <c r="I1423" s="87">
        <v>14198580</v>
      </c>
      <c r="K1423" s="85">
        <v>2022</v>
      </c>
      <c r="L1423" s="85">
        <v>2</v>
      </c>
      <c r="N1423" s="208" t="s">
        <v>44</v>
      </c>
    </row>
    <row r="1424" spans="1:14">
      <c r="A1424" s="36" t="s">
        <v>32</v>
      </c>
      <c r="B1424" s="37">
        <v>44620</v>
      </c>
      <c r="C1424" s="36" t="s">
        <v>209</v>
      </c>
      <c r="D1424" s="36" t="s">
        <v>541</v>
      </c>
      <c r="E1424" s="36" t="s">
        <v>77</v>
      </c>
      <c r="J1424" s="87">
        <v>26036054</v>
      </c>
      <c r="K1424" s="85">
        <v>2022</v>
      </c>
      <c r="L1424" s="85">
        <v>1</v>
      </c>
      <c r="N1424" s="208" t="s">
        <v>44</v>
      </c>
    </row>
    <row r="1425" spans="1:14">
      <c r="A1425" s="36" t="s">
        <v>18</v>
      </c>
      <c r="B1425" s="37">
        <v>44620</v>
      </c>
      <c r="C1425" s="36" t="s">
        <v>247</v>
      </c>
      <c r="D1425" s="36" t="s">
        <v>388</v>
      </c>
      <c r="E1425" s="36" t="s">
        <v>246</v>
      </c>
      <c r="G1425" s="87">
        <v>34555660</v>
      </c>
      <c r="H1425" s="87">
        <v>3455566</v>
      </c>
      <c r="I1425" s="87">
        <v>38011226</v>
      </c>
      <c r="K1425" s="85">
        <v>2022</v>
      </c>
      <c r="L1425" s="85">
        <v>2</v>
      </c>
      <c r="N1425" s="208" t="s">
        <v>44</v>
      </c>
    </row>
    <row r="1426" spans="1:14">
      <c r="A1426" s="36" t="s">
        <v>18</v>
      </c>
      <c r="B1426" s="37">
        <v>44620</v>
      </c>
      <c r="C1426" s="36" t="s">
        <v>703</v>
      </c>
      <c r="D1426" s="36" t="s">
        <v>641</v>
      </c>
      <c r="E1426" s="36" t="s">
        <v>246</v>
      </c>
      <c r="G1426" s="87">
        <v>27120000</v>
      </c>
      <c r="H1426" s="87">
        <v>2712000</v>
      </c>
      <c r="I1426" s="87">
        <v>29832000</v>
      </c>
      <c r="K1426" s="85">
        <v>2022</v>
      </c>
      <c r="L1426" s="85">
        <v>2</v>
      </c>
      <c r="N1426" s="208" t="s">
        <v>44</v>
      </c>
    </row>
    <row r="1427" spans="1:14">
      <c r="A1427" s="36" t="s">
        <v>18</v>
      </c>
      <c r="B1427" s="37">
        <v>44620</v>
      </c>
      <c r="C1427" s="36" t="s">
        <v>704</v>
      </c>
      <c r="D1427" s="36" t="s">
        <v>705</v>
      </c>
      <c r="E1427" s="36" t="s">
        <v>246</v>
      </c>
      <c r="G1427" s="87">
        <v>5000000</v>
      </c>
      <c r="H1427" s="87">
        <v>500000</v>
      </c>
      <c r="I1427" s="87">
        <v>5500000</v>
      </c>
      <c r="K1427" s="85">
        <v>2022</v>
      </c>
      <c r="L1427" s="85">
        <v>2</v>
      </c>
      <c r="N1427" s="208" t="s">
        <v>44</v>
      </c>
    </row>
    <row r="1428" spans="1:14">
      <c r="A1428" s="36" t="s">
        <v>32</v>
      </c>
      <c r="B1428" s="37">
        <v>44620</v>
      </c>
      <c r="C1428" s="36" t="s">
        <v>204</v>
      </c>
      <c r="D1428" s="36" t="s">
        <v>675</v>
      </c>
      <c r="E1428" s="36" t="s">
        <v>148</v>
      </c>
      <c r="J1428" s="87">
        <v>1518000</v>
      </c>
      <c r="K1428" s="85">
        <v>2022</v>
      </c>
      <c r="L1428" s="85">
        <v>1</v>
      </c>
      <c r="N1428" s="208" t="s">
        <v>44</v>
      </c>
    </row>
    <row r="1429" spans="1:14">
      <c r="A1429" s="36" t="s">
        <v>18</v>
      </c>
      <c r="B1429" s="37">
        <v>44620</v>
      </c>
      <c r="C1429" s="36" t="s">
        <v>391</v>
      </c>
      <c r="D1429" s="36" t="s">
        <v>706</v>
      </c>
      <c r="E1429" s="36" t="s">
        <v>246</v>
      </c>
      <c r="G1429" s="87">
        <v>2223892</v>
      </c>
      <c r="H1429" s="87">
        <v>222389.2</v>
      </c>
      <c r="I1429" s="87">
        <v>2446281.2000000002</v>
      </c>
      <c r="K1429" s="85">
        <v>2022</v>
      </c>
      <c r="L1429" s="85">
        <v>2</v>
      </c>
      <c r="N1429" s="208" t="s">
        <v>44</v>
      </c>
    </row>
    <row r="1430" spans="1:14">
      <c r="A1430" s="36" t="s">
        <v>18</v>
      </c>
      <c r="B1430" s="37">
        <v>44620</v>
      </c>
      <c r="C1430" s="36" t="s">
        <v>391</v>
      </c>
      <c r="D1430" s="36" t="s">
        <v>707</v>
      </c>
      <c r="E1430" s="36" t="s">
        <v>246</v>
      </c>
      <c r="G1430" s="87">
        <v>1150000</v>
      </c>
      <c r="H1430" s="87">
        <v>115000</v>
      </c>
      <c r="I1430" s="87">
        <v>1265000</v>
      </c>
      <c r="K1430" s="85">
        <v>2022</v>
      </c>
      <c r="L1430" s="85">
        <v>2</v>
      </c>
      <c r="N1430" s="208" t="s">
        <v>44</v>
      </c>
    </row>
    <row r="1431" spans="1:14">
      <c r="A1431" s="36" t="s">
        <v>33</v>
      </c>
      <c r="B1431" s="37">
        <v>44620</v>
      </c>
      <c r="C1431" s="36" t="s">
        <v>544</v>
      </c>
      <c r="D1431" s="36" t="s">
        <v>545</v>
      </c>
      <c r="E1431" s="36" t="s">
        <v>708</v>
      </c>
      <c r="G1431" s="87">
        <v>865000</v>
      </c>
      <c r="H1431" s="87">
        <v>86500</v>
      </c>
      <c r="I1431" s="87">
        <v>951500</v>
      </c>
      <c r="K1431" s="85">
        <v>2022</v>
      </c>
      <c r="L1431" s="85">
        <v>2</v>
      </c>
      <c r="M1431" s="36" t="s">
        <v>107</v>
      </c>
      <c r="N1431" s="208" t="s">
        <v>44</v>
      </c>
    </row>
    <row r="1432" spans="1:14">
      <c r="A1432" s="36" t="s">
        <v>32</v>
      </c>
      <c r="B1432" s="37">
        <v>44620</v>
      </c>
      <c r="C1432" s="36" t="s">
        <v>676</v>
      </c>
      <c r="D1432" s="36" t="s">
        <v>518</v>
      </c>
      <c r="E1432" s="36" t="s">
        <v>148</v>
      </c>
      <c r="J1432" s="87">
        <v>5940000</v>
      </c>
      <c r="K1432" s="85">
        <v>2022</v>
      </c>
      <c r="L1432" s="85">
        <v>1</v>
      </c>
      <c r="N1432" s="208" t="s">
        <v>44</v>
      </c>
    </row>
    <row r="1433" spans="1:14">
      <c r="A1433" s="36" t="s">
        <v>33</v>
      </c>
      <c r="B1433" s="37">
        <v>44620</v>
      </c>
      <c r="C1433" s="36" t="s">
        <v>584</v>
      </c>
      <c r="D1433" s="36" t="s">
        <v>205</v>
      </c>
      <c r="E1433" s="36" t="s">
        <v>708</v>
      </c>
      <c r="G1433" s="87">
        <v>36000</v>
      </c>
      <c r="H1433" s="87">
        <v>3600</v>
      </c>
      <c r="I1433" s="87">
        <v>39600</v>
      </c>
      <c r="K1433" s="85">
        <v>2022</v>
      </c>
      <c r="L1433" s="85">
        <v>2</v>
      </c>
      <c r="N1433" s="208" t="s">
        <v>44</v>
      </c>
    </row>
    <row r="1434" spans="1:14">
      <c r="A1434" s="36" t="s">
        <v>18</v>
      </c>
      <c r="B1434" s="37">
        <v>44620</v>
      </c>
      <c r="C1434" s="36" t="s">
        <v>709</v>
      </c>
      <c r="D1434" s="36" t="s">
        <v>710</v>
      </c>
      <c r="E1434" s="36" t="s">
        <v>246</v>
      </c>
      <c r="G1434" s="87">
        <v>15000000</v>
      </c>
      <c r="H1434" s="87">
        <v>1500000</v>
      </c>
      <c r="I1434" s="87">
        <v>16500000</v>
      </c>
      <c r="K1434" s="85">
        <v>2022</v>
      </c>
      <c r="L1434" s="85">
        <v>2</v>
      </c>
      <c r="N1434" s="208" t="s">
        <v>44</v>
      </c>
    </row>
    <row r="1435" spans="1:14">
      <c r="A1435" s="36" t="s">
        <v>33</v>
      </c>
      <c r="B1435" s="37">
        <v>44620</v>
      </c>
      <c r="C1435" s="36" t="s">
        <v>124</v>
      </c>
      <c r="D1435" s="36" t="s">
        <v>229</v>
      </c>
      <c r="E1435" s="36" t="s">
        <v>708</v>
      </c>
      <c r="G1435" s="87">
        <v>3455455</v>
      </c>
      <c r="H1435" s="87">
        <v>345545</v>
      </c>
      <c r="I1435" s="87">
        <v>3801000</v>
      </c>
      <c r="K1435" s="85">
        <v>2022</v>
      </c>
      <c r="L1435" s="85">
        <v>2</v>
      </c>
      <c r="M1435" s="36" t="s">
        <v>107</v>
      </c>
      <c r="N1435" s="208" t="s">
        <v>44</v>
      </c>
    </row>
    <row r="1436" spans="1:14">
      <c r="A1436" s="36" t="s">
        <v>18</v>
      </c>
      <c r="B1436" s="37">
        <v>44620</v>
      </c>
      <c r="C1436" s="36" t="s">
        <v>711</v>
      </c>
      <c r="D1436" s="36" t="s">
        <v>497</v>
      </c>
      <c r="E1436" s="36" t="s">
        <v>246</v>
      </c>
      <c r="G1436" s="87">
        <v>5750000</v>
      </c>
      <c r="H1436" s="87">
        <v>575000</v>
      </c>
      <c r="I1436" s="87">
        <v>6325000</v>
      </c>
      <c r="K1436" s="85">
        <v>2022</v>
      </c>
      <c r="L1436" s="85">
        <v>2</v>
      </c>
      <c r="N1436" s="208" t="s">
        <v>44</v>
      </c>
    </row>
    <row r="1437" spans="1:14">
      <c r="A1437" s="36" t="s">
        <v>18</v>
      </c>
      <c r="B1437" s="37">
        <v>44620</v>
      </c>
      <c r="C1437" s="36" t="s">
        <v>548</v>
      </c>
      <c r="D1437" s="36" t="s">
        <v>712</v>
      </c>
      <c r="E1437" s="36" t="s">
        <v>713</v>
      </c>
      <c r="G1437" s="87">
        <v>3700000</v>
      </c>
      <c r="H1437" s="87">
        <v>370000</v>
      </c>
      <c r="I1437" s="87">
        <v>4070000</v>
      </c>
      <c r="K1437" s="85">
        <v>2022</v>
      </c>
      <c r="L1437" s="85">
        <v>2</v>
      </c>
      <c r="N1437" s="208" t="s">
        <v>44</v>
      </c>
    </row>
    <row r="1438" spans="1:14">
      <c r="A1438" s="36" t="s">
        <v>18</v>
      </c>
      <c r="B1438" s="37">
        <v>44620</v>
      </c>
      <c r="C1438" s="36" t="s">
        <v>714</v>
      </c>
      <c r="D1438" s="36" t="s">
        <v>715</v>
      </c>
      <c r="E1438" s="36" t="s">
        <v>246</v>
      </c>
      <c r="G1438" s="87">
        <v>15402250</v>
      </c>
      <c r="H1438" s="87">
        <v>1540225</v>
      </c>
      <c r="I1438" s="87">
        <v>16942475</v>
      </c>
      <c r="K1438" s="85">
        <v>2022</v>
      </c>
      <c r="L1438" s="85">
        <v>2</v>
      </c>
      <c r="N1438" s="208" t="s">
        <v>44</v>
      </c>
    </row>
    <row r="1439" spans="1:14">
      <c r="A1439" s="36" t="s">
        <v>18</v>
      </c>
      <c r="B1439" s="37">
        <v>44620</v>
      </c>
      <c r="C1439" s="36" t="s">
        <v>716</v>
      </c>
      <c r="D1439" s="36" t="s">
        <v>717</v>
      </c>
      <c r="E1439" s="36" t="s">
        <v>246</v>
      </c>
      <c r="G1439" s="87">
        <v>13095000</v>
      </c>
      <c r="H1439" s="87">
        <v>1309500</v>
      </c>
      <c r="I1439" s="87">
        <v>14404500</v>
      </c>
      <c r="K1439" s="85">
        <v>2022</v>
      </c>
      <c r="L1439" s="85">
        <v>2</v>
      </c>
      <c r="N1439" s="208" t="s">
        <v>44</v>
      </c>
    </row>
    <row r="1440" spans="1:14">
      <c r="A1440" s="36" t="s">
        <v>18</v>
      </c>
      <c r="B1440" s="37">
        <v>44620</v>
      </c>
      <c r="C1440" s="36" t="s">
        <v>211</v>
      </c>
      <c r="D1440" s="36" t="s">
        <v>718</v>
      </c>
      <c r="E1440" s="36" t="s">
        <v>246</v>
      </c>
      <c r="G1440" s="87">
        <v>5400000</v>
      </c>
      <c r="H1440" s="87">
        <v>540000</v>
      </c>
      <c r="I1440" s="87">
        <v>5940000</v>
      </c>
      <c r="K1440" s="85">
        <v>2022</v>
      </c>
      <c r="L1440" s="85">
        <v>2</v>
      </c>
      <c r="N1440" s="208" t="s">
        <v>44</v>
      </c>
    </row>
    <row r="1441" spans="1:14">
      <c r="A1441" s="36" t="s">
        <v>18</v>
      </c>
      <c r="B1441" s="37">
        <v>44620</v>
      </c>
      <c r="C1441" s="36" t="s">
        <v>211</v>
      </c>
      <c r="D1441" s="36" t="s">
        <v>719</v>
      </c>
      <c r="E1441" s="36" t="s">
        <v>246</v>
      </c>
      <c r="G1441" s="87">
        <v>16000000</v>
      </c>
      <c r="H1441" s="87">
        <v>1600000</v>
      </c>
      <c r="I1441" s="87">
        <v>17600000</v>
      </c>
      <c r="K1441" s="85">
        <v>2022</v>
      </c>
      <c r="L1441" s="85">
        <v>2</v>
      </c>
      <c r="N1441" s="208" t="s">
        <v>44</v>
      </c>
    </row>
    <row r="1442" spans="1:14">
      <c r="A1442" s="36" t="s">
        <v>18</v>
      </c>
      <c r="B1442" s="37">
        <v>44620</v>
      </c>
      <c r="C1442" s="36" t="s">
        <v>720</v>
      </c>
      <c r="D1442" s="36" t="s">
        <v>721</v>
      </c>
      <c r="E1442" s="36" t="s">
        <v>246</v>
      </c>
      <c r="G1442" s="87">
        <v>21015860</v>
      </c>
      <c r="H1442" s="87">
        <v>2101586</v>
      </c>
      <c r="I1442" s="87">
        <v>23117446</v>
      </c>
      <c r="K1442" s="85">
        <v>2022</v>
      </c>
      <c r="L1442" s="85">
        <v>2</v>
      </c>
      <c r="N1442" s="208" t="s">
        <v>44</v>
      </c>
    </row>
    <row r="1443" spans="1:14">
      <c r="A1443" s="36" t="s">
        <v>32</v>
      </c>
      <c r="B1443" s="37">
        <v>44620</v>
      </c>
      <c r="C1443" s="36" t="s">
        <v>503</v>
      </c>
      <c r="D1443" s="36" t="s">
        <v>504</v>
      </c>
      <c r="E1443" s="36" t="s">
        <v>148</v>
      </c>
      <c r="J1443" s="87">
        <v>12922800</v>
      </c>
      <c r="K1443" s="85">
        <v>2022</v>
      </c>
      <c r="L1443" s="85">
        <v>1</v>
      </c>
      <c r="N1443" s="208" t="s">
        <v>44</v>
      </c>
    </row>
    <row r="1444" spans="1:14">
      <c r="A1444" s="36" t="s">
        <v>33</v>
      </c>
      <c r="B1444" s="37">
        <v>44620</v>
      </c>
      <c r="C1444" s="36" t="s">
        <v>119</v>
      </c>
      <c r="D1444" s="36" t="s">
        <v>372</v>
      </c>
      <c r="E1444" s="36" t="s">
        <v>76</v>
      </c>
      <c r="G1444" s="87">
        <v>15360000</v>
      </c>
      <c r="H1444" s="87">
        <v>1536000</v>
      </c>
      <c r="I1444" s="87">
        <v>16896000</v>
      </c>
      <c r="K1444" s="85">
        <v>2022</v>
      </c>
      <c r="L1444" s="85">
        <v>2</v>
      </c>
      <c r="N1444" s="208" t="s">
        <v>44</v>
      </c>
    </row>
    <row r="1445" spans="1:14">
      <c r="A1445" s="36" t="s">
        <v>32</v>
      </c>
      <c r="B1445" s="37">
        <v>44620</v>
      </c>
      <c r="C1445" s="36" t="s">
        <v>505</v>
      </c>
      <c r="D1445" s="36" t="s">
        <v>506</v>
      </c>
      <c r="E1445" s="36" t="s">
        <v>77</v>
      </c>
      <c r="J1445" s="38">
        <v>26041680</v>
      </c>
      <c r="K1445" s="85">
        <v>2022</v>
      </c>
      <c r="L1445" s="85">
        <v>1</v>
      </c>
      <c r="N1445" s="208" t="s">
        <v>44</v>
      </c>
    </row>
    <row r="1446" spans="1:14">
      <c r="A1446" s="36" t="s">
        <v>32</v>
      </c>
      <c r="B1446" s="37">
        <v>44620</v>
      </c>
      <c r="C1446" s="36" t="s">
        <v>505</v>
      </c>
      <c r="D1446" s="36" t="s">
        <v>506</v>
      </c>
      <c r="E1446" s="36" t="s">
        <v>77</v>
      </c>
      <c r="J1446" s="38">
        <v>2604168</v>
      </c>
      <c r="K1446" s="85">
        <v>2022</v>
      </c>
      <c r="L1446" s="85">
        <v>1</v>
      </c>
      <c r="N1446" s="208" t="s">
        <v>44</v>
      </c>
    </row>
    <row r="1447" spans="1:14">
      <c r="A1447" s="36" t="s">
        <v>18</v>
      </c>
      <c r="B1447" s="37">
        <v>44620</v>
      </c>
      <c r="C1447" s="36" t="s">
        <v>722</v>
      </c>
      <c r="D1447" s="36" t="s">
        <v>723</v>
      </c>
      <c r="E1447" s="36" t="s">
        <v>246</v>
      </c>
      <c r="G1447" s="87">
        <v>31277400</v>
      </c>
      <c r="H1447" s="87">
        <v>3127740</v>
      </c>
      <c r="I1447" s="87">
        <v>34405140</v>
      </c>
      <c r="K1447" s="85">
        <v>2022</v>
      </c>
      <c r="L1447" s="85">
        <v>2</v>
      </c>
      <c r="N1447" s="208" t="s">
        <v>44</v>
      </c>
    </row>
    <row r="1448" spans="1:14">
      <c r="A1448" s="36" t="s">
        <v>32</v>
      </c>
      <c r="B1448" s="37">
        <v>44620</v>
      </c>
      <c r="C1448" s="36" t="s">
        <v>264</v>
      </c>
      <c r="D1448" s="36" t="s">
        <v>679</v>
      </c>
      <c r="E1448" s="36" t="s">
        <v>76</v>
      </c>
      <c r="G1448" s="87">
        <v>3100000</v>
      </c>
      <c r="H1448" s="87">
        <v>310000</v>
      </c>
      <c r="I1448" s="87">
        <v>3410000</v>
      </c>
      <c r="K1448" s="85">
        <v>2022</v>
      </c>
      <c r="L1448" s="85">
        <v>2</v>
      </c>
      <c r="N1448" s="208" t="s">
        <v>44</v>
      </c>
    </row>
    <row r="1449" spans="1:14">
      <c r="A1449" s="36" t="s">
        <v>32</v>
      </c>
      <c r="B1449" s="37">
        <v>44620</v>
      </c>
      <c r="C1449" s="36" t="s">
        <v>264</v>
      </c>
      <c r="D1449" s="36" t="s">
        <v>679</v>
      </c>
      <c r="E1449" s="36" t="s">
        <v>77</v>
      </c>
      <c r="J1449" s="87">
        <v>3410000</v>
      </c>
      <c r="K1449" s="85">
        <v>2022</v>
      </c>
      <c r="L1449" s="85">
        <v>2</v>
      </c>
      <c r="N1449" s="208" t="s">
        <v>44</v>
      </c>
    </row>
    <row r="1450" spans="1:14">
      <c r="A1450" s="36" t="s">
        <v>33</v>
      </c>
      <c r="B1450" s="37">
        <v>44620</v>
      </c>
      <c r="C1450" s="36" t="s">
        <v>724</v>
      </c>
      <c r="D1450" s="36" t="s">
        <v>725</v>
      </c>
      <c r="E1450" s="36" t="s">
        <v>99</v>
      </c>
      <c r="G1450" s="87">
        <v>360000</v>
      </c>
      <c r="H1450" s="87">
        <v>36000</v>
      </c>
      <c r="I1450" s="87">
        <v>396000</v>
      </c>
      <c r="K1450" s="85">
        <v>2022</v>
      </c>
      <c r="L1450" s="85">
        <v>2</v>
      </c>
      <c r="N1450" s="208" t="s">
        <v>44</v>
      </c>
    </row>
    <row r="1451" spans="1:14">
      <c r="A1451" s="36" t="s">
        <v>18</v>
      </c>
      <c r="B1451" s="37">
        <v>44620</v>
      </c>
      <c r="C1451" s="36" t="s">
        <v>726</v>
      </c>
      <c r="D1451" s="36" t="s">
        <v>727</v>
      </c>
      <c r="E1451" s="36" t="s">
        <v>246</v>
      </c>
      <c r="G1451" s="87">
        <v>11363700</v>
      </c>
      <c r="H1451" s="87">
        <v>1136370</v>
      </c>
      <c r="I1451" s="87">
        <v>12500070</v>
      </c>
      <c r="K1451" s="85">
        <v>2022</v>
      </c>
      <c r="L1451" s="85">
        <v>2</v>
      </c>
      <c r="N1451" s="208" t="s">
        <v>44</v>
      </c>
    </row>
    <row r="1452" spans="1:14">
      <c r="A1452" s="36" t="s">
        <v>32</v>
      </c>
      <c r="B1452" s="37">
        <v>44620</v>
      </c>
      <c r="C1452" s="36" t="s">
        <v>680</v>
      </c>
      <c r="D1452" s="36" t="s">
        <v>681</v>
      </c>
      <c r="E1452" s="36" t="s">
        <v>76</v>
      </c>
      <c r="G1452" s="87">
        <v>5739200</v>
      </c>
      <c r="H1452" s="87">
        <v>573920</v>
      </c>
      <c r="I1452" s="87">
        <v>6313120</v>
      </c>
      <c r="K1452" s="85">
        <v>2022</v>
      </c>
      <c r="L1452" s="85">
        <v>2</v>
      </c>
      <c r="N1452" s="208" t="s">
        <v>44</v>
      </c>
    </row>
    <row r="1453" spans="1:14">
      <c r="A1453" s="36" t="s">
        <v>32</v>
      </c>
      <c r="B1453" s="37">
        <v>44620</v>
      </c>
      <c r="C1453" s="36" t="s">
        <v>552</v>
      </c>
      <c r="D1453" s="36" t="s">
        <v>553</v>
      </c>
      <c r="E1453" s="36" t="s">
        <v>148</v>
      </c>
      <c r="J1453" s="87">
        <v>3161400</v>
      </c>
      <c r="K1453" s="85">
        <v>2022</v>
      </c>
      <c r="L1453" s="85">
        <v>1</v>
      </c>
      <c r="N1453" s="208" t="s">
        <v>44</v>
      </c>
    </row>
    <row r="1454" spans="1:14">
      <c r="A1454" s="36" t="s">
        <v>18</v>
      </c>
      <c r="B1454" s="37">
        <v>44620</v>
      </c>
      <c r="C1454" s="36" t="s">
        <v>728</v>
      </c>
      <c r="D1454" s="36" t="s">
        <v>729</v>
      </c>
      <c r="E1454" s="36" t="s">
        <v>246</v>
      </c>
      <c r="G1454" s="87">
        <v>7241900</v>
      </c>
      <c r="H1454" s="87">
        <v>724190</v>
      </c>
      <c r="I1454" s="87">
        <v>7966090</v>
      </c>
      <c r="K1454" s="85">
        <v>2022</v>
      </c>
      <c r="L1454" s="85">
        <v>2</v>
      </c>
      <c r="N1454" s="208" t="s">
        <v>44</v>
      </c>
    </row>
    <row r="1455" spans="1:14">
      <c r="A1455" s="36" t="s">
        <v>33</v>
      </c>
      <c r="B1455" s="37">
        <v>44620</v>
      </c>
      <c r="C1455" s="36" t="s">
        <v>645</v>
      </c>
      <c r="D1455" s="36" t="s">
        <v>581</v>
      </c>
      <c r="E1455" s="36" t="s">
        <v>582</v>
      </c>
      <c r="G1455" s="87">
        <v>200000</v>
      </c>
      <c r="H1455" s="87">
        <v>20000</v>
      </c>
      <c r="I1455" s="87">
        <v>220000</v>
      </c>
      <c r="K1455" s="85">
        <v>2022</v>
      </c>
      <c r="L1455" s="85">
        <v>2</v>
      </c>
      <c r="N1455" s="208" t="s">
        <v>44</v>
      </c>
    </row>
    <row r="1456" spans="1:14">
      <c r="A1456" s="36" t="s">
        <v>33</v>
      </c>
      <c r="B1456" s="37">
        <v>44620</v>
      </c>
      <c r="C1456" s="36" t="s">
        <v>226</v>
      </c>
      <c r="D1456" s="36" t="s">
        <v>227</v>
      </c>
      <c r="E1456" s="36" t="s">
        <v>228</v>
      </c>
      <c r="G1456" s="87">
        <v>2492727</v>
      </c>
      <c r="H1456" s="87">
        <v>249272.7</v>
      </c>
      <c r="I1456" s="87">
        <v>2741999.7</v>
      </c>
      <c r="K1456" s="85">
        <v>2022</v>
      </c>
      <c r="L1456" s="85">
        <v>2</v>
      </c>
      <c r="N1456" s="208" t="s">
        <v>44</v>
      </c>
    </row>
    <row r="1457" spans="1:14">
      <c r="A1457" s="36" t="s">
        <v>18</v>
      </c>
      <c r="B1457" s="37">
        <v>44620</v>
      </c>
      <c r="C1457" s="36" t="s">
        <v>555</v>
      </c>
      <c r="D1457" s="36" t="s">
        <v>683</v>
      </c>
      <c r="E1457" s="36" t="s">
        <v>246</v>
      </c>
      <c r="G1457" s="87">
        <v>13020060</v>
      </c>
      <c r="H1457" s="87">
        <v>1302006</v>
      </c>
      <c r="I1457" s="87">
        <v>14322066</v>
      </c>
      <c r="K1457" s="85">
        <v>2022</v>
      </c>
      <c r="L1457" s="85">
        <v>2</v>
      </c>
      <c r="N1457" s="208" t="s">
        <v>44</v>
      </c>
    </row>
    <row r="1458" spans="1:14">
      <c r="A1458" s="36" t="s">
        <v>18</v>
      </c>
      <c r="B1458" s="37">
        <v>44620</v>
      </c>
      <c r="C1458" s="36" t="s">
        <v>555</v>
      </c>
      <c r="D1458" s="36" t="s">
        <v>730</v>
      </c>
      <c r="E1458" s="36" t="s">
        <v>246</v>
      </c>
      <c r="G1458" s="87">
        <v>2932800</v>
      </c>
      <c r="H1458" s="87">
        <v>293280</v>
      </c>
      <c r="I1458" s="87">
        <v>3226080</v>
      </c>
      <c r="K1458" s="85">
        <v>2022</v>
      </c>
      <c r="L1458" s="85">
        <v>2</v>
      </c>
      <c r="N1458" s="208" t="s">
        <v>44</v>
      </c>
    </row>
    <row r="1459" spans="1:14">
      <c r="A1459" s="36" t="s">
        <v>18</v>
      </c>
      <c r="B1459" s="37">
        <v>44620</v>
      </c>
      <c r="C1459" s="36" t="s">
        <v>251</v>
      </c>
      <c r="D1459" s="36" t="s">
        <v>731</v>
      </c>
      <c r="E1459" s="36" t="s">
        <v>246</v>
      </c>
      <c r="G1459" s="87">
        <v>16890000</v>
      </c>
      <c r="H1459" s="87">
        <v>1689000</v>
      </c>
      <c r="I1459" s="87">
        <v>18579000</v>
      </c>
      <c r="K1459" s="85">
        <v>2022</v>
      </c>
      <c r="L1459" s="85">
        <v>2</v>
      </c>
      <c r="N1459" s="208" t="s">
        <v>44</v>
      </c>
    </row>
    <row r="1460" spans="1:14">
      <c r="A1460" s="36" t="s">
        <v>18</v>
      </c>
      <c r="B1460" s="37">
        <v>44620</v>
      </c>
      <c r="C1460" s="36" t="s">
        <v>251</v>
      </c>
      <c r="D1460" s="36" t="s">
        <v>731</v>
      </c>
      <c r="E1460" s="36" t="s">
        <v>148</v>
      </c>
      <c r="J1460" s="87">
        <v>18579000</v>
      </c>
      <c r="K1460" s="85">
        <v>2022</v>
      </c>
      <c r="L1460" s="85">
        <v>2</v>
      </c>
      <c r="N1460" s="208" t="s">
        <v>44</v>
      </c>
    </row>
    <row r="1461" spans="1:14">
      <c r="A1461" s="36" t="s">
        <v>32</v>
      </c>
      <c r="B1461" s="37">
        <v>44620</v>
      </c>
      <c r="C1461" s="36" t="s">
        <v>188</v>
      </c>
      <c r="D1461" s="36" t="s">
        <v>624</v>
      </c>
      <c r="E1461" s="36" t="s">
        <v>148</v>
      </c>
      <c r="J1461" s="87">
        <v>4246000</v>
      </c>
      <c r="K1461" s="85">
        <v>2022</v>
      </c>
      <c r="L1461" s="85">
        <v>1</v>
      </c>
      <c r="N1461" s="208" t="s">
        <v>44</v>
      </c>
    </row>
    <row r="1462" spans="1:14">
      <c r="A1462" s="36" t="s">
        <v>32</v>
      </c>
      <c r="B1462" s="37">
        <v>44620</v>
      </c>
      <c r="C1462" s="36" t="s">
        <v>188</v>
      </c>
      <c r="D1462" s="36" t="s">
        <v>557</v>
      </c>
      <c r="E1462" s="36" t="s">
        <v>148</v>
      </c>
      <c r="J1462" s="87">
        <v>3432000</v>
      </c>
      <c r="K1462" s="85">
        <v>2022</v>
      </c>
      <c r="L1462" s="85">
        <v>1</v>
      </c>
      <c r="N1462" s="208" t="s">
        <v>44</v>
      </c>
    </row>
    <row r="1463" spans="1:14">
      <c r="A1463" s="36" t="s">
        <v>18</v>
      </c>
      <c r="B1463" s="37">
        <v>44620</v>
      </c>
      <c r="C1463" s="36" t="s">
        <v>406</v>
      </c>
      <c r="D1463" s="36" t="s">
        <v>732</v>
      </c>
      <c r="E1463" s="36" t="s">
        <v>246</v>
      </c>
      <c r="G1463" s="87">
        <v>1500000</v>
      </c>
      <c r="H1463" s="87">
        <v>150000</v>
      </c>
      <c r="I1463" s="87">
        <v>1650000</v>
      </c>
      <c r="K1463" s="85">
        <v>2022</v>
      </c>
      <c r="L1463" s="85">
        <v>2</v>
      </c>
      <c r="N1463" s="208" t="s">
        <v>44</v>
      </c>
    </row>
    <row r="1464" spans="1:14">
      <c r="A1464" s="36" t="s">
        <v>32</v>
      </c>
      <c r="B1464" s="37">
        <v>44620</v>
      </c>
      <c r="C1464" s="36" t="s">
        <v>188</v>
      </c>
      <c r="D1464" s="36" t="s">
        <v>624</v>
      </c>
      <c r="E1464" s="36" t="s">
        <v>76</v>
      </c>
      <c r="G1464" s="87">
        <v>3570000</v>
      </c>
      <c r="H1464" s="87">
        <v>357000</v>
      </c>
      <c r="I1464" s="87">
        <v>3927000</v>
      </c>
      <c r="K1464" s="85">
        <v>2022</v>
      </c>
      <c r="L1464" s="85">
        <v>2</v>
      </c>
      <c r="N1464" s="208" t="s">
        <v>44</v>
      </c>
    </row>
    <row r="1465" spans="1:14">
      <c r="A1465" s="36" t="s">
        <v>32</v>
      </c>
      <c r="B1465" s="37">
        <v>44620</v>
      </c>
      <c r="C1465" s="36" t="s">
        <v>188</v>
      </c>
      <c r="D1465" s="36" t="s">
        <v>443</v>
      </c>
      <c r="E1465" s="36" t="s">
        <v>76</v>
      </c>
      <c r="G1465" s="87">
        <v>2050000</v>
      </c>
      <c r="H1465" s="87">
        <v>205000</v>
      </c>
      <c r="I1465" s="87">
        <v>2255000</v>
      </c>
      <c r="K1465" s="85">
        <v>2022</v>
      </c>
      <c r="L1465" s="85">
        <v>2</v>
      </c>
      <c r="N1465" s="208" t="s">
        <v>44</v>
      </c>
    </row>
    <row r="1466" spans="1:14">
      <c r="A1466" s="36" t="s">
        <v>32</v>
      </c>
      <c r="B1466" s="37">
        <v>44620</v>
      </c>
      <c r="C1466" s="36" t="s">
        <v>188</v>
      </c>
      <c r="D1466" s="36" t="s">
        <v>622</v>
      </c>
      <c r="E1466" s="36" t="s">
        <v>76</v>
      </c>
      <c r="G1466" s="87">
        <v>750000</v>
      </c>
      <c r="H1466" s="87">
        <v>75000</v>
      </c>
      <c r="I1466" s="87">
        <v>825000</v>
      </c>
      <c r="K1466" s="85">
        <v>2022</v>
      </c>
      <c r="L1466" s="85">
        <v>2</v>
      </c>
      <c r="N1466" s="208" t="s">
        <v>44</v>
      </c>
    </row>
    <row r="1467" spans="1:14">
      <c r="A1467" s="36" t="s">
        <v>32</v>
      </c>
      <c r="B1467" s="37">
        <v>44620</v>
      </c>
      <c r="C1467" s="36" t="s">
        <v>411</v>
      </c>
      <c r="D1467" s="36" t="s">
        <v>412</v>
      </c>
      <c r="E1467" s="36" t="s">
        <v>148</v>
      </c>
      <c r="J1467" s="87">
        <v>43107900</v>
      </c>
      <c r="K1467" s="85">
        <v>2022</v>
      </c>
      <c r="L1467" s="85">
        <v>1</v>
      </c>
      <c r="N1467" s="208" t="s">
        <v>44</v>
      </c>
    </row>
    <row r="1468" spans="1:14">
      <c r="A1468" s="36" t="s">
        <v>18</v>
      </c>
      <c r="B1468" s="37">
        <v>44620</v>
      </c>
      <c r="C1468" s="36" t="s">
        <v>413</v>
      </c>
      <c r="D1468" s="36" t="s">
        <v>465</v>
      </c>
      <c r="E1468" s="36" t="s">
        <v>246</v>
      </c>
      <c r="G1468" s="87">
        <v>14110520</v>
      </c>
      <c r="H1468" s="87">
        <v>1411052</v>
      </c>
      <c r="I1468" s="87">
        <v>15521572</v>
      </c>
      <c r="K1468" s="85">
        <v>2022</v>
      </c>
      <c r="L1468" s="85">
        <v>2</v>
      </c>
      <c r="N1468" s="208" t="s">
        <v>44</v>
      </c>
    </row>
    <row r="1469" spans="1:14">
      <c r="A1469" s="36" t="s">
        <v>32</v>
      </c>
      <c r="B1469" s="37">
        <v>44620</v>
      </c>
      <c r="C1469" s="36" t="s">
        <v>519</v>
      </c>
      <c r="D1469" s="36" t="s">
        <v>321</v>
      </c>
      <c r="E1469" s="36" t="s">
        <v>78</v>
      </c>
      <c r="G1469" s="87">
        <v>1000000</v>
      </c>
      <c r="H1469" s="87">
        <v>100000</v>
      </c>
      <c r="I1469" s="87">
        <v>1100000</v>
      </c>
      <c r="K1469" s="85">
        <v>2022</v>
      </c>
      <c r="L1469" s="85">
        <v>2</v>
      </c>
      <c r="M1469" s="36" t="s">
        <v>733</v>
      </c>
      <c r="N1469" s="208" t="s">
        <v>44</v>
      </c>
    </row>
    <row r="1470" spans="1:14">
      <c r="A1470" s="36" t="s">
        <v>18</v>
      </c>
      <c r="B1470" s="37">
        <v>44620</v>
      </c>
      <c r="C1470" s="36" t="s">
        <v>734</v>
      </c>
      <c r="D1470" s="36" t="s">
        <v>735</v>
      </c>
      <c r="E1470" s="36" t="s">
        <v>246</v>
      </c>
      <c r="G1470" s="87">
        <v>1945745</v>
      </c>
      <c r="H1470" s="87">
        <v>194574.5</v>
      </c>
      <c r="I1470" s="87">
        <v>2140319.5</v>
      </c>
      <c r="K1470" s="85">
        <v>2022</v>
      </c>
      <c r="L1470" s="85">
        <v>2</v>
      </c>
      <c r="M1470" s="36" t="s">
        <v>736</v>
      </c>
      <c r="N1470" s="208" t="s">
        <v>44</v>
      </c>
    </row>
    <row r="1471" spans="1:14">
      <c r="A1471" s="36" t="s">
        <v>18</v>
      </c>
      <c r="B1471" s="37">
        <v>44620</v>
      </c>
      <c r="C1471" s="36" t="s">
        <v>734</v>
      </c>
      <c r="D1471" s="36" t="s">
        <v>735</v>
      </c>
      <c r="E1471" s="36" t="s">
        <v>246</v>
      </c>
      <c r="G1471" s="87">
        <v>50121820</v>
      </c>
      <c r="H1471" s="87">
        <v>5012182</v>
      </c>
      <c r="I1471" s="87">
        <v>55134002</v>
      </c>
      <c r="K1471" s="85">
        <v>2022</v>
      </c>
      <c r="L1471" s="85">
        <v>2</v>
      </c>
      <c r="N1471" s="208" t="s">
        <v>44</v>
      </c>
    </row>
    <row r="1472" spans="1:14">
      <c r="A1472" s="36" t="s">
        <v>18</v>
      </c>
      <c r="B1472" s="37">
        <v>44620</v>
      </c>
      <c r="C1472" s="36" t="s">
        <v>734</v>
      </c>
      <c r="D1472" s="36" t="s">
        <v>735</v>
      </c>
      <c r="E1472" s="36" t="s">
        <v>246</v>
      </c>
      <c r="G1472" s="87">
        <v>445954</v>
      </c>
      <c r="H1472" s="87">
        <v>44595.4</v>
      </c>
      <c r="I1472" s="87">
        <v>490549.4</v>
      </c>
      <c r="K1472" s="85">
        <v>2022</v>
      </c>
      <c r="L1472" s="85">
        <v>2</v>
      </c>
      <c r="M1472" s="36" t="s">
        <v>736</v>
      </c>
      <c r="N1472" s="208" t="s">
        <v>44</v>
      </c>
    </row>
    <row r="1473" spans="1:14">
      <c r="A1473" s="36" t="s">
        <v>18</v>
      </c>
      <c r="B1473" s="37">
        <v>44620</v>
      </c>
      <c r="C1473" s="36" t="s">
        <v>734</v>
      </c>
      <c r="D1473" s="36" t="s">
        <v>735</v>
      </c>
      <c r="E1473" s="36" t="s">
        <v>148</v>
      </c>
      <c r="J1473" s="87">
        <v>2140319.5</v>
      </c>
      <c r="K1473" s="85">
        <v>2022</v>
      </c>
      <c r="L1473" s="85">
        <v>2</v>
      </c>
      <c r="N1473" s="208" t="s">
        <v>44</v>
      </c>
    </row>
    <row r="1474" spans="1:14">
      <c r="A1474" s="36" t="s">
        <v>33</v>
      </c>
      <c r="B1474" s="37">
        <v>44620</v>
      </c>
      <c r="C1474" s="36" t="s">
        <v>115</v>
      </c>
      <c r="D1474" s="36" t="s">
        <v>371</v>
      </c>
      <c r="E1474" s="36" t="s">
        <v>708</v>
      </c>
      <c r="G1474" s="87">
        <v>3259090</v>
      </c>
      <c r="H1474" s="87">
        <v>325910</v>
      </c>
      <c r="I1474" s="87">
        <v>3585000</v>
      </c>
      <c r="K1474" s="85">
        <v>2022</v>
      </c>
      <c r="L1474" s="85">
        <v>2</v>
      </c>
      <c r="M1474" s="36" t="s">
        <v>107</v>
      </c>
      <c r="N1474" s="208" t="s">
        <v>44</v>
      </c>
    </row>
    <row r="1475" spans="1:14">
      <c r="A1475" s="36" t="s">
        <v>33</v>
      </c>
      <c r="B1475" s="37">
        <v>44620</v>
      </c>
      <c r="C1475" s="36" t="s">
        <v>327</v>
      </c>
      <c r="D1475" s="36" t="s">
        <v>737</v>
      </c>
      <c r="E1475" s="36" t="s">
        <v>328</v>
      </c>
      <c r="G1475" s="87">
        <v>1817200</v>
      </c>
      <c r="H1475" s="87">
        <v>181720</v>
      </c>
      <c r="I1475" s="87">
        <v>1998920</v>
      </c>
      <c r="K1475" s="85">
        <v>2022</v>
      </c>
      <c r="L1475" s="85">
        <v>2</v>
      </c>
      <c r="N1475" s="208" t="s">
        <v>44</v>
      </c>
    </row>
    <row r="1476" spans="1:14">
      <c r="A1476" s="36" t="s">
        <v>33</v>
      </c>
      <c r="B1476" s="37">
        <v>44620</v>
      </c>
      <c r="C1476" s="36" t="s">
        <v>327</v>
      </c>
      <c r="D1476" s="36" t="s">
        <v>737</v>
      </c>
      <c r="E1476" s="36" t="s">
        <v>148</v>
      </c>
      <c r="J1476" s="87">
        <v>1998920</v>
      </c>
      <c r="K1476" s="85">
        <v>2022</v>
      </c>
      <c r="L1476" s="85">
        <v>2</v>
      </c>
      <c r="N1476" s="208" t="s">
        <v>44</v>
      </c>
    </row>
    <row r="1477" spans="1:14">
      <c r="A1477" s="36" t="s">
        <v>33</v>
      </c>
      <c r="B1477" s="37">
        <v>44620</v>
      </c>
      <c r="C1477" s="36" t="s">
        <v>168</v>
      </c>
      <c r="D1477" s="36" t="s">
        <v>258</v>
      </c>
      <c r="E1477" s="36" t="s">
        <v>708</v>
      </c>
      <c r="G1477" s="87">
        <v>817800</v>
      </c>
      <c r="H1477" s="87">
        <v>81780</v>
      </c>
      <c r="I1477" s="87">
        <v>899580</v>
      </c>
      <c r="K1477" s="85">
        <v>2022</v>
      </c>
      <c r="L1477" s="85">
        <v>2</v>
      </c>
      <c r="N1477" s="208" t="s">
        <v>44</v>
      </c>
    </row>
    <row r="1478" spans="1:14">
      <c r="A1478" s="36" t="s">
        <v>18</v>
      </c>
      <c r="B1478" s="37">
        <v>44620</v>
      </c>
      <c r="C1478" s="36" t="s">
        <v>738</v>
      </c>
      <c r="D1478" s="36" t="s">
        <v>382</v>
      </c>
      <c r="E1478" s="36" t="s">
        <v>246</v>
      </c>
      <c r="G1478" s="87">
        <v>3610000</v>
      </c>
      <c r="H1478" s="87">
        <v>361000</v>
      </c>
      <c r="I1478" s="87">
        <v>3971000</v>
      </c>
      <c r="K1478" s="85">
        <v>2022</v>
      </c>
      <c r="L1478" s="85">
        <v>2</v>
      </c>
      <c r="N1478" s="208" t="s">
        <v>44</v>
      </c>
    </row>
    <row r="1479" spans="1:14">
      <c r="A1479" s="36" t="s">
        <v>32</v>
      </c>
      <c r="B1479" s="37">
        <v>44620</v>
      </c>
      <c r="C1479" s="36" t="s">
        <v>474</v>
      </c>
      <c r="D1479" s="36" t="s">
        <v>686</v>
      </c>
      <c r="E1479" s="36" t="s">
        <v>148</v>
      </c>
      <c r="J1479" s="87">
        <v>5104000</v>
      </c>
      <c r="K1479" s="85">
        <v>2022</v>
      </c>
      <c r="L1479" s="85">
        <v>1</v>
      </c>
      <c r="N1479" s="208" t="s">
        <v>44</v>
      </c>
    </row>
    <row r="1480" spans="1:14">
      <c r="A1480" s="36" t="s">
        <v>32</v>
      </c>
      <c r="B1480" s="37">
        <v>44620</v>
      </c>
      <c r="C1480" s="36" t="s">
        <v>474</v>
      </c>
      <c r="D1480" s="36" t="s">
        <v>569</v>
      </c>
      <c r="E1480" s="36" t="s">
        <v>148</v>
      </c>
      <c r="J1480" s="87">
        <v>20636000</v>
      </c>
      <c r="K1480" s="85">
        <v>2022</v>
      </c>
      <c r="L1480" s="85">
        <v>1</v>
      </c>
      <c r="N1480" s="208" t="s">
        <v>44</v>
      </c>
    </row>
    <row r="1481" spans="1:14">
      <c r="A1481" s="36" t="s">
        <v>32</v>
      </c>
      <c r="B1481" s="37">
        <v>44620</v>
      </c>
      <c r="C1481" s="36" t="s">
        <v>661</v>
      </c>
      <c r="D1481" s="36" t="s">
        <v>687</v>
      </c>
      <c r="E1481" s="36" t="s">
        <v>77</v>
      </c>
      <c r="J1481" s="87">
        <v>9570000</v>
      </c>
      <c r="K1481" s="85">
        <v>2022</v>
      </c>
      <c r="L1481" s="85">
        <v>1</v>
      </c>
      <c r="N1481" s="208" t="s">
        <v>44</v>
      </c>
    </row>
    <row r="1482" spans="1:14">
      <c r="A1482" s="36" t="s">
        <v>18</v>
      </c>
      <c r="B1482" s="37">
        <v>44620</v>
      </c>
      <c r="C1482" s="36" t="s">
        <v>739</v>
      </c>
      <c r="D1482" s="36" t="s">
        <v>1731</v>
      </c>
      <c r="E1482" s="36" t="s">
        <v>246</v>
      </c>
      <c r="G1482" s="87">
        <v>525000</v>
      </c>
      <c r="H1482" s="87">
        <v>52500</v>
      </c>
      <c r="I1482" s="87">
        <v>577500</v>
      </c>
      <c r="K1482" s="85">
        <v>2022</v>
      </c>
      <c r="L1482" s="85">
        <v>2</v>
      </c>
      <c r="N1482" s="208" t="s">
        <v>44</v>
      </c>
    </row>
    <row r="1483" spans="1:14">
      <c r="A1483" s="36" t="s">
        <v>32</v>
      </c>
      <c r="B1483" s="37">
        <v>44621</v>
      </c>
      <c r="C1483" s="36" t="s">
        <v>247</v>
      </c>
      <c r="D1483" s="36" t="s">
        <v>740</v>
      </c>
      <c r="E1483" s="36" t="s">
        <v>741</v>
      </c>
      <c r="G1483" s="87">
        <v>3240000</v>
      </c>
      <c r="H1483" s="87">
        <v>324000</v>
      </c>
      <c r="I1483" s="87">
        <v>3564000</v>
      </c>
      <c r="K1483" s="85">
        <v>2022</v>
      </c>
      <c r="L1483" s="85">
        <v>3</v>
      </c>
      <c r="N1483" s="208" t="s">
        <v>44</v>
      </c>
    </row>
    <row r="1484" spans="1:14">
      <c r="A1484" s="36" t="s">
        <v>33</v>
      </c>
      <c r="B1484" s="37">
        <v>44621</v>
      </c>
      <c r="C1484" s="36" t="s">
        <v>131</v>
      </c>
      <c r="D1484" s="36" t="s">
        <v>439</v>
      </c>
      <c r="E1484" s="36" t="s">
        <v>742</v>
      </c>
      <c r="G1484" s="87">
        <v>530000</v>
      </c>
      <c r="H1484" s="87">
        <v>53000</v>
      </c>
      <c r="I1484" s="87">
        <v>583000</v>
      </c>
      <c r="K1484" s="85">
        <v>2022</v>
      </c>
      <c r="L1484" s="85">
        <v>2</v>
      </c>
      <c r="N1484" s="208" t="s">
        <v>44</v>
      </c>
    </row>
    <row r="1485" spans="1:14">
      <c r="A1485" s="36" t="s">
        <v>32</v>
      </c>
      <c r="B1485" s="37">
        <v>44621</v>
      </c>
      <c r="C1485" s="36" t="s">
        <v>346</v>
      </c>
      <c r="D1485" s="36" t="s">
        <v>347</v>
      </c>
      <c r="E1485" s="36" t="s">
        <v>76</v>
      </c>
      <c r="G1485" s="87">
        <v>9375000</v>
      </c>
      <c r="H1485" s="87">
        <v>937500</v>
      </c>
      <c r="I1485" s="87">
        <v>10312500</v>
      </c>
      <c r="K1485" s="85">
        <v>2022</v>
      </c>
      <c r="L1485" s="85">
        <v>3</v>
      </c>
      <c r="N1485" s="208" t="s">
        <v>44</v>
      </c>
    </row>
    <row r="1486" spans="1:14">
      <c r="A1486" s="36" t="s">
        <v>33</v>
      </c>
      <c r="B1486" s="37">
        <v>44621</v>
      </c>
      <c r="C1486" s="36" t="s">
        <v>743</v>
      </c>
      <c r="D1486" s="36" t="s">
        <v>744</v>
      </c>
      <c r="E1486" s="36" t="s">
        <v>592</v>
      </c>
      <c r="G1486" s="87">
        <v>256743</v>
      </c>
      <c r="H1486" s="87">
        <v>25674.300000000003</v>
      </c>
      <c r="I1486" s="87">
        <v>282417.3</v>
      </c>
      <c r="K1486" s="85">
        <v>2022</v>
      </c>
      <c r="L1486" s="85">
        <v>3</v>
      </c>
      <c r="N1486" s="208" t="s">
        <v>44</v>
      </c>
    </row>
    <row r="1487" spans="1:14">
      <c r="A1487" s="36" t="s">
        <v>32</v>
      </c>
      <c r="B1487" s="37">
        <v>44621</v>
      </c>
      <c r="C1487" s="36" t="s">
        <v>520</v>
      </c>
      <c r="D1487" s="36" t="s">
        <v>412</v>
      </c>
      <c r="E1487" s="36" t="s">
        <v>76</v>
      </c>
      <c r="G1487" s="87">
        <v>20003000</v>
      </c>
      <c r="H1487" s="87">
        <v>2000300</v>
      </c>
      <c r="I1487" s="87">
        <v>22003300</v>
      </c>
      <c r="K1487" s="85">
        <v>2022</v>
      </c>
      <c r="L1487" s="85">
        <v>3</v>
      </c>
      <c r="N1487" s="208" t="s">
        <v>44</v>
      </c>
    </row>
    <row r="1488" spans="1:14">
      <c r="A1488" s="36" t="s">
        <v>32</v>
      </c>
      <c r="B1488" s="37">
        <v>44622</v>
      </c>
      <c r="C1488" s="36" t="s">
        <v>264</v>
      </c>
      <c r="D1488" s="36" t="s">
        <v>644</v>
      </c>
      <c r="E1488" s="36" t="s">
        <v>77</v>
      </c>
      <c r="J1488" s="87">
        <v>5500000</v>
      </c>
      <c r="K1488" s="85">
        <v>2022</v>
      </c>
      <c r="L1488" s="85">
        <v>1</v>
      </c>
      <c r="N1488" s="208" t="s">
        <v>44</v>
      </c>
    </row>
    <row r="1489" spans="1:14">
      <c r="A1489" s="36" t="s">
        <v>32</v>
      </c>
      <c r="B1489" s="37">
        <v>44622</v>
      </c>
      <c r="C1489" s="36" t="s">
        <v>185</v>
      </c>
      <c r="D1489" s="36" t="s">
        <v>684</v>
      </c>
      <c r="E1489" s="36" t="s">
        <v>148</v>
      </c>
      <c r="J1489" s="87">
        <v>4839331.2</v>
      </c>
      <c r="K1489" s="85">
        <v>2022</v>
      </c>
      <c r="L1489" s="85">
        <v>1</v>
      </c>
      <c r="N1489" s="208" t="s">
        <v>44</v>
      </c>
    </row>
    <row r="1490" spans="1:14">
      <c r="A1490" s="36" t="s">
        <v>32</v>
      </c>
      <c r="B1490" s="37">
        <v>44622</v>
      </c>
      <c r="C1490" s="36" t="s">
        <v>188</v>
      </c>
      <c r="D1490" s="36" t="s">
        <v>621</v>
      </c>
      <c r="E1490" s="36" t="s">
        <v>148</v>
      </c>
      <c r="J1490" s="87">
        <v>13475000</v>
      </c>
      <c r="K1490" s="85">
        <v>2022</v>
      </c>
      <c r="L1490" s="85">
        <v>1</v>
      </c>
      <c r="N1490" s="208" t="s">
        <v>44</v>
      </c>
    </row>
    <row r="1491" spans="1:14">
      <c r="A1491" s="36" t="s">
        <v>33</v>
      </c>
      <c r="B1491" s="37">
        <v>44623</v>
      </c>
      <c r="C1491" s="36" t="s">
        <v>131</v>
      </c>
      <c r="D1491" s="36" t="s">
        <v>439</v>
      </c>
      <c r="E1491" s="36" t="s">
        <v>77</v>
      </c>
      <c r="J1491" s="38">
        <v>583000</v>
      </c>
      <c r="K1491" s="85">
        <v>2022</v>
      </c>
      <c r="L1491" s="85">
        <v>2</v>
      </c>
      <c r="N1491" s="208" t="s">
        <v>44</v>
      </c>
    </row>
    <row r="1492" spans="1:14">
      <c r="A1492" s="36" t="s">
        <v>32</v>
      </c>
      <c r="B1492" s="37">
        <v>44623</v>
      </c>
      <c r="C1492" s="36" t="s">
        <v>204</v>
      </c>
      <c r="D1492" s="36" t="s">
        <v>674</v>
      </c>
      <c r="E1492" s="36" t="s">
        <v>148</v>
      </c>
      <c r="J1492" s="87">
        <v>3272500</v>
      </c>
      <c r="K1492" s="85">
        <v>2022</v>
      </c>
      <c r="L1492" s="85">
        <v>1</v>
      </c>
      <c r="N1492" s="208" t="s">
        <v>44</v>
      </c>
    </row>
    <row r="1493" spans="1:14">
      <c r="A1493" s="36" t="s">
        <v>33</v>
      </c>
      <c r="B1493" s="37">
        <v>44623</v>
      </c>
      <c r="C1493" s="36" t="s">
        <v>584</v>
      </c>
      <c r="D1493" s="36" t="s">
        <v>205</v>
      </c>
      <c r="E1493" s="36" t="s">
        <v>77</v>
      </c>
      <c r="J1493" s="38">
        <v>39600</v>
      </c>
      <c r="K1493" s="85">
        <v>2022</v>
      </c>
      <c r="L1493" s="85">
        <v>2</v>
      </c>
      <c r="N1493" s="208" t="s">
        <v>44</v>
      </c>
    </row>
    <row r="1494" spans="1:14">
      <c r="A1494" s="36" t="s">
        <v>33</v>
      </c>
      <c r="B1494" s="37">
        <v>44623</v>
      </c>
      <c r="C1494" s="36" t="s">
        <v>124</v>
      </c>
      <c r="D1494" s="36" t="s">
        <v>229</v>
      </c>
      <c r="E1494" s="36" t="s">
        <v>77</v>
      </c>
      <c r="J1494" s="38">
        <v>3801000</v>
      </c>
      <c r="K1494" s="85">
        <v>2022</v>
      </c>
      <c r="L1494" s="85">
        <v>2</v>
      </c>
      <c r="M1494" s="36" t="s">
        <v>107</v>
      </c>
      <c r="N1494" s="208" t="s">
        <v>44</v>
      </c>
    </row>
    <row r="1495" spans="1:14">
      <c r="A1495" s="36" t="s">
        <v>33</v>
      </c>
      <c r="B1495" s="37">
        <v>44623</v>
      </c>
      <c r="C1495" s="36" t="s">
        <v>645</v>
      </c>
      <c r="D1495" s="36" t="s">
        <v>581</v>
      </c>
      <c r="E1495" s="36" t="s">
        <v>77</v>
      </c>
      <c r="J1495" s="38">
        <v>220000</v>
      </c>
      <c r="K1495" s="85">
        <v>2022</v>
      </c>
      <c r="L1495" s="85">
        <v>2</v>
      </c>
      <c r="N1495" s="208" t="s">
        <v>44</v>
      </c>
    </row>
    <row r="1496" spans="1:14">
      <c r="A1496" s="36" t="s">
        <v>32</v>
      </c>
      <c r="B1496" s="37">
        <v>44623</v>
      </c>
      <c r="C1496" s="36" t="s">
        <v>188</v>
      </c>
      <c r="D1496" s="36" t="s">
        <v>649</v>
      </c>
      <c r="E1496" s="36" t="s">
        <v>148</v>
      </c>
      <c r="J1496" s="87">
        <v>4521000</v>
      </c>
      <c r="K1496" s="85">
        <v>2022</v>
      </c>
      <c r="L1496" s="85">
        <v>1</v>
      </c>
      <c r="N1496" s="208" t="s">
        <v>44</v>
      </c>
    </row>
    <row r="1497" spans="1:14">
      <c r="A1497" s="36" t="s">
        <v>33</v>
      </c>
      <c r="B1497" s="37">
        <v>44623</v>
      </c>
      <c r="C1497" s="36" t="s">
        <v>115</v>
      </c>
      <c r="D1497" s="36" t="s">
        <v>371</v>
      </c>
      <c r="E1497" s="36" t="s">
        <v>77</v>
      </c>
      <c r="J1497" s="38">
        <v>3585000</v>
      </c>
      <c r="K1497" s="85">
        <v>2022</v>
      </c>
      <c r="L1497" s="85">
        <v>2</v>
      </c>
      <c r="M1497" s="36" t="s">
        <v>107</v>
      </c>
      <c r="N1497" s="208" t="s">
        <v>44</v>
      </c>
    </row>
    <row r="1498" spans="1:14">
      <c r="A1498" s="36" t="s">
        <v>32</v>
      </c>
      <c r="B1498" s="37">
        <v>44623</v>
      </c>
      <c r="C1498" s="36" t="s">
        <v>654</v>
      </c>
      <c r="D1498" s="36" t="s">
        <v>655</v>
      </c>
      <c r="E1498" s="36" t="s">
        <v>77</v>
      </c>
      <c r="J1498" s="87">
        <v>4400000</v>
      </c>
      <c r="K1498" s="85">
        <v>2022</v>
      </c>
      <c r="L1498" s="85">
        <v>1</v>
      </c>
      <c r="N1498" s="208" t="s">
        <v>44</v>
      </c>
    </row>
    <row r="1499" spans="1:14">
      <c r="A1499" s="36" t="s">
        <v>33</v>
      </c>
      <c r="B1499" s="37">
        <v>44623</v>
      </c>
      <c r="C1499" s="36" t="s">
        <v>168</v>
      </c>
      <c r="D1499" s="36" t="s">
        <v>258</v>
      </c>
      <c r="E1499" s="36" t="s">
        <v>77</v>
      </c>
      <c r="J1499" s="38">
        <v>899580</v>
      </c>
      <c r="K1499" s="85">
        <v>2022</v>
      </c>
      <c r="L1499" s="85">
        <v>2</v>
      </c>
      <c r="N1499" s="208" t="s">
        <v>44</v>
      </c>
    </row>
    <row r="1500" spans="1:14">
      <c r="A1500" s="36" t="s">
        <v>32</v>
      </c>
      <c r="B1500" s="37">
        <v>44624</v>
      </c>
      <c r="C1500" s="36" t="s">
        <v>174</v>
      </c>
      <c r="D1500" s="36" t="s">
        <v>540</v>
      </c>
      <c r="E1500" s="36" t="s">
        <v>77</v>
      </c>
      <c r="J1500" s="87">
        <v>27160650</v>
      </c>
      <c r="K1500" s="85">
        <v>2022</v>
      </c>
      <c r="L1500" s="85">
        <v>1</v>
      </c>
      <c r="N1500" s="208" t="s">
        <v>44</v>
      </c>
    </row>
    <row r="1501" spans="1:14">
      <c r="A1501" s="36" t="s">
        <v>33</v>
      </c>
      <c r="B1501" s="37">
        <v>44624</v>
      </c>
      <c r="C1501" s="36" t="s">
        <v>544</v>
      </c>
      <c r="D1501" s="36" t="s">
        <v>545</v>
      </c>
      <c r="E1501" s="36" t="s">
        <v>77</v>
      </c>
      <c r="J1501" s="87">
        <v>913000</v>
      </c>
      <c r="K1501" s="85">
        <v>2022</v>
      </c>
      <c r="L1501" s="85">
        <v>1</v>
      </c>
      <c r="M1501" s="36" t="s">
        <v>107</v>
      </c>
      <c r="N1501" s="208" t="s">
        <v>44</v>
      </c>
    </row>
    <row r="1502" spans="1:14">
      <c r="A1502" s="36" t="s">
        <v>32</v>
      </c>
      <c r="B1502" s="37">
        <v>44624</v>
      </c>
      <c r="C1502" s="36" t="s">
        <v>680</v>
      </c>
      <c r="D1502" s="36" t="s">
        <v>681</v>
      </c>
      <c r="E1502" s="36" t="s">
        <v>148</v>
      </c>
      <c r="J1502" s="87">
        <v>2100000</v>
      </c>
      <c r="K1502" s="85">
        <v>2022</v>
      </c>
      <c r="L1502" s="85">
        <v>1</v>
      </c>
      <c r="N1502" s="208" t="s">
        <v>44</v>
      </c>
    </row>
    <row r="1503" spans="1:14">
      <c r="A1503" s="36" t="s">
        <v>32</v>
      </c>
      <c r="B1503" s="37">
        <v>44624</v>
      </c>
      <c r="C1503" s="36" t="s">
        <v>188</v>
      </c>
      <c r="D1503" s="36" t="s">
        <v>650</v>
      </c>
      <c r="E1503" s="36" t="s">
        <v>148</v>
      </c>
      <c r="J1503" s="87">
        <v>2728000</v>
      </c>
      <c r="K1503" s="85">
        <v>2022</v>
      </c>
      <c r="L1503" s="85">
        <v>1</v>
      </c>
      <c r="N1503" s="208" t="s">
        <v>44</v>
      </c>
    </row>
    <row r="1504" spans="1:14">
      <c r="A1504" s="36" t="s">
        <v>18</v>
      </c>
      <c r="B1504" s="37">
        <v>44627</v>
      </c>
      <c r="C1504" s="36" t="s">
        <v>496</v>
      </c>
      <c r="D1504" s="36" t="s">
        <v>546</v>
      </c>
      <c r="E1504" s="36" t="s">
        <v>148</v>
      </c>
      <c r="J1504" s="87">
        <v>7084000</v>
      </c>
      <c r="K1504" s="85">
        <v>2022</v>
      </c>
      <c r="L1504" s="85">
        <v>1</v>
      </c>
      <c r="N1504" s="208" t="s">
        <v>44</v>
      </c>
    </row>
    <row r="1505" spans="1:14">
      <c r="A1505" s="36" t="s">
        <v>33</v>
      </c>
      <c r="B1505" s="37">
        <v>44627</v>
      </c>
      <c r="C1505" s="36" t="s">
        <v>724</v>
      </c>
      <c r="D1505" s="36" t="s">
        <v>725</v>
      </c>
      <c r="E1505" s="36" t="s">
        <v>77</v>
      </c>
      <c r="J1505" s="38">
        <v>396000</v>
      </c>
      <c r="K1505" s="85">
        <v>2022</v>
      </c>
      <c r="L1505" s="85">
        <v>2</v>
      </c>
      <c r="N1505" s="208" t="s">
        <v>44</v>
      </c>
    </row>
    <row r="1506" spans="1:14">
      <c r="A1506" s="36" t="s">
        <v>18</v>
      </c>
      <c r="B1506" s="37">
        <v>44627</v>
      </c>
      <c r="C1506" s="36" t="s">
        <v>406</v>
      </c>
      <c r="D1506" s="36" t="s">
        <v>732</v>
      </c>
      <c r="E1506" s="36" t="s">
        <v>77</v>
      </c>
      <c r="J1506" s="87">
        <v>1650000</v>
      </c>
      <c r="K1506" s="85">
        <v>2022</v>
      </c>
      <c r="L1506" s="85">
        <v>2</v>
      </c>
      <c r="N1506" s="208" t="s">
        <v>44</v>
      </c>
    </row>
    <row r="1507" spans="1:14">
      <c r="A1507" s="36" t="s">
        <v>33</v>
      </c>
      <c r="B1507" s="37">
        <v>44628</v>
      </c>
      <c r="C1507" s="36" t="s">
        <v>745</v>
      </c>
      <c r="D1507" s="36" t="s">
        <v>746</v>
      </c>
      <c r="E1507" s="36" t="s">
        <v>747</v>
      </c>
      <c r="G1507" s="87">
        <v>2200000</v>
      </c>
      <c r="H1507" s="87">
        <v>220000</v>
      </c>
      <c r="I1507" s="87">
        <v>2420000</v>
      </c>
      <c r="K1507" s="85">
        <v>2022</v>
      </c>
      <c r="L1507" s="85">
        <v>3</v>
      </c>
      <c r="M1507" s="36" t="s">
        <v>746</v>
      </c>
      <c r="N1507" s="208" t="s">
        <v>44</v>
      </c>
    </row>
    <row r="1508" spans="1:14">
      <c r="A1508" s="36" t="s">
        <v>33</v>
      </c>
      <c r="B1508" s="37">
        <v>44628</v>
      </c>
      <c r="C1508" s="36" t="s">
        <v>226</v>
      </c>
      <c r="D1508" s="36" t="s">
        <v>227</v>
      </c>
      <c r="E1508" s="36" t="s">
        <v>77</v>
      </c>
      <c r="J1508" s="38">
        <v>2742000</v>
      </c>
      <c r="K1508" s="85">
        <v>2022</v>
      </c>
      <c r="L1508" s="85">
        <v>2</v>
      </c>
      <c r="N1508" s="208" t="s">
        <v>44</v>
      </c>
    </row>
    <row r="1509" spans="1:14">
      <c r="A1509" s="36" t="s">
        <v>18</v>
      </c>
      <c r="B1509" s="37">
        <v>44628</v>
      </c>
      <c r="C1509" s="36" t="s">
        <v>734</v>
      </c>
      <c r="D1509" s="36" t="s">
        <v>735</v>
      </c>
      <c r="E1509" s="36" t="s">
        <v>148</v>
      </c>
      <c r="J1509" s="38">
        <v>458640</v>
      </c>
      <c r="K1509" s="85">
        <v>2022</v>
      </c>
      <c r="L1509" s="85">
        <v>2</v>
      </c>
      <c r="M1509" s="36" t="s">
        <v>736</v>
      </c>
      <c r="N1509" s="208" t="s">
        <v>44</v>
      </c>
    </row>
    <row r="1510" spans="1:14">
      <c r="A1510" s="36" t="s">
        <v>18</v>
      </c>
      <c r="B1510" s="37">
        <v>44628</v>
      </c>
      <c r="C1510" s="36" t="s">
        <v>734</v>
      </c>
      <c r="D1510" s="36" t="s">
        <v>735</v>
      </c>
      <c r="E1510" s="36" t="s">
        <v>748</v>
      </c>
      <c r="J1510" s="38">
        <v>31909</v>
      </c>
      <c r="K1510" s="85">
        <v>2022</v>
      </c>
      <c r="L1510" s="85">
        <v>2</v>
      </c>
      <c r="M1510" s="36" t="s">
        <v>736</v>
      </c>
      <c r="N1510" s="208" t="s">
        <v>44</v>
      </c>
    </row>
    <row r="1511" spans="1:14">
      <c r="A1511" s="36" t="s">
        <v>32</v>
      </c>
      <c r="B1511" s="37">
        <v>44630</v>
      </c>
      <c r="C1511" s="36" t="s">
        <v>640</v>
      </c>
      <c r="D1511" s="36" t="s">
        <v>641</v>
      </c>
      <c r="E1511" s="36" t="s">
        <v>77</v>
      </c>
      <c r="J1511" s="87">
        <v>29832000</v>
      </c>
      <c r="K1511" s="85">
        <v>2022</v>
      </c>
      <c r="L1511" s="85">
        <v>2</v>
      </c>
      <c r="N1511" s="208" t="s">
        <v>44</v>
      </c>
    </row>
    <row r="1512" spans="1:14">
      <c r="A1512" s="36" t="s">
        <v>32</v>
      </c>
      <c r="B1512" s="37">
        <v>44630</v>
      </c>
      <c r="C1512" s="36" t="s">
        <v>688</v>
      </c>
      <c r="D1512" s="36" t="s">
        <v>1731</v>
      </c>
      <c r="E1512" s="36" t="s">
        <v>77</v>
      </c>
      <c r="J1512" s="87">
        <v>577500</v>
      </c>
      <c r="K1512" s="85">
        <v>2022</v>
      </c>
      <c r="L1512" s="85">
        <v>2</v>
      </c>
      <c r="N1512" s="208" t="s">
        <v>44</v>
      </c>
    </row>
    <row r="1513" spans="1:14">
      <c r="A1513" s="36" t="s">
        <v>33</v>
      </c>
      <c r="B1513" s="37">
        <v>44630</v>
      </c>
      <c r="C1513" s="36" t="s">
        <v>446</v>
      </c>
      <c r="D1513" s="36" t="s">
        <v>663</v>
      </c>
      <c r="E1513" s="36" t="s">
        <v>447</v>
      </c>
      <c r="G1513" s="87">
        <v>8364496</v>
      </c>
      <c r="H1513" s="87">
        <v>836449</v>
      </c>
      <c r="I1513" s="87">
        <v>9200945</v>
      </c>
      <c r="K1513" s="85">
        <v>2022</v>
      </c>
      <c r="L1513" s="85">
        <v>3</v>
      </c>
      <c r="N1513" s="208" t="s">
        <v>44</v>
      </c>
    </row>
    <row r="1514" spans="1:14">
      <c r="A1514" s="36" t="s">
        <v>33</v>
      </c>
      <c r="B1514" s="37">
        <v>44634</v>
      </c>
      <c r="C1514" s="36" t="s">
        <v>131</v>
      </c>
      <c r="D1514" s="36" t="s">
        <v>439</v>
      </c>
      <c r="E1514" s="36" t="s">
        <v>749</v>
      </c>
      <c r="G1514" s="87">
        <v>261000</v>
      </c>
      <c r="H1514" s="87">
        <v>26100</v>
      </c>
      <c r="I1514" s="87">
        <v>287100</v>
      </c>
      <c r="K1514" s="85">
        <v>2022</v>
      </c>
      <c r="L1514" s="85">
        <v>3</v>
      </c>
      <c r="N1514" s="208" t="s">
        <v>44</v>
      </c>
    </row>
    <row r="1515" spans="1:14">
      <c r="A1515" s="36" t="s">
        <v>33</v>
      </c>
      <c r="B1515" s="37">
        <v>44634</v>
      </c>
      <c r="C1515" s="36" t="s">
        <v>131</v>
      </c>
      <c r="D1515" s="36" t="s">
        <v>439</v>
      </c>
      <c r="E1515" s="36" t="s">
        <v>77</v>
      </c>
      <c r="J1515" s="38">
        <v>287100</v>
      </c>
      <c r="K1515" s="85">
        <v>2022</v>
      </c>
      <c r="L1515" s="85">
        <v>3</v>
      </c>
      <c r="M1515" s="36" t="s">
        <v>750</v>
      </c>
      <c r="N1515" s="208" t="s">
        <v>44</v>
      </c>
    </row>
    <row r="1516" spans="1:14">
      <c r="A1516" s="36" t="s">
        <v>18</v>
      </c>
      <c r="B1516" s="37">
        <v>44635</v>
      </c>
      <c r="C1516" s="36" t="s">
        <v>697</v>
      </c>
      <c r="D1516" s="36" t="s">
        <v>698</v>
      </c>
      <c r="E1516" s="36" t="s">
        <v>148</v>
      </c>
      <c r="J1516" s="87">
        <v>2516250</v>
      </c>
      <c r="K1516" s="85">
        <v>2022</v>
      </c>
      <c r="L1516" s="85">
        <v>2</v>
      </c>
      <c r="N1516" s="208" t="s">
        <v>44</v>
      </c>
    </row>
    <row r="1517" spans="1:14">
      <c r="A1517" s="36" t="s">
        <v>18</v>
      </c>
      <c r="B1517" s="37">
        <v>44635</v>
      </c>
      <c r="C1517" s="36" t="s">
        <v>734</v>
      </c>
      <c r="D1517" s="36" t="s">
        <v>735</v>
      </c>
      <c r="E1517" s="36" t="s">
        <v>148</v>
      </c>
      <c r="J1517" s="38">
        <v>54733032</v>
      </c>
      <c r="K1517" s="85">
        <v>2022</v>
      </c>
      <c r="L1517" s="85">
        <v>2</v>
      </c>
      <c r="N1517" s="208" t="s">
        <v>44</v>
      </c>
    </row>
    <row r="1518" spans="1:14">
      <c r="A1518" s="36" t="s">
        <v>18</v>
      </c>
      <c r="B1518" s="37">
        <v>44635</v>
      </c>
      <c r="C1518" s="36" t="s">
        <v>734</v>
      </c>
      <c r="D1518" s="36" t="s">
        <v>735</v>
      </c>
      <c r="E1518" s="36" t="s">
        <v>748</v>
      </c>
      <c r="J1518" s="38">
        <v>400970</v>
      </c>
      <c r="K1518" s="85">
        <v>2022</v>
      </c>
      <c r="L1518" s="85">
        <v>2</v>
      </c>
      <c r="N1518" s="208" t="s">
        <v>44</v>
      </c>
    </row>
    <row r="1519" spans="1:14">
      <c r="A1519" s="36" t="s">
        <v>33</v>
      </c>
      <c r="B1519" s="37">
        <v>44635</v>
      </c>
      <c r="C1519" s="36" t="s">
        <v>446</v>
      </c>
      <c r="D1519" s="36" t="s">
        <v>663</v>
      </c>
      <c r="E1519" s="36" t="s">
        <v>77</v>
      </c>
      <c r="J1519" s="38">
        <v>9200945</v>
      </c>
      <c r="K1519" s="85">
        <v>2022</v>
      </c>
      <c r="L1519" s="85">
        <v>3</v>
      </c>
      <c r="N1519" s="208" t="s">
        <v>44</v>
      </c>
    </row>
    <row r="1520" spans="1:14">
      <c r="A1520" s="36" t="s">
        <v>32</v>
      </c>
      <c r="B1520" s="37">
        <v>44637</v>
      </c>
      <c r="C1520" s="36" t="s">
        <v>346</v>
      </c>
      <c r="D1520" s="36" t="s">
        <v>347</v>
      </c>
      <c r="E1520" s="36" t="s">
        <v>148</v>
      </c>
      <c r="J1520" s="87">
        <v>10312500</v>
      </c>
      <c r="K1520" s="85">
        <v>2021</v>
      </c>
      <c r="L1520" s="85">
        <v>12</v>
      </c>
      <c r="N1520" s="208" t="s">
        <v>44</v>
      </c>
    </row>
    <row r="1521" spans="1:14">
      <c r="A1521" s="36" t="s">
        <v>32</v>
      </c>
      <c r="B1521" s="37">
        <v>44637</v>
      </c>
      <c r="C1521" s="36" t="s">
        <v>181</v>
      </c>
      <c r="D1521" s="36" t="s">
        <v>372</v>
      </c>
      <c r="E1521" s="36" t="s">
        <v>148</v>
      </c>
      <c r="J1521" s="87">
        <v>17377800</v>
      </c>
      <c r="K1521" s="85">
        <v>2022</v>
      </c>
      <c r="L1521" s="85">
        <v>1</v>
      </c>
      <c r="N1521" s="208" t="s">
        <v>44</v>
      </c>
    </row>
    <row r="1522" spans="1:14">
      <c r="A1522" s="36" t="s">
        <v>18</v>
      </c>
      <c r="B1522" s="37">
        <v>44637</v>
      </c>
      <c r="C1522" s="36" t="s">
        <v>720</v>
      </c>
      <c r="D1522" s="36" t="s">
        <v>721</v>
      </c>
      <c r="E1522" s="36" t="s">
        <v>148</v>
      </c>
      <c r="J1522" s="87">
        <v>23117446</v>
      </c>
      <c r="K1522" s="85">
        <v>2022</v>
      </c>
      <c r="L1522" s="85">
        <v>2</v>
      </c>
      <c r="N1522" s="208" t="s">
        <v>44</v>
      </c>
    </row>
    <row r="1523" spans="1:14">
      <c r="A1523" s="36" t="s">
        <v>32</v>
      </c>
      <c r="B1523" s="37">
        <v>44638</v>
      </c>
      <c r="C1523" s="36" t="s">
        <v>247</v>
      </c>
      <c r="D1523" s="36" t="s">
        <v>740</v>
      </c>
      <c r="E1523" s="36" t="s">
        <v>148</v>
      </c>
      <c r="J1523" s="87">
        <v>3564000</v>
      </c>
      <c r="K1523" s="85">
        <v>2022</v>
      </c>
      <c r="L1523" s="85">
        <v>3</v>
      </c>
      <c r="N1523" s="208" t="s">
        <v>44</v>
      </c>
    </row>
    <row r="1524" spans="1:14">
      <c r="A1524" s="36" t="s">
        <v>33</v>
      </c>
      <c r="B1524" s="37">
        <v>44638</v>
      </c>
      <c r="C1524" s="36" t="s">
        <v>692</v>
      </c>
      <c r="D1524" s="36" t="s">
        <v>693</v>
      </c>
      <c r="E1524" s="36" t="s">
        <v>148</v>
      </c>
      <c r="J1524" s="87">
        <v>11000000</v>
      </c>
      <c r="K1524" s="85">
        <v>2022</v>
      </c>
      <c r="L1524" s="85">
        <v>2</v>
      </c>
      <c r="N1524" s="208" t="s">
        <v>44</v>
      </c>
    </row>
    <row r="1525" spans="1:14">
      <c r="A1525" s="36" t="s">
        <v>33</v>
      </c>
      <c r="B1525" s="37">
        <v>44638</v>
      </c>
      <c r="C1525" s="36" t="s">
        <v>119</v>
      </c>
      <c r="D1525" s="36" t="s">
        <v>372</v>
      </c>
      <c r="E1525" s="36" t="s">
        <v>148</v>
      </c>
      <c r="J1525" s="87">
        <v>8646000</v>
      </c>
      <c r="K1525" s="85">
        <v>2022</v>
      </c>
      <c r="L1525" s="85">
        <v>1</v>
      </c>
      <c r="N1525" s="208" t="s">
        <v>44</v>
      </c>
    </row>
    <row r="1526" spans="1:14">
      <c r="A1526" s="36" t="s">
        <v>33</v>
      </c>
      <c r="B1526" s="37">
        <v>44640</v>
      </c>
      <c r="C1526" s="36" t="s">
        <v>745</v>
      </c>
      <c r="D1526" s="36" t="s">
        <v>712</v>
      </c>
      <c r="E1526" s="36" t="s">
        <v>751</v>
      </c>
      <c r="G1526" s="87">
        <v>300000</v>
      </c>
      <c r="H1526" s="87">
        <v>30000</v>
      </c>
      <c r="I1526" s="87">
        <v>330000</v>
      </c>
      <c r="K1526" s="85">
        <v>2022</v>
      </c>
      <c r="L1526" s="85">
        <v>3</v>
      </c>
      <c r="M1526" s="36" t="s">
        <v>712</v>
      </c>
      <c r="N1526" s="208" t="s">
        <v>44</v>
      </c>
    </row>
    <row r="1527" spans="1:14">
      <c r="A1527" s="36" t="s">
        <v>33</v>
      </c>
      <c r="B1527" s="37">
        <v>44641</v>
      </c>
      <c r="C1527" s="36" t="s">
        <v>745</v>
      </c>
      <c r="D1527" s="36" t="s">
        <v>746</v>
      </c>
      <c r="E1527" s="36" t="s">
        <v>752</v>
      </c>
      <c r="G1527" s="87">
        <v>400000</v>
      </c>
      <c r="H1527" s="87">
        <v>40000</v>
      </c>
      <c r="I1527" s="87">
        <v>440000</v>
      </c>
      <c r="K1527" s="85">
        <v>2022</v>
      </c>
      <c r="L1527" s="85">
        <v>3</v>
      </c>
      <c r="M1527" s="36" t="s">
        <v>746</v>
      </c>
      <c r="N1527" s="208" t="s">
        <v>44</v>
      </c>
    </row>
    <row r="1528" spans="1:14">
      <c r="A1528" s="36" t="s">
        <v>32</v>
      </c>
      <c r="B1528" s="37">
        <v>44642</v>
      </c>
      <c r="C1528" s="36" t="s">
        <v>672</v>
      </c>
      <c r="D1528" s="36" t="s">
        <v>673</v>
      </c>
      <c r="E1528" s="36" t="s">
        <v>148</v>
      </c>
      <c r="J1528" s="38">
        <v>5500000</v>
      </c>
      <c r="K1528" s="85">
        <v>2022</v>
      </c>
      <c r="L1528" s="85">
        <v>2</v>
      </c>
      <c r="N1528" s="208" t="s">
        <v>44</v>
      </c>
    </row>
    <row r="1529" spans="1:14">
      <c r="A1529" s="36" t="s">
        <v>33</v>
      </c>
      <c r="B1529" s="37">
        <v>44642</v>
      </c>
      <c r="C1529" s="36" t="s">
        <v>745</v>
      </c>
      <c r="D1529" s="36" t="s">
        <v>522</v>
      </c>
      <c r="E1529" s="36" t="s">
        <v>753</v>
      </c>
      <c r="G1529" s="87">
        <v>1200000</v>
      </c>
      <c r="H1529" s="87">
        <v>120000</v>
      </c>
      <c r="I1529" s="87">
        <v>1320000</v>
      </c>
      <c r="K1529" s="85">
        <v>2022</v>
      </c>
      <c r="L1529" s="85">
        <v>3</v>
      </c>
      <c r="M1529" s="36" t="s">
        <v>522</v>
      </c>
      <c r="N1529" s="208" t="s">
        <v>44</v>
      </c>
    </row>
    <row r="1530" spans="1:14">
      <c r="A1530" s="36" t="s">
        <v>33</v>
      </c>
      <c r="B1530" s="37">
        <v>44644</v>
      </c>
      <c r="C1530" s="36" t="s">
        <v>120</v>
      </c>
      <c r="D1530" s="36" t="s">
        <v>121</v>
      </c>
      <c r="E1530" s="36" t="s">
        <v>122</v>
      </c>
      <c r="G1530" s="87">
        <v>727272</v>
      </c>
      <c r="H1530" s="87">
        <v>72728</v>
      </c>
      <c r="I1530" s="87">
        <v>800000</v>
      </c>
      <c r="K1530" s="85">
        <v>2022</v>
      </c>
      <c r="L1530" s="85">
        <v>3</v>
      </c>
      <c r="N1530" s="208" t="s">
        <v>44</v>
      </c>
    </row>
    <row r="1531" spans="1:14">
      <c r="A1531" s="36" t="s">
        <v>33</v>
      </c>
      <c r="B1531" s="37">
        <v>44644</v>
      </c>
      <c r="C1531" s="36" t="s">
        <v>120</v>
      </c>
      <c r="D1531" s="36" t="s">
        <v>121</v>
      </c>
      <c r="E1531" s="36" t="s">
        <v>77</v>
      </c>
      <c r="J1531" s="38">
        <v>800000</v>
      </c>
      <c r="K1531" s="85">
        <v>2022</v>
      </c>
      <c r="L1531" s="85">
        <v>3</v>
      </c>
      <c r="N1531" s="208" t="s">
        <v>44</v>
      </c>
    </row>
    <row r="1532" spans="1:14">
      <c r="A1532" s="36" t="s">
        <v>18</v>
      </c>
      <c r="B1532" s="37">
        <v>44645</v>
      </c>
      <c r="C1532" s="36" t="s">
        <v>716</v>
      </c>
      <c r="D1532" s="36" t="s">
        <v>717</v>
      </c>
      <c r="E1532" s="36" t="s">
        <v>148</v>
      </c>
      <c r="J1532" s="87">
        <v>14404500</v>
      </c>
      <c r="K1532" s="85">
        <v>2022</v>
      </c>
      <c r="L1532" s="85">
        <v>2</v>
      </c>
      <c r="N1532" s="208" t="s">
        <v>44</v>
      </c>
    </row>
    <row r="1533" spans="1:14">
      <c r="A1533" s="36" t="s">
        <v>33</v>
      </c>
      <c r="B1533" s="37">
        <v>44648</v>
      </c>
      <c r="C1533" s="36" t="s">
        <v>754</v>
      </c>
      <c r="D1533" s="36" t="s">
        <v>755</v>
      </c>
      <c r="E1533" s="36" t="s">
        <v>756</v>
      </c>
      <c r="G1533" s="87">
        <v>600000</v>
      </c>
      <c r="H1533" s="87">
        <v>60000</v>
      </c>
      <c r="I1533" s="87">
        <v>660000</v>
      </c>
      <c r="K1533" s="85">
        <v>2022</v>
      </c>
      <c r="L1533" s="85">
        <v>3</v>
      </c>
      <c r="M1533" s="36" t="s">
        <v>712</v>
      </c>
      <c r="N1533" s="208" t="s">
        <v>44</v>
      </c>
    </row>
    <row r="1534" spans="1:14">
      <c r="A1534" s="36" t="s">
        <v>18</v>
      </c>
      <c r="B1534" s="37">
        <v>44649</v>
      </c>
      <c r="C1534" s="36" t="s">
        <v>555</v>
      </c>
      <c r="D1534" s="36" t="s">
        <v>683</v>
      </c>
      <c r="E1534" s="36" t="s">
        <v>148</v>
      </c>
      <c r="J1534" s="87">
        <v>14322066</v>
      </c>
      <c r="K1534" s="85">
        <v>2022</v>
      </c>
      <c r="L1534" s="85">
        <v>2</v>
      </c>
      <c r="N1534" s="208" t="s">
        <v>44</v>
      </c>
    </row>
    <row r="1535" spans="1:14">
      <c r="A1535" s="36" t="s">
        <v>33</v>
      </c>
      <c r="B1535" s="37">
        <v>44649</v>
      </c>
      <c r="C1535" s="36" t="s">
        <v>757</v>
      </c>
      <c r="D1535" s="36" t="s">
        <v>758</v>
      </c>
      <c r="E1535" s="36" t="s">
        <v>99</v>
      </c>
      <c r="G1535" s="87">
        <v>510000</v>
      </c>
      <c r="H1535" s="87">
        <v>51000</v>
      </c>
      <c r="I1535" s="87">
        <v>561000</v>
      </c>
      <c r="K1535" s="85">
        <v>2022</v>
      </c>
      <c r="L1535" s="85">
        <v>3</v>
      </c>
      <c r="M1535" s="36" t="s">
        <v>759</v>
      </c>
      <c r="N1535" s="208" t="s">
        <v>44</v>
      </c>
    </row>
    <row r="1536" spans="1:14">
      <c r="A1536" s="36" t="s">
        <v>33</v>
      </c>
      <c r="B1536" s="37">
        <v>44651</v>
      </c>
      <c r="C1536" s="36" t="s">
        <v>700</v>
      </c>
      <c r="D1536" s="36" t="s">
        <v>701</v>
      </c>
      <c r="E1536" s="36" t="s">
        <v>148</v>
      </c>
      <c r="J1536" s="87">
        <v>3861000</v>
      </c>
      <c r="K1536" s="85">
        <v>2022</v>
      </c>
      <c r="L1536" s="85">
        <v>2</v>
      </c>
      <c r="N1536" s="208" t="s">
        <v>44</v>
      </c>
    </row>
    <row r="1537" spans="1:14">
      <c r="A1537" s="36" t="s">
        <v>32</v>
      </c>
      <c r="B1537" s="37">
        <v>44651</v>
      </c>
      <c r="C1537" s="36" t="s">
        <v>605</v>
      </c>
      <c r="D1537" s="36" t="s">
        <v>606</v>
      </c>
      <c r="E1537" s="36" t="s">
        <v>76</v>
      </c>
      <c r="G1537" s="87">
        <v>4500000</v>
      </c>
      <c r="H1537" s="87">
        <v>450000</v>
      </c>
      <c r="I1537" s="87">
        <v>4950000</v>
      </c>
      <c r="K1537" s="85">
        <v>2022</v>
      </c>
      <c r="L1537" s="85">
        <v>3</v>
      </c>
      <c r="N1537" s="208" t="s">
        <v>44</v>
      </c>
    </row>
    <row r="1538" spans="1:14">
      <c r="A1538" s="36" t="s">
        <v>18</v>
      </c>
      <c r="B1538" s="37">
        <v>44651</v>
      </c>
      <c r="C1538" s="36" t="s">
        <v>689</v>
      </c>
      <c r="D1538" s="36" t="s">
        <v>690</v>
      </c>
      <c r="E1538" s="36" t="s">
        <v>148</v>
      </c>
      <c r="J1538" s="87">
        <v>19233280</v>
      </c>
      <c r="K1538" s="85">
        <v>2022</v>
      </c>
      <c r="L1538" s="85">
        <v>2</v>
      </c>
      <c r="N1538" s="208" t="s">
        <v>44</v>
      </c>
    </row>
    <row r="1539" spans="1:14">
      <c r="A1539" s="36" t="s">
        <v>32</v>
      </c>
      <c r="B1539" s="37">
        <v>44651</v>
      </c>
      <c r="C1539" s="36" t="s">
        <v>760</v>
      </c>
      <c r="D1539" s="36" t="s">
        <v>761</v>
      </c>
      <c r="E1539" s="36" t="s">
        <v>76</v>
      </c>
      <c r="G1539" s="87">
        <v>3657950</v>
      </c>
      <c r="H1539" s="87">
        <v>365795</v>
      </c>
      <c r="I1539" s="87">
        <v>4023745</v>
      </c>
      <c r="K1539" s="85">
        <v>2022</v>
      </c>
      <c r="L1539" s="85">
        <v>3</v>
      </c>
      <c r="N1539" s="208" t="s">
        <v>44</v>
      </c>
    </row>
    <row r="1540" spans="1:14">
      <c r="A1540" s="36" t="s">
        <v>32</v>
      </c>
      <c r="B1540" s="37">
        <v>44651</v>
      </c>
      <c r="C1540" s="36" t="s">
        <v>664</v>
      </c>
      <c r="D1540" s="36" t="s">
        <v>629</v>
      </c>
      <c r="E1540" s="36" t="s">
        <v>76</v>
      </c>
      <c r="G1540" s="87">
        <v>4563200</v>
      </c>
      <c r="H1540" s="87">
        <v>456320</v>
      </c>
      <c r="I1540" s="87">
        <v>5019520</v>
      </c>
      <c r="K1540" s="85">
        <v>2022</v>
      </c>
      <c r="L1540" s="85">
        <v>3</v>
      </c>
      <c r="N1540" s="208" t="s">
        <v>44</v>
      </c>
    </row>
    <row r="1541" spans="1:14">
      <c r="A1541" s="36" t="s">
        <v>18</v>
      </c>
      <c r="B1541" s="37">
        <v>44651</v>
      </c>
      <c r="C1541" s="36" t="s">
        <v>353</v>
      </c>
      <c r="D1541" s="36" t="s">
        <v>540</v>
      </c>
      <c r="E1541" s="36" t="s">
        <v>148</v>
      </c>
      <c r="J1541" s="87">
        <v>77053130</v>
      </c>
      <c r="K1541" s="85">
        <v>2022</v>
      </c>
      <c r="L1541" s="85">
        <v>2</v>
      </c>
      <c r="N1541" s="208" t="s">
        <v>44</v>
      </c>
    </row>
    <row r="1542" spans="1:14">
      <c r="A1542" s="36" t="s">
        <v>18</v>
      </c>
      <c r="B1542" s="37">
        <v>44651</v>
      </c>
      <c r="C1542" s="36" t="s">
        <v>353</v>
      </c>
      <c r="D1542" s="36" t="s">
        <v>702</v>
      </c>
      <c r="E1542" s="36" t="s">
        <v>148</v>
      </c>
      <c r="J1542" s="87">
        <v>14198580</v>
      </c>
      <c r="K1542" s="85">
        <v>2022</v>
      </c>
      <c r="L1542" s="85">
        <v>2</v>
      </c>
      <c r="N1542" s="208" t="s">
        <v>44</v>
      </c>
    </row>
    <row r="1543" spans="1:14">
      <c r="A1543" s="36" t="s">
        <v>32</v>
      </c>
      <c r="B1543" s="37">
        <v>44651</v>
      </c>
      <c r="C1543" s="36" t="s">
        <v>174</v>
      </c>
      <c r="D1543" s="36" t="s">
        <v>540</v>
      </c>
      <c r="E1543" s="36" t="s">
        <v>76</v>
      </c>
      <c r="G1543" s="87">
        <v>13666800</v>
      </c>
      <c r="H1543" s="87">
        <v>1366680</v>
      </c>
      <c r="I1543" s="87">
        <v>15033480</v>
      </c>
      <c r="K1543" s="85">
        <v>2022</v>
      </c>
      <c r="L1543" s="85">
        <v>3</v>
      </c>
      <c r="N1543" s="208" t="s">
        <v>44</v>
      </c>
    </row>
    <row r="1544" spans="1:14">
      <c r="A1544" s="36" t="s">
        <v>32</v>
      </c>
      <c r="B1544" s="37">
        <v>44651</v>
      </c>
      <c r="C1544" s="36" t="s">
        <v>174</v>
      </c>
      <c r="D1544" s="36" t="s">
        <v>762</v>
      </c>
      <c r="E1544" s="36" t="s">
        <v>76</v>
      </c>
      <c r="G1544" s="87">
        <v>8301600</v>
      </c>
      <c r="H1544" s="87">
        <v>830160</v>
      </c>
      <c r="I1544" s="87">
        <v>9131760</v>
      </c>
      <c r="K1544" s="85">
        <v>2022</v>
      </c>
      <c r="L1544" s="85">
        <v>3</v>
      </c>
      <c r="N1544" s="208" t="s">
        <v>44</v>
      </c>
    </row>
    <row r="1545" spans="1:14">
      <c r="A1545" s="36" t="s">
        <v>32</v>
      </c>
      <c r="B1545" s="37">
        <v>44651</v>
      </c>
      <c r="C1545" s="36" t="s">
        <v>174</v>
      </c>
      <c r="D1545" s="36" t="s">
        <v>762</v>
      </c>
      <c r="E1545" s="36" t="s">
        <v>148</v>
      </c>
      <c r="J1545" s="87">
        <v>9131760</v>
      </c>
      <c r="K1545" s="85">
        <v>2022</v>
      </c>
      <c r="L1545" s="85">
        <v>3</v>
      </c>
      <c r="N1545" s="208" t="s">
        <v>44</v>
      </c>
    </row>
    <row r="1546" spans="1:14">
      <c r="A1546" s="36" t="s">
        <v>32</v>
      </c>
      <c r="B1546" s="37">
        <v>44651</v>
      </c>
      <c r="C1546" s="36" t="s">
        <v>209</v>
      </c>
      <c r="D1546" s="36" t="s">
        <v>541</v>
      </c>
      <c r="E1546" s="36" t="s">
        <v>77</v>
      </c>
      <c r="J1546" s="87">
        <v>38011226</v>
      </c>
      <c r="K1546" s="85">
        <v>2022</v>
      </c>
      <c r="L1546" s="85">
        <v>2</v>
      </c>
      <c r="N1546" s="208" t="s">
        <v>44</v>
      </c>
    </row>
    <row r="1547" spans="1:14">
      <c r="A1547" s="36" t="s">
        <v>32</v>
      </c>
      <c r="B1547" s="37">
        <v>44651</v>
      </c>
      <c r="C1547" s="36" t="s">
        <v>209</v>
      </c>
      <c r="D1547" s="36" t="s">
        <v>541</v>
      </c>
      <c r="E1547" s="36" t="s">
        <v>76</v>
      </c>
      <c r="G1547" s="87">
        <v>24404800</v>
      </c>
      <c r="H1547" s="87">
        <v>2440480</v>
      </c>
      <c r="I1547" s="87">
        <v>26845280</v>
      </c>
      <c r="K1547" s="85">
        <v>2022</v>
      </c>
      <c r="L1547" s="85">
        <v>3</v>
      </c>
      <c r="N1547" s="208" t="s">
        <v>44</v>
      </c>
    </row>
    <row r="1548" spans="1:14">
      <c r="A1548" s="36" t="s">
        <v>32</v>
      </c>
      <c r="B1548" s="37">
        <v>44651</v>
      </c>
      <c r="C1548" s="36" t="s">
        <v>640</v>
      </c>
      <c r="D1548" s="36" t="s">
        <v>763</v>
      </c>
      <c r="E1548" s="36" t="s">
        <v>76</v>
      </c>
      <c r="G1548" s="87">
        <v>16320000</v>
      </c>
      <c r="H1548" s="87">
        <v>1632000</v>
      </c>
      <c r="I1548" s="87">
        <v>17952000</v>
      </c>
      <c r="K1548" s="85">
        <v>2022</v>
      </c>
      <c r="L1548" s="85">
        <v>3</v>
      </c>
      <c r="N1548" s="208" t="s">
        <v>44</v>
      </c>
    </row>
    <row r="1549" spans="1:14">
      <c r="A1549" s="36" t="s">
        <v>32</v>
      </c>
      <c r="B1549" s="37">
        <v>44651</v>
      </c>
      <c r="C1549" s="36" t="s">
        <v>346</v>
      </c>
      <c r="D1549" s="36" t="s">
        <v>347</v>
      </c>
      <c r="E1549" s="36" t="s">
        <v>76</v>
      </c>
      <c r="G1549" s="87">
        <v>11062000</v>
      </c>
      <c r="H1549" s="87">
        <v>1106200</v>
      </c>
      <c r="I1549" s="87">
        <v>12168200</v>
      </c>
      <c r="K1549" s="85">
        <v>2022</v>
      </c>
      <c r="L1549" s="85">
        <v>3</v>
      </c>
      <c r="N1549" s="208" t="s">
        <v>44</v>
      </c>
    </row>
    <row r="1550" spans="1:14">
      <c r="A1550" s="36" t="s">
        <v>32</v>
      </c>
      <c r="B1550" s="37">
        <v>44651</v>
      </c>
      <c r="C1550" s="36" t="s">
        <v>672</v>
      </c>
      <c r="D1550" s="36" t="s">
        <v>764</v>
      </c>
      <c r="E1550" s="36" t="s">
        <v>76</v>
      </c>
      <c r="G1550" s="87">
        <v>3000000</v>
      </c>
      <c r="H1550" s="87">
        <v>300000</v>
      </c>
      <c r="I1550" s="87">
        <v>3300000</v>
      </c>
      <c r="K1550" s="85">
        <v>2022</v>
      </c>
      <c r="L1550" s="85">
        <v>3</v>
      </c>
      <c r="N1550" s="208" t="s">
        <v>44</v>
      </c>
    </row>
    <row r="1551" spans="1:14">
      <c r="A1551" s="36" t="s">
        <v>32</v>
      </c>
      <c r="B1551" s="37">
        <v>44651</v>
      </c>
      <c r="C1551" s="36" t="s">
        <v>180</v>
      </c>
      <c r="D1551" s="36" t="s">
        <v>765</v>
      </c>
      <c r="E1551" s="36" t="s">
        <v>76</v>
      </c>
      <c r="G1551" s="87">
        <v>2750000</v>
      </c>
      <c r="H1551" s="87">
        <v>275000</v>
      </c>
      <c r="I1551" s="87">
        <v>3025000</v>
      </c>
      <c r="K1551" s="85">
        <v>2022</v>
      </c>
      <c r="L1551" s="85">
        <v>3</v>
      </c>
      <c r="N1551" s="208" t="s">
        <v>44</v>
      </c>
    </row>
    <row r="1552" spans="1:14">
      <c r="A1552" s="36" t="s">
        <v>33</v>
      </c>
      <c r="B1552" s="37">
        <v>44651</v>
      </c>
      <c r="C1552" s="36" t="s">
        <v>743</v>
      </c>
      <c r="D1552" s="36" t="s">
        <v>744</v>
      </c>
      <c r="E1552" s="36" t="s">
        <v>148</v>
      </c>
      <c r="J1552" s="87">
        <v>282417.3</v>
      </c>
      <c r="K1552" s="85">
        <v>2022</v>
      </c>
      <c r="L1552" s="85">
        <v>3</v>
      </c>
      <c r="N1552" s="208" t="s">
        <v>44</v>
      </c>
    </row>
    <row r="1553" spans="1:14">
      <c r="A1553" s="36" t="s">
        <v>33</v>
      </c>
      <c r="B1553" s="37">
        <v>44651</v>
      </c>
      <c r="C1553" s="36" t="s">
        <v>743</v>
      </c>
      <c r="D1553" s="36" t="s">
        <v>744</v>
      </c>
      <c r="E1553" s="36" t="s">
        <v>76</v>
      </c>
      <c r="G1553" s="87">
        <v>630000</v>
      </c>
      <c r="H1553" s="87">
        <v>63000</v>
      </c>
      <c r="I1553" s="87">
        <v>693000</v>
      </c>
      <c r="K1553" s="85">
        <v>2022</v>
      </c>
      <c r="L1553" s="85">
        <v>3</v>
      </c>
      <c r="N1553" s="208" t="s">
        <v>44</v>
      </c>
    </row>
    <row r="1554" spans="1:14">
      <c r="A1554" s="36" t="s">
        <v>18</v>
      </c>
      <c r="B1554" s="37">
        <v>44651</v>
      </c>
      <c r="C1554" s="36" t="s">
        <v>391</v>
      </c>
      <c r="D1554" s="36" t="s">
        <v>706</v>
      </c>
      <c r="E1554" s="36" t="s">
        <v>148</v>
      </c>
      <c r="J1554" s="87">
        <v>2446281.2000000002</v>
      </c>
      <c r="K1554" s="85">
        <v>2022</v>
      </c>
      <c r="L1554" s="85">
        <v>2</v>
      </c>
      <c r="N1554" s="208" t="s">
        <v>44</v>
      </c>
    </row>
    <row r="1555" spans="1:14">
      <c r="A1555" s="36" t="s">
        <v>18</v>
      </c>
      <c r="B1555" s="37">
        <v>44651</v>
      </c>
      <c r="C1555" s="36" t="s">
        <v>391</v>
      </c>
      <c r="D1555" s="36" t="s">
        <v>707</v>
      </c>
      <c r="E1555" s="36" t="s">
        <v>148</v>
      </c>
      <c r="J1555" s="87">
        <v>1265000</v>
      </c>
      <c r="K1555" s="85">
        <v>2022</v>
      </c>
      <c r="L1555" s="85">
        <v>2</v>
      </c>
      <c r="N1555" s="208" t="s">
        <v>44</v>
      </c>
    </row>
    <row r="1556" spans="1:14">
      <c r="A1556" s="36" t="s">
        <v>32</v>
      </c>
      <c r="B1556" s="37">
        <v>44651</v>
      </c>
      <c r="C1556" s="36" t="s">
        <v>204</v>
      </c>
      <c r="D1556" s="36" t="s">
        <v>706</v>
      </c>
      <c r="E1556" s="36" t="s">
        <v>76</v>
      </c>
      <c r="G1556" s="87">
        <v>2072360</v>
      </c>
      <c r="H1556" s="87">
        <v>207236</v>
      </c>
      <c r="I1556" s="87">
        <v>2279596</v>
      </c>
      <c r="K1556" s="85">
        <v>2022</v>
      </c>
      <c r="L1556" s="85">
        <v>3</v>
      </c>
      <c r="N1556" s="208" t="s">
        <v>44</v>
      </c>
    </row>
    <row r="1557" spans="1:14">
      <c r="A1557" s="36" t="s">
        <v>32</v>
      </c>
      <c r="B1557" s="37">
        <v>44651</v>
      </c>
      <c r="C1557" s="36" t="s">
        <v>204</v>
      </c>
      <c r="D1557" s="36" t="s">
        <v>205</v>
      </c>
      <c r="E1557" s="36" t="s">
        <v>76</v>
      </c>
      <c r="G1557" s="87">
        <v>43200000</v>
      </c>
      <c r="H1557" s="87">
        <v>4320000</v>
      </c>
      <c r="I1557" s="87">
        <v>47520000</v>
      </c>
      <c r="K1557" s="85">
        <v>2022</v>
      </c>
      <c r="L1557" s="85">
        <v>3</v>
      </c>
      <c r="N1557" s="208" t="s">
        <v>44</v>
      </c>
    </row>
    <row r="1558" spans="1:14">
      <c r="A1558" s="36" t="s">
        <v>33</v>
      </c>
      <c r="B1558" s="37">
        <v>44651</v>
      </c>
      <c r="C1558" s="36" t="s">
        <v>544</v>
      </c>
      <c r="D1558" s="36" t="s">
        <v>766</v>
      </c>
      <c r="E1558" s="36" t="s">
        <v>148</v>
      </c>
      <c r="J1558" s="87">
        <v>951500</v>
      </c>
      <c r="K1558" s="85">
        <v>2022</v>
      </c>
      <c r="L1558" s="85">
        <v>2</v>
      </c>
      <c r="M1558" s="36" t="s">
        <v>107</v>
      </c>
      <c r="N1558" s="208" t="s">
        <v>44</v>
      </c>
    </row>
    <row r="1559" spans="1:14">
      <c r="A1559" s="36" t="s">
        <v>33</v>
      </c>
      <c r="B1559" s="37">
        <v>44651</v>
      </c>
      <c r="C1559" s="36" t="s">
        <v>544</v>
      </c>
      <c r="D1559" s="36" t="s">
        <v>766</v>
      </c>
      <c r="E1559" s="36" t="s">
        <v>767</v>
      </c>
      <c r="G1559" s="87">
        <v>585000</v>
      </c>
      <c r="H1559" s="87">
        <v>58500</v>
      </c>
      <c r="I1559" s="87">
        <v>643500</v>
      </c>
      <c r="K1559" s="85">
        <v>2022</v>
      </c>
      <c r="L1559" s="85">
        <v>3</v>
      </c>
      <c r="M1559" s="36" t="s">
        <v>107</v>
      </c>
      <c r="N1559" s="208" t="s">
        <v>44</v>
      </c>
    </row>
    <row r="1560" spans="1:14">
      <c r="A1560" s="36" t="s">
        <v>33</v>
      </c>
      <c r="B1560" s="37">
        <v>44651</v>
      </c>
      <c r="C1560" s="36" t="s">
        <v>584</v>
      </c>
      <c r="D1560" s="36" t="s">
        <v>205</v>
      </c>
      <c r="E1560" s="36" t="s">
        <v>767</v>
      </c>
      <c r="G1560" s="87">
        <v>1944000</v>
      </c>
      <c r="H1560" s="87">
        <v>194400</v>
      </c>
      <c r="I1560" s="87">
        <v>2138400</v>
      </c>
      <c r="K1560" s="85">
        <v>2022</v>
      </c>
      <c r="L1560" s="85">
        <v>3</v>
      </c>
      <c r="N1560" s="208" t="s">
        <v>44</v>
      </c>
    </row>
    <row r="1561" spans="1:14">
      <c r="A1561" s="36" t="s">
        <v>18</v>
      </c>
      <c r="B1561" s="37">
        <v>44651</v>
      </c>
      <c r="C1561" s="36" t="s">
        <v>709</v>
      </c>
      <c r="D1561" s="36" t="s">
        <v>710</v>
      </c>
      <c r="E1561" s="36" t="s">
        <v>148</v>
      </c>
      <c r="J1561" s="87">
        <v>16500000</v>
      </c>
      <c r="K1561" s="85">
        <v>2022</v>
      </c>
      <c r="L1561" s="85">
        <v>2</v>
      </c>
      <c r="N1561" s="208" t="s">
        <v>44</v>
      </c>
    </row>
    <row r="1562" spans="1:14">
      <c r="A1562" s="36" t="s">
        <v>32</v>
      </c>
      <c r="B1562" s="37">
        <v>44651</v>
      </c>
      <c r="C1562" s="36" t="s">
        <v>768</v>
      </c>
      <c r="D1562" s="36" t="s">
        <v>769</v>
      </c>
      <c r="E1562" s="36" t="s">
        <v>76</v>
      </c>
      <c r="G1562" s="87">
        <v>15000000</v>
      </c>
      <c r="H1562" s="87">
        <v>1500000</v>
      </c>
      <c r="I1562" s="87">
        <v>16500000</v>
      </c>
      <c r="K1562" s="85">
        <v>2022</v>
      </c>
      <c r="L1562" s="85">
        <v>3</v>
      </c>
      <c r="N1562" s="208" t="s">
        <v>44</v>
      </c>
    </row>
    <row r="1563" spans="1:14">
      <c r="A1563" s="36" t="s">
        <v>32</v>
      </c>
      <c r="B1563" s="37">
        <v>44651</v>
      </c>
      <c r="C1563" s="36" t="s">
        <v>768</v>
      </c>
      <c r="D1563" s="36" t="s">
        <v>769</v>
      </c>
      <c r="E1563" s="36" t="s">
        <v>770</v>
      </c>
      <c r="G1563" s="87">
        <v>6750000</v>
      </c>
      <c r="H1563" s="87">
        <v>675000</v>
      </c>
      <c r="I1563" s="87">
        <v>7425000</v>
      </c>
      <c r="K1563" s="85">
        <v>2022</v>
      </c>
      <c r="L1563" s="85">
        <v>3</v>
      </c>
      <c r="N1563" s="208" t="s">
        <v>44</v>
      </c>
    </row>
    <row r="1564" spans="1:14">
      <c r="A1564" s="36" t="s">
        <v>33</v>
      </c>
      <c r="B1564" s="37">
        <v>44651</v>
      </c>
      <c r="C1564" s="36" t="s">
        <v>124</v>
      </c>
      <c r="D1564" s="36" t="s">
        <v>229</v>
      </c>
      <c r="E1564" s="36" t="s">
        <v>125</v>
      </c>
      <c r="G1564" s="87">
        <v>4340000</v>
      </c>
      <c r="H1564" s="87">
        <v>434000</v>
      </c>
      <c r="I1564" s="87">
        <v>4774000</v>
      </c>
      <c r="K1564" s="85">
        <v>2022</v>
      </c>
      <c r="L1564" s="85">
        <v>3</v>
      </c>
      <c r="M1564" s="36" t="s">
        <v>107</v>
      </c>
      <c r="N1564" s="208" t="s">
        <v>44</v>
      </c>
    </row>
    <row r="1565" spans="1:14">
      <c r="A1565" s="36" t="s">
        <v>32</v>
      </c>
      <c r="B1565" s="37">
        <v>44651</v>
      </c>
      <c r="C1565" s="36" t="s">
        <v>496</v>
      </c>
      <c r="D1565" s="36" t="s">
        <v>546</v>
      </c>
      <c r="E1565" s="36" t="s">
        <v>76</v>
      </c>
      <c r="G1565" s="87">
        <v>5290000</v>
      </c>
      <c r="H1565" s="87">
        <v>529000</v>
      </c>
      <c r="I1565" s="87">
        <v>5819000</v>
      </c>
      <c r="K1565" s="85">
        <v>2022</v>
      </c>
      <c r="L1565" s="85">
        <v>3</v>
      </c>
      <c r="N1565" s="208" t="s">
        <v>44</v>
      </c>
    </row>
    <row r="1566" spans="1:14">
      <c r="A1566" s="36" t="s">
        <v>18</v>
      </c>
      <c r="B1566" s="37">
        <v>44651</v>
      </c>
      <c r="C1566" s="36" t="s">
        <v>714</v>
      </c>
      <c r="D1566" s="36" t="s">
        <v>715</v>
      </c>
      <c r="E1566" s="36" t="s">
        <v>77</v>
      </c>
      <c r="J1566" s="87">
        <v>16942475</v>
      </c>
      <c r="K1566" s="85">
        <v>2022</v>
      </c>
      <c r="L1566" s="85">
        <v>2</v>
      </c>
      <c r="N1566" s="208" t="s">
        <v>44</v>
      </c>
    </row>
    <row r="1567" spans="1:14">
      <c r="A1567" s="36" t="s">
        <v>32</v>
      </c>
      <c r="B1567" s="37">
        <v>44651</v>
      </c>
      <c r="C1567" s="36" t="s">
        <v>334</v>
      </c>
      <c r="D1567" s="36" t="s">
        <v>586</v>
      </c>
      <c r="E1567" s="36" t="s">
        <v>76</v>
      </c>
      <c r="G1567" s="87">
        <v>7600400</v>
      </c>
      <c r="H1567" s="87">
        <v>760040</v>
      </c>
      <c r="I1567" s="87">
        <v>8360440</v>
      </c>
      <c r="K1567" s="85">
        <v>2022</v>
      </c>
      <c r="L1567" s="85">
        <v>3</v>
      </c>
      <c r="N1567" s="208" t="s">
        <v>44</v>
      </c>
    </row>
    <row r="1568" spans="1:14">
      <c r="A1568" s="36" t="s">
        <v>32</v>
      </c>
      <c r="B1568" s="37">
        <v>44651</v>
      </c>
      <c r="C1568" s="36" t="s">
        <v>771</v>
      </c>
      <c r="D1568" s="36" t="s">
        <v>772</v>
      </c>
      <c r="E1568" s="36" t="s">
        <v>76</v>
      </c>
      <c r="G1568" s="87">
        <v>1050000</v>
      </c>
      <c r="H1568" s="87">
        <v>105000</v>
      </c>
      <c r="I1568" s="87">
        <v>1155000</v>
      </c>
      <c r="K1568" s="85">
        <v>2022</v>
      </c>
      <c r="L1568" s="85">
        <v>3</v>
      </c>
      <c r="N1568" s="208" t="s">
        <v>44</v>
      </c>
    </row>
    <row r="1569" spans="1:14">
      <c r="A1569" s="36" t="s">
        <v>32</v>
      </c>
      <c r="B1569" s="37">
        <v>44651</v>
      </c>
      <c r="C1569" s="36" t="s">
        <v>773</v>
      </c>
      <c r="D1569" s="36" t="s">
        <v>774</v>
      </c>
      <c r="E1569" s="36" t="s">
        <v>76</v>
      </c>
      <c r="G1569" s="87">
        <v>14580000</v>
      </c>
      <c r="H1569" s="87">
        <v>1458000</v>
      </c>
      <c r="I1569" s="87">
        <v>16038000</v>
      </c>
      <c r="K1569" s="85">
        <v>2022</v>
      </c>
      <c r="L1569" s="85">
        <v>3</v>
      </c>
      <c r="N1569" s="208" t="s">
        <v>44</v>
      </c>
    </row>
    <row r="1570" spans="1:14">
      <c r="A1570" s="36" t="s">
        <v>32</v>
      </c>
      <c r="B1570" s="37">
        <v>44651</v>
      </c>
      <c r="C1570" s="36" t="s">
        <v>773</v>
      </c>
      <c r="D1570" s="36" t="s">
        <v>775</v>
      </c>
      <c r="E1570" s="36" t="s">
        <v>76</v>
      </c>
      <c r="G1570" s="87">
        <v>39455000</v>
      </c>
      <c r="H1570" s="87">
        <v>3945500</v>
      </c>
      <c r="I1570" s="87">
        <v>43400500</v>
      </c>
      <c r="K1570" s="85">
        <v>2022</v>
      </c>
      <c r="L1570" s="85">
        <v>3</v>
      </c>
      <c r="N1570" s="208" t="s">
        <v>44</v>
      </c>
    </row>
    <row r="1571" spans="1:14">
      <c r="A1571" s="36" t="s">
        <v>32</v>
      </c>
      <c r="B1571" s="37">
        <v>44651</v>
      </c>
      <c r="C1571" s="36" t="s">
        <v>677</v>
      </c>
      <c r="D1571" s="36" t="s">
        <v>678</v>
      </c>
      <c r="E1571" s="36" t="s">
        <v>76</v>
      </c>
      <c r="G1571" s="87">
        <v>6078280</v>
      </c>
      <c r="H1571" s="87">
        <v>607828</v>
      </c>
      <c r="I1571" s="87">
        <v>6686108</v>
      </c>
      <c r="K1571" s="85">
        <v>2022</v>
      </c>
      <c r="L1571" s="85">
        <v>3</v>
      </c>
      <c r="N1571" s="208" t="s">
        <v>44</v>
      </c>
    </row>
    <row r="1572" spans="1:14">
      <c r="A1572" s="36" t="s">
        <v>33</v>
      </c>
      <c r="B1572" s="37">
        <v>44651</v>
      </c>
      <c r="C1572" s="36" t="s">
        <v>754</v>
      </c>
      <c r="D1572" s="36" t="s">
        <v>755</v>
      </c>
      <c r="E1572" s="36" t="s">
        <v>148</v>
      </c>
      <c r="J1572" s="38">
        <v>660000</v>
      </c>
      <c r="K1572" s="85">
        <v>2022</v>
      </c>
      <c r="L1572" s="85">
        <v>3</v>
      </c>
      <c r="M1572" s="36" t="s">
        <v>712</v>
      </c>
      <c r="N1572" s="208" t="s">
        <v>44</v>
      </c>
    </row>
    <row r="1573" spans="1:14">
      <c r="A1573" s="36" t="s">
        <v>32</v>
      </c>
      <c r="B1573" s="37">
        <v>44651</v>
      </c>
      <c r="C1573" s="36" t="s">
        <v>505</v>
      </c>
      <c r="D1573" s="36" t="s">
        <v>506</v>
      </c>
      <c r="E1573" s="36" t="s">
        <v>77</v>
      </c>
      <c r="J1573" s="87">
        <v>34405140</v>
      </c>
      <c r="K1573" s="85">
        <v>2022</v>
      </c>
      <c r="L1573" s="85">
        <v>2</v>
      </c>
      <c r="N1573" s="208" t="s">
        <v>44</v>
      </c>
    </row>
    <row r="1574" spans="1:14">
      <c r="A1574" s="36" t="s">
        <v>32</v>
      </c>
      <c r="B1574" s="37">
        <v>44651</v>
      </c>
      <c r="C1574" s="36" t="s">
        <v>505</v>
      </c>
      <c r="D1574" s="36" t="s">
        <v>506</v>
      </c>
      <c r="E1574" s="36" t="s">
        <v>76</v>
      </c>
      <c r="G1574" s="87">
        <v>23774340</v>
      </c>
      <c r="H1574" s="87">
        <v>2377434</v>
      </c>
      <c r="I1574" s="87">
        <v>26151774</v>
      </c>
      <c r="K1574" s="85">
        <v>2022</v>
      </c>
      <c r="L1574" s="85">
        <v>3</v>
      </c>
      <c r="N1574" s="208" t="s">
        <v>44</v>
      </c>
    </row>
    <row r="1575" spans="1:14">
      <c r="A1575" s="36" t="s">
        <v>32</v>
      </c>
      <c r="B1575" s="37">
        <v>44651</v>
      </c>
      <c r="C1575" s="36" t="s">
        <v>264</v>
      </c>
      <c r="D1575" s="36" t="s">
        <v>679</v>
      </c>
      <c r="E1575" s="36" t="s">
        <v>76</v>
      </c>
      <c r="G1575" s="87">
        <v>8160000</v>
      </c>
      <c r="H1575" s="87">
        <v>816000</v>
      </c>
      <c r="I1575" s="87">
        <v>8976000</v>
      </c>
      <c r="K1575" s="85">
        <v>2022</v>
      </c>
      <c r="L1575" s="85">
        <v>3</v>
      </c>
      <c r="N1575" s="208" t="s">
        <v>44</v>
      </c>
    </row>
    <row r="1576" spans="1:14">
      <c r="A1576" s="36" t="s">
        <v>32</v>
      </c>
      <c r="B1576" s="37">
        <v>44651</v>
      </c>
      <c r="C1576" s="36" t="s">
        <v>776</v>
      </c>
      <c r="D1576" s="36" t="s">
        <v>777</v>
      </c>
      <c r="E1576" s="36" t="s">
        <v>76</v>
      </c>
      <c r="G1576" s="87">
        <v>7684740</v>
      </c>
      <c r="H1576" s="87">
        <v>768474</v>
      </c>
      <c r="I1576" s="87">
        <v>8453214</v>
      </c>
      <c r="K1576" s="85">
        <v>2022</v>
      </c>
      <c r="L1576" s="85">
        <v>3</v>
      </c>
      <c r="N1576" s="208" t="s">
        <v>44</v>
      </c>
    </row>
    <row r="1577" spans="1:14">
      <c r="A1577" s="36" t="s">
        <v>32</v>
      </c>
      <c r="B1577" s="37">
        <v>44651</v>
      </c>
      <c r="C1577" s="36" t="s">
        <v>511</v>
      </c>
      <c r="D1577" s="36" t="s">
        <v>512</v>
      </c>
      <c r="E1577" s="36" t="s">
        <v>148</v>
      </c>
      <c r="J1577" s="87">
        <v>12500070</v>
      </c>
      <c r="K1577" s="85">
        <v>2022</v>
      </c>
      <c r="L1577" s="85">
        <v>2</v>
      </c>
      <c r="N1577" s="208" t="s">
        <v>44</v>
      </c>
    </row>
    <row r="1578" spans="1:14">
      <c r="A1578" s="36" t="s">
        <v>32</v>
      </c>
      <c r="B1578" s="37">
        <v>44651</v>
      </c>
      <c r="C1578" s="36" t="s">
        <v>511</v>
      </c>
      <c r="D1578" s="36" t="s">
        <v>512</v>
      </c>
      <c r="E1578" s="36" t="s">
        <v>76</v>
      </c>
      <c r="G1578" s="87">
        <v>10863700</v>
      </c>
      <c r="H1578" s="87">
        <v>1086370</v>
      </c>
      <c r="I1578" s="87">
        <v>11950070</v>
      </c>
      <c r="K1578" s="85">
        <v>2022</v>
      </c>
      <c r="L1578" s="85">
        <v>3</v>
      </c>
      <c r="N1578" s="208" t="s">
        <v>44</v>
      </c>
    </row>
    <row r="1579" spans="1:14">
      <c r="A1579" s="36" t="s">
        <v>32</v>
      </c>
      <c r="B1579" s="37">
        <v>44651</v>
      </c>
      <c r="C1579" s="36" t="s">
        <v>552</v>
      </c>
      <c r="D1579" s="36" t="s">
        <v>553</v>
      </c>
      <c r="E1579" s="36" t="s">
        <v>148</v>
      </c>
      <c r="J1579" s="87">
        <v>7966090</v>
      </c>
      <c r="K1579" s="85">
        <v>2022</v>
      </c>
      <c r="L1579" s="85">
        <v>2</v>
      </c>
      <c r="N1579" s="208" t="s">
        <v>44</v>
      </c>
    </row>
    <row r="1580" spans="1:14">
      <c r="A1580" s="36" t="s">
        <v>32</v>
      </c>
      <c r="B1580" s="37">
        <v>44651</v>
      </c>
      <c r="C1580" s="36" t="s">
        <v>552</v>
      </c>
      <c r="D1580" s="36" t="s">
        <v>553</v>
      </c>
      <c r="E1580" s="36" t="s">
        <v>76</v>
      </c>
      <c r="G1580" s="87">
        <v>8025000</v>
      </c>
      <c r="H1580" s="87">
        <v>802500</v>
      </c>
      <c r="I1580" s="87">
        <v>8827500</v>
      </c>
      <c r="K1580" s="85">
        <v>2022</v>
      </c>
      <c r="L1580" s="85">
        <v>3</v>
      </c>
      <c r="N1580" s="208" t="s">
        <v>44</v>
      </c>
    </row>
    <row r="1581" spans="1:14">
      <c r="A1581" s="36" t="s">
        <v>32</v>
      </c>
      <c r="B1581" s="37">
        <v>44651</v>
      </c>
      <c r="C1581" s="36" t="s">
        <v>291</v>
      </c>
      <c r="D1581" s="36" t="s">
        <v>682</v>
      </c>
      <c r="E1581" s="36" t="s">
        <v>148</v>
      </c>
      <c r="J1581" s="87">
        <v>8646000</v>
      </c>
      <c r="K1581" s="85">
        <v>2022</v>
      </c>
      <c r="L1581" s="85">
        <v>1</v>
      </c>
      <c r="N1581" s="208" t="s">
        <v>44</v>
      </c>
    </row>
    <row r="1582" spans="1:14">
      <c r="A1582" s="36" t="s">
        <v>32</v>
      </c>
      <c r="B1582" s="37">
        <v>44651</v>
      </c>
      <c r="C1582" s="36" t="s">
        <v>185</v>
      </c>
      <c r="D1582" s="36" t="s">
        <v>683</v>
      </c>
      <c r="E1582" s="36" t="s">
        <v>76</v>
      </c>
      <c r="G1582" s="87">
        <v>22108085</v>
      </c>
      <c r="H1582" s="87">
        <v>2210808.5</v>
      </c>
      <c r="I1582" s="87">
        <v>24318893.5</v>
      </c>
      <c r="K1582" s="85">
        <v>2022</v>
      </c>
      <c r="L1582" s="85">
        <v>3</v>
      </c>
      <c r="N1582" s="208" t="s">
        <v>44</v>
      </c>
    </row>
    <row r="1583" spans="1:14">
      <c r="A1583" s="36" t="s">
        <v>32</v>
      </c>
      <c r="B1583" s="37">
        <v>44651</v>
      </c>
      <c r="C1583" s="36" t="s">
        <v>185</v>
      </c>
      <c r="D1583" s="36" t="s">
        <v>778</v>
      </c>
      <c r="E1583" s="36" t="s">
        <v>76</v>
      </c>
      <c r="G1583" s="87">
        <v>4962630</v>
      </c>
      <c r="H1583" s="87">
        <v>496263</v>
      </c>
      <c r="I1583" s="87">
        <v>5458893</v>
      </c>
      <c r="K1583" s="85">
        <v>2022</v>
      </c>
      <c r="L1583" s="85">
        <v>3</v>
      </c>
      <c r="N1583" s="208" t="s">
        <v>44</v>
      </c>
    </row>
    <row r="1584" spans="1:14">
      <c r="A1584" s="36" t="s">
        <v>32</v>
      </c>
      <c r="B1584" s="37">
        <v>44651</v>
      </c>
      <c r="C1584" s="36" t="s">
        <v>268</v>
      </c>
      <c r="D1584" s="36" t="s">
        <v>589</v>
      </c>
      <c r="E1584" s="36" t="s">
        <v>76</v>
      </c>
      <c r="G1584" s="87">
        <v>5836000</v>
      </c>
      <c r="H1584" s="87">
        <v>583600</v>
      </c>
      <c r="I1584" s="87">
        <v>6419600</v>
      </c>
      <c r="K1584" s="85">
        <v>2022</v>
      </c>
      <c r="L1584" s="85">
        <v>3</v>
      </c>
      <c r="N1584" s="208" t="s">
        <v>44</v>
      </c>
    </row>
    <row r="1585" spans="1:14">
      <c r="A1585" s="36" t="s">
        <v>32</v>
      </c>
      <c r="B1585" s="37">
        <v>44651</v>
      </c>
      <c r="C1585" s="36" t="s">
        <v>685</v>
      </c>
      <c r="D1585" s="36" t="s">
        <v>517</v>
      </c>
      <c r="E1585" s="36" t="s">
        <v>148</v>
      </c>
      <c r="J1585" s="87">
        <v>1375000</v>
      </c>
      <c r="K1585" s="85">
        <v>2022</v>
      </c>
      <c r="L1585" s="85">
        <v>2</v>
      </c>
      <c r="N1585" s="208" t="s">
        <v>44</v>
      </c>
    </row>
    <row r="1586" spans="1:14">
      <c r="A1586" s="36" t="s">
        <v>32</v>
      </c>
      <c r="B1586" s="37">
        <v>44651</v>
      </c>
      <c r="C1586" s="36" t="s">
        <v>779</v>
      </c>
      <c r="D1586" s="36" t="s">
        <v>780</v>
      </c>
      <c r="E1586" s="36" t="s">
        <v>76</v>
      </c>
      <c r="G1586" s="87">
        <v>4000000</v>
      </c>
      <c r="H1586" s="87">
        <v>400000</v>
      </c>
      <c r="I1586" s="87">
        <v>4400000</v>
      </c>
      <c r="K1586" s="85">
        <v>2022</v>
      </c>
      <c r="L1586" s="85">
        <v>3</v>
      </c>
      <c r="N1586" s="208" t="s">
        <v>44</v>
      </c>
    </row>
    <row r="1587" spans="1:14">
      <c r="A1587" s="36" t="s">
        <v>33</v>
      </c>
      <c r="B1587" s="37">
        <v>44651</v>
      </c>
      <c r="C1587" s="36" t="s">
        <v>781</v>
      </c>
      <c r="D1587" s="36" t="s">
        <v>782</v>
      </c>
      <c r="E1587" s="36" t="s">
        <v>767</v>
      </c>
      <c r="G1587" s="87">
        <v>1521000</v>
      </c>
      <c r="H1587" s="87">
        <v>152100</v>
      </c>
      <c r="I1587" s="87">
        <v>1673100</v>
      </c>
      <c r="K1587" s="85">
        <v>2022</v>
      </c>
      <c r="L1587" s="85">
        <v>3</v>
      </c>
      <c r="N1587" s="208" t="s">
        <v>44</v>
      </c>
    </row>
    <row r="1588" spans="1:14">
      <c r="A1588" s="36" t="s">
        <v>32</v>
      </c>
      <c r="B1588" s="37">
        <v>44651</v>
      </c>
      <c r="C1588" s="36" t="s">
        <v>188</v>
      </c>
      <c r="D1588" s="36" t="s">
        <v>623</v>
      </c>
      <c r="E1588" s="36" t="s">
        <v>148</v>
      </c>
      <c r="J1588" s="87">
        <v>3740000</v>
      </c>
      <c r="K1588" s="85">
        <v>2022</v>
      </c>
      <c r="L1588" s="85">
        <v>1</v>
      </c>
      <c r="N1588" s="208" t="s">
        <v>44</v>
      </c>
    </row>
    <row r="1589" spans="1:14">
      <c r="A1589" s="36" t="s">
        <v>32</v>
      </c>
      <c r="B1589" s="37">
        <v>44651</v>
      </c>
      <c r="C1589" s="36" t="s">
        <v>188</v>
      </c>
      <c r="D1589" s="36" t="s">
        <v>624</v>
      </c>
      <c r="E1589" s="36" t="s">
        <v>148</v>
      </c>
      <c r="J1589" s="87">
        <v>3927000</v>
      </c>
      <c r="K1589" s="85">
        <v>2022</v>
      </c>
      <c r="L1589" s="85">
        <v>2</v>
      </c>
      <c r="N1589" s="208" t="s">
        <v>44</v>
      </c>
    </row>
    <row r="1590" spans="1:14">
      <c r="A1590" s="36" t="s">
        <v>32</v>
      </c>
      <c r="B1590" s="37">
        <v>44651</v>
      </c>
      <c r="C1590" s="36" t="s">
        <v>188</v>
      </c>
      <c r="D1590" s="36" t="s">
        <v>622</v>
      </c>
      <c r="E1590" s="36" t="s">
        <v>148</v>
      </c>
      <c r="J1590" s="87">
        <v>825000</v>
      </c>
      <c r="K1590" s="85">
        <v>2022</v>
      </c>
      <c r="L1590" s="85">
        <v>2</v>
      </c>
      <c r="N1590" s="208" t="s">
        <v>44</v>
      </c>
    </row>
    <row r="1591" spans="1:14">
      <c r="A1591" s="36" t="s">
        <v>32</v>
      </c>
      <c r="B1591" s="37">
        <v>44651</v>
      </c>
      <c r="C1591" s="36" t="s">
        <v>188</v>
      </c>
      <c r="D1591" s="36" t="s">
        <v>622</v>
      </c>
      <c r="E1591" s="36" t="s">
        <v>76</v>
      </c>
      <c r="G1591" s="87">
        <v>750000</v>
      </c>
      <c r="H1591" s="87">
        <v>75000</v>
      </c>
      <c r="I1591" s="87">
        <v>825000</v>
      </c>
      <c r="K1591" s="85">
        <v>2022</v>
      </c>
      <c r="L1591" s="85">
        <v>3</v>
      </c>
      <c r="N1591" s="208" t="s">
        <v>44</v>
      </c>
    </row>
    <row r="1592" spans="1:14">
      <c r="A1592" s="36" t="s">
        <v>32</v>
      </c>
      <c r="B1592" s="37">
        <v>44651</v>
      </c>
      <c r="C1592" s="36" t="s">
        <v>188</v>
      </c>
      <c r="D1592" s="36" t="s">
        <v>783</v>
      </c>
      <c r="E1592" s="36" t="s">
        <v>76</v>
      </c>
      <c r="G1592" s="87">
        <v>7030000</v>
      </c>
      <c r="H1592" s="87">
        <v>703000</v>
      </c>
      <c r="I1592" s="87">
        <v>7733000</v>
      </c>
      <c r="K1592" s="85">
        <v>2022</v>
      </c>
      <c r="L1592" s="85">
        <v>3</v>
      </c>
      <c r="N1592" s="208" t="s">
        <v>44</v>
      </c>
    </row>
    <row r="1593" spans="1:14">
      <c r="A1593" s="36" t="s">
        <v>32</v>
      </c>
      <c r="B1593" s="37">
        <v>44651</v>
      </c>
      <c r="C1593" s="36" t="s">
        <v>188</v>
      </c>
      <c r="D1593" s="36" t="s">
        <v>784</v>
      </c>
      <c r="E1593" s="36" t="s">
        <v>76</v>
      </c>
      <c r="G1593" s="87">
        <v>4350000</v>
      </c>
      <c r="H1593" s="87">
        <v>435000</v>
      </c>
      <c r="I1593" s="87">
        <v>4785000</v>
      </c>
      <c r="K1593" s="85">
        <v>2022</v>
      </c>
      <c r="L1593" s="85">
        <v>3</v>
      </c>
      <c r="N1593" s="208" t="s">
        <v>44</v>
      </c>
    </row>
    <row r="1594" spans="1:14">
      <c r="A1594" s="36" t="s">
        <v>32</v>
      </c>
      <c r="B1594" s="37">
        <v>44651</v>
      </c>
      <c r="C1594" s="36" t="s">
        <v>188</v>
      </c>
      <c r="D1594" s="36" t="s">
        <v>785</v>
      </c>
      <c r="E1594" s="36" t="s">
        <v>76</v>
      </c>
      <c r="G1594" s="87">
        <v>3060000</v>
      </c>
      <c r="H1594" s="87">
        <v>306000</v>
      </c>
      <c r="I1594" s="87">
        <v>3366000</v>
      </c>
      <c r="K1594" s="85">
        <v>2022</v>
      </c>
      <c r="L1594" s="85">
        <v>3</v>
      </c>
      <c r="N1594" s="208" t="s">
        <v>44</v>
      </c>
    </row>
    <row r="1595" spans="1:14">
      <c r="A1595" s="36" t="s">
        <v>32</v>
      </c>
      <c r="B1595" s="37">
        <v>44651</v>
      </c>
      <c r="C1595" s="36" t="s">
        <v>411</v>
      </c>
      <c r="D1595" s="36" t="s">
        <v>412</v>
      </c>
      <c r="E1595" s="36" t="s">
        <v>78</v>
      </c>
      <c r="G1595" s="87">
        <v>64567000</v>
      </c>
      <c r="H1595" s="87">
        <v>6456700</v>
      </c>
      <c r="I1595" s="87">
        <v>71023700</v>
      </c>
      <c r="K1595" s="85">
        <v>2022</v>
      </c>
      <c r="L1595" s="85">
        <v>3</v>
      </c>
      <c r="N1595" s="208" t="s">
        <v>44</v>
      </c>
    </row>
    <row r="1596" spans="1:14">
      <c r="A1596" s="36" t="s">
        <v>32</v>
      </c>
      <c r="B1596" s="37">
        <v>44651</v>
      </c>
      <c r="C1596" s="36" t="s">
        <v>411</v>
      </c>
      <c r="D1596" s="36" t="s">
        <v>412</v>
      </c>
      <c r="E1596" s="36" t="s">
        <v>269</v>
      </c>
      <c r="G1596" s="87">
        <v>3778000</v>
      </c>
      <c r="H1596" s="87">
        <v>377800</v>
      </c>
      <c r="I1596" s="87">
        <v>4155800</v>
      </c>
      <c r="K1596" s="85">
        <v>2022</v>
      </c>
      <c r="L1596" s="85">
        <v>3</v>
      </c>
      <c r="N1596" s="208" t="s">
        <v>44</v>
      </c>
    </row>
    <row r="1597" spans="1:14">
      <c r="A1597" s="36" t="s">
        <v>32</v>
      </c>
      <c r="B1597" s="37">
        <v>44651</v>
      </c>
      <c r="C1597" s="36" t="s">
        <v>175</v>
      </c>
      <c r="D1597" s="36" t="s">
        <v>786</v>
      </c>
      <c r="E1597" s="36" t="s">
        <v>76</v>
      </c>
      <c r="G1597" s="87">
        <v>4210800</v>
      </c>
      <c r="H1597" s="87">
        <v>421080</v>
      </c>
      <c r="I1597" s="87">
        <v>4631880</v>
      </c>
      <c r="K1597" s="85">
        <v>2022</v>
      </c>
      <c r="L1597" s="85">
        <v>3</v>
      </c>
      <c r="N1597" s="208" t="s">
        <v>44</v>
      </c>
    </row>
    <row r="1598" spans="1:14">
      <c r="A1598" s="36" t="s">
        <v>32</v>
      </c>
      <c r="B1598" s="37">
        <v>44651</v>
      </c>
      <c r="C1598" s="36" t="s">
        <v>519</v>
      </c>
      <c r="D1598" s="36" t="s">
        <v>321</v>
      </c>
      <c r="E1598" s="36" t="s">
        <v>148</v>
      </c>
      <c r="J1598" s="87">
        <v>1100000</v>
      </c>
      <c r="K1598" s="85">
        <v>2022</v>
      </c>
      <c r="L1598" s="85">
        <v>2</v>
      </c>
      <c r="M1598" s="36" t="s">
        <v>733</v>
      </c>
      <c r="N1598" s="208" t="s">
        <v>44</v>
      </c>
    </row>
    <row r="1599" spans="1:14">
      <c r="A1599" s="36" t="s">
        <v>32</v>
      </c>
      <c r="B1599" s="37">
        <v>44651</v>
      </c>
      <c r="C1599" s="36" t="s">
        <v>519</v>
      </c>
      <c r="D1599" s="36" t="s">
        <v>321</v>
      </c>
      <c r="E1599" s="36" t="s">
        <v>78</v>
      </c>
      <c r="G1599" s="87">
        <v>1000000</v>
      </c>
      <c r="H1599" s="87">
        <v>100000</v>
      </c>
      <c r="I1599" s="87">
        <v>1100000</v>
      </c>
      <c r="K1599" s="85">
        <v>2022</v>
      </c>
      <c r="L1599" s="85">
        <v>3</v>
      </c>
      <c r="N1599" s="208" t="s">
        <v>44</v>
      </c>
    </row>
    <row r="1600" spans="1:14">
      <c r="A1600" s="36" t="s">
        <v>32</v>
      </c>
      <c r="B1600" s="37">
        <v>44651</v>
      </c>
      <c r="C1600" s="36" t="s">
        <v>667</v>
      </c>
      <c r="D1600" s="36" t="s">
        <v>668</v>
      </c>
      <c r="E1600" s="36" t="s">
        <v>77</v>
      </c>
      <c r="J1600" s="38">
        <v>8000000</v>
      </c>
      <c r="K1600" s="85">
        <v>2022</v>
      </c>
      <c r="L1600" s="85">
        <v>1</v>
      </c>
      <c r="N1600" s="208" t="s">
        <v>44</v>
      </c>
    </row>
    <row r="1601" spans="1:14">
      <c r="A1601" s="36" t="s">
        <v>32</v>
      </c>
      <c r="B1601" s="37">
        <v>44651</v>
      </c>
      <c r="C1601" s="36" t="s">
        <v>466</v>
      </c>
      <c r="D1601" s="36" t="s">
        <v>467</v>
      </c>
      <c r="E1601" s="36" t="s">
        <v>76</v>
      </c>
      <c r="G1601" s="87">
        <v>3014255</v>
      </c>
      <c r="H1601" s="87">
        <v>301425</v>
      </c>
      <c r="I1601" s="87">
        <v>3315680</v>
      </c>
      <c r="K1601" s="85">
        <v>2022</v>
      </c>
      <c r="L1601" s="85">
        <v>3</v>
      </c>
      <c r="N1601" s="208" t="s">
        <v>44</v>
      </c>
    </row>
    <row r="1602" spans="1:14">
      <c r="A1602" s="36" t="s">
        <v>32</v>
      </c>
      <c r="B1602" s="37">
        <v>44651</v>
      </c>
      <c r="C1602" s="36" t="s">
        <v>787</v>
      </c>
      <c r="D1602" s="36" t="s">
        <v>788</v>
      </c>
      <c r="E1602" s="36" t="s">
        <v>76</v>
      </c>
      <c r="G1602" s="87">
        <v>15940000</v>
      </c>
      <c r="H1602" s="87">
        <v>1594000</v>
      </c>
      <c r="I1602" s="87">
        <v>17534000</v>
      </c>
      <c r="K1602" s="85">
        <v>2022</v>
      </c>
      <c r="L1602" s="85">
        <v>3</v>
      </c>
      <c r="N1602" s="208" t="s">
        <v>44</v>
      </c>
    </row>
    <row r="1603" spans="1:14">
      <c r="A1603" s="36" t="s">
        <v>33</v>
      </c>
      <c r="B1603" s="37">
        <v>44651</v>
      </c>
      <c r="C1603" s="36" t="s">
        <v>757</v>
      </c>
      <c r="D1603" s="36" t="s">
        <v>758</v>
      </c>
      <c r="E1603" s="36" t="s">
        <v>148</v>
      </c>
      <c r="J1603" s="87">
        <v>561000</v>
      </c>
      <c r="K1603" s="85">
        <v>2022</v>
      </c>
      <c r="L1603" s="85">
        <v>3</v>
      </c>
      <c r="M1603" s="36" t="s">
        <v>759</v>
      </c>
      <c r="N1603" s="208" t="s">
        <v>44</v>
      </c>
    </row>
    <row r="1604" spans="1:14">
      <c r="A1604" s="36" t="s">
        <v>32</v>
      </c>
      <c r="B1604" s="37">
        <v>44651</v>
      </c>
      <c r="C1604" s="36" t="s">
        <v>651</v>
      </c>
      <c r="D1604" s="36" t="s">
        <v>652</v>
      </c>
      <c r="E1604" s="36" t="s">
        <v>76</v>
      </c>
      <c r="G1604" s="87">
        <v>12750000</v>
      </c>
      <c r="H1604" s="87">
        <v>1275000</v>
      </c>
      <c r="I1604" s="87">
        <v>14025000</v>
      </c>
      <c r="K1604" s="85">
        <v>2022</v>
      </c>
      <c r="L1604" s="85">
        <v>3</v>
      </c>
      <c r="N1604" s="208" t="s">
        <v>44</v>
      </c>
    </row>
    <row r="1605" spans="1:14">
      <c r="A1605" s="36" t="s">
        <v>33</v>
      </c>
      <c r="B1605" s="37">
        <v>44651</v>
      </c>
      <c r="C1605" s="36" t="s">
        <v>789</v>
      </c>
      <c r="D1605" s="36" t="s">
        <v>790</v>
      </c>
      <c r="E1605" s="36" t="s">
        <v>791</v>
      </c>
      <c r="G1605" s="87">
        <v>7595800</v>
      </c>
      <c r="H1605" s="87">
        <v>759580</v>
      </c>
      <c r="I1605" s="87">
        <v>8355380</v>
      </c>
      <c r="K1605" s="85">
        <v>2022</v>
      </c>
      <c r="L1605" s="85">
        <v>3</v>
      </c>
      <c r="N1605" s="1" t="s">
        <v>44</v>
      </c>
    </row>
    <row r="1606" spans="1:14">
      <c r="A1606" s="36" t="s">
        <v>18</v>
      </c>
      <c r="B1606" s="37">
        <v>44651</v>
      </c>
      <c r="C1606" s="36" t="s">
        <v>738</v>
      </c>
      <c r="D1606" s="36" t="s">
        <v>382</v>
      </c>
      <c r="E1606" s="36" t="s">
        <v>77</v>
      </c>
      <c r="J1606" s="87">
        <v>3971000</v>
      </c>
      <c r="K1606" s="85">
        <v>2022</v>
      </c>
      <c r="L1606" s="85">
        <v>2</v>
      </c>
      <c r="N1606" s="208" t="s">
        <v>44</v>
      </c>
    </row>
    <row r="1607" spans="1:14">
      <c r="A1607" s="36" t="s">
        <v>32</v>
      </c>
      <c r="B1607" s="37">
        <v>44651</v>
      </c>
      <c r="C1607" s="36" t="s">
        <v>688</v>
      </c>
      <c r="D1607" s="36" t="s">
        <v>1731</v>
      </c>
      <c r="E1607" s="36" t="s">
        <v>76</v>
      </c>
      <c r="G1607" s="87">
        <v>7140000</v>
      </c>
      <c r="H1607" s="87">
        <v>714000</v>
      </c>
      <c r="I1607" s="87">
        <v>7854000</v>
      </c>
      <c r="K1607" s="85">
        <v>2022</v>
      </c>
      <c r="L1607" s="85">
        <v>3</v>
      </c>
      <c r="N1607" s="208" t="s">
        <v>44</v>
      </c>
    </row>
    <row r="1608" spans="1:14">
      <c r="A1608" s="36" t="s">
        <v>18</v>
      </c>
      <c r="B1608" s="37">
        <v>44652</v>
      </c>
      <c r="C1608" s="36" t="s">
        <v>211</v>
      </c>
      <c r="D1608" s="36" t="s">
        <v>718</v>
      </c>
      <c r="E1608" s="36" t="s">
        <v>148</v>
      </c>
      <c r="J1608" s="87">
        <v>5940000</v>
      </c>
      <c r="K1608" s="85">
        <v>2022</v>
      </c>
      <c r="L1608" s="85">
        <v>2</v>
      </c>
      <c r="N1608" s="208" t="s">
        <v>44</v>
      </c>
    </row>
    <row r="1609" spans="1:14">
      <c r="A1609" s="36" t="s">
        <v>32</v>
      </c>
      <c r="B1609" s="37">
        <v>44652</v>
      </c>
      <c r="C1609" s="36" t="s">
        <v>171</v>
      </c>
      <c r="D1609" s="36" t="s">
        <v>792</v>
      </c>
      <c r="E1609" s="36" t="s">
        <v>76</v>
      </c>
      <c r="G1609" s="87">
        <v>4000000</v>
      </c>
      <c r="H1609" s="87">
        <v>400000</v>
      </c>
      <c r="I1609" s="87">
        <v>4400000</v>
      </c>
      <c r="K1609" s="85">
        <v>2022</v>
      </c>
      <c r="L1609" s="85">
        <v>4</v>
      </c>
      <c r="N1609" s="208" t="s">
        <v>44</v>
      </c>
    </row>
    <row r="1610" spans="1:14">
      <c r="A1610" s="36" t="s">
        <v>32</v>
      </c>
      <c r="B1610" s="37">
        <v>44652</v>
      </c>
      <c r="C1610" s="36" t="s">
        <v>188</v>
      </c>
      <c r="D1610" s="36" t="s">
        <v>443</v>
      </c>
      <c r="E1610" s="36" t="s">
        <v>77</v>
      </c>
      <c r="J1610" s="87">
        <v>2255000</v>
      </c>
      <c r="K1610" s="85">
        <v>2022</v>
      </c>
      <c r="L1610" s="85">
        <v>2</v>
      </c>
      <c r="N1610" s="208" t="s">
        <v>44</v>
      </c>
    </row>
    <row r="1611" spans="1:14">
      <c r="A1611" s="36" t="s">
        <v>32</v>
      </c>
      <c r="B1611" s="37">
        <v>44652</v>
      </c>
      <c r="C1611" s="36" t="s">
        <v>411</v>
      </c>
      <c r="D1611" s="36" t="s">
        <v>412</v>
      </c>
      <c r="E1611" s="36" t="s">
        <v>148</v>
      </c>
      <c r="J1611" s="87">
        <v>22003300</v>
      </c>
      <c r="K1611" s="85">
        <v>2022</v>
      </c>
      <c r="L1611" s="85">
        <v>3</v>
      </c>
      <c r="N1611" s="208" t="s">
        <v>44</v>
      </c>
    </row>
    <row r="1612" spans="1:14">
      <c r="A1612" s="36" t="s">
        <v>32</v>
      </c>
      <c r="B1612" s="37">
        <v>44652</v>
      </c>
      <c r="C1612" s="36" t="s">
        <v>466</v>
      </c>
      <c r="D1612" s="36" t="s">
        <v>467</v>
      </c>
      <c r="E1612" s="36" t="s">
        <v>76</v>
      </c>
      <c r="G1612" s="87">
        <v>51217580</v>
      </c>
      <c r="H1612" s="87">
        <v>5121758</v>
      </c>
      <c r="I1612" s="87">
        <v>56339338</v>
      </c>
      <c r="K1612" s="85">
        <v>2022</v>
      </c>
      <c r="L1612" s="85">
        <v>4</v>
      </c>
      <c r="N1612" s="208" t="s">
        <v>44</v>
      </c>
    </row>
    <row r="1613" spans="1:14">
      <c r="A1613" s="36" t="s">
        <v>32</v>
      </c>
      <c r="B1613" s="37">
        <v>44652</v>
      </c>
      <c r="C1613" s="36" t="s">
        <v>793</v>
      </c>
      <c r="D1613" s="36" t="s">
        <v>794</v>
      </c>
      <c r="E1613" s="36" t="s">
        <v>76</v>
      </c>
      <c r="G1613" s="87">
        <v>2640000</v>
      </c>
      <c r="H1613" s="87">
        <v>264000</v>
      </c>
      <c r="I1613" s="87">
        <v>2904000</v>
      </c>
      <c r="K1613" s="85">
        <v>2022</v>
      </c>
      <c r="L1613" s="85">
        <v>4</v>
      </c>
      <c r="N1613" s="208" t="s">
        <v>44</v>
      </c>
    </row>
    <row r="1614" spans="1:14">
      <c r="A1614" s="36" t="s">
        <v>33</v>
      </c>
      <c r="B1614" s="37">
        <v>44655</v>
      </c>
      <c r="C1614" s="36" t="s">
        <v>124</v>
      </c>
      <c r="D1614" s="36" t="s">
        <v>229</v>
      </c>
      <c r="E1614" s="36" t="s">
        <v>77</v>
      </c>
      <c r="J1614" s="38">
        <v>4774000</v>
      </c>
      <c r="K1614" s="85">
        <v>2022</v>
      </c>
      <c r="L1614" s="85">
        <v>3</v>
      </c>
      <c r="N1614" s="208" t="s">
        <v>44</v>
      </c>
    </row>
    <row r="1615" spans="1:14">
      <c r="A1615" s="36" t="s">
        <v>33</v>
      </c>
      <c r="B1615" s="37">
        <v>44655</v>
      </c>
      <c r="C1615" s="36" t="s">
        <v>781</v>
      </c>
      <c r="D1615" s="36" t="s">
        <v>782</v>
      </c>
      <c r="E1615" s="36" t="s">
        <v>148</v>
      </c>
      <c r="J1615" s="87">
        <v>1673100</v>
      </c>
      <c r="K1615" s="85">
        <v>2022</v>
      </c>
      <c r="L1615" s="85">
        <v>3</v>
      </c>
      <c r="N1615" s="208" t="s">
        <v>44</v>
      </c>
    </row>
    <row r="1616" spans="1:14">
      <c r="A1616" s="36" t="s">
        <v>18</v>
      </c>
      <c r="B1616" s="37">
        <v>44658</v>
      </c>
      <c r="C1616" s="36" t="s">
        <v>496</v>
      </c>
      <c r="D1616" s="36" t="s">
        <v>546</v>
      </c>
      <c r="E1616" s="36" t="s">
        <v>148</v>
      </c>
      <c r="J1616" s="87">
        <v>6325000</v>
      </c>
      <c r="K1616" s="85">
        <v>2022</v>
      </c>
      <c r="L1616" s="85">
        <v>2</v>
      </c>
      <c r="N1616" s="208" t="s">
        <v>44</v>
      </c>
    </row>
    <row r="1617" spans="1:14">
      <c r="A1617" s="36" t="s">
        <v>32</v>
      </c>
      <c r="B1617" s="37">
        <v>44658</v>
      </c>
      <c r="C1617" s="36" t="s">
        <v>793</v>
      </c>
      <c r="D1617" s="36" t="s">
        <v>794</v>
      </c>
      <c r="E1617" s="36" t="s">
        <v>77</v>
      </c>
      <c r="J1617" s="38">
        <v>2904000</v>
      </c>
      <c r="K1617" s="85">
        <v>2022</v>
      </c>
      <c r="L1617" s="85">
        <v>4</v>
      </c>
      <c r="N1617" s="208" t="s">
        <v>44</v>
      </c>
    </row>
    <row r="1618" spans="1:14">
      <c r="A1618" s="36" t="s">
        <v>32</v>
      </c>
      <c r="B1618" s="37">
        <v>44661</v>
      </c>
      <c r="C1618" s="36" t="s">
        <v>739</v>
      </c>
      <c r="D1618" s="36" t="s">
        <v>1731</v>
      </c>
      <c r="E1618" s="36" t="s">
        <v>148</v>
      </c>
      <c r="J1618" s="87">
        <v>7854000</v>
      </c>
      <c r="K1618" s="85">
        <v>2022</v>
      </c>
      <c r="L1618" s="85">
        <v>3</v>
      </c>
      <c r="N1618" s="208" t="s">
        <v>44</v>
      </c>
    </row>
    <row r="1619" spans="1:14">
      <c r="A1619" s="36" t="s">
        <v>32</v>
      </c>
      <c r="B1619" s="37">
        <v>44662</v>
      </c>
      <c r="C1619" s="36" t="s">
        <v>640</v>
      </c>
      <c r="D1619" s="36" t="s">
        <v>763</v>
      </c>
      <c r="E1619" s="36" t="s">
        <v>148</v>
      </c>
      <c r="J1619" s="87">
        <v>17952000</v>
      </c>
      <c r="K1619" s="85">
        <v>2022</v>
      </c>
      <c r="L1619" s="85">
        <v>3</v>
      </c>
      <c r="N1619" s="208" t="s">
        <v>44</v>
      </c>
    </row>
    <row r="1620" spans="1:14">
      <c r="A1620" s="36" t="s">
        <v>32</v>
      </c>
      <c r="B1620" s="37">
        <v>44662</v>
      </c>
      <c r="C1620" s="36" t="s">
        <v>180</v>
      </c>
      <c r="D1620" s="36" t="s">
        <v>765</v>
      </c>
      <c r="E1620" s="36" t="s">
        <v>148</v>
      </c>
      <c r="J1620" s="87">
        <v>3025000</v>
      </c>
      <c r="K1620" s="85">
        <v>2022</v>
      </c>
      <c r="L1620" s="85">
        <v>3</v>
      </c>
      <c r="N1620" s="208" t="s">
        <v>44</v>
      </c>
    </row>
    <row r="1621" spans="1:14">
      <c r="A1621" s="36" t="s">
        <v>32</v>
      </c>
      <c r="B1621" s="37">
        <v>44663</v>
      </c>
      <c r="C1621" s="36" t="s">
        <v>466</v>
      </c>
      <c r="D1621" s="36" t="s">
        <v>467</v>
      </c>
      <c r="E1621" s="36" t="s">
        <v>148</v>
      </c>
      <c r="J1621" s="38">
        <v>3276000</v>
      </c>
      <c r="K1621" s="85">
        <v>2022</v>
      </c>
      <c r="L1621" s="85">
        <v>3</v>
      </c>
      <c r="N1621" s="208" t="s">
        <v>44</v>
      </c>
    </row>
    <row r="1622" spans="1:14">
      <c r="A1622" s="36" t="s">
        <v>18</v>
      </c>
      <c r="B1622" s="37">
        <v>44663</v>
      </c>
      <c r="C1622" s="36" t="s">
        <v>734</v>
      </c>
      <c r="D1622" s="36" t="s">
        <v>735</v>
      </c>
      <c r="E1622" s="36" t="s">
        <v>795</v>
      </c>
      <c r="J1622" s="38">
        <v>24110</v>
      </c>
      <c r="K1622" s="85">
        <v>2022</v>
      </c>
      <c r="L1622" s="85">
        <v>3</v>
      </c>
      <c r="N1622" s="208" t="s">
        <v>44</v>
      </c>
    </row>
    <row r="1623" spans="1:14">
      <c r="A1623" s="36" t="s">
        <v>18</v>
      </c>
      <c r="B1623" s="37">
        <v>44663</v>
      </c>
      <c r="C1623" s="36" t="s">
        <v>734</v>
      </c>
      <c r="D1623" s="36" t="s">
        <v>735</v>
      </c>
      <c r="E1623" s="36" t="s">
        <v>796</v>
      </c>
      <c r="J1623" s="38">
        <v>15570</v>
      </c>
      <c r="K1623" s="85">
        <v>2022</v>
      </c>
      <c r="L1623" s="85">
        <v>3</v>
      </c>
      <c r="N1623" s="208" t="s">
        <v>44</v>
      </c>
    </row>
    <row r="1624" spans="1:14">
      <c r="A1624" s="36" t="s">
        <v>32</v>
      </c>
      <c r="B1624" s="37">
        <v>44664</v>
      </c>
      <c r="C1624" s="36" t="s">
        <v>268</v>
      </c>
      <c r="D1624" s="36" t="s">
        <v>731</v>
      </c>
      <c r="E1624" s="36" t="s">
        <v>148</v>
      </c>
      <c r="J1624" s="87">
        <v>6419600</v>
      </c>
      <c r="K1624" s="85">
        <v>2022</v>
      </c>
      <c r="L1624" s="85">
        <v>3</v>
      </c>
      <c r="N1624" s="208" t="s">
        <v>44</v>
      </c>
    </row>
    <row r="1625" spans="1:14">
      <c r="A1625" s="36" t="s">
        <v>32</v>
      </c>
      <c r="B1625" s="37">
        <v>44665</v>
      </c>
      <c r="C1625" s="36" t="s">
        <v>773</v>
      </c>
      <c r="D1625" s="36" t="s">
        <v>775</v>
      </c>
      <c r="E1625" s="36" t="s">
        <v>148</v>
      </c>
      <c r="J1625" s="38">
        <v>23400500</v>
      </c>
      <c r="K1625" s="85">
        <v>2022</v>
      </c>
      <c r="L1625" s="85">
        <v>3</v>
      </c>
      <c r="N1625" s="208" t="s">
        <v>44</v>
      </c>
    </row>
    <row r="1626" spans="1:14">
      <c r="A1626" s="36" t="s">
        <v>32</v>
      </c>
      <c r="B1626" s="37">
        <v>44665</v>
      </c>
      <c r="C1626" s="36" t="s">
        <v>680</v>
      </c>
      <c r="D1626" s="36" t="s">
        <v>681</v>
      </c>
      <c r="E1626" s="36" t="s">
        <v>148</v>
      </c>
      <c r="J1626" s="87">
        <v>6313120</v>
      </c>
      <c r="K1626" s="85">
        <v>2022</v>
      </c>
      <c r="L1626" s="85">
        <v>2</v>
      </c>
      <c r="N1626" s="208" t="s">
        <v>44</v>
      </c>
    </row>
    <row r="1627" spans="1:14">
      <c r="A1627" s="36" t="s">
        <v>32</v>
      </c>
      <c r="B1627" s="37">
        <v>44666</v>
      </c>
      <c r="C1627" s="36" t="s">
        <v>677</v>
      </c>
      <c r="D1627" s="36" t="s">
        <v>678</v>
      </c>
      <c r="E1627" s="36" t="s">
        <v>148</v>
      </c>
      <c r="J1627" s="87">
        <v>6686108</v>
      </c>
      <c r="K1627" s="85">
        <v>2022</v>
      </c>
      <c r="L1627" s="85">
        <v>3</v>
      </c>
      <c r="N1627" s="208" t="s">
        <v>44</v>
      </c>
    </row>
    <row r="1628" spans="1:14">
      <c r="A1628" s="36" t="s">
        <v>32</v>
      </c>
      <c r="B1628" s="37">
        <v>44666</v>
      </c>
      <c r="C1628" s="36" t="s">
        <v>843</v>
      </c>
      <c r="D1628" s="36" t="s">
        <v>797</v>
      </c>
      <c r="E1628" s="36" t="s">
        <v>76</v>
      </c>
      <c r="G1628" s="87">
        <v>5940000</v>
      </c>
      <c r="H1628" s="87">
        <v>594000</v>
      </c>
      <c r="I1628" s="87">
        <v>6534000</v>
      </c>
      <c r="K1628" s="85">
        <v>2022</v>
      </c>
      <c r="L1628" s="85">
        <v>4</v>
      </c>
      <c r="N1628" s="208" t="s">
        <v>44</v>
      </c>
    </row>
    <row r="1629" spans="1:14">
      <c r="A1629" s="36" t="s">
        <v>32</v>
      </c>
      <c r="B1629" s="37">
        <v>44666</v>
      </c>
      <c r="C1629" s="36" t="s">
        <v>411</v>
      </c>
      <c r="D1629" s="36" t="s">
        <v>412</v>
      </c>
      <c r="E1629" s="36" t="s">
        <v>148</v>
      </c>
      <c r="J1629" s="87">
        <v>71023700</v>
      </c>
      <c r="K1629" s="85">
        <v>2022</v>
      </c>
      <c r="L1629" s="85">
        <v>3</v>
      </c>
      <c r="M1629" s="36" t="s">
        <v>798</v>
      </c>
      <c r="N1629" s="208" t="s">
        <v>44</v>
      </c>
    </row>
    <row r="1630" spans="1:14">
      <c r="A1630" s="36" t="s">
        <v>32</v>
      </c>
      <c r="B1630" s="37">
        <v>44666</v>
      </c>
      <c r="C1630" s="36" t="s">
        <v>411</v>
      </c>
      <c r="D1630" s="36" t="s">
        <v>412</v>
      </c>
      <c r="E1630" s="36" t="s">
        <v>148</v>
      </c>
      <c r="J1630" s="87">
        <v>4155800</v>
      </c>
      <c r="K1630" s="85">
        <v>2022</v>
      </c>
      <c r="L1630" s="85">
        <v>3</v>
      </c>
      <c r="M1630" s="36" t="s">
        <v>798</v>
      </c>
      <c r="N1630" s="208" t="s">
        <v>44</v>
      </c>
    </row>
    <row r="1631" spans="1:14">
      <c r="A1631" s="36" t="s">
        <v>32</v>
      </c>
      <c r="B1631" s="37">
        <v>44666</v>
      </c>
      <c r="C1631" s="36" t="s">
        <v>466</v>
      </c>
      <c r="D1631" s="36" t="s">
        <v>467</v>
      </c>
      <c r="E1631" s="36" t="s">
        <v>77</v>
      </c>
      <c r="J1631" s="38">
        <v>55929608</v>
      </c>
      <c r="K1631" s="85">
        <v>2022</v>
      </c>
      <c r="L1631" s="85">
        <v>4</v>
      </c>
      <c r="N1631" s="208" t="s">
        <v>44</v>
      </c>
    </row>
    <row r="1632" spans="1:14">
      <c r="A1632" s="36" t="s">
        <v>32</v>
      </c>
      <c r="B1632" s="37">
        <v>44666</v>
      </c>
      <c r="C1632" s="36" t="s">
        <v>466</v>
      </c>
      <c r="D1632" s="36" t="s">
        <v>467</v>
      </c>
      <c r="E1632" s="36" t="s">
        <v>799</v>
      </c>
      <c r="J1632" s="38">
        <v>409730</v>
      </c>
      <c r="K1632" s="85">
        <v>2022</v>
      </c>
      <c r="L1632" s="85">
        <v>4</v>
      </c>
      <c r="N1632" s="208" t="s">
        <v>44</v>
      </c>
    </row>
    <row r="1633" spans="1:14">
      <c r="A1633" s="36" t="s">
        <v>32</v>
      </c>
      <c r="B1633" s="37">
        <v>44669</v>
      </c>
      <c r="C1633" s="36" t="s">
        <v>605</v>
      </c>
      <c r="D1633" s="36" t="s">
        <v>606</v>
      </c>
      <c r="E1633" s="36" t="s">
        <v>76</v>
      </c>
      <c r="J1633" s="87">
        <v>4950000</v>
      </c>
      <c r="K1633" s="85">
        <v>2022</v>
      </c>
      <c r="L1633" s="85">
        <v>3</v>
      </c>
      <c r="N1633" s="208" t="s">
        <v>44</v>
      </c>
    </row>
    <row r="1634" spans="1:14">
      <c r="A1634" s="36" t="s">
        <v>18</v>
      </c>
      <c r="B1634" s="37">
        <v>44670</v>
      </c>
      <c r="C1634" s="36" t="s">
        <v>548</v>
      </c>
      <c r="D1634" s="36" t="s">
        <v>712</v>
      </c>
      <c r="E1634" s="36" t="s">
        <v>148</v>
      </c>
      <c r="J1634" s="87">
        <v>4070000</v>
      </c>
      <c r="K1634" s="85">
        <v>2022</v>
      </c>
      <c r="L1634" s="85">
        <v>2</v>
      </c>
      <c r="N1634" s="208" t="s">
        <v>44</v>
      </c>
    </row>
    <row r="1635" spans="1:14">
      <c r="A1635" s="36" t="s">
        <v>33</v>
      </c>
      <c r="B1635" s="37">
        <v>44670</v>
      </c>
      <c r="C1635" s="36" t="s">
        <v>800</v>
      </c>
      <c r="D1635" s="36" t="s">
        <v>801</v>
      </c>
      <c r="E1635" s="36" t="s">
        <v>802</v>
      </c>
      <c r="G1635" s="87">
        <v>31030000</v>
      </c>
      <c r="H1635" s="87">
        <v>3103000</v>
      </c>
      <c r="I1635" s="87">
        <v>34133000</v>
      </c>
      <c r="K1635" s="85">
        <v>2022</v>
      </c>
      <c r="L1635" s="85">
        <v>4</v>
      </c>
      <c r="N1635" s="208" t="s">
        <v>44</v>
      </c>
    </row>
    <row r="1636" spans="1:14">
      <c r="A1636" s="36" t="s">
        <v>33</v>
      </c>
      <c r="B1636" s="37">
        <v>44671</v>
      </c>
      <c r="C1636" s="36" t="s">
        <v>120</v>
      </c>
      <c r="D1636" s="36" t="s">
        <v>121</v>
      </c>
      <c r="E1636" s="36" t="s">
        <v>122</v>
      </c>
      <c r="G1636" s="87">
        <v>727272</v>
      </c>
      <c r="H1636" s="87">
        <v>72728</v>
      </c>
      <c r="I1636" s="87">
        <v>800000</v>
      </c>
      <c r="K1636" s="85">
        <v>2022</v>
      </c>
      <c r="L1636" s="85">
        <v>4</v>
      </c>
      <c r="N1636" s="208" t="s">
        <v>44</v>
      </c>
    </row>
    <row r="1637" spans="1:14">
      <c r="A1637" s="36" t="s">
        <v>33</v>
      </c>
      <c r="B1637" s="37">
        <v>44671</v>
      </c>
      <c r="C1637" s="36" t="s">
        <v>800</v>
      </c>
      <c r="D1637" s="36" t="s">
        <v>801</v>
      </c>
      <c r="E1637" s="36" t="s">
        <v>803</v>
      </c>
      <c r="J1637" s="38">
        <v>5000000</v>
      </c>
      <c r="K1637" s="85">
        <v>2022</v>
      </c>
      <c r="L1637" s="85">
        <v>4</v>
      </c>
      <c r="N1637" s="208" t="s">
        <v>44</v>
      </c>
    </row>
    <row r="1638" spans="1:14">
      <c r="A1638" s="36" t="s">
        <v>32</v>
      </c>
      <c r="B1638" s="37">
        <v>44672</v>
      </c>
      <c r="C1638" s="36" t="s">
        <v>185</v>
      </c>
      <c r="D1638" s="36" t="s">
        <v>683</v>
      </c>
      <c r="E1638" s="36" t="s">
        <v>148</v>
      </c>
      <c r="J1638" s="87">
        <v>24318893.5</v>
      </c>
      <c r="K1638" s="85">
        <v>2022</v>
      </c>
      <c r="L1638" s="85">
        <v>3</v>
      </c>
      <c r="N1638" s="208" t="s">
        <v>44</v>
      </c>
    </row>
    <row r="1639" spans="1:14">
      <c r="A1639" s="36" t="s">
        <v>33</v>
      </c>
      <c r="B1639" s="37">
        <v>44674</v>
      </c>
      <c r="C1639" s="36" t="s">
        <v>745</v>
      </c>
      <c r="D1639" s="36" t="s">
        <v>746</v>
      </c>
      <c r="E1639" s="36" t="s">
        <v>752</v>
      </c>
      <c r="G1639" s="87">
        <v>1100000</v>
      </c>
      <c r="H1639" s="87">
        <v>110000</v>
      </c>
      <c r="I1639" s="87">
        <v>1210000</v>
      </c>
      <c r="K1639" s="85">
        <v>2022</v>
      </c>
      <c r="L1639" s="85">
        <v>4</v>
      </c>
      <c r="M1639" s="36" t="s">
        <v>746</v>
      </c>
      <c r="N1639" s="208" t="s">
        <v>44</v>
      </c>
    </row>
    <row r="1640" spans="1:14">
      <c r="A1640" s="36" t="s">
        <v>33</v>
      </c>
      <c r="B1640" s="37">
        <v>44676</v>
      </c>
      <c r="C1640" s="36" t="s">
        <v>120</v>
      </c>
      <c r="D1640" s="36" t="s">
        <v>121</v>
      </c>
      <c r="E1640" s="36" t="s">
        <v>77</v>
      </c>
      <c r="J1640" s="38">
        <v>800000</v>
      </c>
      <c r="K1640" s="85">
        <v>2022</v>
      </c>
      <c r="L1640" s="85">
        <v>4</v>
      </c>
      <c r="N1640" s="208" t="s">
        <v>44</v>
      </c>
    </row>
    <row r="1641" spans="1:14">
      <c r="A1641" s="36" t="s">
        <v>32</v>
      </c>
      <c r="B1641" s="37">
        <v>44676</v>
      </c>
      <c r="C1641" s="36" t="s">
        <v>843</v>
      </c>
      <c r="D1641" s="36" t="s">
        <v>797</v>
      </c>
      <c r="E1641" s="36" t="s">
        <v>77</v>
      </c>
      <c r="J1641" s="38">
        <v>6534000</v>
      </c>
      <c r="K1641" s="85">
        <v>2022</v>
      </c>
      <c r="L1641" s="85">
        <v>4</v>
      </c>
      <c r="N1641" s="208" t="s">
        <v>44</v>
      </c>
    </row>
    <row r="1642" spans="1:14">
      <c r="A1642" s="36" t="s">
        <v>32</v>
      </c>
      <c r="B1642" s="37">
        <v>44676</v>
      </c>
      <c r="C1642" s="36" t="s">
        <v>171</v>
      </c>
      <c r="D1642" s="36" t="s">
        <v>792</v>
      </c>
      <c r="E1642" s="36" t="s">
        <v>77</v>
      </c>
      <c r="J1642" s="38">
        <v>4400000</v>
      </c>
      <c r="K1642" s="85">
        <v>2022</v>
      </c>
      <c r="L1642" s="85">
        <v>4</v>
      </c>
      <c r="N1642" s="208" t="s">
        <v>44</v>
      </c>
    </row>
    <row r="1643" spans="1:14">
      <c r="A1643" s="36" t="s">
        <v>32</v>
      </c>
      <c r="B1643" s="37">
        <v>44677</v>
      </c>
      <c r="C1643" s="36" t="s">
        <v>773</v>
      </c>
      <c r="D1643" s="36" t="s">
        <v>774</v>
      </c>
      <c r="E1643" s="36" t="s">
        <v>148</v>
      </c>
      <c r="J1643" s="87">
        <v>16038000</v>
      </c>
      <c r="K1643" s="85">
        <v>2022</v>
      </c>
      <c r="L1643" s="85">
        <v>3</v>
      </c>
      <c r="N1643" s="208" t="s">
        <v>44</v>
      </c>
    </row>
    <row r="1644" spans="1:14">
      <c r="A1644" s="36" t="s">
        <v>32</v>
      </c>
      <c r="B1644" s="37">
        <v>44677</v>
      </c>
      <c r="C1644" s="36" t="s">
        <v>474</v>
      </c>
      <c r="D1644" s="36" t="s">
        <v>804</v>
      </c>
      <c r="E1644" s="36" t="s">
        <v>76</v>
      </c>
      <c r="G1644" s="87">
        <v>7773000</v>
      </c>
      <c r="H1644" s="87">
        <v>777300</v>
      </c>
      <c r="I1644" s="87">
        <v>8550300</v>
      </c>
      <c r="K1644" s="85">
        <v>2022</v>
      </c>
      <c r="L1644" s="85">
        <v>4</v>
      </c>
      <c r="N1644" s="208" t="s">
        <v>44</v>
      </c>
    </row>
    <row r="1645" spans="1:14">
      <c r="A1645" s="36" t="s">
        <v>32</v>
      </c>
      <c r="B1645" s="37">
        <v>44678</v>
      </c>
      <c r="C1645" s="36" t="s">
        <v>793</v>
      </c>
      <c r="D1645" s="36" t="s">
        <v>794</v>
      </c>
      <c r="E1645" s="36" t="s">
        <v>76</v>
      </c>
      <c r="G1645" s="87">
        <v>12620700</v>
      </c>
      <c r="H1645" s="87">
        <v>1262070</v>
      </c>
      <c r="I1645" s="87">
        <v>13882770</v>
      </c>
      <c r="K1645" s="85">
        <v>2022</v>
      </c>
      <c r="L1645" s="85">
        <v>4</v>
      </c>
      <c r="N1645" s="208" t="s">
        <v>44</v>
      </c>
    </row>
    <row r="1646" spans="1:14">
      <c r="A1646" s="36" t="s">
        <v>19</v>
      </c>
      <c r="B1646" s="37">
        <v>44679</v>
      </c>
      <c r="C1646" s="36" t="s">
        <v>395</v>
      </c>
      <c r="D1646" s="36" t="s">
        <v>805</v>
      </c>
      <c r="E1646" s="36" t="s">
        <v>806</v>
      </c>
      <c r="G1646" s="87">
        <v>2825455</v>
      </c>
      <c r="H1646" s="87">
        <v>282545.5</v>
      </c>
      <c r="I1646" s="87">
        <v>3108000.5</v>
      </c>
      <c r="K1646" s="85">
        <v>2022</v>
      </c>
      <c r="L1646" s="85">
        <v>4</v>
      </c>
      <c r="N1646" s="208" t="s">
        <v>44</v>
      </c>
    </row>
    <row r="1647" spans="1:14">
      <c r="A1647" s="36" t="s">
        <v>32</v>
      </c>
      <c r="B1647" s="37">
        <v>44679</v>
      </c>
      <c r="C1647" s="36" t="s">
        <v>511</v>
      </c>
      <c r="D1647" s="36" t="s">
        <v>512</v>
      </c>
      <c r="E1647" s="36" t="s">
        <v>148</v>
      </c>
      <c r="J1647" s="87">
        <v>11950070</v>
      </c>
      <c r="K1647" s="85">
        <v>2022</v>
      </c>
      <c r="L1647" s="85">
        <v>3</v>
      </c>
      <c r="N1647" s="208" t="s">
        <v>44</v>
      </c>
    </row>
    <row r="1648" spans="1:14">
      <c r="A1648" s="36" t="s">
        <v>32</v>
      </c>
      <c r="B1648" s="37">
        <v>44679</v>
      </c>
      <c r="C1648" s="36" t="s">
        <v>807</v>
      </c>
      <c r="D1648" s="36" t="s">
        <v>808</v>
      </c>
      <c r="E1648" s="36" t="s">
        <v>76</v>
      </c>
      <c r="G1648" s="87">
        <v>3840000</v>
      </c>
      <c r="H1648" s="87">
        <v>384000</v>
      </c>
      <c r="I1648" s="87">
        <v>4224000</v>
      </c>
      <c r="K1648" s="85">
        <v>2022</v>
      </c>
      <c r="L1648" s="85">
        <v>4</v>
      </c>
      <c r="N1648" s="208" t="s">
        <v>44</v>
      </c>
    </row>
    <row r="1649" spans="1:14">
      <c r="A1649" s="36" t="s">
        <v>32</v>
      </c>
      <c r="B1649" s="37">
        <v>44680</v>
      </c>
      <c r="C1649" s="36" t="s">
        <v>174</v>
      </c>
      <c r="D1649" s="36" t="s">
        <v>540</v>
      </c>
      <c r="E1649" s="36" t="s">
        <v>76</v>
      </c>
      <c r="G1649" s="87">
        <v>45516600</v>
      </c>
      <c r="H1649" s="87">
        <v>4551660</v>
      </c>
      <c r="I1649" s="87">
        <v>50068260</v>
      </c>
      <c r="K1649" s="85">
        <v>2022</v>
      </c>
      <c r="L1649" s="85">
        <v>4</v>
      </c>
      <c r="N1649" s="208" t="s">
        <v>44</v>
      </c>
    </row>
    <row r="1650" spans="1:14">
      <c r="A1650" s="36" t="s">
        <v>32</v>
      </c>
      <c r="B1650" s="37">
        <v>44680</v>
      </c>
      <c r="C1650" s="36" t="s">
        <v>209</v>
      </c>
      <c r="D1650" s="36" t="s">
        <v>541</v>
      </c>
      <c r="E1650" s="36" t="s">
        <v>148</v>
      </c>
      <c r="J1650" s="87">
        <v>26845280</v>
      </c>
      <c r="K1650" s="85">
        <v>2022</v>
      </c>
      <c r="L1650" s="85">
        <v>3</v>
      </c>
      <c r="N1650" s="208" t="s">
        <v>44</v>
      </c>
    </row>
    <row r="1651" spans="1:14">
      <c r="A1651" s="36" t="s">
        <v>32</v>
      </c>
      <c r="B1651" s="37">
        <v>44680</v>
      </c>
      <c r="C1651" s="36" t="s">
        <v>209</v>
      </c>
      <c r="D1651" s="36" t="s">
        <v>859</v>
      </c>
      <c r="E1651" s="36" t="s">
        <v>77</v>
      </c>
      <c r="J1651" s="38">
        <v>3564000</v>
      </c>
      <c r="K1651" s="85">
        <v>2022</v>
      </c>
      <c r="L1651" s="85">
        <v>5</v>
      </c>
      <c r="N1651" s="1" t="s">
        <v>44</v>
      </c>
    </row>
    <row r="1652" spans="1:14">
      <c r="A1652" s="36" t="s">
        <v>32</v>
      </c>
      <c r="B1652" s="37">
        <v>44680</v>
      </c>
      <c r="C1652" s="36" t="s">
        <v>204</v>
      </c>
      <c r="D1652" s="36" t="s">
        <v>706</v>
      </c>
      <c r="E1652" s="36" t="s">
        <v>148</v>
      </c>
      <c r="J1652" s="87">
        <v>2279596</v>
      </c>
      <c r="K1652" s="85">
        <v>2022</v>
      </c>
      <c r="L1652" s="85">
        <v>3</v>
      </c>
      <c r="N1652" s="208" t="s">
        <v>44</v>
      </c>
    </row>
    <row r="1653" spans="1:14">
      <c r="A1653" s="36" t="s">
        <v>32</v>
      </c>
      <c r="B1653" s="37">
        <v>44680</v>
      </c>
      <c r="C1653" s="36" t="s">
        <v>204</v>
      </c>
      <c r="D1653" s="36" t="s">
        <v>205</v>
      </c>
      <c r="E1653" s="36" t="s">
        <v>148</v>
      </c>
      <c r="J1653" s="87">
        <v>47520000</v>
      </c>
      <c r="K1653" s="85">
        <v>2022</v>
      </c>
      <c r="L1653" s="85">
        <v>3</v>
      </c>
      <c r="N1653" s="208" t="s">
        <v>44</v>
      </c>
    </row>
    <row r="1654" spans="1:14">
      <c r="A1654" s="36" t="s">
        <v>33</v>
      </c>
      <c r="B1654" s="37">
        <v>44680</v>
      </c>
      <c r="C1654" s="36" t="s">
        <v>584</v>
      </c>
      <c r="D1654" s="36" t="s">
        <v>205</v>
      </c>
      <c r="E1654" s="36" t="s">
        <v>77</v>
      </c>
      <c r="J1654" s="87">
        <v>2138400</v>
      </c>
      <c r="K1654" s="85">
        <v>2022</v>
      </c>
      <c r="L1654" s="85">
        <v>3</v>
      </c>
      <c r="N1654" s="208" t="s">
        <v>44</v>
      </c>
    </row>
    <row r="1655" spans="1:14">
      <c r="A1655" s="36" t="s">
        <v>32</v>
      </c>
      <c r="B1655" s="37">
        <v>44680</v>
      </c>
      <c r="C1655" s="36" t="s">
        <v>768</v>
      </c>
      <c r="D1655" s="36" t="s">
        <v>769</v>
      </c>
      <c r="E1655" s="36" t="s">
        <v>148</v>
      </c>
      <c r="J1655" s="87">
        <v>16500000</v>
      </c>
      <c r="K1655" s="85">
        <v>2022</v>
      </c>
      <c r="L1655" s="85">
        <v>3</v>
      </c>
      <c r="N1655" s="208" t="s">
        <v>44</v>
      </c>
    </row>
    <row r="1656" spans="1:14">
      <c r="A1656" s="36" t="s">
        <v>32</v>
      </c>
      <c r="B1656" s="37">
        <v>44680</v>
      </c>
      <c r="C1656" s="36" t="s">
        <v>768</v>
      </c>
      <c r="D1656" s="36" t="s">
        <v>769</v>
      </c>
      <c r="E1656" s="36" t="s">
        <v>148</v>
      </c>
      <c r="J1656" s="87">
        <v>7425000</v>
      </c>
      <c r="K1656" s="85">
        <v>2022</v>
      </c>
      <c r="L1656" s="85">
        <v>3</v>
      </c>
      <c r="N1656" s="208" t="s">
        <v>44</v>
      </c>
    </row>
    <row r="1657" spans="1:14">
      <c r="A1657" s="36" t="s">
        <v>33</v>
      </c>
      <c r="B1657" s="37">
        <v>44680</v>
      </c>
      <c r="C1657" s="36" t="s">
        <v>745</v>
      </c>
      <c r="D1657" s="36" t="s">
        <v>746</v>
      </c>
      <c r="E1657" s="36" t="s">
        <v>148</v>
      </c>
      <c r="J1657" s="87">
        <v>2420000</v>
      </c>
      <c r="K1657" s="85">
        <v>2022</v>
      </c>
      <c r="L1657" s="85">
        <v>3</v>
      </c>
      <c r="M1657" s="36" t="s">
        <v>746</v>
      </c>
      <c r="N1657" s="208" t="s">
        <v>44</v>
      </c>
    </row>
    <row r="1658" spans="1:14">
      <c r="A1658" s="36" t="s">
        <v>33</v>
      </c>
      <c r="B1658" s="37">
        <v>44680</v>
      </c>
      <c r="C1658" s="36" t="s">
        <v>745</v>
      </c>
      <c r="D1658" s="36" t="s">
        <v>712</v>
      </c>
      <c r="E1658" s="36" t="s">
        <v>148</v>
      </c>
      <c r="J1658" s="87">
        <v>330000</v>
      </c>
      <c r="K1658" s="85">
        <v>2022</v>
      </c>
      <c r="L1658" s="85">
        <v>3</v>
      </c>
      <c r="M1658" s="36" t="s">
        <v>712</v>
      </c>
      <c r="N1658" s="208" t="s">
        <v>44</v>
      </c>
    </row>
    <row r="1659" spans="1:14">
      <c r="A1659" s="36" t="s">
        <v>33</v>
      </c>
      <c r="B1659" s="37">
        <v>44680</v>
      </c>
      <c r="C1659" s="36" t="s">
        <v>745</v>
      </c>
      <c r="D1659" s="36" t="s">
        <v>746</v>
      </c>
      <c r="E1659" s="36" t="s">
        <v>148</v>
      </c>
      <c r="J1659" s="87">
        <v>440000</v>
      </c>
      <c r="K1659" s="85">
        <v>2022</v>
      </c>
      <c r="L1659" s="85">
        <v>3</v>
      </c>
      <c r="M1659" s="36" t="s">
        <v>746</v>
      </c>
      <c r="N1659" s="208" t="s">
        <v>44</v>
      </c>
    </row>
    <row r="1660" spans="1:14">
      <c r="A1660" s="36" t="s">
        <v>33</v>
      </c>
      <c r="B1660" s="37">
        <v>44680</v>
      </c>
      <c r="C1660" s="36" t="s">
        <v>745</v>
      </c>
      <c r="D1660" s="36" t="s">
        <v>522</v>
      </c>
      <c r="E1660" s="36" t="s">
        <v>148</v>
      </c>
      <c r="J1660" s="87">
        <v>1320000</v>
      </c>
      <c r="K1660" s="85">
        <v>2022</v>
      </c>
      <c r="L1660" s="85">
        <v>3</v>
      </c>
      <c r="M1660" s="36" t="s">
        <v>522</v>
      </c>
      <c r="N1660" s="208" t="s">
        <v>44</v>
      </c>
    </row>
    <row r="1661" spans="1:14">
      <c r="A1661" s="36" t="s">
        <v>32</v>
      </c>
      <c r="B1661" s="37">
        <v>44680</v>
      </c>
      <c r="C1661" s="36" t="s">
        <v>334</v>
      </c>
      <c r="D1661" s="36" t="s">
        <v>586</v>
      </c>
      <c r="E1661" s="36" t="s">
        <v>76</v>
      </c>
      <c r="G1661" s="87">
        <v>4895000</v>
      </c>
      <c r="H1661" s="87">
        <v>489500</v>
      </c>
      <c r="I1661" s="87">
        <v>5384500</v>
      </c>
      <c r="K1661" s="85">
        <v>2022</v>
      </c>
      <c r="L1661" s="85">
        <v>4</v>
      </c>
      <c r="N1661" s="208" t="s">
        <v>44</v>
      </c>
    </row>
    <row r="1662" spans="1:14">
      <c r="A1662" s="36" t="s">
        <v>32</v>
      </c>
      <c r="B1662" s="37">
        <v>44680</v>
      </c>
      <c r="C1662" s="36" t="s">
        <v>773</v>
      </c>
      <c r="D1662" s="36" t="s">
        <v>809</v>
      </c>
      <c r="E1662" s="36" t="s">
        <v>76</v>
      </c>
      <c r="G1662" s="87">
        <v>750000</v>
      </c>
      <c r="H1662" s="87">
        <v>75000</v>
      </c>
      <c r="I1662" s="87">
        <v>825000</v>
      </c>
      <c r="K1662" s="85">
        <v>2022</v>
      </c>
      <c r="L1662" s="85">
        <v>4</v>
      </c>
      <c r="N1662" s="208" t="s">
        <v>44</v>
      </c>
    </row>
    <row r="1663" spans="1:14">
      <c r="A1663" s="36" t="s">
        <v>32</v>
      </c>
      <c r="B1663" s="37">
        <v>44680</v>
      </c>
      <c r="C1663" s="36" t="s">
        <v>773</v>
      </c>
      <c r="D1663" s="36" t="s">
        <v>809</v>
      </c>
      <c r="E1663" s="36" t="s">
        <v>148</v>
      </c>
      <c r="J1663" s="87">
        <v>825000</v>
      </c>
      <c r="K1663" s="85">
        <v>2022</v>
      </c>
      <c r="L1663" s="85">
        <v>4</v>
      </c>
      <c r="N1663" s="208" t="s">
        <v>44</v>
      </c>
    </row>
    <row r="1664" spans="1:14">
      <c r="A1664" s="36" t="s">
        <v>32</v>
      </c>
      <c r="B1664" s="37">
        <v>44680</v>
      </c>
      <c r="C1664" s="36" t="s">
        <v>505</v>
      </c>
      <c r="D1664" s="36" t="s">
        <v>506</v>
      </c>
      <c r="E1664" s="36" t="s">
        <v>148</v>
      </c>
      <c r="J1664" s="87">
        <v>26151774</v>
      </c>
      <c r="K1664" s="85">
        <v>2022</v>
      </c>
      <c r="L1664" s="85">
        <v>3</v>
      </c>
      <c r="N1664" s="208" t="s">
        <v>44</v>
      </c>
    </row>
    <row r="1665" spans="1:14">
      <c r="A1665" s="36" t="s">
        <v>32</v>
      </c>
      <c r="B1665" s="37">
        <v>44680</v>
      </c>
      <c r="C1665" s="36" t="s">
        <v>776</v>
      </c>
      <c r="D1665" s="36" t="s">
        <v>777</v>
      </c>
      <c r="E1665" s="36" t="s">
        <v>148</v>
      </c>
      <c r="J1665" s="87">
        <v>8453214</v>
      </c>
      <c r="K1665" s="85">
        <v>2022</v>
      </c>
      <c r="L1665" s="85">
        <v>3</v>
      </c>
      <c r="N1665" s="208" t="s">
        <v>44</v>
      </c>
    </row>
    <row r="1666" spans="1:14">
      <c r="A1666" s="36" t="s">
        <v>18</v>
      </c>
      <c r="B1666" s="37">
        <v>44680</v>
      </c>
      <c r="C1666" s="36" t="s">
        <v>555</v>
      </c>
      <c r="D1666" s="36" t="s">
        <v>730</v>
      </c>
      <c r="E1666" s="36" t="s">
        <v>148</v>
      </c>
      <c r="J1666" s="87">
        <v>3226080</v>
      </c>
      <c r="K1666" s="85">
        <v>2022</v>
      </c>
      <c r="L1666" s="85">
        <v>2</v>
      </c>
      <c r="N1666" s="208" t="s">
        <v>44</v>
      </c>
    </row>
    <row r="1667" spans="1:14">
      <c r="A1667" s="36" t="s">
        <v>32</v>
      </c>
      <c r="B1667" s="37">
        <v>44680</v>
      </c>
      <c r="C1667" s="36" t="s">
        <v>185</v>
      </c>
      <c r="D1667" s="36" t="s">
        <v>778</v>
      </c>
      <c r="E1667" s="36" t="s">
        <v>148</v>
      </c>
      <c r="J1667" s="87">
        <v>5458893</v>
      </c>
      <c r="K1667" s="85">
        <v>2022</v>
      </c>
      <c r="L1667" s="85">
        <v>3</v>
      </c>
      <c r="N1667" s="208" t="s">
        <v>44</v>
      </c>
    </row>
    <row r="1668" spans="1:14">
      <c r="A1668" s="36" t="s">
        <v>32</v>
      </c>
      <c r="B1668" s="37">
        <v>44680</v>
      </c>
      <c r="C1668" s="36" t="s">
        <v>188</v>
      </c>
      <c r="D1668" s="36" t="s">
        <v>785</v>
      </c>
      <c r="E1668" s="36" t="s">
        <v>148</v>
      </c>
      <c r="J1668" s="87">
        <v>3366000</v>
      </c>
      <c r="K1668" s="85">
        <v>2022</v>
      </c>
      <c r="L1668" s="85">
        <v>3</v>
      </c>
      <c r="N1668" s="208" t="s">
        <v>44</v>
      </c>
    </row>
    <row r="1669" spans="1:14">
      <c r="A1669" s="36" t="s">
        <v>32</v>
      </c>
      <c r="B1669" s="37">
        <v>44680</v>
      </c>
      <c r="C1669" s="36" t="s">
        <v>188</v>
      </c>
      <c r="D1669" s="36" t="s">
        <v>351</v>
      </c>
      <c r="E1669" s="36" t="s">
        <v>148</v>
      </c>
      <c r="J1669" s="38">
        <v>3311000</v>
      </c>
      <c r="K1669" s="85">
        <v>2021</v>
      </c>
      <c r="L1669" s="85">
        <v>6</v>
      </c>
      <c r="N1669" s="208" t="s">
        <v>44</v>
      </c>
    </row>
    <row r="1670" spans="1:14">
      <c r="A1670" s="36" t="s">
        <v>32</v>
      </c>
      <c r="B1670" s="37">
        <v>44680</v>
      </c>
      <c r="C1670" s="36" t="s">
        <v>175</v>
      </c>
      <c r="D1670" s="36" t="s">
        <v>810</v>
      </c>
      <c r="E1670" s="36" t="s">
        <v>76</v>
      </c>
      <c r="G1670" s="87">
        <v>5968500</v>
      </c>
      <c r="H1670" s="87">
        <v>596850</v>
      </c>
      <c r="I1670" s="87">
        <v>6565350</v>
      </c>
      <c r="K1670" s="85">
        <v>2022</v>
      </c>
      <c r="L1670" s="85">
        <v>4</v>
      </c>
      <c r="N1670" s="208" t="s">
        <v>44</v>
      </c>
    </row>
    <row r="1671" spans="1:14">
      <c r="A1671" s="36" t="s">
        <v>32</v>
      </c>
      <c r="B1671" s="37">
        <v>44680</v>
      </c>
      <c r="C1671" s="36" t="s">
        <v>175</v>
      </c>
      <c r="D1671" s="36" t="s">
        <v>786</v>
      </c>
      <c r="E1671" s="36" t="s">
        <v>76</v>
      </c>
      <c r="G1671" s="87">
        <v>4446000</v>
      </c>
      <c r="H1671" s="87">
        <v>444600</v>
      </c>
      <c r="I1671" s="87">
        <v>4890600</v>
      </c>
      <c r="K1671" s="85">
        <v>2022</v>
      </c>
      <c r="L1671" s="85">
        <v>4</v>
      </c>
      <c r="N1671" s="208" t="s">
        <v>44</v>
      </c>
    </row>
    <row r="1672" spans="1:14">
      <c r="A1672" s="36" t="s">
        <v>32</v>
      </c>
      <c r="B1672" s="37">
        <v>44680</v>
      </c>
      <c r="C1672" s="36" t="s">
        <v>787</v>
      </c>
      <c r="D1672" s="36" t="s">
        <v>788</v>
      </c>
      <c r="E1672" s="36" t="s">
        <v>148</v>
      </c>
      <c r="J1672" s="87">
        <v>17534000</v>
      </c>
      <c r="K1672" s="85">
        <v>2022</v>
      </c>
      <c r="L1672" s="85">
        <v>3</v>
      </c>
      <c r="N1672" s="208" t="s">
        <v>44</v>
      </c>
    </row>
    <row r="1673" spans="1:14">
      <c r="A1673" s="36" t="s">
        <v>32</v>
      </c>
      <c r="B1673" s="37">
        <v>44680</v>
      </c>
      <c r="C1673" s="36" t="s">
        <v>651</v>
      </c>
      <c r="D1673" s="36" t="s">
        <v>652</v>
      </c>
      <c r="E1673" s="36" t="s">
        <v>148</v>
      </c>
      <c r="J1673" s="87">
        <v>14025000</v>
      </c>
      <c r="K1673" s="85">
        <v>2022</v>
      </c>
      <c r="L1673" s="85">
        <v>3</v>
      </c>
      <c r="N1673" s="208" t="s">
        <v>44</v>
      </c>
    </row>
    <row r="1674" spans="1:14">
      <c r="A1674" s="36" t="s">
        <v>33</v>
      </c>
      <c r="B1674" s="37">
        <v>44680</v>
      </c>
      <c r="C1674" s="36" t="s">
        <v>789</v>
      </c>
      <c r="D1674" s="36" t="s">
        <v>790</v>
      </c>
      <c r="E1674" s="36" t="s">
        <v>148</v>
      </c>
      <c r="J1674" s="87">
        <v>8355380</v>
      </c>
      <c r="K1674" s="85">
        <v>2022</v>
      </c>
      <c r="L1674" s="85">
        <v>3</v>
      </c>
      <c r="N1674" s="208" t="s">
        <v>44</v>
      </c>
    </row>
    <row r="1675" spans="1:14">
      <c r="A1675" s="36" t="s">
        <v>32</v>
      </c>
      <c r="B1675" s="37">
        <v>44681</v>
      </c>
      <c r="C1675" s="36" t="s">
        <v>760</v>
      </c>
      <c r="D1675" s="36" t="s">
        <v>761</v>
      </c>
      <c r="E1675" s="36" t="s">
        <v>76</v>
      </c>
      <c r="G1675" s="87">
        <v>9135300</v>
      </c>
      <c r="H1675" s="87">
        <v>913530</v>
      </c>
      <c r="I1675" s="87">
        <v>10048830</v>
      </c>
      <c r="K1675" s="85">
        <v>2022</v>
      </c>
      <c r="L1675" s="85">
        <v>4</v>
      </c>
      <c r="N1675" s="208" t="s">
        <v>44</v>
      </c>
    </row>
    <row r="1676" spans="1:14">
      <c r="A1676" s="36" t="s">
        <v>32</v>
      </c>
      <c r="B1676" s="37">
        <v>44681</v>
      </c>
      <c r="C1676" s="36" t="s">
        <v>664</v>
      </c>
      <c r="D1676" s="36" t="s">
        <v>629</v>
      </c>
      <c r="E1676" s="36" t="s">
        <v>76</v>
      </c>
      <c r="G1676" s="87">
        <v>3927000</v>
      </c>
      <c r="H1676" s="87">
        <v>392700</v>
      </c>
      <c r="I1676" s="87">
        <v>4319700</v>
      </c>
      <c r="K1676" s="85">
        <v>2022</v>
      </c>
      <c r="L1676" s="85">
        <v>4</v>
      </c>
      <c r="N1676" s="208" t="s">
        <v>44</v>
      </c>
    </row>
    <row r="1677" spans="1:14">
      <c r="A1677" s="36" t="s">
        <v>32</v>
      </c>
      <c r="B1677" s="37">
        <v>44681</v>
      </c>
      <c r="C1677" s="36" t="s">
        <v>174</v>
      </c>
      <c r="D1677" s="36" t="s">
        <v>213</v>
      </c>
      <c r="E1677" s="36" t="s">
        <v>76</v>
      </c>
      <c r="G1677" s="87">
        <v>3738000</v>
      </c>
      <c r="H1677" s="87">
        <v>373800</v>
      </c>
      <c r="I1677" s="87">
        <v>4111800</v>
      </c>
      <c r="K1677" s="85">
        <v>2022</v>
      </c>
      <c r="L1677" s="85">
        <v>4</v>
      </c>
      <c r="N1677" s="208" t="s">
        <v>44</v>
      </c>
    </row>
    <row r="1678" spans="1:14">
      <c r="A1678" s="36" t="s">
        <v>32</v>
      </c>
      <c r="B1678" s="37">
        <v>44681</v>
      </c>
      <c r="C1678" s="36" t="s">
        <v>174</v>
      </c>
      <c r="D1678" s="36" t="s">
        <v>811</v>
      </c>
      <c r="E1678" s="36" t="s">
        <v>76</v>
      </c>
      <c r="G1678" s="87">
        <v>10638000</v>
      </c>
      <c r="H1678" s="87">
        <v>1063800</v>
      </c>
      <c r="I1678" s="87">
        <v>11701800</v>
      </c>
      <c r="K1678" s="85">
        <v>2022</v>
      </c>
      <c r="L1678" s="85">
        <v>4</v>
      </c>
      <c r="N1678" s="208" t="s">
        <v>44</v>
      </c>
    </row>
    <row r="1679" spans="1:14">
      <c r="A1679" s="36" t="s">
        <v>32</v>
      </c>
      <c r="B1679" s="37">
        <v>44681</v>
      </c>
      <c r="C1679" s="36" t="s">
        <v>209</v>
      </c>
      <c r="D1679" s="36" t="s">
        <v>812</v>
      </c>
      <c r="E1679" s="36" t="s">
        <v>76</v>
      </c>
      <c r="G1679" s="87">
        <v>1120000</v>
      </c>
      <c r="H1679" s="87">
        <v>112000</v>
      </c>
      <c r="I1679" s="87">
        <v>1232000</v>
      </c>
      <c r="K1679" s="85">
        <v>2022</v>
      </c>
      <c r="L1679" s="85">
        <v>4</v>
      </c>
      <c r="N1679" s="208" t="s">
        <v>44</v>
      </c>
    </row>
    <row r="1680" spans="1:14">
      <c r="A1680" s="36" t="s">
        <v>32</v>
      </c>
      <c r="B1680" s="37">
        <v>44681</v>
      </c>
      <c r="C1680" s="36" t="s">
        <v>209</v>
      </c>
      <c r="D1680" s="36" t="s">
        <v>541</v>
      </c>
      <c r="E1680" s="36" t="s">
        <v>76</v>
      </c>
      <c r="G1680" s="87">
        <v>36749000</v>
      </c>
      <c r="H1680" s="87">
        <v>3674900</v>
      </c>
      <c r="I1680" s="87">
        <v>40423900</v>
      </c>
      <c r="K1680" s="85">
        <v>2022</v>
      </c>
      <c r="L1680" s="85">
        <v>4</v>
      </c>
      <c r="N1680" s="208" t="s">
        <v>44</v>
      </c>
    </row>
    <row r="1681" spans="1:14">
      <c r="A1681" s="36" t="s">
        <v>32</v>
      </c>
      <c r="B1681" s="37">
        <v>44681</v>
      </c>
      <c r="C1681" s="36" t="s">
        <v>640</v>
      </c>
      <c r="D1681" s="36" t="s">
        <v>763</v>
      </c>
      <c r="E1681" s="36" t="s">
        <v>76</v>
      </c>
      <c r="G1681" s="87">
        <v>36240000</v>
      </c>
      <c r="H1681" s="87">
        <v>3624000</v>
      </c>
      <c r="I1681" s="87">
        <v>39864000</v>
      </c>
      <c r="K1681" s="85">
        <v>2022</v>
      </c>
      <c r="L1681" s="85">
        <v>4</v>
      </c>
      <c r="N1681" s="208" t="s">
        <v>44</v>
      </c>
    </row>
    <row r="1682" spans="1:14">
      <c r="A1682" s="36" t="s">
        <v>33</v>
      </c>
      <c r="B1682" s="37">
        <v>44681</v>
      </c>
      <c r="C1682" s="36" t="s">
        <v>813</v>
      </c>
      <c r="D1682" s="36" t="s">
        <v>814</v>
      </c>
      <c r="E1682" s="36" t="s">
        <v>815</v>
      </c>
      <c r="G1682" s="87">
        <v>579500</v>
      </c>
      <c r="H1682" s="87">
        <v>57950</v>
      </c>
      <c r="I1682" s="87">
        <v>637450</v>
      </c>
      <c r="K1682" s="85">
        <v>2022</v>
      </c>
      <c r="L1682" s="85">
        <v>4</v>
      </c>
      <c r="M1682" s="36" t="s">
        <v>816</v>
      </c>
      <c r="N1682" s="208" t="s">
        <v>44</v>
      </c>
    </row>
    <row r="1683" spans="1:14">
      <c r="A1683" s="36" t="s">
        <v>32</v>
      </c>
      <c r="B1683" s="37">
        <v>44681</v>
      </c>
      <c r="C1683" s="36" t="s">
        <v>743</v>
      </c>
      <c r="D1683" s="36" t="s">
        <v>744</v>
      </c>
      <c r="E1683" s="36" t="s">
        <v>76</v>
      </c>
      <c r="G1683" s="87">
        <v>2730000</v>
      </c>
      <c r="H1683" s="87">
        <v>273000</v>
      </c>
      <c r="I1683" s="87">
        <v>3003000</v>
      </c>
      <c r="K1683" s="85">
        <v>2022</v>
      </c>
      <c r="L1683" s="85">
        <v>4</v>
      </c>
      <c r="N1683" s="208" t="s">
        <v>44</v>
      </c>
    </row>
    <row r="1684" spans="1:14">
      <c r="A1684" s="36" t="s">
        <v>32</v>
      </c>
      <c r="B1684" s="37">
        <v>44681</v>
      </c>
      <c r="C1684" s="36" t="s">
        <v>204</v>
      </c>
      <c r="D1684" s="36" t="s">
        <v>674</v>
      </c>
      <c r="E1684" s="36" t="s">
        <v>76</v>
      </c>
      <c r="G1684" s="87">
        <v>3132000</v>
      </c>
      <c r="H1684" s="87">
        <v>313200</v>
      </c>
      <c r="I1684" s="87">
        <v>3445200</v>
      </c>
      <c r="K1684" s="85">
        <v>2022</v>
      </c>
      <c r="L1684" s="85">
        <v>4</v>
      </c>
      <c r="N1684" s="208" t="s">
        <v>44</v>
      </c>
    </row>
    <row r="1685" spans="1:14">
      <c r="A1685" s="36" t="s">
        <v>32</v>
      </c>
      <c r="B1685" s="37">
        <v>44681</v>
      </c>
      <c r="C1685" s="36" t="s">
        <v>204</v>
      </c>
      <c r="D1685" s="36" t="s">
        <v>205</v>
      </c>
      <c r="E1685" s="36" t="s">
        <v>76</v>
      </c>
      <c r="G1685" s="87">
        <v>480000</v>
      </c>
      <c r="H1685" s="87">
        <v>48000</v>
      </c>
      <c r="I1685" s="87">
        <v>528000</v>
      </c>
      <c r="K1685" s="85">
        <v>2022</v>
      </c>
      <c r="L1685" s="85">
        <v>4</v>
      </c>
      <c r="N1685" s="208" t="s">
        <v>44</v>
      </c>
    </row>
    <row r="1686" spans="1:14">
      <c r="A1686" s="36" t="s">
        <v>32</v>
      </c>
      <c r="B1686" s="37">
        <v>44681</v>
      </c>
      <c r="C1686" s="36" t="s">
        <v>204</v>
      </c>
      <c r="D1686" s="36" t="s">
        <v>817</v>
      </c>
      <c r="E1686" s="36" t="s">
        <v>76</v>
      </c>
      <c r="G1686" s="87">
        <v>2076500</v>
      </c>
      <c r="H1686" s="87">
        <v>207650</v>
      </c>
      <c r="I1686" s="87">
        <v>2284150</v>
      </c>
      <c r="K1686" s="85">
        <v>2022</v>
      </c>
      <c r="L1686" s="85">
        <v>4</v>
      </c>
      <c r="N1686" s="208" t="s">
        <v>44</v>
      </c>
    </row>
    <row r="1687" spans="1:14">
      <c r="A1687" s="36" t="s">
        <v>19</v>
      </c>
      <c r="B1687" s="37">
        <v>44681</v>
      </c>
      <c r="C1687" s="36" t="s">
        <v>818</v>
      </c>
      <c r="D1687" s="36" t="s">
        <v>545</v>
      </c>
      <c r="E1687" s="36" t="s">
        <v>806</v>
      </c>
      <c r="G1687" s="87">
        <v>985000</v>
      </c>
      <c r="H1687" s="87">
        <v>98500</v>
      </c>
      <c r="I1687" s="87">
        <v>1083500</v>
      </c>
      <c r="K1687" s="85">
        <v>2022</v>
      </c>
      <c r="L1687" s="85">
        <v>4</v>
      </c>
      <c r="M1687" s="36" t="s">
        <v>107</v>
      </c>
      <c r="N1687" s="208" t="s">
        <v>44</v>
      </c>
    </row>
    <row r="1688" spans="1:14">
      <c r="A1688" s="36" t="s">
        <v>19</v>
      </c>
      <c r="B1688" s="37">
        <v>44681</v>
      </c>
      <c r="C1688" s="36" t="s">
        <v>819</v>
      </c>
      <c r="D1688" s="36" t="s">
        <v>392</v>
      </c>
      <c r="E1688" s="36" t="s">
        <v>806</v>
      </c>
      <c r="G1688" s="87">
        <v>78000</v>
      </c>
      <c r="H1688" s="87">
        <v>7800</v>
      </c>
      <c r="I1688" s="87">
        <v>85800</v>
      </c>
      <c r="K1688" s="85">
        <v>2022</v>
      </c>
      <c r="L1688" s="85">
        <v>4</v>
      </c>
      <c r="N1688" s="208" t="s">
        <v>44</v>
      </c>
    </row>
    <row r="1689" spans="1:14">
      <c r="A1689" s="36" t="s">
        <v>32</v>
      </c>
      <c r="B1689" s="37">
        <v>44681</v>
      </c>
      <c r="C1689" s="36" t="s">
        <v>768</v>
      </c>
      <c r="D1689" s="36" t="s">
        <v>769</v>
      </c>
      <c r="E1689" s="36" t="s">
        <v>76</v>
      </c>
      <c r="G1689" s="87">
        <v>1578000</v>
      </c>
      <c r="H1689" s="87">
        <v>157800</v>
      </c>
      <c r="I1689" s="87">
        <v>1735800</v>
      </c>
      <c r="K1689" s="85">
        <v>2022</v>
      </c>
      <c r="L1689" s="85">
        <v>4</v>
      </c>
      <c r="N1689" s="208" t="s">
        <v>44</v>
      </c>
    </row>
    <row r="1690" spans="1:14">
      <c r="A1690" s="36" t="s">
        <v>32</v>
      </c>
      <c r="B1690" s="37">
        <v>44681</v>
      </c>
      <c r="C1690" s="36" t="s">
        <v>820</v>
      </c>
      <c r="D1690" s="36" t="s">
        <v>190</v>
      </c>
      <c r="E1690" s="36" t="s">
        <v>76</v>
      </c>
      <c r="G1690" s="87">
        <v>15000000</v>
      </c>
      <c r="H1690" s="87">
        <v>1500000</v>
      </c>
      <c r="I1690" s="87">
        <v>16500000</v>
      </c>
      <c r="K1690" s="85">
        <v>2022</v>
      </c>
      <c r="L1690" s="85">
        <v>4</v>
      </c>
      <c r="N1690" s="208" t="s">
        <v>44</v>
      </c>
    </row>
    <row r="1691" spans="1:14">
      <c r="A1691" s="36" t="s">
        <v>32</v>
      </c>
      <c r="B1691" s="37">
        <v>44681</v>
      </c>
      <c r="C1691" s="36" t="s">
        <v>771</v>
      </c>
      <c r="D1691" s="36" t="s">
        <v>772</v>
      </c>
      <c r="E1691" s="36" t="s">
        <v>148</v>
      </c>
      <c r="J1691" s="87">
        <v>1155000</v>
      </c>
      <c r="K1691" s="85">
        <v>2022</v>
      </c>
      <c r="L1691" s="85">
        <v>3</v>
      </c>
      <c r="N1691" s="208" t="s">
        <v>44</v>
      </c>
    </row>
    <row r="1692" spans="1:14">
      <c r="A1692" s="36" t="s">
        <v>32</v>
      </c>
      <c r="B1692" s="37">
        <v>44681</v>
      </c>
      <c r="C1692" s="36" t="s">
        <v>773</v>
      </c>
      <c r="D1692" s="36" t="s">
        <v>821</v>
      </c>
      <c r="E1692" s="36" t="s">
        <v>76</v>
      </c>
      <c r="G1692" s="87">
        <v>14735000</v>
      </c>
      <c r="H1692" s="87">
        <v>1473500</v>
      </c>
      <c r="I1692" s="87">
        <v>16208500</v>
      </c>
      <c r="K1692" s="85">
        <v>2022</v>
      </c>
      <c r="L1692" s="85">
        <v>4</v>
      </c>
      <c r="N1692" s="208" t="s">
        <v>44</v>
      </c>
    </row>
    <row r="1693" spans="1:14">
      <c r="A1693" s="36" t="s">
        <v>32</v>
      </c>
      <c r="B1693" s="37">
        <v>44681</v>
      </c>
      <c r="C1693" s="36" t="s">
        <v>181</v>
      </c>
      <c r="D1693" s="36" t="s">
        <v>822</v>
      </c>
      <c r="E1693" s="36" t="s">
        <v>76</v>
      </c>
      <c r="G1693" s="87">
        <v>6345000</v>
      </c>
      <c r="H1693" s="87">
        <v>634500</v>
      </c>
      <c r="I1693" s="87">
        <v>6979500</v>
      </c>
      <c r="K1693" s="85">
        <v>2022</v>
      </c>
      <c r="L1693" s="85">
        <v>4</v>
      </c>
      <c r="N1693" s="208" t="s">
        <v>44</v>
      </c>
    </row>
    <row r="1694" spans="1:14">
      <c r="A1694" s="36" t="s">
        <v>32</v>
      </c>
      <c r="B1694" s="37">
        <v>44681</v>
      </c>
      <c r="C1694" s="36" t="s">
        <v>181</v>
      </c>
      <c r="D1694" s="36" t="s">
        <v>823</v>
      </c>
      <c r="E1694" s="36" t="s">
        <v>76</v>
      </c>
      <c r="G1694" s="87">
        <v>5400000</v>
      </c>
      <c r="H1694" s="87">
        <v>540000</v>
      </c>
      <c r="I1694" s="87">
        <v>5940000</v>
      </c>
      <c r="K1694" s="85">
        <v>2022</v>
      </c>
      <c r="L1694" s="85">
        <v>4</v>
      </c>
      <c r="N1694" s="208" t="s">
        <v>44</v>
      </c>
    </row>
    <row r="1695" spans="1:14">
      <c r="A1695" s="36" t="s">
        <v>32</v>
      </c>
      <c r="B1695" s="37">
        <v>44681</v>
      </c>
      <c r="C1695" s="36" t="s">
        <v>677</v>
      </c>
      <c r="D1695" s="36" t="s">
        <v>824</v>
      </c>
      <c r="E1695" s="36" t="s">
        <v>76</v>
      </c>
      <c r="G1695" s="87">
        <v>26381940</v>
      </c>
      <c r="H1695" s="87">
        <v>2638194</v>
      </c>
      <c r="I1695" s="87">
        <v>29020134</v>
      </c>
      <c r="K1695" s="85">
        <v>2022</v>
      </c>
      <c r="L1695" s="85">
        <v>4</v>
      </c>
      <c r="N1695" s="208" t="s">
        <v>44</v>
      </c>
    </row>
    <row r="1696" spans="1:14">
      <c r="A1696" s="36" t="s">
        <v>32</v>
      </c>
      <c r="B1696" s="37">
        <v>44681</v>
      </c>
      <c r="C1696" s="36" t="s">
        <v>677</v>
      </c>
      <c r="D1696" s="36" t="s">
        <v>825</v>
      </c>
      <c r="E1696" s="36" t="s">
        <v>76</v>
      </c>
      <c r="G1696" s="87">
        <v>10388000</v>
      </c>
      <c r="H1696" s="87">
        <v>1038800</v>
      </c>
      <c r="I1696" s="87">
        <v>11426800</v>
      </c>
      <c r="K1696" s="85">
        <v>2022</v>
      </c>
      <c r="L1696" s="85">
        <v>4</v>
      </c>
      <c r="N1696" s="208" t="s">
        <v>44</v>
      </c>
    </row>
    <row r="1697" spans="1:14">
      <c r="A1697" s="36" t="s">
        <v>33</v>
      </c>
      <c r="B1697" s="37">
        <v>44681</v>
      </c>
      <c r="C1697" s="36" t="s">
        <v>119</v>
      </c>
      <c r="D1697" s="36" t="s">
        <v>826</v>
      </c>
      <c r="E1697" s="36" t="s">
        <v>827</v>
      </c>
      <c r="G1697" s="87">
        <v>5200000</v>
      </c>
      <c r="H1697" s="87">
        <v>520000</v>
      </c>
      <c r="I1697" s="87">
        <v>5720000</v>
      </c>
      <c r="K1697" s="85">
        <v>2022</v>
      </c>
      <c r="L1697" s="85">
        <v>4</v>
      </c>
      <c r="N1697" s="208" t="s">
        <v>44</v>
      </c>
    </row>
    <row r="1698" spans="1:14">
      <c r="A1698" s="36" t="s">
        <v>33</v>
      </c>
      <c r="B1698" s="37">
        <v>44681</v>
      </c>
      <c r="C1698" s="36" t="s">
        <v>119</v>
      </c>
      <c r="D1698" s="36" t="s">
        <v>374</v>
      </c>
      <c r="E1698" s="36" t="s">
        <v>828</v>
      </c>
      <c r="G1698" s="87">
        <v>1680000</v>
      </c>
      <c r="H1698" s="87">
        <v>168000</v>
      </c>
      <c r="I1698" s="87">
        <v>1848000</v>
      </c>
      <c r="K1698" s="85">
        <v>2022</v>
      </c>
      <c r="L1698" s="85">
        <v>4</v>
      </c>
      <c r="N1698" s="208" t="s">
        <v>44</v>
      </c>
    </row>
    <row r="1699" spans="1:14">
      <c r="A1699" s="36" t="s">
        <v>32</v>
      </c>
      <c r="B1699" s="37">
        <v>44681</v>
      </c>
      <c r="C1699" s="36" t="s">
        <v>264</v>
      </c>
      <c r="D1699" s="36" t="s">
        <v>679</v>
      </c>
      <c r="E1699" s="36" t="s">
        <v>76</v>
      </c>
      <c r="G1699" s="87">
        <v>7000000</v>
      </c>
      <c r="H1699" s="87">
        <v>700000</v>
      </c>
      <c r="I1699" s="87">
        <v>7700000</v>
      </c>
      <c r="K1699" s="85">
        <v>2022</v>
      </c>
      <c r="L1699" s="85">
        <v>4</v>
      </c>
      <c r="N1699" s="208" t="s">
        <v>44</v>
      </c>
    </row>
    <row r="1700" spans="1:14">
      <c r="A1700" s="36" t="s">
        <v>32</v>
      </c>
      <c r="B1700" s="37">
        <v>44681</v>
      </c>
      <c r="C1700" s="36" t="s">
        <v>776</v>
      </c>
      <c r="D1700" s="36" t="s">
        <v>777</v>
      </c>
      <c r="E1700" s="36" t="s">
        <v>76</v>
      </c>
      <c r="G1700" s="87">
        <v>13010976</v>
      </c>
      <c r="H1700" s="87">
        <v>1301097.6000000001</v>
      </c>
      <c r="I1700" s="87">
        <v>14312073.6</v>
      </c>
      <c r="K1700" s="85">
        <v>2022</v>
      </c>
      <c r="L1700" s="85">
        <v>4</v>
      </c>
      <c r="N1700" s="208" t="s">
        <v>44</v>
      </c>
    </row>
    <row r="1701" spans="1:14">
      <c r="A1701" s="36" t="s">
        <v>32</v>
      </c>
      <c r="B1701" s="37">
        <v>44681</v>
      </c>
      <c r="C1701" s="36" t="s">
        <v>511</v>
      </c>
      <c r="D1701" s="36" t="s">
        <v>512</v>
      </c>
      <c r="E1701" s="36" t="s">
        <v>76</v>
      </c>
      <c r="G1701" s="87">
        <v>16554900</v>
      </c>
      <c r="H1701" s="87">
        <v>1655490</v>
      </c>
      <c r="I1701" s="87">
        <v>18210390</v>
      </c>
      <c r="K1701" s="85">
        <v>2022</v>
      </c>
      <c r="L1701" s="85">
        <v>4</v>
      </c>
      <c r="N1701" s="208" t="s">
        <v>44</v>
      </c>
    </row>
    <row r="1702" spans="1:14">
      <c r="A1702" s="36" t="s">
        <v>32</v>
      </c>
      <c r="B1702" s="37">
        <v>44681</v>
      </c>
      <c r="C1702" s="36" t="s">
        <v>680</v>
      </c>
      <c r="D1702" s="36" t="s">
        <v>681</v>
      </c>
      <c r="E1702" s="36" t="s">
        <v>76</v>
      </c>
      <c r="G1702" s="87">
        <v>2988800</v>
      </c>
      <c r="H1702" s="87">
        <v>298880</v>
      </c>
      <c r="I1702" s="87">
        <v>3287680</v>
      </c>
      <c r="K1702" s="85">
        <v>2022</v>
      </c>
      <c r="L1702" s="85">
        <v>4</v>
      </c>
      <c r="N1702" s="208" t="s">
        <v>44</v>
      </c>
    </row>
    <row r="1703" spans="1:14">
      <c r="A1703" s="36" t="s">
        <v>32</v>
      </c>
      <c r="B1703" s="37">
        <v>44681</v>
      </c>
      <c r="C1703" s="36" t="s">
        <v>552</v>
      </c>
      <c r="D1703" s="36" t="s">
        <v>553</v>
      </c>
      <c r="E1703" s="36" t="s">
        <v>76</v>
      </c>
      <c r="G1703" s="87">
        <v>3568800</v>
      </c>
      <c r="H1703" s="87">
        <v>356880</v>
      </c>
      <c r="I1703" s="87">
        <v>3925680</v>
      </c>
      <c r="K1703" s="85">
        <v>2022</v>
      </c>
      <c r="L1703" s="85">
        <v>4</v>
      </c>
      <c r="N1703" s="208" t="s">
        <v>44</v>
      </c>
    </row>
    <row r="1704" spans="1:14">
      <c r="A1704" s="36" t="s">
        <v>33</v>
      </c>
      <c r="B1704" s="37">
        <v>44681</v>
      </c>
      <c r="C1704" s="36" t="s">
        <v>226</v>
      </c>
      <c r="D1704" s="36" t="s">
        <v>227</v>
      </c>
      <c r="E1704" s="36" t="s">
        <v>228</v>
      </c>
      <c r="G1704" s="87">
        <v>3452727</v>
      </c>
      <c r="H1704" s="87">
        <v>345272.7</v>
      </c>
      <c r="I1704" s="87">
        <v>3797999.7</v>
      </c>
      <c r="K1704" s="85">
        <v>2022</v>
      </c>
      <c r="L1704" s="85">
        <v>4</v>
      </c>
      <c r="N1704" s="208" t="s">
        <v>44</v>
      </c>
    </row>
    <row r="1705" spans="1:14">
      <c r="A1705" s="36" t="s">
        <v>32</v>
      </c>
      <c r="B1705" s="37">
        <v>44681</v>
      </c>
      <c r="C1705" s="36" t="s">
        <v>185</v>
      </c>
      <c r="D1705" s="36" t="s">
        <v>683</v>
      </c>
      <c r="E1705" s="36" t="s">
        <v>76</v>
      </c>
      <c r="G1705" s="87">
        <v>17515990</v>
      </c>
      <c r="H1705" s="87">
        <v>1751599</v>
      </c>
      <c r="I1705" s="87">
        <v>19267589</v>
      </c>
      <c r="K1705" s="85">
        <v>2022</v>
      </c>
      <c r="L1705" s="85">
        <v>4</v>
      </c>
      <c r="N1705" s="208" t="s">
        <v>44</v>
      </c>
    </row>
    <row r="1706" spans="1:14">
      <c r="A1706" s="36" t="s">
        <v>32</v>
      </c>
      <c r="B1706" s="37">
        <v>44681</v>
      </c>
      <c r="C1706" s="36" t="s">
        <v>185</v>
      </c>
      <c r="D1706" s="36" t="s">
        <v>778</v>
      </c>
      <c r="E1706" s="36" t="s">
        <v>76</v>
      </c>
      <c r="G1706" s="87">
        <v>5429024</v>
      </c>
      <c r="H1706" s="87">
        <v>542902.4</v>
      </c>
      <c r="I1706" s="87">
        <v>5971926.4000000004</v>
      </c>
      <c r="K1706" s="85">
        <v>2022</v>
      </c>
      <c r="L1706" s="85">
        <v>4</v>
      </c>
      <c r="N1706" s="208" t="s">
        <v>44</v>
      </c>
    </row>
    <row r="1707" spans="1:14">
      <c r="A1707" s="36" t="s">
        <v>32</v>
      </c>
      <c r="B1707" s="37">
        <v>44681</v>
      </c>
      <c r="C1707" s="36" t="s">
        <v>268</v>
      </c>
      <c r="D1707" s="36" t="s">
        <v>589</v>
      </c>
      <c r="E1707" s="36" t="s">
        <v>76</v>
      </c>
      <c r="G1707" s="87">
        <v>2136000</v>
      </c>
      <c r="H1707" s="87">
        <v>213600</v>
      </c>
      <c r="I1707" s="87">
        <v>2349600</v>
      </c>
      <c r="K1707" s="85">
        <v>2022</v>
      </c>
      <c r="L1707" s="85">
        <v>4</v>
      </c>
      <c r="N1707" s="208" t="s">
        <v>44</v>
      </c>
    </row>
    <row r="1708" spans="1:14">
      <c r="A1708" s="36" t="s">
        <v>32</v>
      </c>
      <c r="B1708" s="37">
        <v>44681</v>
      </c>
      <c r="C1708" s="36" t="s">
        <v>779</v>
      </c>
      <c r="D1708" s="36" t="s">
        <v>780</v>
      </c>
      <c r="E1708" s="36" t="s">
        <v>76</v>
      </c>
      <c r="G1708" s="87">
        <v>5000000</v>
      </c>
      <c r="H1708" s="87">
        <v>500000</v>
      </c>
      <c r="I1708" s="87">
        <v>5500000</v>
      </c>
      <c r="K1708" s="85">
        <v>2022</v>
      </c>
      <c r="L1708" s="85">
        <v>4</v>
      </c>
      <c r="N1708" s="208" t="s">
        <v>44</v>
      </c>
    </row>
    <row r="1709" spans="1:14">
      <c r="A1709" s="36" t="s">
        <v>33</v>
      </c>
      <c r="B1709" s="37">
        <v>44681</v>
      </c>
      <c r="C1709" s="36" t="s">
        <v>781</v>
      </c>
      <c r="D1709" s="36" t="s">
        <v>782</v>
      </c>
      <c r="E1709" s="36" t="s">
        <v>125</v>
      </c>
      <c r="G1709" s="87">
        <v>1354100</v>
      </c>
      <c r="H1709" s="87">
        <v>135410</v>
      </c>
      <c r="I1709" s="87">
        <v>1489510</v>
      </c>
      <c r="K1709" s="85">
        <v>2022</v>
      </c>
      <c r="L1709" s="85">
        <v>4</v>
      </c>
      <c r="N1709" s="208" t="s">
        <v>44</v>
      </c>
    </row>
    <row r="1710" spans="1:14">
      <c r="A1710" s="36" t="s">
        <v>32</v>
      </c>
      <c r="B1710" s="37">
        <v>44681</v>
      </c>
      <c r="C1710" s="36" t="s">
        <v>188</v>
      </c>
      <c r="D1710" s="36" t="s">
        <v>829</v>
      </c>
      <c r="E1710" s="36" t="s">
        <v>76</v>
      </c>
      <c r="G1710" s="87">
        <v>2040000</v>
      </c>
      <c r="H1710" s="87">
        <v>204000</v>
      </c>
      <c r="I1710" s="87">
        <v>2244000</v>
      </c>
      <c r="K1710" s="85">
        <v>2022</v>
      </c>
      <c r="L1710" s="85">
        <v>4</v>
      </c>
      <c r="N1710" s="208" t="s">
        <v>44</v>
      </c>
    </row>
    <row r="1711" spans="1:14">
      <c r="A1711" s="36" t="s">
        <v>32</v>
      </c>
      <c r="B1711" s="37">
        <v>44681</v>
      </c>
      <c r="C1711" s="36" t="s">
        <v>188</v>
      </c>
      <c r="D1711" s="36" t="s">
        <v>443</v>
      </c>
      <c r="E1711" s="36" t="s">
        <v>76</v>
      </c>
      <c r="G1711" s="87">
        <v>1850000</v>
      </c>
      <c r="H1711" s="87">
        <v>185000</v>
      </c>
      <c r="I1711" s="87">
        <v>2035000</v>
      </c>
      <c r="K1711" s="85">
        <v>2022</v>
      </c>
      <c r="L1711" s="85">
        <v>4</v>
      </c>
      <c r="N1711" s="208" t="s">
        <v>44</v>
      </c>
    </row>
    <row r="1712" spans="1:14">
      <c r="A1712" s="36" t="s">
        <v>32</v>
      </c>
      <c r="B1712" s="37">
        <v>44681</v>
      </c>
      <c r="C1712" s="36" t="s">
        <v>188</v>
      </c>
      <c r="D1712" s="36" t="s">
        <v>830</v>
      </c>
      <c r="E1712" s="36" t="s">
        <v>76</v>
      </c>
      <c r="G1712" s="87">
        <v>7030000</v>
      </c>
      <c r="H1712" s="87">
        <v>703000</v>
      </c>
      <c r="I1712" s="87">
        <v>7733000</v>
      </c>
      <c r="K1712" s="85">
        <v>2022</v>
      </c>
      <c r="L1712" s="85">
        <v>4</v>
      </c>
      <c r="N1712" s="208" t="s">
        <v>44</v>
      </c>
    </row>
    <row r="1713" spans="1:14">
      <c r="A1713" s="36" t="s">
        <v>32</v>
      </c>
      <c r="B1713" s="37">
        <v>44681</v>
      </c>
      <c r="C1713" s="36" t="s">
        <v>188</v>
      </c>
      <c r="D1713" s="36" t="s">
        <v>1321</v>
      </c>
      <c r="E1713" s="36" t="s">
        <v>76</v>
      </c>
      <c r="G1713" s="87">
        <v>728500</v>
      </c>
      <c r="H1713" s="87">
        <v>72850</v>
      </c>
      <c r="I1713" s="87">
        <v>801350</v>
      </c>
      <c r="K1713" s="85">
        <v>2022</v>
      </c>
      <c r="L1713" s="85">
        <v>4</v>
      </c>
      <c r="N1713" s="208" t="s">
        <v>44</v>
      </c>
    </row>
    <row r="1714" spans="1:14">
      <c r="A1714" s="36" t="s">
        <v>32</v>
      </c>
      <c r="B1714" s="37">
        <v>44681</v>
      </c>
      <c r="C1714" s="36" t="s">
        <v>411</v>
      </c>
      <c r="D1714" s="36" t="s">
        <v>412</v>
      </c>
      <c r="E1714" s="36" t="s">
        <v>76</v>
      </c>
      <c r="G1714" s="87">
        <v>36934000</v>
      </c>
      <c r="H1714" s="87">
        <v>3693400</v>
      </c>
      <c r="I1714" s="87">
        <v>40627400</v>
      </c>
      <c r="K1714" s="85">
        <v>2022</v>
      </c>
      <c r="L1714" s="85">
        <v>4</v>
      </c>
      <c r="N1714" s="208" t="s">
        <v>44</v>
      </c>
    </row>
    <row r="1715" spans="1:14">
      <c r="A1715" s="36" t="s">
        <v>32</v>
      </c>
      <c r="B1715" s="37">
        <v>44681</v>
      </c>
      <c r="C1715" s="36" t="s">
        <v>519</v>
      </c>
      <c r="D1715" s="36" t="s">
        <v>321</v>
      </c>
      <c r="E1715" s="36" t="s">
        <v>76</v>
      </c>
      <c r="G1715" s="87">
        <v>1000000</v>
      </c>
      <c r="H1715" s="87">
        <v>100000</v>
      </c>
      <c r="I1715" s="87">
        <v>1100000</v>
      </c>
      <c r="K1715" s="85">
        <v>2022</v>
      </c>
      <c r="L1715" s="85">
        <v>4</v>
      </c>
      <c r="N1715" s="208" t="s">
        <v>44</v>
      </c>
    </row>
    <row r="1716" spans="1:14">
      <c r="A1716" s="36" t="s">
        <v>32</v>
      </c>
      <c r="B1716" s="37">
        <v>44681</v>
      </c>
      <c r="C1716" s="36" t="s">
        <v>831</v>
      </c>
      <c r="D1716" s="36" t="s">
        <v>832</v>
      </c>
      <c r="E1716" s="36" t="s">
        <v>76</v>
      </c>
      <c r="G1716" s="87">
        <v>10560000</v>
      </c>
      <c r="H1716" s="87">
        <v>1056000</v>
      </c>
      <c r="I1716" s="87">
        <v>11616000</v>
      </c>
      <c r="K1716" s="85">
        <v>2022</v>
      </c>
      <c r="L1716" s="85">
        <v>4</v>
      </c>
      <c r="N1716" s="208" t="s">
        <v>44</v>
      </c>
    </row>
    <row r="1717" spans="1:14">
      <c r="A1717" s="36" t="s">
        <v>32</v>
      </c>
      <c r="B1717" s="37">
        <v>44681</v>
      </c>
      <c r="C1717" s="36" t="s">
        <v>466</v>
      </c>
      <c r="D1717" s="36" t="s">
        <v>467</v>
      </c>
      <c r="E1717" s="36" t="s">
        <v>269</v>
      </c>
      <c r="G1717" s="87">
        <v>17122560</v>
      </c>
      <c r="H1717" s="87">
        <v>1712256</v>
      </c>
      <c r="I1717" s="87">
        <v>18834816</v>
      </c>
      <c r="K1717" s="85">
        <v>2022</v>
      </c>
      <c r="L1717" s="85">
        <v>4</v>
      </c>
      <c r="N1717" s="208" t="s">
        <v>44</v>
      </c>
    </row>
    <row r="1718" spans="1:14">
      <c r="A1718" s="36" t="s">
        <v>32</v>
      </c>
      <c r="B1718" s="37">
        <v>44681</v>
      </c>
      <c r="C1718" s="36" t="s">
        <v>466</v>
      </c>
      <c r="D1718" s="36" t="s">
        <v>467</v>
      </c>
      <c r="E1718" s="36" t="s">
        <v>78</v>
      </c>
      <c r="G1718" s="87">
        <v>6318000</v>
      </c>
      <c r="H1718" s="87">
        <v>631800</v>
      </c>
      <c r="I1718" s="87">
        <v>6949800</v>
      </c>
      <c r="K1718" s="85">
        <v>2022</v>
      </c>
      <c r="L1718" s="85">
        <v>4</v>
      </c>
      <c r="N1718" s="208" t="s">
        <v>44</v>
      </c>
    </row>
    <row r="1719" spans="1:14">
      <c r="A1719" s="36" t="s">
        <v>32</v>
      </c>
      <c r="B1719" s="37">
        <v>44681</v>
      </c>
      <c r="C1719" s="36" t="s">
        <v>787</v>
      </c>
      <c r="D1719" s="36" t="s">
        <v>788</v>
      </c>
      <c r="E1719" s="36" t="s">
        <v>76</v>
      </c>
      <c r="G1719" s="87">
        <v>2430000</v>
      </c>
      <c r="H1719" s="87">
        <v>243000</v>
      </c>
      <c r="I1719" s="87">
        <v>2673000</v>
      </c>
      <c r="K1719" s="85">
        <v>2022</v>
      </c>
      <c r="L1719" s="85">
        <v>4</v>
      </c>
      <c r="N1719" s="208" t="s">
        <v>44</v>
      </c>
    </row>
    <row r="1720" spans="1:14">
      <c r="A1720" s="36" t="s">
        <v>19</v>
      </c>
      <c r="B1720" s="37">
        <v>44681</v>
      </c>
      <c r="C1720" s="36" t="s">
        <v>563</v>
      </c>
      <c r="D1720" s="36" t="s">
        <v>833</v>
      </c>
      <c r="E1720" s="36" t="s">
        <v>806</v>
      </c>
      <c r="G1720" s="87">
        <v>3092727</v>
      </c>
      <c r="H1720" s="87">
        <v>309272.7</v>
      </c>
      <c r="I1720" s="87">
        <v>3401999.7</v>
      </c>
      <c r="K1720" s="85">
        <v>2022</v>
      </c>
      <c r="L1720" s="85">
        <v>4</v>
      </c>
      <c r="N1720" s="208" t="s">
        <v>44</v>
      </c>
    </row>
    <row r="1721" spans="1:14">
      <c r="A1721" s="36" t="s">
        <v>32</v>
      </c>
      <c r="B1721" s="37">
        <v>44681</v>
      </c>
      <c r="C1721" s="36" t="s">
        <v>834</v>
      </c>
      <c r="D1721" s="36" t="s">
        <v>190</v>
      </c>
      <c r="E1721" s="36" t="s">
        <v>76</v>
      </c>
      <c r="G1721" s="87">
        <v>840000</v>
      </c>
      <c r="H1721" s="87">
        <v>84000</v>
      </c>
      <c r="I1721" s="87">
        <v>924000</v>
      </c>
      <c r="K1721" s="85">
        <v>2022</v>
      </c>
      <c r="L1721" s="85">
        <v>4</v>
      </c>
      <c r="N1721" s="208" t="s">
        <v>44</v>
      </c>
    </row>
    <row r="1722" spans="1:14">
      <c r="A1722" s="36" t="s">
        <v>32</v>
      </c>
      <c r="B1722" s="37">
        <v>44681</v>
      </c>
      <c r="C1722" s="36" t="s">
        <v>654</v>
      </c>
      <c r="D1722" s="36" t="s">
        <v>835</v>
      </c>
      <c r="E1722" s="36" t="s">
        <v>76</v>
      </c>
      <c r="G1722" s="87">
        <v>33878000</v>
      </c>
      <c r="H1722" s="87">
        <v>3387800</v>
      </c>
      <c r="I1722" s="87">
        <v>37265800</v>
      </c>
      <c r="K1722" s="85">
        <v>2022</v>
      </c>
      <c r="L1722" s="85">
        <v>4</v>
      </c>
      <c r="N1722" s="208" t="s">
        <v>44</v>
      </c>
    </row>
    <row r="1723" spans="1:14">
      <c r="A1723" s="36" t="s">
        <v>32</v>
      </c>
      <c r="B1723" s="37">
        <v>44681</v>
      </c>
      <c r="C1723" s="36" t="s">
        <v>352</v>
      </c>
      <c r="D1723" s="36" t="s">
        <v>427</v>
      </c>
      <c r="E1723" s="36" t="s">
        <v>76</v>
      </c>
      <c r="G1723" s="87">
        <v>3559449</v>
      </c>
      <c r="H1723" s="87">
        <v>355944.9</v>
      </c>
      <c r="I1723" s="87">
        <v>3915393.9</v>
      </c>
      <c r="K1723" s="85">
        <v>2022</v>
      </c>
      <c r="L1723" s="85">
        <v>4</v>
      </c>
      <c r="N1723" s="208" t="s">
        <v>44</v>
      </c>
    </row>
    <row r="1724" spans="1:14">
      <c r="A1724" s="36" t="s">
        <v>32</v>
      </c>
      <c r="B1724" s="37">
        <v>44681</v>
      </c>
      <c r="C1724" s="36" t="s">
        <v>688</v>
      </c>
      <c r="D1724" s="36" t="s">
        <v>1731</v>
      </c>
      <c r="E1724" s="36" t="s">
        <v>76</v>
      </c>
      <c r="G1724" s="87">
        <v>1680000</v>
      </c>
      <c r="H1724" s="87">
        <v>168000</v>
      </c>
      <c r="I1724" s="87">
        <v>1848000</v>
      </c>
      <c r="K1724" s="85">
        <v>2022</v>
      </c>
      <c r="L1724" s="85">
        <v>4</v>
      </c>
      <c r="N1724" s="208" t="s">
        <v>44</v>
      </c>
    </row>
    <row r="1725" spans="1:14">
      <c r="A1725" s="36" t="s">
        <v>33</v>
      </c>
      <c r="B1725" s="37">
        <v>44682</v>
      </c>
      <c r="C1725" s="36" t="s">
        <v>789</v>
      </c>
      <c r="D1725" s="36" t="s">
        <v>790</v>
      </c>
      <c r="E1725" s="36" t="s">
        <v>836</v>
      </c>
      <c r="G1725" s="87">
        <v>7900700</v>
      </c>
      <c r="H1725" s="87">
        <v>790070</v>
      </c>
      <c r="I1725" s="87">
        <v>8690770</v>
      </c>
      <c r="K1725" s="85">
        <v>2022</v>
      </c>
      <c r="L1725" s="85">
        <v>5</v>
      </c>
      <c r="N1725" s="1" t="s">
        <v>44</v>
      </c>
    </row>
    <row r="1726" spans="1:14">
      <c r="A1726" s="36" t="s">
        <v>32</v>
      </c>
      <c r="B1726" s="37">
        <v>44683</v>
      </c>
      <c r="C1726" s="36" t="s">
        <v>670</v>
      </c>
      <c r="D1726" s="36" t="s">
        <v>671</v>
      </c>
      <c r="E1726" s="36" t="s">
        <v>148</v>
      </c>
      <c r="J1726" s="87">
        <v>1341120</v>
      </c>
      <c r="K1726" s="85">
        <v>2022</v>
      </c>
      <c r="L1726" s="85">
        <v>1</v>
      </c>
      <c r="N1726" s="208" t="s">
        <v>44</v>
      </c>
    </row>
    <row r="1727" spans="1:14">
      <c r="A1727" s="36" t="s">
        <v>32</v>
      </c>
      <c r="B1727" s="37">
        <v>44683</v>
      </c>
      <c r="C1727" s="36" t="s">
        <v>334</v>
      </c>
      <c r="D1727" s="36" t="s">
        <v>586</v>
      </c>
      <c r="E1727" s="36" t="s">
        <v>148</v>
      </c>
      <c r="J1727" s="87">
        <v>8360440</v>
      </c>
      <c r="K1727" s="85">
        <v>2022</v>
      </c>
      <c r="L1727" s="85">
        <v>3</v>
      </c>
      <c r="N1727" s="208" t="s">
        <v>44</v>
      </c>
    </row>
    <row r="1728" spans="1:14">
      <c r="A1728" s="36" t="s">
        <v>32</v>
      </c>
      <c r="B1728" s="37">
        <v>44683</v>
      </c>
      <c r="C1728" s="36" t="s">
        <v>264</v>
      </c>
      <c r="D1728" s="36" t="s">
        <v>679</v>
      </c>
      <c r="E1728" s="36" t="s">
        <v>148</v>
      </c>
      <c r="J1728" s="87">
        <v>8976000</v>
      </c>
      <c r="K1728" s="85">
        <v>2022</v>
      </c>
      <c r="L1728" s="85">
        <v>3</v>
      </c>
      <c r="N1728" s="208" t="s">
        <v>44</v>
      </c>
    </row>
    <row r="1729" spans="1:14">
      <c r="A1729" s="36" t="s">
        <v>32</v>
      </c>
      <c r="B1729" s="37">
        <v>44683</v>
      </c>
      <c r="C1729" s="36" t="s">
        <v>552</v>
      </c>
      <c r="D1729" s="36" t="s">
        <v>553</v>
      </c>
      <c r="E1729" s="36" t="s">
        <v>148</v>
      </c>
      <c r="J1729" s="87">
        <v>8827500</v>
      </c>
      <c r="K1729" s="85">
        <v>2022</v>
      </c>
      <c r="L1729" s="85">
        <v>3</v>
      </c>
      <c r="N1729" s="208" t="s">
        <v>44</v>
      </c>
    </row>
    <row r="1730" spans="1:14">
      <c r="A1730" s="36" t="s">
        <v>33</v>
      </c>
      <c r="B1730" s="37">
        <v>44683</v>
      </c>
      <c r="C1730" s="36" t="s">
        <v>226</v>
      </c>
      <c r="D1730" s="36" t="s">
        <v>227</v>
      </c>
      <c r="E1730" s="36" t="s">
        <v>77</v>
      </c>
      <c r="J1730" s="38">
        <v>3798000</v>
      </c>
      <c r="K1730" s="85">
        <v>2022</v>
      </c>
      <c r="L1730" s="85">
        <v>4</v>
      </c>
      <c r="N1730" s="208" t="s">
        <v>44</v>
      </c>
    </row>
    <row r="1731" spans="1:14">
      <c r="A1731" s="36" t="s">
        <v>32</v>
      </c>
      <c r="B1731" s="37">
        <v>44683</v>
      </c>
      <c r="C1731" s="36" t="s">
        <v>793</v>
      </c>
      <c r="D1731" s="36" t="s">
        <v>794</v>
      </c>
      <c r="E1731" s="36" t="s">
        <v>77</v>
      </c>
      <c r="J1731" s="38">
        <v>13882770</v>
      </c>
      <c r="K1731" s="85">
        <v>2022</v>
      </c>
      <c r="L1731" s="85">
        <v>4</v>
      </c>
      <c r="N1731" s="208" t="s">
        <v>44</v>
      </c>
    </row>
    <row r="1732" spans="1:14">
      <c r="A1732" s="36" t="s">
        <v>33</v>
      </c>
      <c r="B1732" s="37">
        <v>44684</v>
      </c>
      <c r="C1732" s="36" t="s">
        <v>544</v>
      </c>
      <c r="D1732" s="36" t="s">
        <v>766</v>
      </c>
      <c r="E1732" s="36" t="s">
        <v>837</v>
      </c>
      <c r="J1732" s="38">
        <v>643500</v>
      </c>
      <c r="K1732" s="85">
        <v>2022</v>
      </c>
      <c r="L1732" s="85">
        <v>3</v>
      </c>
      <c r="M1732" s="36" t="s">
        <v>107</v>
      </c>
      <c r="N1732" s="208" t="s">
        <v>44</v>
      </c>
    </row>
    <row r="1733" spans="1:14">
      <c r="A1733" s="36" t="s">
        <v>33</v>
      </c>
      <c r="B1733" s="37">
        <v>44684</v>
      </c>
      <c r="C1733" s="36" t="s">
        <v>800</v>
      </c>
      <c r="D1733" s="36" t="s">
        <v>801</v>
      </c>
      <c r="E1733" s="36" t="s">
        <v>148</v>
      </c>
      <c r="J1733" s="38">
        <v>10000000</v>
      </c>
      <c r="K1733" s="85">
        <v>2022</v>
      </c>
      <c r="L1733" s="85">
        <v>4</v>
      </c>
      <c r="N1733" s="208" t="s">
        <v>44</v>
      </c>
    </row>
    <row r="1734" spans="1:14">
      <c r="A1734" s="36" t="s">
        <v>32</v>
      </c>
      <c r="B1734" s="37">
        <v>44684</v>
      </c>
      <c r="C1734" s="36" t="s">
        <v>188</v>
      </c>
      <c r="D1734" s="36" t="s">
        <v>783</v>
      </c>
      <c r="E1734" s="36" t="s">
        <v>148</v>
      </c>
      <c r="J1734" s="38">
        <v>3000000</v>
      </c>
      <c r="K1734" s="85">
        <v>2022</v>
      </c>
      <c r="L1734" s="85">
        <v>3</v>
      </c>
      <c r="N1734" s="208" t="s">
        <v>44</v>
      </c>
    </row>
    <row r="1735" spans="1:14">
      <c r="A1735" s="36" t="s">
        <v>32</v>
      </c>
      <c r="B1735" s="37">
        <v>44685</v>
      </c>
      <c r="C1735" s="36" t="s">
        <v>174</v>
      </c>
      <c r="D1735" s="36" t="s">
        <v>540</v>
      </c>
      <c r="E1735" s="36" t="s">
        <v>148</v>
      </c>
      <c r="J1735" s="87">
        <v>15033480</v>
      </c>
      <c r="K1735" s="85">
        <v>2022</v>
      </c>
      <c r="L1735" s="85">
        <v>3</v>
      </c>
      <c r="N1735" s="208" t="s">
        <v>44</v>
      </c>
    </row>
    <row r="1736" spans="1:14">
      <c r="A1736" s="36" t="s">
        <v>33</v>
      </c>
      <c r="B1736" s="37">
        <v>44685</v>
      </c>
      <c r="C1736" s="36" t="s">
        <v>838</v>
      </c>
      <c r="D1736" s="36" t="s">
        <v>705</v>
      </c>
      <c r="E1736" s="36" t="s">
        <v>839</v>
      </c>
      <c r="G1736" s="87">
        <v>1400000</v>
      </c>
      <c r="H1736" s="87">
        <v>140000</v>
      </c>
      <c r="I1736" s="87">
        <v>1540000</v>
      </c>
      <c r="K1736" s="85">
        <v>2022</v>
      </c>
      <c r="L1736" s="85">
        <v>5</v>
      </c>
      <c r="N1736" s="208" t="s">
        <v>44</v>
      </c>
    </row>
    <row r="1737" spans="1:14">
      <c r="A1737" s="36" t="s">
        <v>32</v>
      </c>
      <c r="B1737" s="37">
        <v>44685</v>
      </c>
      <c r="C1737" s="36" t="s">
        <v>466</v>
      </c>
      <c r="D1737" s="36" t="s">
        <v>467</v>
      </c>
      <c r="E1737" s="36" t="s">
        <v>76</v>
      </c>
      <c r="G1737" s="87">
        <v>1890000</v>
      </c>
      <c r="H1737" s="87">
        <v>189000</v>
      </c>
      <c r="I1737" s="87">
        <v>2079000</v>
      </c>
      <c r="K1737" s="85">
        <v>2022</v>
      </c>
      <c r="L1737" s="85">
        <v>5</v>
      </c>
      <c r="N1737" s="1" t="s">
        <v>44</v>
      </c>
    </row>
    <row r="1738" spans="1:14">
      <c r="A1738" s="36" t="s">
        <v>32</v>
      </c>
      <c r="B1738" s="37">
        <v>44685</v>
      </c>
      <c r="C1738" s="36" t="s">
        <v>466</v>
      </c>
      <c r="D1738" s="36" t="s">
        <v>467</v>
      </c>
      <c r="E1738" s="36" t="s">
        <v>77</v>
      </c>
      <c r="J1738" s="38">
        <v>2063880</v>
      </c>
      <c r="K1738" s="85">
        <v>2022</v>
      </c>
      <c r="L1738" s="85">
        <v>5</v>
      </c>
      <c r="M1738" s="36" t="s">
        <v>736</v>
      </c>
      <c r="N1738" s="1" t="s">
        <v>44</v>
      </c>
    </row>
    <row r="1739" spans="1:14">
      <c r="A1739" s="36" t="s">
        <v>32</v>
      </c>
      <c r="B1739" s="37">
        <v>44685</v>
      </c>
      <c r="C1739" s="36" t="s">
        <v>466</v>
      </c>
      <c r="D1739" s="36" t="s">
        <v>467</v>
      </c>
      <c r="E1739" s="36" t="s">
        <v>799</v>
      </c>
      <c r="J1739" s="38">
        <v>15120</v>
      </c>
      <c r="K1739" s="85">
        <v>2022</v>
      </c>
      <c r="L1739" s="85">
        <v>5</v>
      </c>
      <c r="M1739" s="36" t="s">
        <v>736</v>
      </c>
      <c r="N1739" s="1" t="s">
        <v>44</v>
      </c>
    </row>
    <row r="1740" spans="1:14">
      <c r="A1740" s="36" t="s">
        <v>19</v>
      </c>
      <c r="B1740" s="37">
        <v>44687</v>
      </c>
      <c r="C1740" s="36" t="s">
        <v>395</v>
      </c>
      <c r="D1740" s="36" t="s">
        <v>805</v>
      </c>
      <c r="E1740" s="36" t="s">
        <v>148</v>
      </c>
      <c r="J1740" s="38">
        <v>3108000</v>
      </c>
      <c r="K1740" s="85">
        <v>2022</v>
      </c>
      <c r="L1740" s="85">
        <v>4</v>
      </c>
      <c r="N1740" s="208" t="s">
        <v>44</v>
      </c>
    </row>
    <row r="1741" spans="1:14">
      <c r="A1741" s="36" t="s">
        <v>18</v>
      </c>
      <c r="B1741" s="37">
        <v>44687</v>
      </c>
      <c r="C1741" s="36" t="s">
        <v>496</v>
      </c>
      <c r="D1741" s="36" t="s">
        <v>546</v>
      </c>
      <c r="E1741" s="36" t="s">
        <v>148</v>
      </c>
      <c r="J1741" s="87">
        <v>5819000</v>
      </c>
      <c r="K1741" s="85">
        <v>2022</v>
      </c>
      <c r="L1741" s="85">
        <v>3</v>
      </c>
      <c r="N1741" s="208" t="s">
        <v>44</v>
      </c>
    </row>
    <row r="1742" spans="1:14">
      <c r="A1742" s="36" t="s">
        <v>33</v>
      </c>
      <c r="B1742" s="37">
        <v>44687</v>
      </c>
      <c r="C1742" s="36" t="s">
        <v>781</v>
      </c>
      <c r="D1742" s="36" t="s">
        <v>782</v>
      </c>
      <c r="E1742" s="36" t="s">
        <v>77</v>
      </c>
      <c r="J1742" s="38">
        <v>1489510</v>
      </c>
      <c r="K1742" s="85">
        <v>2022</v>
      </c>
      <c r="L1742" s="85">
        <v>4</v>
      </c>
      <c r="N1742" s="208" t="s">
        <v>44</v>
      </c>
    </row>
    <row r="1743" spans="1:14">
      <c r="A1743" s="36" t="s">
        <v>32</v>
      </c>
      <c r="B1743" s="37">
        <v>44687</v>
      </c>
      <c r="C1743" s="36" t="s">
        <v>519</v>
      </c>
      <c r="D1743" s="36" t="s">
        <v>321</v>
      </c>
      <c r="E1743" s="36" t="s">
        <v>148</v>
      </c>
      <c r="J1743" s="87">
        <v>1100000</v>
      </c>
      <c r="K1743" s="85">
        <v>2022</v>
      </c>
      <c r="L1743" s="85">
        <v>3</v>
      </c>
      <c r="N1743" s="208" t="s">
        <v>44</v>
      </c>
    </row>
    <row r="1744" spans="1:14">
      <c r="A1744" s="36" t="s">
        <v>19</v>
      </c>
      <c r="B1744" s="37">
        <v>44687</v>
      </c>
      <c r="C1744" s="36" t="s">
        <v>563</v>
      </c>
      <c r="D1744" s="36" t="s">
        <v>833</v>
      </c>
      <c r="E1744" s="36" t="s">
        <v>148</v>
      </c>
      <c r="J1744" s="38">
        <v>3402000</v>
      </c>
      <c r="K1744" s="85">
        <v>2022</v>
      </c>
      <c r="L1744" s="85">
        <v>4</v>
      </c>
      <c r="N1744" s="208" t="s">
        <v>44</v>
      </c>
    </row>
    <row r="1745" spans="1:14">
      <c r="A1745" s="36" t="s">
        <v>32</v>
      </c>
      <c r="B1745" s="37">
        <v>44690</v>
      </c>
      <c r="C1745" s="36" t="s">
        <v>820</v>
      </c>
      <c r="D1745" s="36" t="s">
        <v>190</v>
      </c>
      <c r="E1745" s="36" t="s">
        <v>148</v>
      </c>
      <c r="J1745" s="87">
        <v>16500000</v>
      </c>
      <c r="K1745" s="85">
        <v>2022</v>
      </c>
      <c r="L1745" s="85">
        <v>4</v>
      </c>
      <c r="N1745" s="208" t="s">
        <v>44</v>
      </c>
    </row>
    <row r="1746" spans="1:14">
      <c r="A1746" s="36" t="s">
        <v>32</v>
      </c>
      <c r="B1746" s="37">
        <v>44691</v>
      </c>
      <c r="C1746" s="36" t="s">
        <v>640</v>
      </c>
      <c r="D1746" s="36" t="s">
        <v>763</v>
      </c>
      <c r="E1746" s="36" t="s">
        <v>148</v>
      </c>
      <c r="J1746" s="87">
        <v>39864000</v>
      </c>
      <c r="K1746" s="85">
        <v>2022</v>
      </c>
      <c r="L1746" s="85">
        <v>4</v>
      </c>
      <c r="N1746" s="208" t="s">
        <v>44</v>
      </c>
    </row>
    <row r="1747" spans="1:14">
      <c r="A1747" s="36" t="s">
        <v>32</v>
      </c>
      <c r="B1747" s="37">
        <v>44691</v>
      </c>
      <c r="C1747" s="36" t="s">
        <v>672</v>
      </c>
      <c r="D1747" s="36" t="s">
        <v>764</v>
      </c>
      <c r="E1747" s="36" t="s">
        <v>148</v>
      </c>
      <c r="J1747" s="87">
        <v>3300000</v>
      </c>
      <c r="K1747" s="85">
        <v>2022</v>
      </c>
      <c r="L1747" s="85">
        <v>3</v>
      </c>
      <c r="N1747" s="208" t="s">
        <v>44</v>
      </c>
    </row>
    <row r="1748" spans="1:14">
      <c r="A1748" s="36" t="s">
        <v>33</v>
      </c>
      <c r="B1748" s="37">
        <v>44691</v>
      </c>
      <c r="C1748" s="36" t="s">
        <v>743</v>
      </c>
      <c r="D1748" s="36" t="s">
        <v>744</v>
      </c>
      <c r="E1748" s="36" t="s">
        <v>148</v>
      </c>
      <c r="J1748" s="87">
        <v>693000</v>
      </c>
      <c r="K1748" s="85">
        <v>2022</v>
      </c>
      <c r="L1748" s="85">
        <v>3</v>
      </c>
      <c r="N1748" s="208" t="s">
        <v>44</v>
      </c>
    </row>
    <row r="1749" spans="1:14">
      <c r="A1749" s="36" t="s">
        <v>33</v>
      </c>
      <c r="B1749" s="37">
        <v>44691</v>
      </c>
      <c r="C1749" s="36" t="s">
        <v>800</v>
      </c>
      <c r="D1749" s="36" t="s">
        <v>801</v>
      </c>
      <c r="E1749" s="36" t="s">
        <v>148</v>
      </c>
      <c r="J1749" s="38">
        <v>10000000</v>
      </c>
      <c r="K1749" s="85">
        <v>2022</v>
      </c>
      <c r="L1749" s="85">
        <v>4</v>
      </c>
      <c r="N1749" s="208" t="s">
        <v>44</v>
      </c>
    </row>
    <row r="1750" spans="1:14">
      <c r="A1750" s="36" t="s">
        <v>32</v>
      </c>
      <c r="B1750" s="37">
        <v>44691</v>
      </c>
      <c r="C1750" s="36" t="s">
        <v>667</v>
      </c>
      <c r="D1750" s="36" t="s">
        <v>668</v>
      </c>
      <c r="E1750" s="36" t="s">
        <v>77</v>
      </c>
      <c r="J1750" s="38">
        <v>2000000</v>
      </c>
      <c r="K1750" s="85">
        <v>2022</v>
      </c>
      <c r="L1750" s="85">
        <v>1</v>
      </c>
      <c r="N1750" s="208" t="s">
        <v>44</v>
      </c>
    </row>
    <row r="1751" spans="1:14">
      <c r="A1751" s="36" t="s">
        <v>32</v>
      </c>
      <c r="B1751" s="37">
        <v>44691</v>
      </c>
      <c r="C1751" s="36" t="s">
        <v>688</v>
      </c>
      <c r="D1751" s="36" t="s">
        <v>1731</v>
      </c>
      <c r="E1751" s="36" t="s">
        <v>148</v>
      </c>
      <c r="J1751" s="87">
        <v>1848000</v>
      </c>
      <c r="K1751" s="85">
        <v>2022</v>
      </c>
      <c r="L1751" s="85">
        <v>4</v>
      </c>
      <c r="N1751" s="208" t="s">
        <v>44</v>
      </c>
    </row>
    <row r="1752" spans="1:14">
      <c r="A1752" s="36" t="s">
        <v>32</v>
      </c>
      <c r="B1752" s="37">
        <v>44692</v>
      </c>
      <c r="C1752" s="36" t="s">
        <v>346</v>
      </c>
      <c r="D1752" s="36" t="s">
        <v>347</v>
      </c>
      <c r="E1752" s="36" t="s">
        <v>148</v>
      </c>
      <c r="J1752" s="87">
        <v>16912500</v>
      </c>
      <c r="K1752" s="85">
        <v>2022</v>
      </c>
      <c r="L1752" s="85">
        <v>1</v>
      </c>
      <c r="N1752" s="208" t="s">
        <v>44</v>
      </c>
    </row>
    <row r="1753" spans="1:14">
      <c r="A1753" s="36" t="s">
        <v>32</v>
      </c>
      <c r="B1753" s="37">
        <v>44692</v>
      </c>
      <c r="C1753" s="36" t="s">
        <v>831</v>
      </c>
      <c r="D1753" s="36" t="s">
        <v>832</v>
      </c>
      <c r="E1753" s="36" t="s">
        <v>148</v>
      </c>
      <c r="J1753" s="87">
        <v>11616000</v>
      </c>
      <c r="K1753" s="85">
        <v>2022</v>
      </c>
      <c r="L1753" s="85">
        <v>4</v>
      </c>
      <c r="N1753" s="208" t="s">
        <v>44</v>
      </c>
    </row>
    <row r="1754" spans="1:14">
      <c r="A1754" s="36" t="s">
        <v>32</v>
      </c>
      <c r="B1754" s="37">
        <v>44696</v>
      </c>
      <c r="C1754" s="36" t="s">
        <v>466</v>
      </c>
      <c r="D1754" s="36" t="s">
        <v>467</v>
      </c>
      <c r="E1754" s="36" t="s">
        <v>148</v>
      </c>
      <c r="J1754" s="38">
        <v>18697836</v>
      </c>
      <c r="K1754" s="85">
        <v>2022</v>
      </c>
      <c r="L1754" s="85">
        <v>4</v>
      </c>
      <c r="N1754" s="208" t="s">
        <v>44</v>
      </c>
    </row>
    <row r="1755" spans="1:14">
      <c r="A1755" s="36" t="s">
        <v>32</v>
      </c>
      <c r="B1755" s="37">
        <v>44696</v>
      </c>
      <c r="C1755" s="36" t="s">
        <v>466</v>
      </c>
      <c r="D1755" s="36" t="s">
        <v>467</v>
      </c>
      <c r="E1755" s="36" t="s">
        <v>799</v>
      </c>
      <c r="J1755" s="38">
        <v>136980</v>
      </c>
      <c r="K1755" s="85">
        <v>2022</v>
      </c>
      <c r="L1755" s="85">
        <v>4</v>
      </c>
      <c r="N1755" s="208" t="s">
        <v>44</v>
      </c>
    </row>
    <row r="1756" spans="1:14">
      <c r="A1756" s="36" t="s">
        <v>32</v>
      </c>
      <c r="B1756" s="37">
        <v>44696</v>
      </c>
      <c r="C1756" s="36" t="s">
        <v>466</v>
      </c>
      <c r="D1756" s="36" t="s">
        <v>467</v>
      </c>
      <c r="E1756" s="36" t="s">
        <v>148</v>
      </c>
      <c r="J1756" s="38">
        <v>6899260</v>
      </c>
      <c r="K1756" s="85">
        <v>2022</v>
      </c>
      <c r="L1756" s="85">
        <v>4</v>
      </c>
      <c r="N1756" s="208" t="s">
        <v>44</v>
      </c>
    </row>
    <row r="1757" spans="1:14">
      <c r="A1757" s="36" t="s">
        <v>32</v>
      </c>
      <c r="B1757" s="37">
        <v>44696</v>
      </c>
      <c r="C1757" s="36" t="s">
        <v>466</v>
      </c>
      <c r="D1757" s="36" t="s">
        <v>467</v>
      </c>
      <c r="E1757" s="36" t="s">
        <v>799</v>
      </c>
      <c r="J1757" s="38">
        <v>50540</v>
      </c>
      <c r="K1757" s="85">
        <v>2022</v>
      </c>
      <c r="L1757" s="85">
        <v>4</v>
      </c>
      <c r="N1757" s="208" t="s">
        <v>44</v>
      </c>
    </row>
    <row r="1758" spans="1:14">
      <c r="A1758" s="36" t="s">
        <v>32</v>
      </c>
      <c r="B1758" s="37">
        <v>44697</v>
      </c>
      <c r="C1758" s="36" t="s">
        <v>268</v>
      </c>
      <c r="D1758" s="36" t="s">
        <v>589</v>
      </c>
      <c r="E1758" s="36" t="s">
        <v>148</v>
      </c>
      <c r="J1758" s="87">
        <v>2349600</v>
      </c>
      <c r="K1758" s="85">
        <v>2022</v>
      </c>
      <c r="L1758" s="85">
        <v>4</v>
      </c>
      <c r="N1758" s="208" t="s">
        <v>44</v>
      </c>
    </row>
    <row r="1759" spans="1:14">
      <c r="A1759" s="36" t="s">
        <v>32</v>
      </c>
      <c r="B1759" s="37">
        <v>44698</v>
      </c>
      <c r="C1759" s="36" t="s">
        <v>677</v>
      </c>
      <c r="D1759" s="36" t="s">
        <v>824</v>
      </c>
      <c r="E1759" s="36" t="s">
        <v>148</v>
      </c>
      <c r="J1759" s="87">
        <v>29020134</v>
      </c>
      <c r="K1759" s="85">
        <v>2022</v>
      </c>
      <c r="L1759" s="85">
        <v>4</v>
      </c>
      <c r="N1759" s="208" t="s">
        <v>44</v>
      </c>
    </row>
    <row r="1760" spans="1:14">
      <c r="A1760" s="36" t="s">
        <v>32</v>
      </c>
      <c r="B1760" s="37">
        <v>44698</v>
      </c>
      <c r="C1760" s="36" t="s">
        <v>677</v>
      </c>
      <c r="D1760" s="36" t="s">
        <v>825</v>
      </c>
      <c r="E1760" s="36" t="s">
        <v>148</v>
      </c>
      <c r="J1760" s="87">
        <v>11426800</v>
      </c>
      <c r="K1760" s="85">
        <v>2022</v>
      </c>
      <c r="L1760" s="85">
        <v>4</v>
      </c>
      <c r="N1760" s="208" t="s">
        <v>44</v>
      </c>
    </row>
    <row r="1761" spans="1:14">
      <c r="A1761" s="36" t="s">
        <v>32</v>
      </c>
      <c r="B1761" s="37">
        <v>44701</v>
      </c>
      <c r="C1761" s="36" t="s">
        <v>185</v>
      </c>
      <c r="D1761" s="36" t="s">
        <v>683</v>
      </c>
      <c r="E1761" s="36" t="s">
        <v>148</v>
      </c>
      <c r="J1761" s="87">
        <v>19267589</v>
      </c>
      <c r="K1761" s="85">
        <v>2022</v>
      </c>
      <c r="L1761" s="85">
        <v>4</v>
      </c>
      <c r="N1761" s="208" t="s">
        <v>44</v>
      </c>
    </row>
    <row r="1762" spans="1:14">
      <c r="A1762" s="36" t="s">
        <v>33</v>
      </c>
      <c r="B1762" s="37">
        <v>44701</v>
      </c>
      <c r="C1762" s="36" t="s">
        <v>800</v>
      </c>
      <c r="D1762" s="36" t="s">
        <v>801</v>
      </c>
      <c r="E1762" s="36" t="s">
        <v>148</v>
      </c>
      <c r="J1762" s="38">
        <v>9133000</v>
      </c>
      <c r="K1762" s="85">
        <v>2022</v>
      </c>
      <c r="L1762" s="85">
        <v>4</v>
      </c>
      <c r="N1762" s="1" t="s">
        <v>44</v>
      </c>
    </row>
    <row r="1763" spans="1:14">
      <c r="A1763" s="36" t="s">
        <v>33</v>
      </c>
      <c r="B1763" s="37">
        <v>44701</v>
      </c>
      <c r="C1763" s="36" t="s">
        <v>800</v>
      </c>
      <c r="D1763" s="36" t="s">
        <v>801</v>
      </c>
      <c r="E1763" s="36" t="s">
        <v>840</v>
      </c>
      <c r="G1763" s="87">
        <v>9010000</v>
      </c>
      <c r="H1763" s="87">
        <v>901000</v>
      </c>
      <c r="I1763" s="87">
        <v>9911000</v>
      </c>
      <c r="K1763" s="85">
        <v>2022</v>
      </c>
      <c r="L1763" s="85">
        <v>5</v>
      </c>
      <c r="N1763" s="1" t="s">
        <v>44</v>
      </c>
    </row>
    <row r="1764" spans="1:14">
      <c r="A1764" s="36" t="s">
        <v>33</v>
      </c>
      <c r="B1764" s="37">
        <v>44701</v>
      </c>
      <c r="C1764" s="36" t="s">
        <v>800</v>
      </c>
      <c r="D1764" s="36" t="s">
        <v>801</v>
      </c>
      <c r="E1764" s="36" t="s">
        <v>148</v>
      </c>
      <c r="J1764" s="38">
        <v>5867000</v>
      </c>
      <c r="K1764" s="85">
        <v>2022</v>
      </c>
      <c r="L1764" s="85">
        <v>5</v>
      </c>
      <c r="N1764" s="1" t="s">
        <v>44</v>
      </c>
    </row>
    <row r="1765" spans="1:14">
      <c r="A1765" s="36" t="s">
        <v>32</v>
      </c>
      <c r="B1765" s="37">
        <v>44701</v>
      </c>
      <c r="C1765" s="36" t="s">
        <v>807</v>
      </c>
      <c r="D1765" s="36" t="s">
        <v>808</v>
      </c>
      <c r="E1765" s="36" t="s">
        <v>148</v>
      </c>
      <c r="J1765" s="87">
        <v>4224000</v>
      </c>
      <c r="K1765" s="85">
        <v>2022</v>
      </c>
      <c r="L1765" s="85">
        <v>4</v>
      </c>
      <c r="N1765" s="208" t="s">
        <v>44</v>
      </c>
    </row>
    <row r="1766" spans="1:14">
      <c r="A1766" s="36" t="s">
        <v>33</v>
      </c>
      <c r="B1766" s="37">
        <v>44702</v>
      </c>
      <c r="C1766" s="36" t="s">
        <v>838</v>
      </c>
      <c r="D1766" s="36" t="s">
        <v>841</v>
      </c>
      <c r="E1766" s="36" t="s">
        <v>165</v>
      </c>
      <c r="G1766" s="87">
        <v>600000</v>
      </c>
      <c r="H1766" s="87">
        <v>60000</v>
      </c>
      <c r="I1766" s="87">
        <v>660000</v>
      </c>
      <c r="K1766" s="85">
        <v>2022</v>
      </c>
      <c r="L1766" s="85">
        <v>5</v>
      </c>
      <c r="N1766" s="1" t="s">
        <v>44</v>
      </c>
    </row>
    <row r="1767" spans="1:14">
      <c r="A1767" s="36" t="s">
        <v>32</v>
      </c>
      <c r="B1767" s="37">
        <v>44705</v>
      </c>
      <c r="C1767" s="36" t="s">
        <v>680</v>
      </c>
      <c r="D1767" s="36" t="s">
        <v>681</v>
      </c>
      <c r="E1767" s="36" t="s">
        <v>148</v>
      </c>
      <c r="J1767" s="38">
        <v>3300000</v>
      </c>
      <c r="K1767" s="85">
        <v>2022</v>
      </c>
      <c r="L1767" s="85">
        <v>4</v>
      </c>
      <c r="N1767" s="208" t="s">
        <v>44</v>
      </c>
    </row>
    <row r="1768" spans="1:14">
      <c r="A1768" s="36" t="s">
        <v>32</v>
      </c>
      <c r="B1768" s="37">
        <v>44706</v>
      </c>
      <c r="C1768" s="36" t="s">
        <v>605</v>
      </c>
      <c r="D1768" s="36" t="s">
        <v>606</v>
      </c>
      <c r="E1768" s="36" t="s">
        <v>842</v>
      </c>
      <c r="G1768" s="87">
        <v>3000000</v>
      </c>
      <c r="H1768" s="87">
        <v>300000</v>
      </c>
      <c r="I1768" s="87">
        <v>3300000</v>
      </c>
      <c r="K1768" s="85">
        <v>2022</v>
      </c>
      <c r="L1768" s="85">
        <v>5</v>
      </c>
      <c r="N1768" s="1" t="s">
        <v>44</v>
      </c>
    </row>
    <row r="1769" spans="1:14">
      <c r="A1769" s="36" t="s">
        <v>32</v>
      </c>
      <c r="B1769" s="37">
        <v>44706</v>
      </c>
      <c r="C1769" s="36" t="s">
        <v>773</v>
      </c>
      <c r="D1769" s="36" t="s">
        <v>821</v>
      </c>
      <c r="E1769" s="36" t="s">
        <v>148</v>
      </c>
      <c r="J1769" s="87">
        <v>16208500</v>
      </c>
      <c r="K1769" s="85">
        <v>2022</v>
      </c>
      <c r="L1769" s="85">
        <v>4</v>
      </c>
      <c r="M1769" s="36" t="s">
        <v>1054</v>
      </c>
      <c r="N1769" s="208" t="s">
        <v>44</v>
      </c>
    </row>
    <row r="1770" spans="1:14">
      <c r="A1770" s="36" t="s">
        <v>32</v>
      </c>
      <c r="B1770" s="37">
        <v>44706</v>
      </c>
      <c r="C1770" s="36" t="s">
        <v>773</v>
      </c>
      <c r="D1770" s="36" t="s">
        <v>952</v>
      </c>
      <c r="E1770" s="36" t="s">
        <v>148</v>
      </c>
      <c r="J1770" s="38">
        <v>1000000</v>
      </c>
      <c r="K1770" s="85">
        <v>2022</v>
      </c>
      <c r="L1770" s="85">
        <v>7</v>
      </c>
      <c r="M1770" s="36" t="s">
        <v>1055</v>
      </c>
      <c r="N1770" s="1" t="s">
        <v>44</v>
      </c>
    </row>
    <row r="1771" spans="1:14">
      <c r="A1771" s="36" t="s">
        <v>32</v>
      </c>
      <c r="B1771" s="37">
        <v>44706</v>
      </c>
      <c r="C1771" s="36" t="s">
        <v>843</v>
      </c>
      <c r="D1771" s="36" t="s">
        <v>797</v>
      </c>
      <c r="E1771" s="36" t="s">
        <v>76</v>
      </c>
      <c r="G1771" s="87">
        <v>2230000</v>
      </c>
      <c r="H1771" s="87">
        <v>223000</v>
      </c>
      <c r="I1771" s="87">
        <v>2453000</v>
      </c>
      <c r="K1771" s="85">
        <v>2022</v>
      </c>
      <c r="L1771" s="85">
        <v>5</v>
      </c>
      <c r="N1771" s="1" t="s">
        <v>44</v>
      </c>
    </row>
    <row r="1772" spans="1:14">
      <c r="A1772" s="36" t="s">
        <v>32</v>
      </c>
      <c r="B1772" s="37">
        <v>44706</v>
      </c>
      <c r="C1772" s="36" t="s">
        <v>844</v>
      </c>
      <c r="D1772" s="36" t="s">
        <v>845</v>
      </c>
      <c r="E1772" s="36" t="s">
        <v>76</v>
      </c>
      <c r="G1772" s="87">
        <v>1560000</v>
      </c>
      <c r="H1772" s="87">
        <v>156000</v>
      </c>
      <c r="I1772" s="87">
        <v>1716000</v>
      </c>
      <c r="K1772" s="85">
        <v>2022</v>
      </c>
      <c r="L1772" s="85">
        <v>5</v>
      </c>
      <c r="N1772" s="1" t="s">
        <v>44</v>
      </c>
    </row>
    <row r="1773" spans="1:14">
      <c r="A1773" s="36" t="s">
        <v>32</v>
      </c>
      <c r="B1773" s="37">
        <v>44707</v>
      </c>
      <c r="C1773" s="36" t="s">
        <v>773</v>
      </c>
      <c r="D1773" s="36" t="s">
        <v>775</v>
      </c>
      <c r="E1773" s="36" t="s">
        <v>148</v>
      </c>
      <c r="J1773" s="38">
        <v>10000000</v>
      </c>
      <c r="K1773" s="85">
        <v>2022</v>
      </c>
      <c r="L1773" s="85">
        <v>3</v>
      </c>
      <c r="N1773" s="208" t="s">
        <v>44</v>
      </c>
    </row>
    <row r="1774" spans="1:14">
      <c r="A1774" s="36" t="s">
        <v>32</v>
      </c>
      <c r="B1774" s="37">
        <v>44707</v>
      </c>
      <c r="C1774" s="36" t="s">
        <v>654</v>
      </c>
      <c r="D1774" s="36" t="s">
        <v>835</v>
      </c>
      <c r="E1774" s="36" t="s">
        <v>148</v>
      </c>
      <c r="J1774" s="87">
        <v>37265800</v>
      </c>
      <c r="K1774" s="85">
        <v>2022</v>
      </c>
      <c r="L1774" s="85">
        <v>4</v>
      </c>
      <c r="N1774" s="208" t="s">
        <v>44</v>
      </c>
    </row>
    <row r="1775" spans="1:14">
      <c r="A1775" s="36" t="s">
        <v>32</v>
      </c>
      <c r="B1775" s="37">
        <v>44709</v>
      </c>
      <c r="C1775" s="36" t="s">
        <v>846</v>
      </c>
      <c r="D1775" s="36" t="s">
        <v>847</v>
      </c>
      <c r="E1775" s="36" t="s">
        <v>76</v>
      </c>
      <c r="G1775" s="87">
        <v>15070000</v>
      </c>
      <c r="H1775" s="87">
        <v>1507000</v>
      </c>
      <c r="I1775" s="87">
        <v>16577000</v>
      </c>
      <c r="K1775" s="85">
        <v>2022</v>
      </c>
      <c r="L1775" s="85">
        <v>5</v>
      </c>
      <c r="N1775" s="1" t="s">
        <v>44</v>
      </c>
    </row>
    <row r="1776" spans="1:14">
      <c r="A1776" s="36" t="s">
        <v>32</v>
      </c>
      <c r="B1776" s="37">
        <v>44711</v>
      </c>
      <c r="C1776" s="36" t="s">
        <v>848</v>
      </c>
      <c r="D1776" s="36" t="s">
        <v>849</v>
      </c>
      <c r="E1776" s="36" t="s">
        <v>76</v>
      </c>
      <c r="G1776" s="87">
        <v>6720000</v>
      </c>
      <c r="H1776" s="87">
        <v>672000</v>
      </c>
      <c r="I1776" s="87">
        <v>7392000</v>
      </c>
      <c r="K1776" s="85">
        <v>2022</v>
      </c>
      <c r="L1776" s="85">
        <v>5</v>
      </c>
      <c r="N1776" s="1" t="s">
        <v>44</v>
      </c>
    </row>
    <row r="1777" spans="1:14">
      <c r="A1777" s="36" t="s">
        <v>33</v>
      </c>
      <c r="B1777" s="37">
        <v>44712</v>
      </c>
      <c r="C1777" s="36" t="s">
        <v>850</v>
      </c>
      <c r="D1777" s="36" t="s">
        <v>851</v>
      </c>
      <c r="E1777" s="36" t="s">
        <v>852</v>
      </c>
      <c r="G1777" s="87">
        <v>490000</v>
      </c>
      <c r="H1777" s="87">
        <v>49000</v>
      </c>
      <c r="I1777" s="87">
        <v>539000</v>
      </c>
      <c r="K1777" s="85">
        <v>2022</v>
      </c>
      <c r="L1777" s="85">
        <v>5</v>
      </c>
      <c r="N1777" s="1" t="s">
        <v>44</v>
      </c>
    </row>
    <row r="1778" spans="1:14">
      <c r="A1778" s="36" t="s">
        <v>32</v>
      </c>
      <c r="B1778" s="37">
        <v>44712</v>
      </c>
      <c r="C1778" s="36" t="s">
        <v>605</v>
      </c>
      <c r="D1778" s="36" t="s">
        <v>606</v>
      </c>
      <c r="E1778" s="36" t="s">
        <v>853</v>
      </c>
      <c r="G1778" s="87">
        <v>2100000</v>
      </c>
      <c r="H1778" s="87">
        <v>210000</v>
      </c>
      <c r="I1778" s="87">
        <v>2310000</v>
      </c>
      <c r="K1778" s="85">
        <v>2022</v>
      </c>
      <c r="L1778" s="85">
        <v>5</v>
      </c>
      <c r="N1778" s="1" t="s">
        <v>44</v>
      </c>
    </row>
    <row r="1779" spans="1:14">
      <c r="A1779" s="36" t="s">
        <v>32</v>
      </c>
      <c r="B1779" s="37">
        <v>44712</v>
      </c>
      <c r="C1779" s="36" t="s">
        <v>760</v>
      </c>
      <c r="D1779" s="36" t="s">
        <v>761</v>
      </c>
      <c r="E1779" s="36" t="s">
        <v>148</v>
      </c>
      <c r="J1779" s="87">
        <v>4023745</v>
      </c>
      <c r="K1779" s="85">
        <v>2022</v>
      </c>
      <c r="L1779" s="85">
        <v>3</v>
      </c>
      <c r="N1779" s="208" t="s">
        <v>44</v>
      </c>
    </row>
    <row r="1780" spans="1:14">
      <c r="A1780" s="36" t="s">
        <v>32</v>
      </c>
      <c r="B1780" s="37">
        <v>44712</v>
      </c>
      <c r="C1780" s="36" t="s">
        <v>760</v>
      </c>
      <c r="D1780" s="36" t="s">
        <v>761</v>
      </c>
      <c r="E1780" s="36" t="s">
        <v>148</v>
      </c>
      <c r="J1780" s="87">
        <v>10048830</v>
      </c>
      <c r="K1780" s="85">
        <v>2022</v>
      </c>
      <c r="L1780" s="85">
        <v>4</v>
      </c>
      <c r="N1780" s="208" t="s">
        <v>44</v>
      </c>
    </row>
    <row r="1781" spans="1:14">
      <c r="A1781" s="36" t="s">
        <v>32</v>
      </c>
      <c r="B1781" s="37">
        <v>44712</v>
      </c>
      <c r="C1781" s="36" t="s">
        <v>689</v>
      </c>
      <c r="D1781" s="36" t="s">
        <v>854</v>
      </c>
      <c r="E1781" s="36" t="s">
        <v>76</v>
      </c>
      <c r="G1781" s="87">
        <v>4440000</v>
      </c>
      <c r="H1781" s="87">
        <v>444000</v>
      </c>
      <c r="I1781" s="87">
        <v>4884000</v>
      </c>
      <c r="K1781" s="85">
        <v>2022</v>
      </c>
      <c r="L1781" s="85">
        <v>5</v>
      </c>
      <c r="N1781" s="1" t="s">
        <v>44</v>
      </c>
    </row>
    <row r="1782" spans="1:14">
      <c r="A1782" s="36" t="s">
        <v>32</v>
      </c>
      <c r="B1782" s="37">
        <v>44712</v>
      </c>
      <c r="C1782" s="36" t="s">
        <v>689</v>
      </c>
      <c r="D1782" s="36" t="s">
        <v>761</v>
      </c>
      <c r="E1782" s="36" t="s">
        <v>76</v>
      </c>
      <c r="G1782" s="87">
        <v>10597350</v>
      </c>
      <c r="H1782" s="87">
        <v>1059735</v>
      </c>
      <c r="I1782" s="87">
        <v>11657085</v>
      </c>
      <c r="K1782" s="85">
        <v>2022</v>
      </c>
      <c r="L1782" s="85">
        <v>5</v>
      </c>
      <c r="N1782" s="1" t="s">
        <v>44</v>
      </c>
    </row>
    <row r="1783" spans="1:14">
      <c r="A1783" s="36" t="s">
        <v>32</v>
      </c>
      <c r="B1783" s="37">
        <v>44712</v>
      </c>
      <c r="C1783" s="36" t="s">
        <v>664</v>
      </c>
      <c r="D1783" s="36" t="s">
        <v>629</v>
      </c>
      <c r="E1783" s="36" t="s">
        <v>148</v>
      </c>
      <c r="J1783" s="38">
        <v>4563200</v>
      </c>
      <c r="K1783" s="85">
        <v>2022</v>
      </c>
      <c r="L1783" s="85">
        <v>3</v>
      </c>
      <c r="N1783" s="208" t="s">
        <v>44</v>
      </c>
    </row>
    <row r="1784" spans="1:14">
      <c r="A1784" s="36" t="s">
        <v>32</v>
      </c>
      <c r="B1784" s="37">
        <v>44712</v>
      </c>
      <c r="C1784" s="36" t="s">
        <v>664</v>
      </c>
      <c r="D1784" s="36" t="s">
        <v>855</v>
      </c>
      <c r="E1784" s="36" t="s">
        <v>76</v>
      </c>
      <c r="G1784" s="87">
        <v>3115200</v>
      </c>
      <c r="H1784" s="87">
        <v>311520</v>
      </c>
      <c r="I1784" s="87">
        <v>3426720</v>
      </c>
      <c r="K1784" s="85">
        <v>2022</v>
      </c>
      <c r="L1784" s="85">
        <v>5</v>
      </c>
      <c r="N1784" s="1" t="s">
        <v>44</v>
      </c>
    </row>
    <row r="1785" spans="1:14">
      <c r="A1785" s="36" t="s">
        <v>32</v>
      </c>
      <c r="B1785" s="37">
        <v>44712</v>
      </c>
      <c r="C1785" s="36" t="s">
        <v>353</v>
      </c>
      <c r="D1785" s="36" t="s">
        <v>856</v>
      </c>
      <c r="E1785" s="36" t="s">
        <v>76</v>
      </c>
      <c r="G1785" s="87">
        <v>5534400</v>
      </c>
      <c r="H1785" s="87">
        <v>553440</v>
      </c>
      <c r="I1785" s="87">
        <v>6087840</v>
      </c>
      <c r="K1785" s="85">
        <v>2022</v>
      </c>
      <c r="L1785" s="85">
        <v>5</v>
      </c>
      <c r="N1785" s="1" t="s">
        <v>44</v>
      </c>
    </row>
    <row r="1786" spans="1:14">
      <c r="A1786" s="36" t="s">
        <v>32</v>
      </c>
      <c r="B1786" s="37">
        <v>44712</v>
      </c>
      <c r="C1786" s="36" t="s">
        <v>353</v>
      </c>
      <c r="D1786" s="36" t="s">
        <v>857</v>
      </c>
      <c r="E1786" s="36" t="s">
        <v>76</v>
      </c>
      <c r="G1786" s="87">
        <v>7502100</v>
      </c>
      <c r="H1786" s="87">
        <v>750210</v>
      </c>
      <c r="I1786" s="87">
        <v>8252310</v>
      </c>
      <c r="K1786" s="85">
        <v>2022</v>
      </c>
      <c r="L1786" s="85">
        <v>5</v>
      </c>
      <c r="N1786" s="1" t="s">
        <v>44</v>
      </c>
    </row>
    <row r="1787" spans="1:14">
      <c r="A1787" s="36" t="s">
        <v>32</v>
      </c>
      <c r="B1787" s="37">
        <v>44712</v>
      </c>
      <c r="C1787" s="36" t="s">
        <v>174</v>
      </c>
      <c r="D1787" s="36" t="s">
        <v>540</v>
      </c>
      <c r="E1787" s="36" t="s">
        <v>76</v>
      </c>
      <c r="G1787" s="87">
        <v>11489600</v>
      </c>
      <c r="H1787" s="87">
        <v>1148960</v>
      </c>
      <c r="I1787" s="87">
        <v>12638560</v>
      </c>
      <c r="K1787" s="85">
        <v>2022</v>
      </c>
      <c r="L1787" s="85">
        <v>5</v>
      </c>
      <c r="N1787" s="1" t="s">
        <v>44</v>
      </c>
    </row>
    <row r="1788" spans="1:14">
      <c r="A1788" s="36" t="s">
        <v>32</v>
      </c>
      <c r="B1788" s="37">
        <v>44712</v>
      </c>
      <c r="C1788" s="36" t="s">
        <v>209</v>
      </c>
      <c r="D1788" s="36" t="s">
        <v>858</v>
      </c>
      <c r="E1788" s="36" t="s">
        <v>76</v>
      </c>
      <c r="G1788" s="87">
        <v>10080000</v>
      </c>
      <c r="H1788" s="87">
        <v>1008000</v>
      </c>
      <c r="I1788" s="87">
        <v>11088000</v>
      </c>
      <c r="K1788" s="85">
        <v>2022</v>
      </c>
      <c r="L1788" s="85">
        <v>5</v>
      </c>
      <c r="N1788" s="1" t="s">
        <v>44</v>
      </c>
    </row>
    <row r="1789" spans="1:14">
      <c r="A1789" s="36" t="s">
        <v>32</v>
      </c>
      <c r="B1789" s="37">
        <v>44712</v>
      </c>
      <c r="C1789" s="36" t="s">
        <v>209</v>
      </c>
      <c r="D1789" s="36" t="s">
        <v>859</v>
      </c>
      <c r="E1789" s="36" t="s">
        <v>76</v>
      </c>
      <c r="G1789" s="87">
        <v>7517200</v>
      </c>
      <c r="H1789" s="87">
        <v>751720</v>
      </c>
      <c r="I1789" s="87">
        <v>8268920</v>
      </c>
      <c r="K1789" s="85">
        <v>2022</v>
      </c>
      <c r="L1789" s="85">
        <v>5</v>
      </c>
      <c r="N1789" s="1" t="s">
        <v>44</v>
      </c>
    </row>
    <row r="1790" spans="1:14">
      <c r="A1790" s="36" t="s">
        <v>32</v>
      </c>
      <c r="B1790" s="37">
        <v>44712</v>
      </c>
      <c r="C1790" s="36" t="s">
        <v>640</v>
      </c>
      <c r="D1790" s="36" t="s">
        <v>860</v>
      </c>
      <c r="E1790" s="36" t="s">
        <v>76</v>
      </c>
      <c r="G1790" s="87">
        <v>80750000</v>
      </c>
      <c r="H1790" s="87">
        <v>8075000</v>
      </c>
      <c r="I1790" s="87">
        <v>88825000</v>
      </c>
      <c r="K1790" s="85">
        <v>2022</v>
      </c>
      <c r="L1790" s="85">
        <v>5</v>
      </c>
      <c r="N1790" s="1" t="s">
        <v>44</v>
      </c>
    </row>
    <row r="1791" spans="1:14">
      <c r="A1791" s="36" t="s">
        <v>33</v>
      </c>
      <c r="B1791" s="37">
        <v>44712</v>
      </c>
      <c r="C1791" s="36" t="s">
        <v>813</v>
      </c>
      <c r="D1791" s="36" t="s">
        <v>814</v>
      </c>
      <c r="E1791" s="36" t="s">
        <v>148</v>
      </c>
      <c r="J1791" s="87">
        <v>637450</v>
      </c>
      <c r="K1791" s="85">
        <v>2022</v>
      </c>
      <c r="L1791" s="85">
        <v>4</v>
      </c>
      <c r="M1791" s="36" t="s">
        <v>816</v>
      </c>
      <c r="N1791" s="208" t="s">
        <v>44</v>
      </c>
    </row>
    <row r="1792" spans="1:14">
      <c r="A1792" s="36" t="s">
        <v>33</v>
      </c>
      <c r="B1792" s="37">
        <v>44712</v>
      </c>
      <c r="C1792" s="36" t="s">
        <v>861</v>
      </c>
      <c r="D1792" s="36" t="s">
        <v>862</v>
      </c>
      <c r="E1792" s="36" t="s">
        <v>967</v>
      </c>
      <c r="G1792" s="87">
        <v>24200000</v>
      </c>
      <c r="H1792" s="87">
        <v>2420000</v>
      </c>
      <c r="I1792" s="87">
        <v>26620000</v>
      </c>
      <c r="K1792" s="85">
        <v>2022</v>
      </c>
      <c r="L1792" s="85">
        <v>5</v>
      </c>
      <c r="M1792" s="36" t="s">
        <v>863</v>
      </c>
      <c r="N1792" s="1" t="s">
        <v>44</v>
      </c>
    </row>
    <row r="1793" spans="1:14">
      <c r="A1793" s="36" t="s">
        <v>33</v>
      </c>
      <c r="B1793" s="37">
        <v>44712</v>
      </c>
      <c r="C1793" s="36" t="s">
        <v>864</v>
      </c>
      <c r="D1793" s="36" t="s">
        <v>865</v>
      </c>
      <c r="E1793" s="36" t="s">
        <v>967</v>
      </c>
      <c r="G1793" s="87">
        <v>1085000</v>
      </c>
      <c r="H1793" s="87">
        <v>108500</v>
      </c>
      <c r="I1793" s="87">
        <v>1193500</v>
      </c>
      <c r="K1793" s="85">
        <v>2022</v>
      </c>
      <c r="L1793" s="85">
        <v>5</v>
      </c>
      <c r="M1793" s="36" t="s">
        <v>866</v>
      </c>
      <c r="N1793" s="1" t="s">
        <v>44</v>
      </c>
    </row>
    <row r="1794" spans="1:14">
      <c r="A1794" s="36" t="s">
        <v>32</v>
      </c>
      <c r="B1794" s="37">
        <v>44712</v>
      </c>
      <c r="C1794" s="36" t="s">
        <v>867</v>
      </c>
      <c r="D1794" s="36" t="s">
        <v>764</v>
      </c>
      <c r="E1794" s="36" t="s">
        <v>76</v>
      </c>
      <c r="G1794" s="87">
        <v>10000000</v>
      </c>
      <c r="H1794" s="87">
        <v>1000000</v>
      </c>
      <c r="I1794" s="87">
        <v>11000000</v>
      </c>
      <c r="K1794" s="85">
        <v>2022</v>
      </c>
      <c r="L1794" s="85">
        <v>5</v>
      </c>
      <c r="N1794" s="1" t="s">
        <v>44</v>
      </c>
    </row>
    <row r="1795" spans="1:14">
      <c r="A1795" s="36" t="s">
        <v>32</v>
      </c>
      <c r="B1795" s="37">
        <v>44712</v>
      </c>
      <c r="C1795" s="36" t="s">
        <v>204</v>
      </c>
      <c r="D1795" s="36" t="s">
        <v>706</v>
      </c>
      <c r="E1795" s="36" t="s">
        <v>148</v>
      </c>
      <c r="J1795" s="87">
        <v>3445200</v>
      </c>
      <c r="K1795" s="85">
        <v>2022</v>
      </c>
      <c r="L1795" s="85">
        <v>4</v>
      </c>
      <c r="N1795" s="208" t="s">
        <v>44</v>
      </c>
    </row>
    <row r="1796" spans="1:14">
      <c r="A1796" s="36" t="s">
        <v>32</v>
      </c>
      <c r="B1796" s="37">
        <v>44712</v>
      </c>
      <c r="C1796" s="36" t="s">
        <v>204</v>
      </c>
      <c r="D1796" s="36" t="s">
        <v>817</v>
      </c>
      <c r="E1796" s="36" t="s">
        <v>148</v>
      </c>
      <c r="J1796" s="87">
        <v>2284150</v>
      </c>
      <c r="K1796" s="85">
        <v>2022</v>
      </c>
      <c r="L1796" s="85">
        <v>4</v>
      </c>
      <c r="N1796" s="208" t="s">
        <v>44</v>
      </c>
    </row>
    <row r="1797" spans="1:14">
      <c r="A1797" s="36" t="s">
        <v>32</v>
      </c>
      <c r="B1797" s="37">
        <v>44712</v>
      </c>
      <c r="C1797" s="36" t="s">
        <v>391</v>
      </c>
      <c r="D1797" s="36" t="s">
        <v>817</v>
      </c>
      <c r="E1797" s="36" t="s">
        <v>76</v>
      </c>
      <c r="G1797" s="87">
        <v>3176000</v>
      </c>
      <c r="H1797" s="87">
        <v>317600</v>
      </c>
      <c r="I1797" s="87">
        <v>3493600</v>
      </c>
      <c r="K1797" s="85">
        <v>2022</v>
      </c>
      <c r="L1797" s="85">
        <v>5</v>
      </c>
      <c r="N1797" s="1" t="s">
        <v>44</v>
      </c>
    </row>
    <row r="1798" spans="1:14">
      <c r="A1798" s="36" t="s">
        <v>32</v>
      </c>
      <c r="B1798" s="37">
        <v>44712</v>
      </c>
      <c r="C1798" s="36" t="s">
        <v>391</v>
      </c>
      <c r="D1798" s="36" t="s">
        <v>674</v>
      </c>
      <c r="E1798" s="36" t="s">
        <v>76</v>
      </c>
      <c r="G1798" s="87">
        <v>7636360</v>
      </c>
      <c r="H1798" s="87">
        <v>763636</v>
      </c>
      <c r="I1798" s="87">
        <v>8399996</v>
      </c>
      <c r="K1798" s="85">
        <v>2022</v>
      </c>
      <c r="L1798" s="85">
        <v>5</v>
      </c>
      <c r="N1798" s="1" t="s">
        <v>44</v>
      </c>
    </row>
    <row r="1799" spans="1:14">
      <c r="A1799" s="36" t="s">
        <v>32</v>
      </c>
      <c r="B1799" s="37">
        <v>44712</v>
      </c>
      <c r="C1799" s="36" t="s">
        <v>848</v>
      </c>
      <c r="D1799" s="36" t="s">
        <v>849</v>
      </c>
      <c r="E1799" s="36" t="s">
        <v>77</v>
      </c>
      <c r="J1799" s="38">
        <v>7392000</v>
      </c>
      <c r="K1799" s="85">
        <v>2022</v>
      </c>
      <c r="L1799" s="85">
        <v>5</v>
      </c>
      <c r="N1799" s="1" t="s">
        <v>44</v>
      </c>
    </row>
    <row r="1800" spans="1:14">
      <c r="A1800" s="36" t="s">
        <v>33</v>
      </c>
      <c r="B1800" s="37">
        <v>44712</v>
      </c>
      <c r="C1800" s="36" t="s">
        <v>544</v>
      </c>
      <c r="D1800" s="36" t="s">
        <v>766</v>
      </c>
      <c r="E1800" s="36" t="s">
        <v>148</v>
      </c>
      <c r="J1800" s="87">
        <v>1083500</v>
      </c>
      <c r="K1800" s="85">
        <v>2022</v>
      </c>
      <c r="L1800" s="85">
        <v>4</v>
      </c>
      <c r="M1800" s="36" t="s">
        <v>107</v>
      </c>
      <c r="N1800" s="208" t="s">
        <v>44</v>
      </c>
    </row>
    <row r="1801" spans="1:14">
      <c r="A1801" s="36" t="s">
        <v>33</v>
      </c>
      <c r="B1801" s="37">
        <v>44712</v>
      </c>
      <c r="C1801" s="36" t="s">
        <v>544</v>
      </c>
      <c r="D1801" s="36" t="s">
        <v>766</v>
      </c>
      <c r="E1801" s="36" t="s">
        <v>125</v>
      </c>
      <c r="G1801" s="87">
        <v>313500</v>
      </c>
      <c r="H1801" s="87">
        <v>31350</v>
      </c>
      <c r="I1801" s="87">
        <v>344850</v>
      </c>
      <c r="K1801" s="85">
        <v>2022</v>
      </c>
      <c r="L1801" s="85">
        <v>5</v>
      </c>
      <c r="M1801" s="36" t="s">
        <v>107</v>
      </c>
      <c r="N1801" s="1" t="s">
        <v>44</v>
      </c>
    </row>
    <row r="1802" spans="1:14">
      <c r="A1802" s="36" t="s">
        <v>33</v>
      </c>
      <c r="B1802" s="37">
        <v>44712</v>
      </c>
      <c r="C1802" s="36" t="s">
        <v>584</v>
      </c>
      <c r="D1802" s="36" t="s">
        <v>205</v>
      </c>
      <c r="E1802" s="36" t="s">
        <v>77</v>
      </c>
      <c r="J1802" s="87">
        <v>85800</v>
      </c>
      <c r="K1802" s="85">
        <v>2022</v>
      </c>
      <c r="L1802" s="85">
        <v>4</v>
      </c>
      <c r="N1802" s="208" t="s">
        <v>44</v>
      </c>
    </row>
    <row r="1803" spans="1:14">
      <c r="A1803" s="36" t="s">
        <v>32</v>
      </c>
      <c r="B1803" s="37">
        <v>44712</v>
      </c>
      <c r="C1803" s="36" t="s">
        <v>768</v>
      </c>
      <c r="D1803" s="36" t="s">
        <v>769</v>
      </c>
      <c r="E1803" s="36" t="s">
        <v>148</v>
      </c>
      <c r="J1803" s="87">
        <v>1735800</v>
      </c>
      <c r="K1803" s="85">
        <v>2022</v>
      </c>
      <c r="L1803" s="85">
        <v>4</v>
      </c>
      <c r="N1803" s="208" t="s">
        <v>44</v>
      </c>
    </row>
    <row r="1804" spans="1:14">
      <c r="A1804" s="36" t="s">
        <v>33</v>
      </c>
      <c r="B1804" s="37">
        <v>44712</v>
      </c>
      <c r="C1804" s="36" t="s">
        <v>745</v>
      </c>
      <c r="D1804" s="36" t="s">
        <v>746</v>
      </c>
      <c r="E1804" s="36" t="s">
        <v>148</v>
      </c>
      <c r="J1804" s="87">
        <v>1210000</v>
      </c>
      <c r="K1804" s="85">
        <v>2022</v>
      </c>
      <c r="L1804" s="85">
        <v>4</v>
      </c>
      <c r="M1804" s="36" t="s">
        <v>746</v>
      </c>
      <c r="N1804" s="208" t="s">
        <v>44</v>
      </c>
    </row>
    <row r="1805" spans="1:14">
      <c r="A1805" s="36" t="s">
        <v>32</v>
      </c>
      <c r="B1805" s="37">
        <v>44712</v>
      </c>
      <c r="C1805" s="36" t="s">
        <v>299</v>
      </c>
      <c r="D1805" s="36" t="s">
        <v>868</v>
      </c>
      <c r="E1805" s="36" t="s">
        <v>76</v>
      </c>
      <c r="G1805" s="87">
        <v>28364000</v>
      </c>
      <c r="H1805" s="87">
        <v>2836400</v>
      </c>
      <c r="I1805" s="87">
        <v>31200400</v>
      </c>
      <c r="K1805" s="85">
        <v>2022</v>
      </c>
      <c r="L1805" s="85">
        <v>5</v>
      </c>
      <c r="N1805" s="1" t="s">
        <v>44</v>
      </c>
    </row>
    <row r="1806" spans="1:14">
      <c r="A1806" s="36" t="s">
        <v>32</v>
      </c>
      <c r="B1806" s="37">
        <v>44712</v>
      </c>
      <c r="C1806" s="36" t="s">
        <v>869</v>
      </c>
      <c r="D1806" s="36" t="s">
        <v>870</v>
      </c>
      <c r="E1806" s="36" t="s">
        <v>76</v>
      </c>
      <c r="G1806" s="87">
        <v>15589600</v>
      </c>
      <c r="H1806" s="87">
        <v>1558960</v>
      </c>
      <c r="I1806" s="87">
        <v>17148560</v>
      </c>
      <c r="K1806" s="85">
        <v>2022</v>
      </c>
      <c r="L1806" s="85">
        <v>5</v>
      </c>
      <c r="N1806" s="1" t="s">
        <v>44</v>
      </c>
    </row>
    <row r="1807" spans="1:14">
      <c r="A1807" s="36" t="s">
        <v>32</v>
      </c>
      <c r="B1807" s="37">
        <v>44712</v>
      </c>
      <c r="C1807" s="36" t="s">
        <v>773</v>
      </c>
      <c r="D1807" s="36" t="s">
        <v>774</v>
      </c>
      <c r="E1807" s="36" t="s">
        <v>76</v>
      </c>
      <c r="G1807" s="87">
        <v>24030000</v>
      </c>
      <c r="H1807" s="87">
        <v>2403000</v>
      </c>
      <c r="I1807" s="87">
        <v>26433000</v>
      </c>
      <c r="K1807" s="85">
        <v>2022</v>
      </c>
      <c r="L1807" s="85">
        <v>5</v>
      </c>
      <c r="N1807" s="1" t="s">
        <v>44</v>
      </c>
    </row>
    <row r="1808" spans="1:14">
      <c r="A1808" s="36" t="s">
        <v>32</v>
      </c>
      <c r="B1808" s="37">
        <v>44712</v>
      </c>
      <c r="C1808" s="36" t="s">
        <v>181</v>
      </c>
      <c r="D1808" s="36" t="s">
        <v>372</v>
      </c>
      <c r="E1808" s="36" t="s">
        <v>148</v>
      </c>
      <c r="J1808" s="87">
        <v>17600000</v>
      </c>
      <c r="K1808" s="85">
        <v>2022</v>
      </c>
      <c r="L1808" s="85">
        <v>2</v>
      </c>
      <c r="N1808" s="208" t="s">
        <v>44</v>
      </c>
    </row>
    <row r="1809" spans="1:14">
      <c r="A1809" s="36" t="s">
        <v>32</v>
      </c>
      <c r="B1809" s="37">
        <v>44712</v>
      </c>
      <c r="C1809" s="36" t="s">
        <v>181</v>
      </c>
      <c r="D1809" s="36" t="s">
        <v>823</v>
      </c>
      <c r="E1809" s="36" t="s">
        <v>148</v>
      </c>
      <c r="J1809" s="87">
        <v>5940000</v>
      </c>
      <c r="K1809" s="85">
        <v>2022</v>
      </c>
      <c r="L1809" s="85">
        <v>4</v>
      </c>
      <c r="N1809" s="208" t="s">
        <v>44</v>
      </c>
    </row>
    <row r="1810" spans="1:14">
      <c r="A1810" s="36" t="s">
        <v>32</v>
      </c>
      <c r="B1810" s="37">
        <v>44712</v>
      </c>
      <c r="C1810" s="36" t="s">
        <v>181</v>
      </c>
      <c r="D1810" s="36" t="s">
        <v>822</v>
      </c>
      <c r="E1810" s="36" t="s">
        <v>148</v>
      </c>
      <c r="J1810" s="87">
        <v>6979500</v>
      </c>
      <c r="K1810" s="85">
        <v>2022</v>
      </c>
      <c r="L1810" s="85">
        <v>4</v>
      </c>
      <c r="N1810" s="208" t="s">
        <v>44</v>
      </c>
    </row>
    <row r="1811" spans="1:14">
      <c r="A1811" s="36" t="s">
        <v>33</v>
      </c>
      <c r="B1811" s="37">
        <v>44712</v>
      </c>
      <c r="C1811" s="36" t="s">
        <v>320</v>
      </c>
      <c r="D1811" s="36" t="s">
        <v>378</v>
      </c>
      <c r="E1811" s="36" t="s">
        <v>157</v>
      </c>
      <c r="G1811" s="87">
        <v>180000</v>
      </c>
      <c r="H1811" s="87">
        <v>18000</v>
      </c>
      <c r="I1811" s="87">
        <v>198000</v>
      </c>
      <c r="K1811" s="85">
        <v>2022</v>
      </c>
      <c r="L1811" s="85">
        <v>5</v>
      </c>
      <c r="N1811" s="1" t="s">
        <v>44</v>
      </c>
    </row>
    <row r="1812" spans="1:14">
      <c r="A1812" s="36" t="s">
        <v>32</v>
      </c>
      <c r="B1812" s="37">
        <v>44712</v>
      </c>
      <c r="C1812" s="36" t="s">
        <v>871</v>
      </c>
      <c r="D1812" s="36" t="s">
        <v>872</v>
      </c>
      <c r="E1812" s="36" t="s">
        <v>76</v>
      </c>
      <c r="G1812" s="87">
        <v>10600000</v>
      </c>
      <c r="H1812" s="87">
        <v>1060000</v>
      </c>
      <c r="I1812" s="87">
        <v>11660000</v>
      </c>
      <c r="K1812" s="85">
        <v>2022</v>
      </c>
      <c r="L1812" s="85">
        <v>5</v>
      </c>
      <c r="N1812" s="1" t="s">
        <v>44</v>
      </c>
    </row>
    <row r="1813" spans="1:14">
      <c r="A1813" s="36" t="s">
        <v>32</v>
      </c>
      <c r="B1813" s="37">
        <v>44712</v>
      </c>
      <c r="C1813" s="36" t="s">
        <v>871</v>
      </c>
      <c r="D1813" s="36" t="s">
        <v>678</v>
      </c>
      <c r="E1813" s="36" t="s">
        <v>76</v>
      </c>
      <c r="G1813" s="87">
        <v>26211980</v>
      </c>
      <c r="H1813" s="87">
        <v>2621198</v>
      </c>
      <c r="I1813" s="87">
        <v>28833178</v>
      </c>
      <c r="K1813" s="85">
        <v>2022</v>
      </c>
      <c r="L1813" s="85">
        <v>5</v>
      </c>
      <c r="N1813" s="1" t="s">
        <v>44</v>
      </c>
    </row>
    <row r="1814" spans="1:14">
      <c r="A1814" s="36" t="s">
        <v>32</v>
      </c>
      <c r="B1814" s="37">
        <v>44712</v>
      </c>
      <c r="C1814" s="36" t="s">
        <v>871</v>
      </c>
      <c r="D1814" s="36" t="s">
        <v>873</v>
      </c>
      <c r="E1814" s="36" t="s">
        <v>76</v>
      </c>
      <c r="G1814" s="87">
        <v>43327500</v>
      </c>
      <c r="H1814" s="87">
        <v>4332750</v>
      </c>
      <c r="I1814" s="87">
        <v>47660250</v>
      </c>
      <c r="K1814" s="85">
        <v>2022</v>
      </c>
      <c r="L1814" s="85">
        <v>5</v>
      </c>
      <c r="N1814" s="1" t="s">
        <v>44</v>
      </c>
    </row>
    <row r="1815" spans="1:14">
      <c r="A1815" s="36" t="s">
        <v>32</v>
      </c>
      <c r="B1815" s="37">
        <v>44712</v>
      </c>
      <c r="C1815" s="36" t="s">
        <v>871</v>
      </c>
      <c r="D1815" s="36" t="s">
        <v>678</v>
      </c>
      <c r="E1815" s="36" t="s">
        <v>148</v>
      </c>
      <c r="J1815" s="87">
        <v>28833178</v>
      </c>
      <c r="K1815" s="85">
        <v>2022</v>
      </c>
      <c r="L1815" s="85">
        <v>5</v>
      </c>
      <c r="N1815" s="1" t="s">
        <v>44</v>
      </c>
    </row>
    <row r="1816" spans="1:14">
      <c r="A1816" s="36" t="s">
        <v>33</v>
      </c>
      <c r="B1816" s="37">
        <v>44712</v>
      </c>
      <c r="C1816" s="36" t="s">
        <v>119</v>
      </c>
      <c r="D1816" s="36" t="s">
        <v>374</v>
      </c>
      <c r="E1816" s="36" t="s">
        <v>148</v>
      </c>
      <c r="J1816" s="87">
        <v>1848000</v>
      </c>
      <c r="K1816" s="85">
        <v>2022</v>
      </c>
      <c r="L1816" s="85">
        <v>4</v>
      </c>
      <c r="N1816" s="208" t="s">
        <v>44</v>
      </c>
    </row>
    <row r="1817" spans="1:14">
      <c r="A1817" s="36" t="s">
        <v>33</v>
      </c>
      <c r="B1817" s="37">
        <v>44712</v>
      </c>
      <c r="C1817" s="36" t="s">
        <v>119</v>
      </c>
      <c r="D1817" s="36" t="s">
        <v>826</v>
      </c>
      <c r="E1817" s="36" t="s">
        <v>148</v>
      </c>
      <c r="J1817" s="87">
        <v>5720000</v>
      </c>
      <c r="K1817" s="85">
        <v>2022</v>
      </c>
      <c r="L1817" s="85">
        <v>4</v>
      </c>
      <c r="N1817" s="208" t="s">
        <v>44</v>
      </c>
    </row>
    <row r="1818" spans="1:14">
      <c r="A1818" s="36" t="s">
        <v>33</v>
      </c>
      <c r="B1818" s="37">
        <v>44712</v>
      </c>
      <c r="C1818" s="36" t="s">
        <v>119</v>
      </c>
      <c r="D1818" s="36" t="s">
        <v>874</v>
      </c>
      <c r="E1818" s="36" t="s">
        <v>76</v>
      </c>
      <c r="G1818" s="87">
        <v>8750261</v>
      </c>
      <c r="H1818" s="87">
        <v>875026.10000000009</v>
      </c>
      <c r="I1818" s="87">
        <v>9625287.0999999996</v>
      </c>
      <c r="K1818" s="85">
        <v>2022</v>
      </c>
      <c r="L1818" s="85">
        <v>5</v>
      </c>
      <c r="N1818" s="1" t="s">
        <v>44</v>
      </c>
    </row>
    <row r="1819" spans="1:14">
      <c r="A1819" s="36" t="s">
        <v>33</v>
      </c>
      <c r="B1819" s="37">
        <v>44712</v>
      </c>
      <c r="C1819" s="36" t="s">
        <v>119</v>
      </c>
      <c r="D1819" s="36" t="s">
        <v>374</v>
      </c>
      <c r="E1819" s="36" t="s">
        <v>76</v>
      </c>
      <c r="G1819" s="87">
        <v>2730000</v>
      </c>
      <c r="H1819" s="87">
        <v>273000</v>
      </c>
      <c r="I1819" s="87">
        <v>3003000</v>
      </c>
      <c r="K1819" s="85">
        <v>2022</v>
      </c>
      <c r="L1819" s="85">
        <v>5</v>
      </c>
      <c r="M1819" s="36" t="s">
        <v>875</v>
      </c>
      <c r="N1819" s="1" t="s">
        <v>44</v>
      </c>
    </row>
    <row r="1820" spans="1:14">
      <c r="A1820" s="36" t="s">
        <v>33</v>
      </c>
      <c r="B1820" s="37">
        <v>44712</v>
      </c>
      <c r="C1820" s="36" t="s">
        <v>119</v>
      </c>
      <c r="D1820" s="36" t="s">
        <v>876</v>
      </c>
      <c r="E1820" s="36" t="s">
        <v>637</v>
      </c>
      <c r="G1820" s="87">
        <v>1320000</v>
      </c>
      <c r="H1820" s="87">
        <v>132000</v>
      </c>
      <c r="I1820" s="87">
        <v>1452000</v>
      </c>
      <c r="K1820" s="85">
        <v>2022</v>
      </c>
      <c r="L1820" s="85">
        <v>5</v>
      </c>
      <c r="M1820" s="36" t="s">
        <v>877</v>
      </c>
      <c r="N1820" s="1" t="s">
        <v>44</v>
      </c>
    </row>
    <row r="1821" spans="1:14">
      <c r="A1821" s="36" t="s">
        <v>32</v>
      </c>
      <c r="B1821" s="37">
        <v>44712</v>
      </c>
      <c r="C1821" s="36" t="s">
        <v>505</v>
      </c>
      <c r="D1821" s="36" t="s">
        <v>878</v>
      </c>
      <c r="E1821" s="36" t="s">
        <v>76</v>
      </c>
      <c r="G1821" s="87">
        <v>2834880</v>
      </c>
      <c r="H1821" s="87">
        <v>283488</v>
      </c>
      <c r="I1821" s="87">
        <v>3118368</v>
      </c>
      <c r="K1821" s="85">
        <v>2022</v>
      </c>
      <c r="L1821" s="85">
        <v>5</v>
      </c>
      <c r="N1821" s="1" t="s">
        <v>44</v>
      </c>
    </row>
    <row r="1822" spans="1:14">
      <c r="A1822" s="36" t="s">
        <v>32</v>
      </c>
      <c r="B1822" s="37">
        <v>44712</v>
      </c>
      <c r="C1822" s="36" t="s">
        <v>879</v>
      </c>
      <c r="D1822" s="36" t="s">
        <v>880</v>
      </c>
      <c r="E1822" s="36" t="s">
        <v>76</v>
      </c>
      <c r="G1822" s="87">
        <v>6700000</v>
      </c>
      <c r="H1822" s="87">
        <v>670000</v>
      </c>
      <c r="I1822" s="87">
        <v>7370000</v>
      </c>
      <c r="K1822" s="85">
        <v>2022</v>
      </c>
      <c r="L1822" s="85">
        <v>5</v>
      </c>
      <c r="N1822" s="1" t="s">
        <v>44</v>
      </c>
    </row>
    <row r="1823" spans="1:14">
      <c r="A1823" s="36" t="s">
        <v>32</v>
      </c>
      <c r="B1823" s="37">
        <v>44712</v>
      </c>
      <c r="C1823" s="36" t="s">
        <v>776</v>
      </c>
      <c r="D1823" s="36" t="s">
        <v>777</v>
      </c>
      <c r="E1823" s="36" t="s">
        <v>148</v>
      </c>
      <c r="J1823" s="87">
        <v>14312073.6</v>
      </c>
      <c r="K1823" s="85">
        <v>2022</v>
      </c>
      <c r="L1823" s="85">
        <v>4</v>
      </c>
      <c r="N1823" s="208" t="s">
        <v>44</v>
      </c>
    </row>
    <row r="1824" spans="1:14">
      <c r="A1824" s="36" t="s">
        <v>32</v>
      </c>
      <c r="B1824" s="37">
        <v>44712</v>
      </c>
      <c r="C1824" s="36" t="s">
        <v>776</v>
      </c>
      <c r="D1824" s="36" t="s">
        <v>777</v>
      </c>
      <c r="E1824" s="36" t="s">
        <v>76</v>
      </c>
      <c r="G1824" s="87">
        <v>5110000</v>
      </c>
      <c r="H1824" s="87">
        <v>511000</v>
      </c>
      <c r="I1824" s="87">
        <v>5621000</v>
      </c>
      <c r="K1824" s="85">
        <v>2022</v>
      </c>
      <c r="L1824" s="85">
        <v>5</v>
      </c>
      <c r="N1824" s="1" t="s">
        <v>44</v>
      </c>
    </row>
    <row r="1825" spans="1:14">
      <c r="A1825" s="36" t="s">
        <v>32</v>
      </c>
      <c r="B1825" s="37">
        <v>44712</v>
      </c>
      <c r="C1825" s="36" t="s">
        <v>511</v>
      </c>
      <c r="D1825" s="36" t="s">
        <v>512</v>
      </c>
      <c r="E1825" s="36" t="s">
        <v>148</v>
      </c>
      <c r="J1825" s="87">
        <v>18210390</v>
      </c>
      <c r="K1825" s="85">
        <v>2022</v>
      </c>
      <c r="L1825" s="85">
        <v>4</v>
      </c>
      <c r="N1825" s="208" t="s">
        <v>44</v>
      </c>
    </row>
    <row r="1826" spans="1:14">
      <c r="A1826" s="36" t="s">
        <v>32</v>
      </c>
      <c r="B1826" s="37">
        <v>44712</v>
      </c>
      <c r="C1826" s="36" t="s">
        <v>511</v>
      </c>
      <c r="D1826" s="36" t="s">
        <v>512</v>
      </c>
      <c r="E1826" s="36" t="s">
        <v>76</v>
      </c>
      <c r="G1826" s="87">
        <v>12835500</v>
      </c>
      <c r="H1826" s="87">
        <v>1283550</v>
      </c>
      <c r="I1826" s="87">
        <v>14119050</v>
      </c>
      <c r="K1826" s="85">
        <v>2022</v>
      </c>
      <c r="L1826" s="85">
        <v>5</v>
      </c>
      <c r="N1826" s="1" t="s">
        <v>44</v>
      </c>
    </row>
    <row r="1827" spans="1:14">
      <c r="A1827" s="36" t="s">
        <v>32</v>
      </c>
      <c r="B1827" s="37">
        <v>44712</v>
      </c>
      <c r="C1827" s="36" t="s">
        <v>881</v>
      </c>
      <c r="D1827" s="36" t="s">
        <v>882</v>
      </c>
      <c r="E1827" s="36" t="s">
        <v>76</v>
      </c>
      <c r="G1827" s="87">
        <v>56000000</v>
      </c>
      <c r="H1827" s="87">
        <v>5600000</v>
      </c>
      <c r="I1827" s="87">
        <v>61600000</v>
      </c>
      <c r="K1827" s="85">
        <v>2022</v>
      </c>
      <c r="L1827" s="85">
        <v>5</v>
      </c>
      <c r="N1827" s="1" t="s">
        <v>44</v>
      </c>
    </row>
    <row r="1828" spans="1:14">
      <c r="A1828" s="36" t="s">
        <v>32</v>
      </c>
      <c r="B1828" s="37">
        <v>44712</v>
      </c>
      <c r="C1828" s="36" t="s">
        <v>883</v>
      </c>
      <c r="D1828" s="36" t="s">
        <v>884</v>
      </c>
      <c r="E1828" s="36" t="s">
        <v>76</v>
      </c>
      <c r="G1828" s="87">
        <v>1617000</v>
      </c>
      <c r="H1828" s="87">
        <v>161700</v>
      </c>
      <c r="I1828" s="87">
        <v>1778700</v>
      </c>
      <c r="K1828" s="85">
        <v>2022</v>
      </c>
      <c r="L1828" s="85">
        <v>5</v>
      </c>
      <c r="N1828" s="1" t="s">
        <v>44</v>
      </c>
    </row>
    <row r="1829" spans="1:14">
      <c r="A1829" s="36" t="s">
        <v>33</v>
      </c>
      <c r="B1829" s="37">
        <v>44712</v>
      </c>
      <c r="C1829" s="36" t="s">
        <v>885</v>
      </c>
      <c r="D1829" s="36" t="s">
        <v>886</v>
      </c>
      <c r="E1829" s="36" t="s">
        <v>637</v>
      </c>
      <c r="G1829" s="87">
        <v>1100000</v>
      </c>
      <c r="H1829" s="87">
        <v>110000</v>
      </c>
      <c r="I1829" s="87">
        <v>1210000</v>
      </c>
      <c r="K1829" s="85">
        <v>2022</v>
      </c>
      <c r="L1829" s="85">
        <v>5</v>
      </c>
      <c r="M1829" s="36" t="s">
        <v>887</v>
      </c>
      <c r="N1829" s="1" t="s">
        <v>44</v>
      </c>
    </row>
    <row r="1830" spans="1:14">
      <c r="A1830" s="36" t="s">
        <v>33</v>
      </c>
      <c r="B1830" s="37">
        <v>44712</v>
      </c>
      <c r="C1830" s="36" t="s">
        <v>226</v>
      </c>
      <c r="D1830" s="36" t="s">
        <v>227</v>
      </c>
      <c r="E1830" s="36" t="s">
        <v>228</v>
      </c>
      <c r="G1830" s="87">
        <v>3896363</v>
      </c>
      <c r="H1830" s="87">
        <v>389637</v>
      </c>
      <c r="I1830" s="87">
        <v>4286000</v>
      </c>
      <c r="K1830" s="85">
        <v>2022</v>
      </c>
      <c r="L1830" s="85">
        <v>5</v>
      </c>
      <c r="N1830" s="1" t="s">
        <v>44</v>
      </c>
    </row>
    <row r="1831" spans="1:14">
      <c r="A1831" s="36" t="s">
        <v>32</v>
      </c>
      <c r="B1831" s="37">
        <v>44712</v>
      </c>
      <c r="C1831" s="36" t="s">
        <v>888</v>
      </c>
      <c r="D1831" s="36" t="s">
        <v>889</v>
      </c>
      <c r="E1831" s="36" t="s">
        <v>76</v>
      </c>
      <c r="G1831" s="87">
        <v>8000000</v>
      </c>
      <c r="H1831" s="87">
        <v>800000</v>
      </c>
      <c r="I1831" s="87">
        <v>8800000</v>
      </c>
      <c r="K1831" s="85">
        <v>2022</v>
      </c>
      <c r="L1831" s="85">
        <v>5</v>
      </c>
      <c r="N1831" s="1" t="s">
        <v>44</v>
      </c>
    </row>
    <row r="1832" spans="1:14">
      <c r="A1832" s="36" t="s">
        <v>32</v>
      </c>
      <c r="B1832" s="37">
        <v>44712</v>
      </c>
      <c r="C1832" s="36" t="s">
        <v>185</v>
      </c>
      <c r="D1832" s="36" t="s">
        <v>778</v>
      </c>
      <c r="E1832" s="36" t="s">
        <v>148</v>
      </c>
      <c r="J1832" s="87">
        <v>5971926.4000000004</v>
      </c>
      <c r="K1832" s="85">
        <v>2022</v>
      </c>
      <c r="L1832" s="85">
        <v>4</v>
      </c>
      <c r="N1832" s="208" t="s">
        <v>44</v>
      </c>
    </row>
    <row r="1833" spans="1:14">
      <c r="A1833" s="36" t="s">
        <v>32</v>
      </c>
      <c r="B1833" s="37">
        <v>44712</v>
      </c>
      <c r="C1833" s="36" t="s">
        <v>185</v>
      </c>
      <c r="D1833" s="36" t="s">
        <v>890</v>
      </c>
      <c r="E1833" s="36" t="s">
        <v>76</v>
      </c>
      <c r="G1833" s="87">
        <v>8750261</v>
      </c>
      <c r="H1833" s="87">
        <v>875026.10000000009</v>
      </c>
      <c r="I1833" s="87">
        <v>9625287.0999999996</v>
      </c>
      <c r="K1833" s="85">
        <v>2022</v>
      </c>
      <c r="L1833" s="85">
        <v>5</v>
      </c>
      <c r="N1833" s="1" t="s">
        <v>44</v>
      </c>
    </row>
    <row r="1834" spans="1:14">
      <c r="A1834" s="36" t="s">
        <v>32</v>
      </c>
      <c r="B1834" s="37">
        <v>44712</v>
      </c>
      <c r="C1834" s="36" t="s">
        <v>185</v>
      </c>
      <c r="D1834" s="36" t="s">
        <v>891</v>
      </c>
      <c r="E1834" s="36" t="s">
        <v>76</v>
      </c>
      <c r="G1834" s="87">
        <v>3035745</v>
      </c>
      <c r="H1834" s="87">
        <v>303574.5</v>
      </c>
      <c r="I1834" s="87">
        <v>3339319.5</v>
      </c>
      <c r="K1834" s="85">
        <v>2022</v>
      </c>
      <c r="L1834" s="85">
        <v>5</v>
      </c>
      <c r="N1834" s="1" t="s">
        <v>44</v>
      </c>
    </row>
    <row r="1835" spans="1:14">
      <c r="A1835" s="36" t="s">
        <v>32</v>
      </c>
      <c r="B1835" s="37">
        <v>44712</v>
      </c>
      <c r="C1835" s="36" t="s">
        <v>185</v>
      </c>
      <c r="D1835" s="36" t="s">
        <v>778</v>
      </c>
      <c r="E1835" s="36" t="s">
        <v>76</v>
      </c>
      <c r="G1835" s="87">
        <v>857940</v>
      </c>
      <c r="H1835" s="87">
        <v>85794</v>
      </c>
      <c r="I1835" s="87">
        <v>943734</v>
      </c>
      <c r="K1835" s="85">
        <v>2022</v>
      </c>
      <c r="L1835" s="85">
        <v>5</v>
      </c>
      <c r="N1835" s="1" t="s">
        <v>44</v>
      </c>
    </row>
    <row r="1836" spans="1:14">
      <c r="A1836" s="36" t="s">
        <v>32</v>
      </c>
      <c r="B1836" s="37">
        <v>44712</v>
      </c>
      <c r="C1836" s="36" t="s">
        <v>185</v>
      </c>
      <c r="D1836" s="36" t="s">
        <v>892</v>
      </c>
      <c r="E1836" s="36" t="s">
        <v>76</v>
      </c>
      <c r="G1836" s="87">
        <v>17023632</v>
      </c>
      <c r="H1836" s="87">
        <v>1702363.2000000002</v>
      </c>
      <c r="I1836" s="87">
        <v>18725995.199999999</v>
      </c>
      <c r="K1836" s="85">
        <v>2022</v>
      </c>
      <c r="L1836" s="85">
        <v>5</v>
      </c>
      <c r="N1836" s="1" t="s">
        <v>44</v>
      </c>
    </row>
    <row r="1837" spans="1:14">
      <c r="A1837" s="36" t="s">
        <v>32</v>
      </c>
      <c r="B1837" s="37">
        <v>44712</v>
      </c>
      <c r="C1837" s="36" t="s">
        <v>185</v>
      </c>
      <c r="D1837" s="36" t="s">
        <v>892</v>
      </c>
      <c r="E1837" s="36" t="s">
        <v>148</v>
      </c>
      <c r="J1837" s="87">
        <v>18725995.199999999</v>
      </c>
      <c r="K1837" s="85">
        <v>2022</v>
      </c>
      <c r="L1837" s="85">
        <v>5</v>
      </c>
      <c r="N1837" s="1" t="s">
        <v>44</v>
      </c>
    </row>
    <row r="1838" spans="1:14">
      <c r="A1838" s="36" t="s">
        <v>32</v>
      </c>
      <c r="B1838" s="37">
        <v>44712</v>
      </c>
      <c r="C1838" s="36" t="s">
        <v>844</v>
      </c>
      <c r="D1838" s="36" t="s">
        <v>893</v>
      </c>
      <c r="E1838" s="36" t="s">
        <v>894</v>
      </c>
      <c r="G1838" s="87">
        <v>2340000</v>
      </c>
      <c r="H1838" s="87">
        <v>234000</v>
      </c>
      <c r="I1838" s="87">
        <v>2574000</v>
      </c>
      <c r="K1838" s="85">
        <v>2022</v>
      </c>
      <c r="L1838" s="85">
        <v>5</v>
      </c>
      <c r="N1838" s="1" t="s">
        <v>44</v>
      </c>
    </row>
    <row r="1839" spans="1:14">
      <c r="A1839" s="36" t="s">
        <v>33</v>
      </c>
      <c r="B1839" s="37">
        <v>44712</v>
      </c>
      <c r="C1839" s="36" t="s">
        <v>781</v>
      </c>
      <c r="D1839" s="36" t="s">
        <v>782</v>
      </c>
      <c r="E1839" s="36" t="s">
        <v>125</v>
      </c>
      <c r="G1839" s="87">
        <v>1442500</v>
      </c>
      <c r="H1839" s="87">
        <v>144250</v>
      </c>
      <c r="I1839" s="87">
        <v>1586750</v>
      </c>
      <c r="K1839" s="85">
        <v>2022</v>
      </c>
      <c r="L1839" s="85">
        <v>5</v>
      </c>
      <c r="N1839" s="1" t="s">
        <v>44</v>
      </c>
    </row>
    <row r="1840" spans="1:14">
      <c r="A1840" s="36" t="s">
        <v>32</v>
      </c>
      <c r="B1840" s="37">
        <v>44712</v>
      </c>
      <c r="C1840" s="36" t="s">
        <v>188</v>
      </c>
      <c r="D1840" s="36" t="s">
        <v>622</v>
      </c>
      <c r="E1840" s="36" t="s">
        <v>148</v>
      </c>
      <c r="J1840" s="87">
        <v>825000</v>
      </c>
      <c r="K1840" s="85">
        <v>2022</v>
      </c>
      <c r="L1840" s="85">
        <v>3</v>
      </c>
      <c r="N1840" s="208" t="s">
        <v>44</v>
      </c>
    </row>
    <row r="1841" spans="1:14">
      <c r="A1841" s="36" t="s">
        <v>32</v>
      </c>
      <c r="B1841" s="37">
        <v>44712</v>
      </c>
      <c r="C1841" s="36" t="s">
        <v>188</v>
      </c>
      <c r="D1841" s="36" t="s">
        <v>829</v>
      </c>
      <c r="E1841" s="36" t="s">
        <v>148</v>
      </c>
      <c r="J1841" s="87">
        <v>2244000</v>
      </c>
      <c r="K1841" s="85">
        <v>2022</v>
      </c>
      <c r="L1841" s="85">
        <v>4</v>
      </c>
      <c r="N1841" s="208" t="s">
        <v>44</v>
      </c>
    </row>
    <row r="1842" spans="1:14">
      <c r="A1842" s="36" t="s">
        <v>32</v>
      </c>
      <c r="B1842" s="37">
        <v>44712</v>
      </c>
      <c r="C1842" s="36" t="s">
        <v>188</v>
      </c>
      <c r="D1842" s="36" t="s">
        <v>1321</v>
      </c>
      <c r="E1842" s="36" t="s">
        <v>148</v>
      </c>
      <c r="J1842" s="87">
        <v>801350</v>
      </c>
      <c r="K1842" s="85">
        <v>2022</v>
      </c>
      <c r="L1842" s="85">
        <v>4</v>
      </c>
      <c r="N1842" s="208" t="s">
        <v>44</v>
      </c>
    </row>
    <row r="1843" spans="1:14">
      <c r="A1843" s="36" t="s">
        <v>32</v>
      </c>
      <c r="B1843" s="37">
        <v>44712</v>
      </c>
      <c r="C1843" s="36" t="s">
        <v>406</v>
      </c>
      <c r="D1843" s="36" t="s">
        <v>895</v>
      </c>
      <c r="E1843" s="36" t="s">
        <v>76</v>
      </c>
      <c r="G1843" s="87">
        <v>1403520</v>
      </c>
      <c r="H1843" s="87">
        <v>140352</v>
      </c>
      <c r="I1843" s="87">
        <v>1543872</v>
      </c>
      <c r="K1843" s="85">
        <v>2022</v>
      </c>
      <c r="L1843" s="85">
        <v>5</v>
      </c>
      <c r="N1843" s="1" t="s">
        <v>44</v>
      </c>
    </row>
    <row r="1844" spans="1:14">
      <c r="A1844" s="36" t="s">
        <v>32</v>
      </c>
      <c r="B1844" s="37">
        <v>44712</v>
      </c>
      <c r="C1844" s="36" t="s">
        <v>406</v>
      </c>
      <c r="D1844" s="36" t="s">
        <v>896</v>
      </c>
      <c r="E1844" s="36" t="s">
        <v>76</v>
      </c>
      <c r="G1844" s="87">
        <v>2490400</v>
      </c>
      <c r="H1844" s="87">
        <v>249040</v>
      </c>
      <c r="I1844" s="87">
        <v>2739440</v>
      </c>
      <c r="K1844" s="85">
        <v>2022</v>
      </c>
      <c r="L1844" s="85">
        <v>5</v>
      </c>
      <c r="N1844" s="1" t="s">
        <v>44</v>
      </c>
    </row>
    <row r="1845" spans="1:14">
      <c r="A1845" s="36" t="s">
        <v>32</v>
      </c>
      <c r="B1845" s="37">
        <v>44712</v>
      </c>
      <c r="C1845" s="36" t="s">
        <v>406</v>
      </c>
      <c r="D1845" s="36" t="s">
        <v>897</v>
      </c>
      <c r="E1845" s="36" t="s">
        <v>76</v>
      </c>
      <c r="G1845" s="87">
        <v>3750000</v>
      </c>
      <c r="H1845" s="87">
        <v>375000</v>
      </c>
      <c r="I1845" s="87">
        <v>4125000</v>
      </c>
      <c r="K1845" s="85">
        <v>2022</v>
      </c>
      <c r="L1845" s="85">
        <v>5</v>
      </c>
      <c r="N1845" s="1" t="s">
        <v>44</v>
      </c>
    </row>
    <row r="1846" spans="1:14">
      <c r="A1846" s="36" t="s">
        <v>32</v>
      </c>
      <c r="B1846" s="37">
        <v>44712</v>
      </c>
      <c r="C1846" s="36" t="s">
        <v>406</v>
      </c>
      <c r="D1846" s="36" t="s">
        <v>783</v>
      </c>
      <c r="E1846" s="36" t="s">
        <v>76</v>
      </c>
      <c r="G1846" s="87">
        <v>6028200</v>
      </c>
      <c r="H1846" s="87">
        <v>602820</v>
      </c>
      <c r="I1846" s="87">
        <v>6631020</v>
      </c>
      <c r="K1846" s="85">
        <v>2022</v>
      </c>
      <c r="L1846" s="85">
        <v>5</v>
      </c>
      <c r="N1846" s="1" t="s">
        <v>44</v>
      </c>
    </row>
    <row r="1847" spans="1:14">
      <c r="A1847" s="36" t="s">
        <v>32</v>
      </c>
      <c r="B1847" s="37">
        <v>44712</v>
      </c>
      <c r="C1847" s="36" t="s">
        <v>175</v>
      </c>
      <c r="D1847" s="36" t="s">
        <v>810</v>
      </c>
      <c r="E1847" s="36" t="s">
        <v>148</v>
      </c>
      <c r="J1847" s="87">
        <v>6565350</v>
      </c>
      <c r="K1847" s="85">
        <v>2022</v>
      </c>
      <c r="L1847" s="85">
        <v>4</v>
      </c>
      <c r="N1847" s="208" t="s">
        <v>44</v>
      </c>
    </row>
    <row r="1848" spans="1:14">
      <c r="A1848" s="36" t="s">
        <v>32</v>
      </c>
      <c r="B1848" s="37">
        <v>44712</v>
      </c>
      <c r="C1848" s="36" t="s">
        <v>175</v>
      </c>
      <c r="D1848" s="36" t="s">
        <v>414</v>
      </c>
      <c r="E1848" s="36" t="s">
        <v>76</v>
      </c>
      <c r="G1848" s="87">
        <v>1971200</v>
      </c>
      <c r="H1848" s="87">
        <v>197120</v>
      </c>
      <c r="I1848" s="87">
        <v>2168320</v>
      </c>
      <c r="K1848" s="85">
        <v>2022</v>
      </c>
      <c r="L1848" s="85">
        <v>5</v>
      </c>
      <c r="N1848" s="1" t="s">
        <v>44</v>
      </c>
    </row>
    <row r="1849" spans="1:14">
      <c r="A1849" s="36" t="s">
        <v>32</v>
      </c>
      <c r="B1849" s="37">
        <v>44712</v>
      </c>
      <c r="C1849" s="36" t="s">
        <v>519</v>
      </c>
      <c r="D1849" s="36" t="s">
        <v>898</v>
      </c>
      <c r="E1849" s="36" t="s">
        <v>76</v>
      </c>
      <c r="G1849" s="87">
        <v>5900000</v>
      </c>
      <c r="H1849" s="87">
        <v>590000</v>
      </c>
      <c r="I1849" s="87">
        <v>6490000</v>
      </c>
      <c r="K1849" s="85">
        <v>2022</v>
      </c>
      <c r="L1849" s="85">
        <v>5</v>
      </c>
      <c r="N1849" s="1" t="s">
        <v>44</v>
      </c>
    </row>
    <row r="1850" spans="1:14">
      <c r="A1850" s="36" t="s">
        <v>32</v>
      </c>
      <c r="B1850" s="37">
        <v>44712</v>
      </c>
      <c r="C1850" s="36" t="s">
        <v>667</v>
      </c>
      <c r="D1850" s="36" t="s">
        <v>668</v>
      </c>
      <c r="E1850" s="36" t="s">
        <v>77</v>
      </c>
      <c r="J1850" s="38">
        <v>1000000</v>
      </c>
      <c r="K1850" s="85">
        <v>2022</v>
      </c>
      <c r="L1850" s="85">
        <v>1</v>
      </c>
      <c r="N1850" s="208" t="s">
        <v>44</v>
      </c>
    </row>
    <row r="1851" spans="1:14">
      <c r="A1851" s="36" t="s">
        <v>32</v>
      </c>
      <c r="B1851" s="37">
        <v>44712</v>
      </c>
      <c r="C1851" s="36" t="s">
        <v>466</v>
      </c>
      <c r="D1851" s="36" t="s">
        <v>899</v>
      </c>
      <c r="E1851" s="36" t="s">
        <v>76</v>
      </c>
      <c r="G1851" s="87">
        <v>4489500</v>
      </c>
      <c r="H1851" s="87">
        <v>448950</v>
      </c>
      <c r="I1851" s="87">
        <v>4938450</v>
      </c>
      <c r="K1851" s="85">
        <v>2022</v>
      </c>
      <c r="L1851" s="85">
        <v>5</v>
      </c>
      <c r="N1851" s="1" t="s">
        <v>44</v>
      </c>
    </row>
    <row r="1852" spans="1:14">
      <c r="A1852" s="36" t="s">
        <v>32</v>
      </c>
      <c r="B1852" s="37">
        <v>44712</v>
      </c>
      <c r="C1852" s="36" t="s">
        <v>466</v>
      </c>
      <c r="D1852" s="36" t="s">
        <v>899</v>
      </c>
      <c r="E1852" s="36" t="s">
        <v>76</v>
      </c>
      <c r="G1852" s="87">
        <v>1997760</v>
      </c>
      <c r="H1852" s="87">
        <v>199776</v>
      </c>
      <c r="I1852" s="87">
        <v>2197536</v>
      </c>
      <c r="K1852" s="85">
        <v>2022</v>
      </c>
      <c r="L1852" s="85">
        <v>5</v>
      </c>
      <c r="N1852" s="1" t="s">
        <v>44</v>
      </c>
    </row>
    <row r="1853" spans="1:14">
      <c r="A1853" s="36" t="s">
        <v>32</v>
      </c>
      <c r="B1853" s="37">
        <v>44712</v>
      </c>
      <c r="C1853" s="36" t="s">
        <v>787</v>
      </c>
      <c r="D1853" s="36" t="s">
        <v>788</v>
      </c>
      <c r="E1853" s="36" t="s">
        <v>148</v>
      </c>
      <c r="J1853" s="87">
        <v>2673000</v>
      </c>
      <c r="K1853" s="85">
        <v>2022</v>
      </c>
      <c r="L1853" s="85">
        <v>4</v>
      </c>
      <c r="N1853" s="208" t="s">
        <v>44</v>
      </c>
    </row>
    <row r="1854" spans="1:14">
      <c r="A1854" s="36" t="s">
        <v>32</v>
      </c>
      <c r="B1854" s="37">
        <v>44712</v>
      </c>
      <c r="C1854" s="36" t="s">
        <v>807</v>
      </c>
      <c r="D1854" s="36" t="s">
        <v>808</v>
      </c>
      <c r="E1854" s="36" t="s">
        <v>76</v>
      </c>
      <c r="G1854" s="87">
        <v>3250000</v>
      </c>
      <c r="H1854" s="87">
        <v>325000</v>
      </c>
      <c r="I1854" s="87">
        <v>3575000</v>
      </c>
      <c r="K1854" s="85">
        <v>2022</v>
      </c>
      <c r="L1854" s="85">
        <v>5</v>
      </c>
      <c r="N1854" s="1" t="s">
        <v>44</v>
      </c>
    </row>
    <row r="1855" spans="1:14">
      <c r="A1855" s="36" t="s">
        <v>33</v>
      </c>
      <c r="B1855" s="37">
        <v>44712</v>
      </c>
      <c r="C1855" s="36" t="s">
        <v>900</v>
      </c>
      <c r="D1855" s="36" t="s">
        <v>901</v>
      </c>
      <c r="E1855" s="36" t="s">
        <v>637</v>
      </c>
      <c r="G1855" s="87">
        <v>2100000</v>
      </c>
      <c r="H1855" s="87">
        <v>210000</v>
      </c>
      <c r="I1855" s="87">
        <v>2310000</v>
      </c>
      <c r="K1855" s="85">
        <v>2022</v>
      </c>
      <c r="L1855" s="85">
        <v>5</v>
      </c>
      <c r="M1855" s="36" t="s">
        <v>902</v>
      </c>
      <c r="N1855" s="1" t="s">
        <v>44</v>
      </c>
    </row>
    <row r="1856" spans="1:14">
      <c r="A1856" s="36" t="s">
        <v>32</v>
      </c>
      <c r="B1856" s="37">
        <v>44712</v>
      </c>
      <c r="C1856" s="36" t="s">
        <v>654</v>
      </c>
      <c r="D1856" s="36" t="s">
        <v>835</v>
      </c>
      <c r="E1856" s="36" t="s">
        <v>76</v>
      </c>
      <c r="G1856" s="87">
        <v>51534900</v>
      </c>
      <c r="H1856" s="87">
        <v>5153490</v>
      </c>
      <c r="I1856" s="87">
        <v>56688390</v>
      </c>
      <c r="K1856" s="85">
        <v>2022</v>
      </c>
      <c r="L1856" s="85">
        <v>5</v>
      </c>
      <c r="N1856" s="1" t="s">
        <v>44</v>
      </c>
    </row>
    <row r="1857" spans="1:14">
      <c r="A1857" s="36" t="s">
        <v>32</v>
      </c>
      <c r="B1857" s="37">
        <v>44712</v>
      </c>
      <c r="C1857" s="36" t="s">
        <v>651</v>
      </c>
      <c r="D1857" s="36" t="s">
        <v>903</v>
      </c>
      <c r="E1857" s="36" t="s">
        <v>76</v>
      </c>
      <c r="G1857" s="87">
        <v>15000000</v>
      </c>
      <c r="H1857" s="87">
        <v>1500000</v>
      </c>
      <c r="I1857" s="87">
        <v>16500000</v>
      </c>
      <c r="K1857" s="85">
        <v>2022</v>
      </c>
      <c r="L1857" s="85">
        <v>5</v>
      </c>
      <c r="N1857" s="1" t="s">
        <v>44</v>
      </c>
    </row>
    <row r="1858" spans="1:14">
      <c r="A1858" s="36" t="s">
        <v>33</v>
      </c>
      <c r="B1858" s="37">
        <v>44712</v>
      </c>
      <c r="C1858" s="36" t="s">
        <v>789</v>
      </c>
      <c r="D1858" s="36" t="s">
        <v>790</v>
      </c>
      <c r="E1858" s="36" t="s">
        <v>148</v>
      </c>
      <c r="J1858" s="87">
        <v>8690770</v>
      </c>
      <c r="K1858" s="85">
        <v>2022</v>
      </c>
      <c r="L1858" s="85">
        <v>5</v>
      </c>
      <c r="N1858" s="1" t="s">
        <v>44</v>
      </c>
    </row>
    <row r="1859" spans="1:14">
      <c r="A1859" s="36" t="s">
        <v>33</v>
      </c>
      <c r="B1859" s="37">
        <v>44712</v>
      </c>
      <c r="C1859" s="36" t="s">
        <v>789</v>
      </c>
      <c r="D1859" s="36" t="s">
        <v>790</v>
      </c>
      <c r="E1859" s="36" t="s">
        <v>637</v>
      </c>
      <c r="G1859" s="87">
        <v>4329450</v>
      </c>
      <c r="H1859" s="87">
        <v>432945</v>
      </c>
      <c r="I1859" s="87">
        <v>4762395</v>
      </c>
      <c r="K1859" s="85">
        <v>2022</v>
      </c>
      <c r="L1859" s="85">
        <v>5</v>
      </c>
      <c r="N1859" s="1" t="s">
        <v>44</v>
      </c>
    </row>
    <row r="1860" spans="1:14">
      <c r="A1860" s="36" t="s">
        <v>18</v>
      </c>
      <c r="B1860" s="37">
        <v>44712</v>
      </c>
      <c r="C1860" s="36" t="s">
        <v>738</v>
      </c>
      <c r="D1860" s="36" t="s">
        <v>382</v>
      </c>
      <c r="E1860" s="36" t="s">
        <v>77</v>
      </c>
      <c r="J1860" s="87">
        <v>3915393.9</v>
      </c>
      <c r="K1860" s="85">
        <v>2022</v>
      </c>
      <c r="L1860" s="85">
        <v>4</v>
      </c>
      <c r="N1860" s="208" t="s">
        <v>44</v>
      </c>
    </row>
    <row r="1861" spans="1:14">
      <c r="A1861" s="36" t="s">
        <v>32</v>
      </c>
      <c r="B1861" s="37">
        <v>44712</v>
      </c>
      <c r="C1861" s="36" t="s">
        <v>688</v>
      </c>
      <c r="D1861" s="36" t="s">
        <v>1731</v>
      </c>
      <c r="E1861" s="36" t="s">
        <v>76</v>
      </c>
      <c r="G1861" s="87">
        <v>1050000</v>
      </c>
      <c r="H1861" s="87">
        <v>105000</v>
      </c>
      <c r="I1861" s="87">
        <v>1155000</v>
      </c>
      <c r="K1861" s="85">
        <v>2022</v>
      </c>
      <c r="L1861" s="85">
        <v>5</v>
      </c>
      <c r="N1861" s="1" t="s">
        <v>44</v>
      </c>
    </row>
    <row r="1862" spans="1:14">
      <c r="A1862" s="36" t="s">
        <v>32</v>
      </c>
      <c r="B1862" s="37">
        <v>44712</v>
      </c>
      <c r="C1862" s="36" t="s">
        <v>904</v>
      </c>
      <c r="D1862" s="36" t="s">
        <v>905</v>
      </c>
      <c r="E1862" s="36" t="s">
        <v>76</v>
      </c>
      <c r="G1862" s="87">
        <v>6372485</v>
      </c>
      <c r="H1862" s="87">
        <v>637248.5</v>
      </c>
      <c r="I1862" s="87">
        <v>7009733.5</v>
      </c>
      <c r="K1862" s="85">
        <v>2022</v>
      </c>
      <c r="L1862" s="85">
        <v>5</v>
      </c>
      <c r="N1862" s="1" t="s">
        <v>44</v>
      </c>
    </row>
    <row r="1863" spans="1:14">
      <c r="A1863" s="36" t="s">
        <v>32</v>
      </c>
      <c r="B1863" s="37">
        <v>44713</v>
      </c>
      <c r="C1863" s="36" t="s">
        <v>664</v>
      </c>
      <c r="D1863" s="36" t="s">
        <v>788</v>
      </c>
      <c r="E1863" s="36" t="s">
        <v>76</v>
      </c>
      <c r="G1863" s="87">
        <v>10630400</v>
      </c>
      <c r="H1863" s="87">
        <v>1063040</v>
      </c>
      <c r="I1863" s="87">
        <v>11693440</v>
      </c>
      <c r="K1863" s="85">
        <v>2022</v>
      </c>
      <c r="L1863" s="85">
        <v>6</v>
      </c>
      <c r="N1863" s="1" t="s">
        <v>44</v>
      </c>
    </row>
    <row r="1864" spans="1:14">
      <c r="A1864" s="36" t="s">
        <v>32</v>
      </c>
      <c r="B1864" s="37">
        <v>44713</v>
      </c>
      <c r="C1864" s="36" t="s">
        <v>175</v>
      </c>
      <c r="D1864" s="36" t="s">
        <v>786</v>
      </c>
      <c r="E1864" s="36" t="s">
        <v>76</v>
      </c>
      <c r="G1864" s="87">
        <v>947200</v>
      </c>
      <c r="H1864" s="87">
        <v>94720</v>
      </c>
      <c r="I1864" s="87">
        <v>1041920</v>
      </c>
      <c r="K1864" s="85">
        <v>2022</v>
      </c>
      <c r="L1864" s="85">
        <v>6</v>
      </c>
      <c r="N1864" s="1" t="s">
        <v>44</v>
      </c>
    </row>
    <row r="1865" spans="1:14">
      <c r="A1865" s="36" t="s">
        <v>32</v>
      </c>
      <c r="B1865" s="37">
        <v>44713</v>
      </c>
      <c r="C1865" s="36" t="s">
        <v>519</v>
      </c>
      <c r="D1865" s="36" t="s">
        <v>898</v>
      </c>
      <c r="E1865" s="36" t="s">
        <v>76</v>
      </c>
      <c r="G1865" s="87">
        <v>1750000</v>
      </c>
      <c r="H1865" s="87">
        <v>175000</v>
      </c>
      <c r="I1865" s="87">
        <v>1925000</v>
      </c>
      <c r="K1865" s="85">
        <v>2022</v>
      </c>
      <c r="L1865" s="85">
        <v>6</v>
      </c>
      <c r="N1865" s="1" t="s">
        <v>44</v>
      </c>
    </row>
    <row r="1866" spans="1:14">
      <c r="A1866" s="36" t="s">
        <v>32</v>
      </c>
      <c r="B1866" s="37">
        <v>44714</v>
      </c>
      <c r="C1866" s="36" t="s">
        <v>843</v>
      </c>
      <c r="D1866" s="36" t="s">
        <v>797</v>
      </c>
      <c r="E1866" s="36" t="s">
        <v>77</v>
      </c>
      <c r="J1866" s="38">
        <v>2453000</v>
      </c>
      <c r="K1866" s="85">
        <v>2022</v>
      </c>
      <c r="L1866" s="85">
        <v>5</v>
      </c>
      <c r="N1866" s="1" t="s">
        <v>44</v>
      </c>
    </row>
    <row r="1867" spans="1:14">
      <c r="A1867" s="36" t="s">
        <v>33</v>
      </c>
      <c r="B1867" s="37">
        <v>44714</v>
      </c>
      <c r="C1867" s="36" t="s">
        <v>781</v>
      </c>
      <c r="D1867" s="36" t="s">
        <v>782</v>
      </c>
      <c r="E1867" s="36" t="s">
        <v>77</v>
      </c>
      <c r="J1867" s="38">
        <v>1586750</v>
      </c>
      <c r="K1867" s="85">
        <v>2022</v>
      </c>
      <c r="L1867" s="85">
        <v>5</v>
      </c>
      <c r="N1867" s="1" t="s">
        <v>44</v>
      </c>
    </row>
    <row r="1868" spans="1:14">
      <c r="A1868" s="36" t="s">
        <v>32</v>
      </c>
      <c r="B1868" s="37">
        <v>44715</v>
      </c>
      <c r="C1868" s="36" t="s">
        <v>174</v>
      </c>
      <c r="D1868" s="36" t="s">
        <v>213</v>
      </c>
      <c r="E1868" s="36" t="s">
        <v>148</v>
      </c>
      <c r="J1868" s="87">
        <v>4111800</v>
      </c>
      <c r="K1868" s="85">
        <v>2022</v>
      </c>
      <c r="L1868" s="85">
        <v>4</v>
      </c>
      <c r="N1868" s="208" t="s">
        <v>44</v>
      </c>
    </row>
    <row r="1869" spans="1:14">
      <c r="A1869" s="36" t="s">
        <v>32</v>
      </c>
      <c r="B1869" s="37">
        <v>44715</v>
      </c>
      <c r="C1869" s="36" t="s">
        <v>174</v>
      </c>
      <c r="D1869" s="36" t="s">
        <v>811</v>
      </c>
      <c r="E1869" s="36" t="s">
        <v>148</v>
      </c>
      <c r="J1869" s="87">
        <v>11701800</v>
      </c>
      <c r="K1869" s="85">
        <v>2022</v>
      </c>
      <c r="L1869" s="85">
        <v>4</v>
      </c>
      <c r="N1869" s="208" t="s">
        <v>44</v>
      </c>
    </row>
    <row r="1870" spans="1:14">
      <c r="A1870" s="36" t="s">
        <v>32</v>
      </c>
      <c r="B1870" s="37">
        <v>44715</v>
      </c>
      <c r="C1870" s="36" t="s">
        <v>209</v>
      </c>
      <c r="D1870" s="36" t="s">
        <v>812</v>
      </c>
      <c r="E1870" s="36" t="s">
        <v>148</v>
      </c>
      <c r="J1870" s="87">
        <v>1232000</v>
      </c>
      <c r="K1870" s="85">
        <v>2022</v>
      </c>
      <c r="L1870" s="85">
        <v>4</v>
      </c>
      <c r="N1870" s="208" t="s">
        <v>44</v>
      </c>
    </row>
    <row r="1871" spans="1:14">
      <c r="A1871" s="36" t="s">
        <v>32</v>
      </c>
      <c r="B1871" s="37">
        <v>44715</v>
      </c>
      <c r="C1871" s="36" t="s">
        <v>209</v>
      </c>
      <c r="D1871" s="36" t="s">
        <v>541</v>
      </c>
      <c r="E1871" s="36" t="s">
        <v>148</v>
      </c>
      <c r="J1871" s="87">
        <v>40423900</v>
      </c>
      <c r="K1871" s="85">
        <v>2022</v>
      </c>
      <c r="L1871" s="85">
        <v>4</v>
      </c>
      <c r="N1871" s="208" t="s">
        <v>44</v>
      </c>
    </row>
    <row r="1872" spans="1:14">
      <c r="A1872" s="36" t="s">
        <v>32</v>
      </c>
      <c r="B1872" s="37">
        <v>44715</v>
      </c>
      <c r="C1872" s="36" t="s">
        <v>264</v>
      </c>
      <c r="D1872" s="36" t="s">
        <v>679</v>
      </c>
      <c r="E1872" s="36" t="s">
        <v>148</v>
      </c>
      <c r="J1872" s="87">
        <v>7700000</v>
      </c>
      <c r="K1872" s="85">
        <v>2022</v>
      </c>
      <c r="L1872" s="85">
        <v>4</v>
      </c>
      <c r="N1872" s="208" t="s">
        <v>44</v>
      </c>
    </row>
    <row r="1873" spans="1:14">
      <c r="A1873" s="36" t="s">
        <v>33</v>
      </c>
      <c r="B1873" s="37">
        <v>44715</v>
      </c>
      <c r="C1873" s="36" t="s">
        <v>226</v>
      </c>
      <c r="D1873" s="36" t="s">
        <v>227</v>
      </c>
      <c r="E1873" s="36" t="s">
        <v>77</v>
      </c>
      <c r="J1873" s="38">
        <v>4286000</v>
      </c>
      <c r="K1873" s="85">
        <v>2022</v>
      </c>
      <c r="L1873" s="85">
        <v>5</v>
      </c>
      <c r="N1873" s="1" t="s">
        <v>44</v>
      </c>
    </row>
    <row r="1874" spans="1:14">
      <c r="A1874" s="36" t="s">
        <v>32</v>
      </c>
      <c r="B1874" s="37">
        <v>44715</v>
      </c>
      <c r="C1874" s="36" t="s">
        <v>188</v>
      </c>
      <c r="D1874" s="36" t="s">
        <v>784</v>
      </c>
      <c r="E1874" s="36" t="s">
        <v>148</v>
      </c>
      <c r="J1874" s="87">
        <v>4785000</v>
      </c>
      <c r="K1874" s="85">
        <v>2022</v>
      </c>
      <c r="L1874" s="85">
        <v>3</v>
      </c>
      <c r="N1874" s="208" t="s">
        <v>44</v>
      </c>
    </row>
    <row r="1875" spans="1:14">
      <c r="A1875" s="36" t="s">
        <v>32</v>
      </c>
      <c r="B1875" s="37">
        <v>44715</v>
      </c>
      <c r="C1875" s="36" t="s">
        <v>188</v>
      </c>
      <c r="D1875" s="36" t="s">
        <v>443</v>
      </c>
      <c r="E1875" s="36" t="s">
        <v>148</v>
      </c>
      <c r="J1875" s="87">
        <v>2035000</v>
      </c>
      <c r="K1875" s="85">
        <v>2022</v>
      </c>
      <c r="L1875" s="85">
        <v>4</v>
      </c>
      <c r="N1875" s="208" t="s">
        <v>44</v>
      </c>
    </row>
    <row r="1876" spans="1:14">
      <c r="A1876" s="36" t="s">
        <v>32</v>
      </c>
      <c r="B1876" s="37">
        <v>44715</v>
      </c>
      <c r="C1876" s="36" t="s">
        <v>411</v>
      </c>
      <c r="D1876" s="36" t="s">
        <v>412</v>
      </c>
      <c r="E1876" s="36" t="s">
        <v>148</v>
      </c>
      <c r="J1876" s="87">
        <v>40627400</v>
      </c>
      <c r="K1876" s="85">
        <v>2022</v>
      </c>
      <c r="L1876" s="85">
        <v>4</v>
      </c>
      <c r="N1876" s="208" t="s">
        <v>44</v>
      </c>
    </row>
    <row r="1877" spans="1:14">
      <c r="A1877" s="36" t="s">
        <v>32</v>
      </c>
      <c r="B1877" s="37">
        <v>44719</v>
      </c>
      <c r="C1877" s="36" t="s">
        <v>605</v>
      </c>
      <c r="D1877" s="36" t="s">
        <v>606</v>
      </c>
      <c r="E1877" s="36" t="s">
        <v>77</v>
      </c>
      <c r="J1877" s="38">
        <v>3300000</v>
      </c>
      <c r="K1877" s="85">
        <v>2022</v>
      </c>
      <c r="L1877" s="85">
        <v>5</v>
      </c>
      <c r="N1877" s="1" t="s">
        <v>44</v>
      </c>
    </row>
    <row r="1878" spans="1:14">
      <c r="A1878" s="36" t="s">
        <v>32</v>
      </c>
      <c r="B1878" s="37">
        <v>44719</v>
      </c>
      <c r="C1878" s="36" t="s">
        <v>204</v>
      </c>
      <c r="D1878" s="36" t="s">
        <v>205</v>
      </c>
      <c r="E1878" s="36" t="s">
        <v>148</v>
      </c>
      <c r="J1878" s="87">
        <v>528000</v>
      </c>
      <c r="K1878" s="85">
        <v>2022</v>
      </c>
      <c r="L1878" s="85">
        <v>4</v>
      </c>
      <c r="N1878" s="208" t="s">
        <v>44</v>
      </c>
    </row>
    <row r="1879" spans="1:14">
      <c r="A1879" s="36" t="s">
        <v>32</v>
      </c>
      <c r="B1879" s="37">
        <v>44719</v>
      </c>
      <c r="C1879" s="36" t="s">
        <v>552</v>
      </c>
      <c r="D1879" s="36" t="s">
        <v>553</v>
      </c>
      <c r="E1879" s="36" t="s">
        <v>148</v>
      </c>
      <c r="J1879" s="87">
        <v>3925680</v>
      </c>
      <c r="K1879" s="85">
        <v>2022</v>
      </c>
      <c r="L1879" s="85">
        <v>4</v>
      </c>
      <c r="N1879" s="208" t="s">
        <v>44</v>
      </c>
    </row>
    <row r="1880" spans="1:14">
      <c r="A1880" s="36" t="s">
        <v>33</v>
      </c>
      <c r="B1880" s="37">
        <v>44720</v>
      </c>
      <c r="C1880" s="36" t="s">
        <v>906</v>
      </c>
      <c r="D1880" s="36" t="s">
        <v>907</v>
      </c>
      <c r="E1880" s="36" t="s">
        <v>908</v>
      </c>
      <c r="G1880" s="87">
        <v>1080000</v>
      </c>
      <c r="H1880" s="87">
        <v>108000</v>
      </c>
      <c r="I1880" s="87">
        <v>1188000</v>
      </c>
      <c r="K1880" s="85">
        <v>2022</v>
      </c>
      <c r="L1880" s="85">
        <v>6</v>
      </c>
      <c r="N1880" s="1" t="s">
        <v>44</v>
      </c>
    </row>
    <row r="1881" spans="1:14">
      <c r="A1881" s="36" t="s">
        <v>32</v>
      </c>
      <c r="B1881" s="37">
        <v>44720</v>
      </c>
      <c r="C1881" s="36" t="s">
        <v>466</v>
      </c>
      <c r="D1881" s="36" t="s">
        <v>467</v>
      </c>
      <c r="E1881" s="36" t="s">
        <v>76</v>
      </c>
      <c r="G1881" s="87">
        <v>1575000</v>
      </c>
      <c r="H1881" s="87">
        <v>157500</v>
      </c>
      <c r="I1881" s="87">
        <v>1732500</v>
      </c>
      <c r="K1881" s="85">
        <v>2022</v>
      </c>
      <c r="L1881" s="85">
        <v>6</v>
      </c>
      <c r="N1881" s="1" t="s">
        <v>44</v>
      </c>
    </row>
    <row r="1882" spans="1:14">
      <c r="A1882" s="36" t="s">
        <v>32</v>
      </c>
      <c r="B1882" s="37">
        <v>44720</v>
      </c>
      <c r="C1882" s="36" t="s">
        <v>466</v>
      </c>
      <c r="D1882" s="36" t="s">
        <v>467</v>
      </c>
      <c r="E1882" s="36" t="s">
        <v>77</v>
      </c>
      <c r="J1882" s="38">
        <v>1719900</v>
      </c>
      <c r="K1882" s="85">
        <v>2022</v>
      </c>
      <c r="L1882" s="85">
        <v>6</v>
      </c>
      <c r="N1882" s="1" t="s">
        <v>44</v>
      </c>
    </row>
    <row r="1883" spans="1:14">
      <c r="A1883" s="36" t="s">
        <v>32</v>
      </c>
      <c r="B1883" s="37">
        <v>44720</v>
      </c>
      <c r="C1883" s="36" t="s">
        <v>466</v>
      </c>
      <c r="D1883" s="36" t="s">
        <v>467</v>
      </c>
      <c r="E1883" s="36" t="s">
        <v>909</v>
      </c>
      <c r="J1883" s="38">
        <v>12600</v>
      </c>
      <c r="K1883" s="85">
        <v>2022</v>
      </c>
      <c r="L1883" s="85">
        <v>6</v>
      </c>
      <c r="N1883" s="1" t="s">
        <v>44</v>
      </c>
    </row>
    <row r="1884" spans="1:14">
      <c r="A1884" s="36" t="s">
        <v>33</v>
      </c>
      <c r="B1884" s="37">
        <v>44721</v>
      </c>
      <c r="C1884" s="36" t="s">
        <v>131</v>
      </c>
      <c r="D1884" s="36" t="s">
        <v>439</v>
      </c>
      <c r="E1884" s="36" t="s">
        <v>910</v>
      </c>
      <c r="G1884" s="87">
        <v>156000</v>
      </c>
      <c r="H1884" s="87">
        <v>15600</v>
      </c>
      <c r="I1884" s="87">
        <v>171600</v>
      </c>
      <c r="K1884" s="85">
        <v>2022</v>
      </c>
      <c r="L1884" s="85">
        <v>6</v>
      </c>
      <c r="N1884" s="1" t="s">
        <v>44</v>
      </c>
    </row>
    <row r="1885" spans="1:14">
      <c r="A1885" s="36" t="s">
        <v>32</v>
      </c>
      <c r="B1885" s="37">
        <v>44722</v>
      </c>
      <c r="C1885" s="36" t="s">
        <v>689</v>
      </c>
      <c r="D1885" s="36" t="s">
        <v>854</v>
      </c>
      <c r="E1885" s="36" t="s">
        <v>148</v>
      </c>
      <c r="J1885" s="87">
        <v>4884000</v>
      </c>
      <c r="K1885" s="85">
        <v>2022</v>
      </c>
      <c r="L1885" s="85">
        <v>5</v>
      </c>
      <c r="N1885" s="1" t="s">
        <v>44</v>
      </c>
    </row>
    <row r="1886" spans="1:14">
      <c r="A1886" s="36" t="s">
        <v>32</v>
      </c>
      <c r="B1886" s="37">
        <v>44722</v>
      </c>
      <c r="C1886" s="36" t="s">
        <v>664</v>
      </c>
      <c r="D1886" s="36" t="s">
        <v>629</v>
      </c>
      <c r="E1886" s="36" t="s">
        <v>148</v>
      </c>
      <c r="J1886" s="38">
        <v>456320</v>
      </c>
      <c r="K1886" s="85">
        <v>2022</v>
      </c>
      <c r="L1886" s="85">
        <v>3</v>
      </c>
      <c r="N1886" s="208" t="s">
        <v>44</v>
      </c>
    </row>
    <row r="1887" spans="1:14">
      <c r="A1887" s="36" t="s">
        <v>32</v>
      </c>
      <c r="B1887" s="37">
        <v>44722</v>
      </c>
      <c r="C1887" s="36" t="s">
        <v>664</v>
      </c>
      <c r="D1887" s="36" t="s">
        <v>629</v>
      </c>
      <c r="E1887" s="36" t="s">
        <v>148</v>
      </c>
      <c r="J1887" s="87">
        <v>4319700</v>
      </c>
      <c r="K1887" s="85">
        <v>2022</v>
      </c>
      <c r="L1887" s="85">
        <v>4</v>
      </c>
      <c r="M1887" s="36" t="s">
        <v>911</v>
      </c>
      <c r="N1887" s="208" t="s">
        <v>44</v>
      </c>
    </row>
    <row r="1888" spans="1:14">
      <c r="A1888" s="36" t="s">
        <v>32</v>
      </c>
      <c r="B1888" s="37">
        <v>44722</v>
      </c>
      <c r="C1888" s="36" t="s">
        <v>640</v>
      </c>
      <c r="D1888" s="36" t="s">
        <v>860</v>
      </c>
      <c r="E1888" s="36" t="s">
        <v>77</v>
      </c>
      <c r="J1888" s="38">
        <v>88825000</v>
      </c>
      <c r="K1888" s="85">
        <v>2022</v>
      </c>
      <c r="L1888" s="85">
        <v>5</v>
      </c>
      <c r="N1888" s="1" t="s">
        <v>44</v>
      </c>
    </row>
    <row r="1889" spans="1:14">
      <c r="A1889" s="36" t="s">
        <v>32</v>
      </c>
      <c r="B1889" s="37">
        <v>44722</v>
      </c>
      <c r="C1889" s="36" t="s">
        <v>334</v>
      </c>
      <c r="D1889" s="36" t="s">
        <v>586</v>
      </c>
      <c r="E1889" s="36" t="s">
        <v>148</v>
      </c>
      <c r="J1889" s="87">
        <v>5384500</v>
      </c>
      <c r="K1889" s="85">
        <v>2022</v>
      </c>
      <c r="L1889" s="85">
        <v>4</v>
      </c>
      <c r="N1889" s="208" t="s">
        <v>44</v>
      </c>
    </row>
    <row r="1890" spans="1:14">
      <c r="A1890" s="36" t="s">
        <v>33</v>
      </c>
      <c r="B1890" s="37">
        <v>44722</v>
      </c>
      <c r="C1890" s="36" t="s">
        <v>800</v>
      </c>
      <c r="D1890" s="36" t="s">
        <v>801</v>
      </c>
      <c r="E1890" s="36" t="s">
        <v>802</v>
      </c>
      <c r="G1890" s="87">
        <v>1700000</v>
      </c>
      <c r="H1890" s="87">
        <v>170000</v>
      </c>
      <c r="I1890" s="87">
        <v>1870000</v>
      </c>
      <c r="K1890" s="85">
        <v>2022</v>
      </c>
      <c r="L1890" s="85">
        <v>6</v>
      </c>
      <c r="N1890" s="1" t="s">
        <v>44</v>
      </c>
    </row>
    <row r="1891" spans="1:14">
      <c r="A1891" s="36" t="s">
        <v>18</v>
      </c>
      <c r="B1891" s="37">
        <v>44722</v>
      </c>
      <c r="C1891" s="36" t="s">
        <v>413</v>
      </c>
      <c r="D1891" s="36" t="s">
        <v>465</v>
      </c>
      <c r="E1891" s="36" t="s">
        <v>148</v>
      </c>
      <c r="J1891" s="87">
        <v>15521572</v>
      </c>
      <c r="K1891" s="85">
        <v>2022</v>
      </c>
      <c r="L1891" s="85">
        <v>2</v>
      </c>
      <c r="N1891" s="208" t="s">
        <v>44</v>
      </c>
    </row>
    <row r="1892" spans="1:14">
      <c r="A1892" s="36" t="s">
        <v>32</v>
      </c>
      <c r="B1892" s="37">
        <v>44722</v>
      </c>
      <c r="C1892" s="36" t="s">
        <v>688</v>
      </c>
      <c r="D1892" s="36" t="s">
        <v>1731</v>
      </c>
      <c r="E1892" s="36" t="s">
        <v>148</v>
      </c>
      <c r="J1892" s="87">
        <v>1155000</v>
      </c>
      <c r="K1892" s="85">
        <v>2022</v>
      </c>
      <c r="L1892" s="85">
        <v>5</v>
      </c>
      <c r="N1892" s="1" t="s">
        <v>44</v>
      </c>
    </row>
    <row r="1893" spans="1:14">
      <c r="A1893" s="36" t="s">
        <v>33</v>
      </c>
      <c r="B1893" s="37">
        <v>44725</v>
      </c>
      <c r="C1893" s="36" t="s">
        <v>131</v>
      </c>
      <c r="D1893" s="36" t="s">
        <v>439</v>
      </c>
      <c r="E1893" s="36" t="s">
        <v>77</v>
      </c>
      <c r="J1893" s="38">
        <v>171600</v>
      </c>
      <c r="K1893" s="85">
        <v>2022</v>
      </c>
      <c r="L1893" s="85">
        <v>6</v>
      </c>
      <c r="N1893" s="1" t="s">
        <v>44</v>
      </c>
    </row>
    <row r="1894" spans="1:14">
      <c r="A1894" s="36" t="s">
        <v>33</v>
      </c>
      <c r="B1894" s="37">
        <v>44725</v>
      </c>
      <c r="C1894" s="36" t="s">
        <v>906</v>
      </c>
      <c r="D1894" s="36" t="s">
        <v>907</v>
      </c>
      <c r="E1894" s="36" t="s">
        <v>77</v>
      </c>
      <c r="J1894" s="38">
        <v>1188000</v>
      </c>
      <c r="K1894" s="85">
        <v>2022</v>
      </c>
      <c r="L1894" s="85">
        <v>6</v>
      </c>
      <c r="N1894" s="1" t="s">
        <v>44</v>
      </c>
    </row>
    <row r="1895" spans="1:14">
      <c r="A1895" s="36" t="s">
        <v>33</v>
      </c>
      <c r="B1895" s="37">
        <v>44725</v>
      </c>
      <c r="C1895" s="36" t="s">
        <v>800</v>
      </c>
      <c r="D1895" s="36" t="s">
        <v>801</v>
      </c>
      <c r="E1895" s="36" t="s">
        <v>77</v>
      </c>
      <c r="J1895" s="38">
        <v>4044000</v>
      </c>
      <c r="K1895" s="85">
        <v>2022</v>
      </c>
      <c r="L1895" s="85">
        <v>5</v>
      </c>
      <c r="N1895" s="1" t="s">
        <v>44</v>
      </c>
    </row>
    <row r="1896" spans="1:14">
      <c r="A1896" s="36" t="s">
        <v>33</v>
      </c>
      <c r="B1896" s="37">
        <v>44725</v>
      </c>
      <c r="C1896" s="36" t="s">
        <v>800</v>
      </c>
      <c r="D1896" s="36" t="s">
        <v>801</v>
      </c>
      <c r="E1896" s="36" t="s">
        <v>77</v>
      </c>
      <c r="J1896" s="38">
        <v>1870000</v>
      </c>
      <c r="K1896" s="85">
        <v>2022</v>
      </c>
      <c r="L1896" s="85">
        <v>6</v>
      </c>
      <c r="N1896" s="1" t="s">
        <v>44</v>
      </c>
    </row>
    <row r="1897" spans="1:14">
      <c r="A1897" s="36" t="s">
        <v>32</v>
      </c>
      <c r="B1897" s="37">
        <v>44726</v>
      </c>
      <c r="C1897" s="36" t="s">
        <v>174</v>
      </c>
      <c r="D1897" s="36" t="s">
        <v>540</v>
      </c>
      <c r="E1897" s="36" t="s">
        <v>148</v>
      </c>
      <c r="J1897" s="87">
        <v>50068260</v>
      </c>
      <c r="K1897" s="85">
        <v>2022</v>
      </c>
      <c r="L1897" s="85">
        <v>4</v>
      </c>
      <c r="N1897" s="208" t="s">
        <v>44</v>
      </c>
    </row>
    <row r="1898" spans="1:14">
      <c r="A1898" s="36" t="s">
        <v>32</v>
      </c>
      <c r="B1898" s="37">
        <v>44726</v>
      </c>
      <c r="C1898" s="36" t="s">
        <v>209</v>
      </c>
      <c r="D1898" s="36" t="s">
        <v>858</v>
      </c>
      <c r="E1898" s="36" t="s">
        <v>148</v>
      </c>
      <c r="J1898" s="87">
        <v>11088000</v>
      </c>
      <c r="K1898" s="85">
        <v>2022</v>
      </c>
      <c r="L1898" s="85">
        <v>5</v>
      </c>
      <c r="N1898" s="1" t="s">
        <v>44</v>
      </c>
    </row>
    <row r="1899" spans="1:14">
      <c r="A1899" s="36" t="s">
        <v>32</v>
      </c>
      <c r="B1899" s="37">
        <v>44726</v>
      </c>
      <c r="C1899" s="36" t="s">
        <v>209</v>
      </c>
      <c r="D1899" s="36" t="s">
        <v>859</v>
      </c>
      <c r="E1899" s="36" t="s">
        <v>77</v>
      </c>
      <c r="J1899" s="38">
        <v>1232000</v>
      </c>
      <c r="K1899" s="85">
        <v>2022</v>
      </c>
      <c r="L1899" s="85">
        <v>5</v>
      </c>
      <c r="N1899" s="1" t="s">
        <v>44</v>
      </c>
    </row>
    <row r="1900" spans="1:14">
      <c r="A1900" s="36" t="s">
        <v>32</v>
      </c>
      <c r="B1900" s="37">
        <v>44726</v>
      </c>
      <c r="C1900" s="36" t="s">
        <v>807</v>
      </c>
      <c r="D1900" s="36" t="s">
        <v>808</v>
      </c>
      <c r="E1900" s="36" t="s">
        <v>76</v>
      </c>
      <c r="G1900" s="87">
        <v>2750000</v>
      </c>
      <c r="H1900" s="87">
        <v>275000</v>
      </c>
      <c r="I1900" s="87">
        <v>3025000</v>
      </c>
      <c r="K1900" s="85">
        <v>2022</v>
      </c>
      <c r="L1900" s="85">
        <v>6</v>
      </c>
      <c r="N1900" s="1" t="s">
        <v>44</v>
      </c>
    </row>
    <row r="1901" spans="1:14">
      <c r="A1901" s="36" t="s">
        <v>32</v>
      </c>
      <c r="B1901" s="37">
        <v>44727</v>
      </c>
      <c r="C1901" s="36" t="s">
        <v>871</v>
      </c>
      <c r="D1901" s="36" t="s">
        <v>872</v>
      </c>
      <c r="E1901" s="36" t="s">
        <v>148</v>
      </c>
      <c r="J1901" s="87">
        <v>11660000</v>
      </c>
      <c r="K1901" s="85">
        <v>2022</v>
      </c>
      <c r="L1901" s="85">
        <v>5</v>
      </c>
      <c r="N1901" s="1" t="s">
        <v>44</v>
      </c>
    </row>
    <row r="1902" spans="1:14">
      <c r="A1902" s="36" t="s">
        <v>32</v>
      </c>
      <c r="B1902" s="37">
        <v>44727</v>
      </c>
      <c r="C1902" s="36" t="s">
        <v>871</v>
      </c>
      <c r="D1902" s="36" t="s">
        <v>873</v>
      </c>
      <c r="E1902" s="36" t="s">
        <v>148</v>
      </c>
      <c r="J1902" s="87">
        <v>47660250</v>
      </c>
      <c r="K1902" s="85">
        <v>2022</v>
      </c>
      <c r="L1902" s="85">
        <v>5</v>
      </c>
      <c r="N1902" s="1" t="s">
        <v>44</v>
      </c>
    </row>
    <row r="1903" spans="1:14">
      <c r="A1903" s="36" t="s">
        <v>32</v>
      </c>
      <c r="B1903" s="37">
        <v>44727</v>
      </c>
      <c r="C1903" s="36" t="s">
        <v>466</v>
      </c>
      <c r="D1903" s="36" t="s">
        <v>899</v>
      </c>
      <c r="E1903" s="36" t="s">
        <v>148</v>
      </c>
      <c r="J1903" s="38">
        <v>4902540</v>
      </c>
      <c r="K1903" s="85">
        <v>2022</v>
      </c>
      <c r="L1903" s="85">
        <v>5</v>
      </c>
      <c r="N1903" s="1" t="s">
        <v>44</v>
      </c>
    </row>
    <row r="1904" spans="1:14">
      <c r="A1904" s="36" t="s">
        <v>32</v>
      </c>
      <c r="B1904" s="37">
        <v>44727</v>
      </c>
      <c r="C1904" s="36" t="s">
        <v>466</v>
      </c>
      <c r="D1904" s="36" t="s">
        <v>899</v>
      </c>
      <c r="E1904" s="36" t="s">
        <v>799</v>
      </c>
      <c r="J1904" s="38">
        <v>35910</v>
      </c>
      <c r="K1904" s="85">
        <v>2022</v>
      </c>
      <c r="L1904" s="85">
        <v>5</v>
      </c>
      <c r="N1904" s="1" t="s">
        <v>44</v>
      </c>
    </row>
    <row r="1905" spans="1:14">
      <c r="A1905" s="36" t="s">
        <v>32</v>
      </c>
      <c r="B1905" s="37">
        <v>44727</v>
      </c>
      <c r="C1905" s="36" t="s">
        <v>466</v>
      </c>
      <c r="D1905" s="36" t="s">
        <v>899</v>
      </c>
      <c r="E1905" s="36" t="s">
        <v>148</v>
      </c>
      <c r="J1905" s="38">
        <v>2181556</v>
      </c>
      <c r="K1905" s="85">
        <v>2022</v>
      </c>
      <c r="L1905" s="85">
        <v>5</v>
      </c>
      <c r="N1905" s="1" t="s">
        <v>44</v>
      </c>
    </row>
    <row r="1906" spans="1:14">
      <c r="A1906" s="36" t="s">
        <v>32</v>
      </c>
      <c r="B1906" s="37">
        <v>44727</v>
      </c>
      <c r="C1906" s="36" t="s">
        <v>466</v>
      </c>
      <c r="D1906" s="36" t="s">
        <v>899</v>
      </c>
      <c r="E1906" s="36" t="s">
        <v>799</v>
      </c>
      <c r="J1906" s="38">
        <v>15980</v>
      </c>
      <c r="K1906" s="85">
        <v>2022</v>
      </c>
      <c r="L1906" s="85">
        <v>5</v>
      </c>
      <c r="N1906" s="1" t="s">
        <v>44</v>
      </c>
    </row>
    <row r="1907" spans="1:14">
      <c r="A1907" s="36" t="s">
        <v>32</v>
      </c>
      <c r="B1907" s="37">
        <v>44728</v>
      </c>
      <c r="C1907" s="36" t="s">
        <v>743</v>
      </c>
      <c r="D1907" s="36" t="s">
        <v>744</v>
      </c>
      <c r="E1907" s="36" t="s">
        <v>148</v>
      </c>
      <c r="J1907" s="87">
        <v>3003000</v>
      </c>
      <c r="K1907" s="85">
        <v>2022</v>
      </c>
      <c r="L1907" s="85">
        <v>4</v>
      </c>
      <c r="N1907" s="208" t="s">
        <v>44</v>
      </c>
    </row>
    <row r="1908" spans="1:14">
      <c r="A1908" s="36" t="s">
        <v>32</v>
      </c>
      <c r="B1908" s="37">
        <v>44728</v>
      </c>
      <c r="C1908" s="36" t="s">
        <v>667</v>
      </c>
      <c r="D1908" s="36" t="s">
        <v>668</v>
      </c>
      <c r="E1908" s="36" t="s">
        <v>77</v>
      </c>
      <c r="J1908" s="38">
        <v>1862500</v>
      </c>
      <c r="K1908" s="85">
        <v>2022</v>
      </c>
      <c r="L1908" s="85">
        <v>1</v>
      </c>
      <c r="N1908" s="208" t="s">
        <v>44</v>
      </c>
    </row>
    <row r="1909" spans="1:14">
      <c r="A1909" s="36" t="s">
        <v>32</v>
      </c>
      <c r="B1909" s="37">
        <v>44729</v>
      </c>
      <c r="C1909" s="36" t="s">
        <v>346</v>
      </c>
      <c r="D1909" s="36" t="s">
        <v>347</v>
      </c>
      <c r="E1909" s="36" t="s">
        <v>148</v>
      </c>
      <c r="J1909" s="87">
        <v>10312500</v>
      </c>
      <c r="K1909" s="85">
        <v>2022</v>
      </c>
      <c r="L1909" s="85">
        <v>3</v>
      </c>
      <c r="N1909" s="208" t="s">
        <v>44</v>
      </c>
    </row>
    <row r="1910" spans="1:14">
      <c r="A1910" s="36" t="s">
        <v>33</v>
      </c>
      <c r="B1910" s="37">
        <v>44729</v>
      </c>
      <c r="C1910" s="36" t="s">
        <v>861</v>
      </c>
      <c r="D1910" s="36" t="s">
        <v>862</v>
      </c>
      <c r="E1910" s="36" t="s">
        <v>148</v>
      </c>
      <c r="J1910" s="87">
        <v>26620000</v>
      </c>
      <c r="K1910" s="85">
        <v>2022</v>
      </c>
      <c r="L1910" s="85">
        <v>5</v>
      </c>
      <c r="N1910" s="1" t="s">
        <v>44</v>
      </c>
    </row>
    <row r="1911" spans="1:14">
      <c r="A1911" s="36" t="s">
        <v>33</v>
      </c>
      <c r="B1911" s="37">
        <v>44729</v>
      </c>
      <c r="C1911" s="36" t="s">
        <v>864</v>
      </c>
      <c r="D1911" s="36" t="s">
        <v>865</v>
      </c>
      <c r="E1911" s="36" t="s">
        <v>148</v>
      </c>
      <c r="J1911" s="87">
        <v>1193500</v>
      </c>
      <c r="K1911" s="85">
        <v>2022</v>
      </c>
      <c r="L1911" s="85">
        <v>5</v>
      </c>
      <c r="N1911" s="1" t="s">
        <v>44</v>
      </c>
    </row>
    <row r="1912" spans="1:14">
      <c r="A1912" s="36" t="s">
        <v>33</v>
      </c>
      <c r="B1912" s="37">
        <v>44729</v>
      </c>
      <c r="C1912" s="36" t="s">
        <v>119</v>
      </c>
      <c r="D1912" s="36" t="s">
        <v>876</v>
      </c>
      <c r="E1912" s="36" t="s">
        <v>148</v>
      </c>
      <c r="J1912" s="87">
        <v>1452000</v>
      </c>
      <c r="K1912" s="85">
        <v>2022</v>
      </c>
      <c r="L1912" s="85">
        <v>5</v>
      </c>
      <c r="M1912" s="36" t="s">
        <v>877</v>
      </c>
      <c r="N1912" s="1" t="s">
        <v>44</v>
      </c>
    </row>
    <row r="1913" spans="1:14">
      <c r="A1913" s="36" t="s">
        <v>32</v>
      </c>
      <c r="B1913" s="37">
        <v>44729</v>
      </c>
      <c r="C1913" s="36" t="s">
        <v>881</v>
      </c>
      <c r="D1913" s="36" t="s">
        <v>882</v>
      </c>
      <c r="E1913" s="36" t="s">
        <v>148</v>
      </c>
      <c r="J1913" s="87">
        <v>61600000</v>
      </c>
      <c r="K1913" s="85">
        <v>2022</v>
      </c>
      <c r="L1913" s="85">
        <v>5</v>
      </c>
      <c r="N1913" s="1" t="s">
        <v>44</v>
      </c>
    </row>
    <row r="1914" spans="1:14">
      <c r="A1914" s="36" t="s">
        <v>33</v>
      </c>
      <c r="B1914" s="37">
        <v>44729</v>
      </c>
      <c r="C1914" s="36" t="s">
        <v>885</v>
      </c>
      <c r="D1914" s="36" t="s">
        <v>886</v>
      </c>
      <c r="E1914" s="36" t="s">
        <v>148</v>
      </c>
      <c r="J1914" s="87">
        <v>1210000</v>
      </c>
      <c r="K1914" s="85">
        <v>2022</v>
      </c>
      <c r="L1914" s="85">
        <v>5</v>
      </c>
      <c r="N1914" s="1" t="s">
        <v>44</v>
      </c>
    </row>
    <row r="1915" spans="1:14">
      <c r="A1915" s="36" t="s">
        <v>33</v>
      </c>
      <c r="B1915" s="37">
        <v>44729</v>
      </c>
      <c r="C1915" s="36" t="s">
        <v>900</v>
      </c>
      <c r="D1915" s="36" t="s">
        <v>901</v>
      </c>
      <c r="E1915" s="36" t="s">
        <v>148</v>
      </c>
      <c r="J1915" s="87">
        <v>2310000</v>
      </c>
      <c r="K1915" s="85">
        <v>2022</v>
      </c>
      <c r="L1915" s="85">
        <v>5</v>
      </c>
      <c r="N1915" s="1" t="s">
        <v>44</v>
      </c>
    </row>
    <row r="1916" spans="1:14">
      <c r="A1916" s="36" t="s">
        <v>32</v>
      </c>
      <c r="B1916" s="37">
        <v>44732</v>
      </c>
      <c r="C1916" s="36" t="s">
        <v>519</v>
      </c>
      <c r="D1916" s="36" t="s">
        <v>321</v>
      </c>
      <c r="E1916" s="36" t="s">
        <v>148</v>
      </c>
      <c r="J1916" s="87">
        <v>1100000</v>
      </c>
      <c r="K1916" s="85">
        <v>2022</v>
      </c>
      <c r="L1916" s="85">
        <v>4</v>
      </c>
      <c r="N1916" s="208" t="s">
        <v>44</v>
      </c>
    </row>
    <row r="1917" spans="1:14">
      <c r="A1917" s="36" t="s">
        <v>33</v>
      </c>
      <c r="B1917" s="37">
        <v>44733</v>
      </c>
      <c r="C1917" s="36" t="s">
        <v>119</v>
      </c>
      <c r="D1917" s="36" t="s">
        <v>372</v>
      </c>
      <c r="E1917" s="36" t="s">
        <v>148</v>
      </c>
      <c r="J1917" s="87">
        <v>16896000</v>
      </c>
      <c r="K1917" s="85">
        <v>2022</v>
      </c>
      <c r="L1917" s="85">
        <v>2</v>
      </c>
      <c r="N1917" s="208" t="s">
        <v>44</v>
      </c>
    </row>
    <row r="1918" spans="1:14">
      <c r="A1918" s="36" t="s">
        <v>32</v>
      </c>
      <c r="B1918" s="37">
        <v>44736</v>
      </c>
      <c r="C1918" s="36" t="s">
        <v>773</v>
      </c>
      <c r="D1918" s="36" t="s">
        <v>774</v>
      </c>
      <c r="E1918" s="36" t="s">
        <v>148</v>
      </c>
      <c r="J1918" s="87">
        <v>26433000</v>
      </c>
      <c r="K1918" s="85">
        <v>2022</v>
      </c>
      <c r="L1918" s="85">
        <v>5</v>
      </c>
      <c r="N1918" s="1" t="s">
        <v>44</v>
      </c>
    </row>
    <row r="1919" spans="1:14">
      <c r="A1919" s="36" t="s">
        <v>32</v>
      </c>
      <c r="B1919" s="37">
        <v>44736</v>
      </c>
      <c r="C1919" s="36" t="s">
        <v>844</v>
      </c>
      <c r="D1919" s="36" t="s">
        <v>893</v>
      </c>
      <c r="E1919" s="36" t="s">
        <v>148</v>
      </c>
      <c r="J1919" s="38">
        <v>4290000</v>
      </c>
      <c r="K1919" s="85">
        <v>2022</v>
      </c>
      <c r="L1919" s="85">
        <v>5</v>
      </c>
      <c r="N1919" s="1" t="s">
        <v>44</v>
      </c>
    </row>
    <row r="1920" spans="1:14">
      <c r="A1920" s="36" t="s">
        <v>33</v>
      </c>
      <c r="B1920" s="37">
        <v>44737</v>
      </c>
      <c r="C1920" s="36" t="s">
        <v>813</v>
      </c>
      <c r="D1920" s="36" t="s">
        <v>814</v>
      </c>
      <c r="E1920" s="36" t="s">
        <v>125</v>
      </c>
      <c r="G1920" s="87">
        <v>994500</v>
      </c>
      <c r="H1920" s="87">
        <v>99450</v>
      </c>
      <c r="I1920" s="87">
        <v>1093950</v>
      </c>
      <c r="K1920" s="85">
        <v>2022</v>
      </c>
      <c r="L1920" s="85">
        <v>6</v>
      </c>
      <c r="N1920" s="1" t="s">
        <v>44</v>
      </c>
    </row>
    <row r="1921" spans="1:14">
      <c r="A1921" s="36" t="s">
        <v>33</v>
      </c>
      <c r="B1921" s="37">
        <v>44740</v>
      </c>
      <c r="C1921" s="36" t="s">
        <v>912</v>
      </c>
      <c r="D1921" s="36" t="s">
        <v>913</v>
      </c>
      <c r="E1921" s="36" t="s">
        <v>447</v>
      </c>
      <c r="G1921" s="87">
        <v>10746350</v>
      </c>
      <c r="H1921" s="87">
        <v>1074635</v>
      </c>
      <c r="I1921" s="87">
        <v>11820985</v>
      </c>
      <c r="K1921" s="85">
        <v>2022</v>
      </c>
      <c r="L1921" s="85">
        <v>6</v>
      </c>
      <c r="N1921" s="1" t="s">
        <v>44</v>
      </c>
    </row>
    <row r="1922" spans="1:14">
      <c r="A1922" s="36" t="s">
        <v>32</v>
      </c>
      <c r="B1922" s="37">
        <v>44741</v>
      </c>
      <c r="C1922" s="36" t="s">
        <v>654</v>
      </c>
      <c r="D1922" s="36" t="s">
        <v>835</v>
      </c>
      <c r="E1922" s="36" t="s">
        <v>148</v>
      </c>
      <c r="J1922" s="87">
        <v>56688390</v>
      </c>
      <c r="K1922" s="85">
        <v>2022</v>
      </c>
      <c r="L1922" s="85">
        <v>5</v>
      </c>
      <c r="N1922" s="1" t="s">
        <v>44</v>
      </c>
    </row>
    <row r="1923" spans="1:14">
      <c r="A1923" s="36" t="s">
        <v>32</v>
      </c>
      <c r="B1923" s="37">
        <v>44741</v>
      </c>
      <c r="C1923" s="36" t="s">
        <v>846</v>
      </c>
      <c r="D1923" s="36" t="s">
        <v>847</v>
      </c>
      <c r="E1923" s="36" t="s">
        <v>148</v>
      </c>
      <c r="J1923" s="87">
        <v>16577000</v>
      </c>
      <c r="K1923" s="85">
        <v>2022</v>
      </c>
      <c r="L1923" s="85">
        <v>5</v>
      </c>
      <c r="N1923" s="1" t="s">
        <v>44</v>
      </c>
    </row>
    <row r="1924" spans="1:14">
      <c r="A1924" s="36" t="s">
        <v>33</v>
      </c>
      <c r="B1924" s="37">
        <v>44742</v>
      </c>
      <c r="C1924" s="36" t="s">
        <v>850</v>
      </c>
      <c r="D1924" s="36" t="s">
        <v>851</v>
      </c>
      <c r="E1924" s="36" t="s">
        <v>148</v>
      </c>
      <c r="J1924" s="87">
        <v>539000</v>
      </c>
      <c r="K1924" s="85">
        <v>2022</v>
      </c>
      <c r="L1924" s="85">
        <v>5</v>
      </c>
      <c r="N1924" s="1" t="s">
        <v>44</v>
      </c>
    </row>
    <row r="1925" spans="1:14">
      <c r="A1925" s="36" t="s">
        <v>32</v>
      </c>
      <c r="B1925" s="37">
        <v>44742</v>
      </c>
      <c r="C1925" s="36" t="s">
        <v>605</v>
      </c>
      <c r="D1925" s="36" t="s">
        <v>606</v>
      </c>
      <c r="E1925" s="36" t="s">
        <v>76</v>
      </c>
      <c r="G1925" s="87">
        <v>2100000</v>
      </c>
      <c r="H1925" s="87">
        <v>210000</v>
      </c>
      <c r="I1925" s="87">
        <v>2310000</v>
      </c>
      <c r="K1925" s="85">
        <v>2022</v>
      </c>
      <c r="L1925" s="85">
        <v>6</v>
      </c>
      <c r="N1925" s="1" t="s">
        <v>44</v>
      </c>
    </row>
    <row r="1926" spans="1:14">
      <c r="A1926" s="36" t="s">
        <v>32</v>
      </c>
      <c r="B1926" s="37">
        <v>44742</v>
      </c>
      <c r="C1926" s="36" t="s">
        <v>689</v>
      </c>
      <c r="D1926" s="36" t="s">
        <v>761</v>
      </c>
      <c r="E1926" s="36" t="s">
        <v>148</v>
      </c>
      <c r="J1926" s="87">
        <v>11657085</v>
      </c>
      <c r="K1926" s="85">
        <v>2022</v>
      </c>
      <c r="L1926" s="85">
        <v>5</v>
      </c>
      <c r="N1926" s="1" t="s">
        <v>44</v>
      </c>
    </row>
    <row r="1927" spans="1:14">
      <c r="A1927" s="36" t="s">
        <v>32</v>
      </c>
      <c r="B1927" s="37">
        <v>44742</v>
      </c>
      <c r="C1927" s="36" t="s">
        <v>760</v>
      </c>
      <c r="D1927" s="36" t="s">
        <v>930</v>
      </c>
      <c r="E1927" s="36" t="s">
        <v>76</v>
      </c>
      <c r="G1927" s="87">
        <v>14038450</v>
      </c>
      <c r="H1927" s="87">
        <v>1403845</v>
      </c>
      <c r="I1927" s="87">
        <v>15442295</v>
      </c>
      <c r="K1927" s="85">
        <v>2022</v>
      </c>
      <c r="L1927" s="85">
        <v>6</v>
      </c>
      <c r="N1927" s="1" t="s">
        <v>44</v>
      </c>
    </row>
    <row r="1928" spans="1:14">
      <c r="A1928" s="36" t="s">
        <v>32</v>
      </c>
      <c r="B1928" s="37">
        <v>44742</v>
      </c>
      <c r="C1928" s="36" t="s">
        <v>918</v>
      </c>
      <c r="D1928" s="36" t="s">
        <v>919</v>
      </c>
      <c r="E1928" s="36" t="s">
        <v>76</v>
      </c>
      <c r="G1928" s="87">
        <v>2700000</v>
      </c>
      <c r="H1928" s="87">
        <v>270000</v>
      </c>
      <c r="I1928" s="87">
        <v>2970000</v>
      </c>
      <c r="K1928" s="85">
        <v>2022</v>
      </c>
      <c r="L1928" s="85">
        <v>6</v>
      </c>
      <c r="N1928" s="1" t="s">
        <v>44</v>
      </c>
    </row>
    <row r="1929" spans="1:14">
      <c r="A1929" s="36" t="s">
        <v>32</v>
      </c>
      <c r="B1929" s="37">
        <v>44742</v>
      </c>
      <c r="C1929" s="36" t="s">
        <v>664</v>
      </c>
      <c r="D1929" s="36" t="s">
        <v>788</v>
      </c>
      <c r="E1929" s="36" t="s">
        <v>148</v>
      </c>
      <c r="J1929" s="87">
        <v>11693440</v>
      </c>
      <c r="K1929" s="85">
        <v>2022</v>
      </c>
      <c r="L1929" s="85">
        <v>6</v>
      </c>
      <c r="N1929" s="1" t="s">
        <v>44</v>
      </c>
    </row>
    <row r="1930" spans="1:14">
      <c r="A1930" s="36" t="s">
        <v>32</v>
      </c>
      <c r="B1930" s="37">
        <v>44742</v>
      </c>
      <c r="C1930" s="36" t="s">
        <v>664</v>
      </c>
      <c r="D1930" s="36" t="s">
        <v>855</v>
      </c>
      <c r="E1930" s="36" t="s">
        <v>76</v>
      </c>
      <c r="G1930" s="87">
        <v>2489000</v>
      </c>
      <c r="H1930" s="87">
        <v>248900</v>
      </c>
      <c r="I1930" s="87">
        <v>2737900</v>
      </c>
      <c r="K1930" s="85">
        <v>2022</v>
      </c>
      <c r="L1930" s="85">
        <v>6</v>
      </c>
      <c r="N1930" s="1" t="s">
        <v>44</v>
      </c>
    </row>
    <row r="1931" spans="1:14">
      <c r="A1931" s="36" t="s">
        <v>32</v>
      </c>
      <c r="B1931" s="37">
        <v>44742</v>
      </c>
      <c r="C1931" s="36" t="s">
        <v>174</v>
      </c>
      <c r="D1931" s="36" t="s">
        <v>540</v>
      </c>
      <c r="E1931" s="36" t="s">
        <v>76</v>
      </c>
      <c r="G1931" s="87">
        <v>18044700</v>
      </c>
      <c r="H1931" s="87">
        <v>1804470</v>
      </c>
      <c r="I1931" s="87">
        <v>19849170</v>
      </c>
      <c r="K1931" s="85">
        <v>2022</v>
      </c>
      <c r="L1931" s="85">
        <v>6</v>
      </c>
      <c r="N1931" s="1" t="s">
        <v>44</v>
      </c>
    </row>
    <row r="1932" spans="1:14">
      <c r="A1932" s="36" t="s">
        <v>32</v>
      </c>
      <c r="B1932" s="37">
        <v>44742</v>
      </c>
      <c r="C1932" s="36" t="s">
        <v>174</v>
      </c>
      <c r="D1932" s="36" t="s">
        <v>857</v>
      </c>
      <c r="E1932" s="36" t="s">
        <v>76</v>
      </c>
      <c r="G1932" s="87">
        <v>4739000</v>
      </c>
      <c r="H1932" s="87">
        <v>473900</v>
      </c>
      <c r="I1932" s="87">
        <v>5212900</v>
      </c>
      <c r="K1932" s="85">
        <v>2022</v>
      </c>
      <c r="L1932" s="85">
        <v>6</v>
      </c>
      <c r="N1932" s="1" t="s">
        <v>44</v>
      </c>
    </row>
    <row r="1933" spans="1:14">
      <c r="A1933" s="36" t="s">
        <v>32</v>
      </c>
      <c r="B1933" s="37">
        <v>44742</v>
      </c>
      <c r="C1933" s="36" t="s">
        <v>174</v>
      </c>
      <c r="D1933" s="36" t="s">
        <v>856</v>
      </c>
      <c r="E1933" s="36" t="s">
        <v>76</v>
      </c>
      <c r="G1933" s="87">
        <v>4867200</v>
      </c>
      <c r="H1933" s="87">
        <v>486720</v>
      </c>
      <c r="I1933" s="87">
        <v>5353920</v>
      </c>
      <c r="K1933" s="85">
        <v>2022</v>
      </c>
      <c r="L1933" s="85">
        <v>6</v>
      </c>
      <c r="N1933" s="1" t="s">
        <v>44</v>
      </c>
    </row>
    <row r="1934" spans="1:14">
      <c r="A1934" s="36" t="s">
        <v>32</v>
      </c>
      <c r="B1934" s="37">
        <v>44742</v>
      </c>
      <c r="C1934" s="36" t="s">
        <v>209</v>
      </c>
      <c r="D1934" s="36" t="s">
        <v>928</v>
      </c>
      <c r="E1934" s="36" t="s">
        <v>76</v>
      </c>
      <c r="G1934" s="87">
        <v>13959900</v>
      </c>
      <c r="H1934" s="87">
        <v>1395990</v>
      </c>
      <c r="I1934" s="87">
        <v>15355890</v>
      </c>
      <c r="K1934" s="85">
        <v>2022</v>
      </c>
      <c r="L1934" s="85">
        <v>6</v>
      </c>
      <c r="N1934" s="1" t="s">
        <v>44</v>
      </c>
    </row>
    <row r="1935" spans="1:14">
      <c r="A1935" s="36" t="s">
        <v>32</v>
      </c>
      <c r="B1935" s="37">
        <v>44742</v>
      </c>
      <c r="C1935" s="36" t="s">
        <v>209</v>
      </c>
      <c r="D1935" s="36" t="s">
        <v>858</v>
      </c>
      <c r="E1935" s="36" t="s">
        <v>76</v>
      </c>
      <c r="G1935" s="87">
        <v>7420000</v>
      </c>
      <c r="H1935" s="87">
        <v>742000</v>
      </c>
      <c r="I1935" s="87">
        <v>8162000</v>
      </c>
      <c r="K1935" s="85">
        <v>2022</v>
      </c>
      <c r="L1935" s="85">
        <v>6</v>
      </c>
      <c r="N1935" s="1" t="s">
        <v>44</v>
      </c>
    </row>
    <row r="1936" spans="1:14">
      <c r="A1936" s="36" t="s">
        <v>32</v>
      </c>
      <c r="B1936" s="37">
        <v>44742</v>
      </c>
      <c r="C1936" s="36" t="s">
        <v>640</v>
      </c>
      <c r="D1936" s="36" t="s">
        <v>860</v>
      </c>
      <c r="E1936" s="36" t="s">
        <v>76</v>
      </c>
      <c r="G1936" s="87">
        <v>50675000</v>
      </c>
      <c r="H1936" s="87">
        <v>5067500</v>
      </c>
      <c r="I1936" s="87">
        <v>55742500</v>
      </c>
      <c r="K1936" s="85">
        <v>2022</v>
      </c>
      <c r="L1936" s="85">
        <v>6</v>
      </c>
      <c r="N1936" s="1" t="s">
        <v>44</v>
      </c>
    </row>
    <row r="1937" spans="1:14">
      <c r="A1937" s="36" t="s">
        <v>33</v>
      </c>
      <c r="B1937" s="37">
        <v>44742</v>
      </c>
      <c r="C1937" s="36" t="s">
        <v>813</v>
      </c>
      <c r="D1937" s="36" t="s">
        <v>814</v>
      </c>
      <c r="E1937" s="36" t="s">
        <v>148</v>
      </c>
      <c r="J1937" s="87">
        <v>1093950</v>
      </c>
      <c r="K1937" s="85">
        <v>2022</v>
      </c>
      <c r="L1937" s="85">
        <v>6</v>
      </c>
      <c r="N1937" s="1" t="s">
        <v>44</v>
      </c>
    </row>
    <row r="1938" spans="1:14">
      <c r="A1938" s="36" t="s">
        <v>32</v>
      </c>
      <c r="B1938" s="37">
        <v>44742</v>
      </c>
      <c r="C1938" s="36" t="s">
        <v>391</v>
      </c>
      <c r="D1938" s="36" t="s">
        <v>674</v>
      </c>
      <c r="E1938" s="36" t="s">
        <v>148</v>
      </c>
      <c r="J1938" s="87">
        <v>8399996</v>
      </c>
      <c r="K1938" s="85">
        <v>2022</v>
      </c>
      <c r="L1938" s="85">
        <v>5</v>
      </c>
      <c r="N1938" s="1" t="s">
        <v>44</v>
      </c>
    </row>
    <row r="1939" spans="1:14">
      <c r="A1939" s="36" t="s">
        <v>32</v>
      </c>
      <c r="B1939" s="37">
        <v>44742</v>
      </c>
      <c r="C1939" s="36" t="s">
        <v>391</v>
      </c>
      <c r="D1939" s="36" t="s">
        <v>817</v>
      </c>
      <c r="E1939" s="36" t="s">
        <v>148</v>
      </c>
      <c r="J1939" s="87">
        <v>3493600</v>
      </c>
      <c r="K1939" s="85">
        <v>2022</v>
      </c>
      <c r="L1939" s="85">
        <v>5</v>
      </c>
      <c r="N1939" s="1" t="s">
        <v>44</v>
      </c>
    </row>
    <row r="1940" spans="1:14">
      <c r="A1940" s="36" t="s">
        <v>32</v>
      </c>
      <c r="B1940" s="37">
        <v>44742</v>
      </c>
      <c r="C1940" s="36" t="s">
        <v>204</v>
      </c>
      <c r="D1940" s="36" t="s">
        <v>674</v>
      </c>
      <c r="E1940" s="36" t="s">
        <v>76</v>
      </c>
      <c r="G1940" s="87">
        <v>2682000</v>
      </c>
      <c r="H1940" s="87">
        <v>268200</v>
      </c>
      <c r="I1940" s="87">
        <v>2950200</v>
      </c>
      <c r="K1940" s="85">
        <v>2022</v>
      </c>
      <c r="L1940" s="85">
        <v>6</v>
      </c>
      <c r="N1940" s="1" t="s">
        <v>44</v>
      </c>
    </row>
    <row r="1941" spans="1:14">
      <c r="A1941" s="36" t="s">
        <v>32</v>
      </c>
      <c r="B1941" s="37">
        <v>44742</v>
      </c>
      <c r="C1941" s="36" t="s">
        <v>204</v>
      </c>
      <c r="D1941" s="36" t="s">
        <v>817</v>
      </c>
      <c r="E1941" s="36" t="s">
        <v>76</v>
      </c>
      <c r="G1941" s="87">
        <v>5652600</v>
      </c>
      <c r="H1941" s="87">
        <v>565260</v>
      </c>
      <c r="I1941" s="87">
        <v>6217860</v>
      </c>
      <c r="K1941" s="85">
        <v>2022</v>
      </c>
      <c r="L1941" s="85">
        <v>6</v>
      </c>
      <c r="N1941" s="1" t="s">
        <v>44</v>
      </c>
    </row>
    <row r="1942" spans="1:14">
      <c r="A1942" s="36" t="s">
        <v>33</v>
      </c>
      <c r="B1942" s="37">
        <v>44742</v>
      </c>
      <c r="C1942" s="36" t="s">
        <v>544</v>
      </c>
      <c r="D1942" s="36" t="s">
        <v>766</v>
      </c>
      <c r="E1942" s="36" t="s">
        <v>148</v>
      </c>
      <c r="J1942" s="87">
        <v>344850</v>
      </c>
      <c r="K1942" s="85">
        <v>2022</v>
      </c>
      <c r="L1942" s="85">
        <v>5</v>
      </c>
      <c r="M1942" s="36" t="s">
        <v>107</v>
      </c>
      <c r="N1942" s="1" t="s">
        <v>44</v>
      </c>
    </row>
    <row r="1943" spans="1:14">
      <c r="A1943" s="36" t="s">
        <v>33</v>
      </c>
      <c r="B1943" s="37">
        <v>44742</v>
      </c>
      <c r="C1943" s="36" t="s">
        <v>544</v>
      </c>
      <c r="D1943" s="36" t="s">
        <v>766</v>
      </c>
      <c r="E1943" s="36" t="s">
        <v>125</v>
      </c>
      <c r="G1943" s="87">
        <v>946000</v>
      </c>
      <c r="H1943" s="87">
        <v>94600</v>
      </c>
      <c r="I1943" s="87">
        <v>1040600</v>
      </c>
      <c r="K1943" s="85">
        <v>2022</v>
      </c>
      <c r="L1943" s="85">
        <v>6</v>
      </c>
      <c r="M1943" s="36" t="s">
        <v>107</v>
      </c>
      <c r="N1943" s="1" t="s">
        <v>44</v>
      </c>
    </row>
    <row r="1944" spans="1:14">
      <c r="A1944" s="36" t="s">
        <v>32</v>
      </c>
      <c r="B1944" s="37">
        <v>44742</v>
      </c>
      <c r="C1944" s="36" t="s">
        <v>925</v>
      </c>
      <c r="D1944" s="36" t="s">
        <v>926</v>
      </c>
      <c r="E1944" s="36" t="s">
        <v>76</v>
      </c>
      <c r="G1944" s="87">
        <v>3489020</v>
      </c>
      <c r="H1944" s="87">
        <v>348902</v>
      </c>
      <c r="I1944" s="87">
        <v>3837922</v>
      </c>
      <c r="K1944" s="85">
        <v>2022</v>
      </c>
      <c r="L1944" s="85">
        <v>6</v>
      </c>
      <c r="N1944" s="1" t="s">
        <v>44</v>
      </c>
    </row>
    <row r="1945" spans="1:14">
      <c r="A1945" s="36" t="s">
        <v>33</v>
      </c>
      <c r="B1945" s="37">
        <v>44742</v>
      </c>
      <c r="C1945" s="36" t="s">
        <v>838</v>
      </c>
      <c r="D1945" s="36" t="s">
        <v>705</v>
      </c>
      <c r="E1945" s="36" t="s">
        <v>148</v>
      </c>
      <c r="J1945" s="87">
        <v>1540000</v>
      </c>
      <c r="K1945" s="85">
        <v>2022</v>
      </c>
      <c r="L1945" s="85">
        <v>5</v>
      </c>
      <c r="N1945" s="208" t="s">
        <v>44</v>
      </c>
    </row>
    <row r="1946" spans="1:14">
      <c r="A1946" s="36" t="s">
        <v>33</v>
      </c>
      <c r="B1946" s="37">
        <v>44742</v>
      </c>
      <c r="C1946" s="36" t="s">
        <v>838</v>
      </c>
      <c r="D1946" s="36" t="s">
        <v>841</v>
      </c>
      <c r="E1946" s="36" t="s">
        <v>148</v>
      </c>
      <c r="J1946" s="87">
        <v>660000</v>
      </c>
      <c r="K1946" s="85">
        <v>2022</v>
      </c>
      <c r="L1946" s="85">
        <v>5</v>
      </c>
      <c r="N1946" s="1" t="s">
        <v>44</v>
      </c>
    </row>
    <row r="1947" spans="1:14">
      <c r="A1947" s="36" t="s">
        <v>32</v>
      </c>
      <c r="B1947" s="37">
        <v>44742</v>
      </c>
      <c r="C1947" s="36" t="s">
        <v>299</v>
      </c>
      <c r="D1947" s="36" t="s">
        <v>868</v>
      </c>
      <c r="E1947" s="36" t="s">
        <v>148</v>
      </c>
      <c r="J1947" s="87">
        <v>31200400</v>
      </c>
      <c r="K1947" s="85">
        <v>2022</v>
      </c>
      <c r="L1947" s="85">
        <v>5</v>
      </c>
      <c r="N1947" s="1" t="s">
        <v>44</v>
      </c>
    </row>
    <row r="1948" spans="1:14">
      <c r="A1948" s="36" t="s">
        <v>32</v>
      </c>
      <c r="B1948" s="37">
        <v>44742</v>
      </c>
      <c r="C1948" s="36" t="s">
        <v>334</v>
      </c>
      <c r="D1948" s="36" t="s">
        <v>586</v>
      </c>
      <c r="E1948" s="36" t="s">
        <v>76</v>
      </c>
      <c r="G1948" s="87">
        <v>8044800</v>
      </c>
      <c r="H1948" s="87">
        <v>804480</v>
      </c>
      <c r="I1948" s="87">
        <v>8849280</v>
      </c>
      <c r="K1948" s="85">
        <v>2022</v>
      </c>
      <c r="L1948" s="85">
        <v>6</v>
      </c>
      <c r="N1948" s="1" t="s">
        <v>44</v>
      </c>
    </row>
    <row r="1949" spans="1:14">
      <c r="A1949" s="36" t="s">
        <v>32</v>
      </c>
      <c r="B1949" s="37">
        <v>44742</v>
      </c>
      <c r="C1949" s="36" t="s">
        <v>773</v>
      </c>
      <c r="D1949" s="36" t="s">
        <v>774</v>
      </c>
      <c r="E1949" s="36" t="s">
        <v>76</v>
      </c>
      <c r="G1949" s="87">
        <v>13510000</v>
      </c>
      <c r="H1949" s="87">
        <v>1351000</v>
      </c>
      <c r="I1949" s="87">
        <v>14861000</v>
      </c>
      <c r="K1949" s="85">
        <v>2022</v>
      </c>
      <c r="L1949" s="85">
        <v>6</v>
      </c>
      <c r="N1949" s="1" t="s">
        <v>44</v>
      </c>
    </row>
    <row r="1950" spans="1:14">
      <c r="A1950" s="36" t="s">
        <v>32</v>
      </c>
      <c r="B1950" s="37">
        <v>44742</v>
      </c>
      <c r="C1950" s="36" t="s">
        <v>181</v>
      </c>
      <c r="D1950" s="36" t="s">
        <v>822</v>
      </c>
      <c r="E1950" s="36" t="s">
        <v>76</v>
      </c>
      <c r="G1950" s="87">
        <v>1350000</v>
      </c>
      <c r="H1950" s="87">
        <v>135000</v>
      </c>
      <c r="I1950" s="87">
        <v>1485000</v>
      </c>
      <c r="K1950" s="85">
        <v>2022</v>
      </c>
      <c r="L1950" s="85">
        <v>6</v>
      </c>
      <c r="N1950" s="1" t="s">
        <v>44</v>
      </c>
    </row>
    <row r="1951" spans="1:14">
      <c r="A1951" s="36" t="s">
        <v>32</v>
      </c>
      <c r="B1951" s="37">
        <v>44742</v>
      </c>
      <c r="C1951" s="36" t="s">
        <v>181</v>
      </c>
      <c r="D1951" s="36" t="s">
        <v>823</v>
      </c>
      <c r="E1951" s="36" t="s">
        <v>76</v>
      </c>
      <c r="G1951" s="87">
        <v>4860000</v>
      </c>
      <c r="H1951" s="87">
        <v>486000</v>
      </c>
      <c r="I1951" s="87">
        <v>5346000</v>
      </c>
      <c r="K1951" s="85">
        <v>2022</v>
      </c>
      <c r="L1951" s="85">
        <v>6</v>
      </c>
      <c r="N1951" s="1" t="s">
        <v>44</v>
      </c>
    </row>
    <row r="1952" spans="1:14">
      <c r="A1952" s="36" t="s">
        <v>33</v>
      </c>
      <c r="B1952" s="37">
        <v>44742</v>
      </c>
      <c r="C1952" s="36" t="s">
        <v>320</v>
      </c>
      <c r="D1952" s="36" t="s">
        <v>378</v>
      </c>
      <c r="E1952" s="36" t="s">
        <v>148</v>
      </c>
      <c r="J1952" s="87">
        <v>198000</v>
      </c>
      <c r="K1952" s="85">
        <v>2022</v>
      </c>
      <c r="L1952" s="85">
        <v>5</v>
      </c>
      <c r="N1952" s="1" t="s">
        <v>44</v>
      </c>
    </row>
    <row r="1953" spans="1:14">
      <c r="A1953" s="36" t="s">
        <v>33</v>
      </c>
      <c r="B1953" s="37">
        <v>44742</v>
      </c>
      <c r="C1953" s="36" t="s">
        <v>320</v>
      </c>
      <c r="D1953" s="36" t="s">
        <v>321</v>
      </c>
      <c r="E1953" s="36" t="s">
        <v>143</v>
      </c>
      <c r="G1953" s="87">
        <v>120000</v>
      </c>
      <c r="H1953" s="87">
        <v>12000</v>
      </c>
      <c r="I1953" s="87">
        <v>132000</v>
      </c>
      <c r="K1953" s="85">
        <v>2022</v>
      </c>
      <c r="L1953" s="85">
        <v>6</v>
      </c>
      <c r="N1953" s="1" t="s">
        <v>44</v>
      </c>
    </row>
    <row r="1954" spans="1:14">
      <c r="A1954" s="36" t="s">
        <v>32</v>
      </c>
      <c r="B1954" s="37">
        <v>44742</v>
      </c>
      <c r="C1954" s="36" t="s">
        <v>677</v>
      </c>
      <c r="D1954" s="36" t="s">
        <v>924</v>
      </c>
      <c r="E1954" s="36" t="s">
        <v>76</v>
      </c>
      <c r="G1954" s="87">
        <v>9382500</v>
      </c>
      <c r="H1954" s="87">
        <v>938250</v>
      </c>
      <c r="I1954" s="87">
        <v>10320750</v>
      </c>
      <c r="K1954" s="85">
        <v>2022</v>
      </c>
      <c r="L1954" s="85">
        <v>6</v>
      </c>
      <c r="N1954" s="1" t="s">
        <v>44</v>
      </c>
    </row>
    <row r="1955" spans="1:14">
      <c r="A1955" s="36" t="s">
        <v>32</v>
      </c>
      <c r="B1955" s="37">
        <v>44742</v>
      </c>
      <c r="C1955" s="36" t="s">
        <v>677</v>
      </c>
      <c r="D1955" s="36" t="s">
        <v>825</v>
      </c>
      <c r="E1955" s="36" t="s">
        <v>76</v>
      </c>
      <c r="G1955" s="87">
        <v>40757000</v>
      </c>
      <c r="H1955" s="87">
        <v>4075700</v>
      </c>
      <c r="I1955" s="87">
        <v>44832700</v>
      </c>
      <c r="K1955" s="85">
        <v>2022</v>
      </c>
      <c r="L1955" s="85">
        <v>6</v>
      </c>
      <c r="N1955" s="1" t="s">
        <v>44</v>
      </c>
    </row>
    <row r="1956" spans="1:14">
      <c r="A1956" s="36" t="s">
        <v>32</v>
      </c>
      <c r="B1956" s="37">
        <v>44742</v>
      </c>
      <c r="C1956" s="36" t="s">
        <v>677</v>
      </c>
      <c r="D1956" s="36" t="s">
        <v>678</v>
      </c>
      <c r="E1956" s="36" t="s">
        <v>76</v>
      </c>
      <c r="G1956" s="87">
        <v>26374180</v>
      </c>
      <c r="H1956" s="87">
        <v>2637418</v>
      </c>
      <c r="I1956" s="87">
        <v>29011598</v>
      </c>
      <c r="K1956" s="85">
        <v>2022</v>
      </c>
      <c r="L1956" s="85">
        <v>6</v>
      </c>
      <c r="N1956" s="1" t="s">
        <v>44</v>
      </c>
    </row>
    <row r="1957" spans="1:14">
      <c r="A1957" s="36" t="s">
        <v>33</v>
      </c>
      <c r="B1957" s="37">
        <v>44742</v>
      </c>
      <c r="C1957" s="36" t="s">
        <v>119</v>
      </c>
      <c r="D1957" s="36" t="s">
        <v>374</v>
      </c>
      <c r="E1957" s="36" t="s">
        <v>148</v>
      </c>
      <c r="J1957" s="87">
        <v>3003000</v>
      </c>
      <c r="K1957" s="85">
        <v>2022</v>
      </c>
      <c r="L1957" s="85">
        <v>5</v>
      </c>
      <c r="M1957" s="36" t="s">
        <v>875</v>
      </c>
      <c r="N1957" s="1" t="s">
        <v>44</v>
      </c>
    </row>
    <row r="1958" spans="1:14">
      <c r="A1958" s="36" t="s">
        <v>33</v>
      </c>
      <c r="B1958" s="37">
        <v>44742</v>
      </c>
      <c r="C1958" s="36" t="s">
        <v>119</v>
      </c>
      <c r="D1958" s="36" t="s">
        <v>823</v>
      </c>
      <c r="E1958" s="36" t="s">
        <v>76</v>
      </c>
      <c r="G1958" s="87">
        <v>4160000</v>
      </c>
      <c r="H1958" s="87">
        <v>416000</v>
      </c>
      <c r="I1958" s="87">
        <v>4576000</v>
      </c>
      <c r="K1958" s="85">
        <v>2022</v>
      </c>
      <c r="L1958" s="85">
        <v>6</v>
      </c>
      <c r="N1958" s="1" t="s">
        <v>44</v>
      </c>
    </row>
    <row r="1959" spans="1:14">
      <c r="A1959" s="36" t="s">
        <v>33</v>
      </c>
      <c r="B1959" s="37">
        <v>44742</v>
      </c>
      <c r="C1959" s="36" t="s">
        <v>119</v>
      </c>
      <c r="D1959" s="36" t="s">
        <v>877</v>
      </c>
      <c r="E1959" s="36" t="s">
        <v>76</v>
      </c>
      <c r="G1959" s="87">
        <v>23100000</v>
      </c>
      <c r="H1959" s="87">
        <v>2310000</v>
      </c>
      <c r="I1959" s="87">
        <v>25410000</v>
      </c>
      <c r="K1959" s="85">
        <v>2022</v>
      </c>
      <c r="L1959" s="85">
        <v>6</v>
      </c>
      <c r="N1959" s="1" t="s">
        <v>44</v>
      </c>
    </row>
    <row r="1960" spans="1:14">
      <c r="A1960" s="36" t="s">
        <v>33</v>
      </c>
      <c r="B1960" s="37">
        <v>44742</v>
      </c>
      <c r="C1960" s="36" t="s">
        <v>119</v>
      </c>
      <c r="D1960" s="36" t="s">
        <v>931</v>
      </c>
      <c r="E1960" s="36" t="s">
        <v>76</v>
      </c>
      <c r="G1960" s="87">
        <v>3530000</v>
      </c>
      <c r="H1960" s="87">
        <v>353000</v>
      </c>
      <c r="I1960" s="87">
        <v>3883000</v>
      </c>
      <c r="K1960" s="85">
        <v>2022</v>
      </c>
      <c r="L1960" s="85">
        <v>6</v>
      </c>
      <c r="M1960" s="36" t="s">
        <v>915</v>
      </c>
      <c r="N1960" s="1" t="s">
        <v>44</v>
      </c>
    </row>
    <row r="1961" spans="1:14">
      <c r="A1961" s="36" t="s">
        <v>33</v>
      </c>
      <c r="B1961" s="37">
        <v>44742</v>
      </c>
      <c r="C1961" s="36" t="s">
        <v>119</v>
      </c>
      <c r="D1961" s="36" t="s">
        <v>823</v>
      </c>
      <c r="E1961" s="36" t="s">
        <v>76</v>
      </c>
      <c r="G1961" s="87">
        <v>520000</v>
      </c>
      <c r="H1961" s="87">
        <v>52000</v>
      </c>
      <c r="I1961" s="87">
        <v>572000</v>
      </c>
      <c r="K1961" s="85">
        <v>2022</v>
      </c>
      <c r="L1961" s="85">
        <v>6</v>
      </c>
      <c r="N1961" s="1" t="s">
        <v>44</v>
      </c>
    </row>
    <row r="1962" spans="1:14">
      <c r="A1962" s="36" t="s">
        <v>33</v>
      </c>
      <c r="B1962" s="37">
        <v>44742</v>
      </c>
      <c r="C1962" s="36" t="s">
        <v>119</v>
      </c>
      <c r="D1962" s="36" t="s">
        <v>931</v>
      </c>
      <c r="E1962" s="36" t="s">
        <v>76</v>
      </c>
      <c r="G1962" s="87">
        <v>2595750</v>
      </c>
      <c r="H1962" s="87">
        <v>259575</v>
      </c>
      <c r="I1962" s="87">
        <v>2855325</v>
      </c>
      <c r="K1962" s="85">
        <v>2022</v>
      </c>
      <c r="L1962" s="85">
        <v>6</v>
      </c>
      <c r="N1962" s="1" t="s">
        <v>44</v>
      </c>
    </row>
    <row r="1963" spans="1:14">
      <c r="A1963" s="36" t="s">
        <v>32</v>
      </c>
      <c r="B1963" s="37">
        <v>44742</v>
      </c>
      <c r="C1963" s="36" t="s">
        <v>505</v>
      </c>
      <c r="D1963" s="36" t="s">
        <v>878</v>
      </c>
      <c r="E1963" s="36" t="s">
        <v>148</v>
      </c>
      <c r="J1963" s="87">
        <v>3118368</v>
      </c>
      <c r="K1963" s="85">
        <v>2022</v>
      </c>
      <c r="L1963" s="85">
        <v>5</v>
      </c>
      <c r="N1963" s="1" t="s">
        <v>44</v>
      </c>
    </row>
    <row r="1964" spans="1:14">
      <c r="A1964" s="36" t="s">
        <v>32</v>
      </c>
      <c r="B1964" s="37">
        <v>44742</v>
      </c>
      <c r="C1964" s="36" t="s">
        <v>505</v>
      </c>
      <c r="D1964" s="36" t="s">
        <v>506</v>
      </c>
      <c r="E1964" s="36" t="s">
        <v>76</v>
      </c>
      <c r="G1964" s="87">
        <v>4414440</v>
      </c>
      <c r="H1964" s="87">
        <v>441444</v>
      </c>
      <c r="I1964" s="87">
        <v>4855884</v>
      </c>
      <c r="K1964" s="85">
        <v>2022</v>
      </c>
      <c r="L1964" s="85">
        <v>6</v>
      </c>
      <c r="N1964" s="1" t="s">
        <v>44</v>
      </c>
    </row>
    <row r="1965" spans="1:14">
      <c r="A1965" s="36" t="s">
        <v>32</v>
      </c>
      <c r="B1965" s="37">
        <v>44742</v>
      </c>
      <c r="C1965" s="36" t="s">
        <v>879</v>
      </c>
      <c r="D1965" s="36" t="s">
        <v>933</v>
      </c>
      <c r="E1965" s="36" t="s">
        <v>76</v>
      </c>
      <c r="G1965" s="87">
        <v>23100000</v>
      </c>
      <c r="H1965" s="87">
        <v>2310000</v>
      </c>
      <c r="I1965" s="87">
        <v>25410000</v>
      </c>
      <c r="K1965" s="85">
        <v>2022</v>
      </c>
      <c r="L1965" s="85">
        <v>6</v>
      </c>
      <c r="N1965" s="1" t="s">
        <v>44</v>
      </c>
    </row>
    <row r="1966" spans="1:14">
      <c r="A1966" s="36" t="s">
        <v>32</v>
      </c>
      <c r="B1966" s="37">
        <v>44742</v>
      </c>
      <c r="C1966" s="36" t="s">
        <v>776</v>
      </c>
      <c r="D1966" s="36" t="s">
        <v>777</v>
      </c>
      <c r="E1966" s="36" t="s">
        <v>148</v>
      </c>
      <c r="J1966" s="87">
        <v>5621000</v>
      </c>
      <c r="K1966" s="85">
        <v>2022</v>
      </c>
      <c r="L1966" s="85">
        <v>5</v>
      </c>
      <c r="N1966" s="1" t="s">
        <v>44</v>
      </c>
    </row>
    <row r="1967" spans="1:14">
      <c r="A1967" s="36" t="s">
        <v>32</v>
      </c>
      <c r="B1967" s="37">
        <v>44742</v>
      </c>
      <c r="C1967" s="36" t="s">
        <v>511</v>
      </c>
      <c r="D1967" s="36" t="s">
        <v>512</v>
      </c>
      <c r="E1967" s="36" t="s">
        <v>148</v>
      </c>
      <c r="J1967" s="87">
        <v>14119050</v>
      </c>
      <c r="K1967" s="85">
        <v>2022</v>
      </c>
      <c r="L1967" s="85">
        <v>5</v>
      </c>
      <c r="N1967" s="1" t="s">
        <v>44</v>
      </c>
    </row>
    <row r="1968" spans="1:14">
      <c r="A1968" s="36" t="s">
        <v>32</v>
      </c>
      <c r="B1968" s="37">
        <v>44742</v>
      </c>
      <c r="C1968" s="36" t="s">
        <v>511</v>
      </c>
      <c r="D1968" s="36" t="s">
        <v>512</v>
      </c>
      <c r="E1968" s="36" t="s">
        <v>76</v>
      </c>
      <c r="G1968" s="87">
        <v>2542800</v>
      </c>
      <c r="H1968" s="87">
        <v>254280</v>
      </c>
      <c r="I1968" s="87">
        <v>2797080</v>
      </c>
      <c r="K1968" s="85">
        <v>2022</v>
      </c>
      <c r="L1968" s="85">
        <v>6</v>
      </c>
      <c r="N1968" s="1" t="s">
        <v>44</v>
      </c>
    </row>
    <row r="1969" spans="1:14">
      <c r="A1969" s="36" t="s">
        <v>32</v>
      </c>
      <c r="B1969" s="37">
        <v>44742</v>
      </c>
      <c r="C1969" s="36" t="s">
        <v>881</v>
      </c>
      <c r="D1969" s="36" t="s">
        <v>877</v>
      </c>
      <c r="E1969" s="36" t="s">
        <v>76</v>
      </c>
      <c r="G1969" s="87">
        <v>61470000</v>
      </c>
      <c r="H1969" s="87">
        <v>6147000</v>
      </c>
      <c r="I1969" s="87">
        <v>67617000</v>
      </c>
      <c r="K1969" s="85">
        <v>2022</v>
      </c>
      <c r="L1969" s="85">
        <v>6</v>
      </c>
      <c r="N1969" s="1" t="s">
        <v>44</v>
      </c>
    </row>
    <row r="1970" spans="1:14">
      <c r="A1970" s="36" t="s">
        <v>32</v>
      </c>
      <c r="B1970" s="37">
        <v>44742</v>
      </c>
      <c r="C1970" s="36" t="s">
        <v>883</v>
      </c>
      <c r="D1970" s="36" t="s">
        <v>884</v>
      </c>
      <c r="E1970" s="36" t="s">
        <v>148</v>
      </c>
      <c r="J1970" s="87">
        <v>1778700</v>
      </c>
      <c r="K1970" s="85">
        <v>2022</v>
      </c>
      <c r="L1970" s="85">
        <v>5</v>
      </c>
      <c r="N1970" s="1" t="s">
        <v>44</v>
      </c>
    </row>
    <row r="1971" spans="1:14">
      <c r="A1971" s="36" t="s">
        <v>32</v>
      </c>
      <c r="B1971" s="37">
        <v>44742</v>
      </c>
      <c r="C1971" s="36" t="s">
        <v>888</v>
      </c>
      <c r="D1971" s="36" t="s">
        <v>927</v>
      </c>
      <c r="E1971" s="36" t="s">
        <v>76</v>
      </c>
      <c r="G1971" s="87">
        <v>5000000</v>
      </c>
      <c r="H1971" s="87">
        <v>500000</v>
      </c>
      <c r="I1971" s="87">
        <v>5500000</v>
      </c>
      <c r="K1971" s="85">
        <v>2022</v>
      </c>
      <c r="L1971" s="85">
        <v>6</v>
      </c>
      <c r="N1971" s="1" t="s">
        <v>44</v>
      </c>
    </row>
    <row r="1972" spans="1:14">
      <c r="A1972" s="36" t="s">
        <v>32</v>
      </c>
      <c r="B1972" s="37">
        <v>44742</v>
      </c>
      <c r="C1972" s="36" t="s">
        <v>185</v>
      </c>
      <c r="D1972" s="36" t="s">
        <v>890</v>
      </c>
      <c r="E1972" s="36" t="s">
        <v>148</v>
      </c>
      <c r="J1972" s="38">
        <v>8696160</v>
      </c>
      <c r="K1972" s="85">
        <v>2022</v>
      </c>
      <c r="L1972" s="85">
        <v>5</v>
      </c>
      <c r="N1972" s="1" t="s">
        <v>44</v>
      </c>
    </row>
    <row r="1973" spans="1:14">
      <c r="A1973" s="36" t="s">
        <v>32</v>
      </c>
      <c r="B1973" s="37">
        <v>44742</v>
      </c>
      <c r="C1973" s="36" t="s">
        <v>185</v>
      </c>
      <c r="D1973" s="36" t="s">
        <v>891</v>
      </c>
      <c r="E1973" s="36" t="s">
        <v>148</v>
      </c>
      <c r="J1973" s="38">
        <v>1978240</v>
      </c>
      <c r="K1973" s="85">
        <v>2022</v>
      </c>
      <c r="L1973" s="85">
        <v>5</v>
      </c>
      <c r="N1973" s="1" t="s">
        <v>44</v>
      </c>
    </row>
    <row r="1974" spans="1:14">
      <c r="A1974" s="36" t="s">
        <v>32</v>
      </c>
      <c r="B1974" s="37">
        <v>44742</v>
      </c>
      <c r="C1974" s="36" t="s">
        <v>185</v>
      </c>
      <c r="D1974" s="36" t="s">
        <v>778</v>
      </c>
      <c r="E1974" s="36" t="s">
        <v>148</v>
      </c>
      <c r="J1974" s="38">
        <v>943734</v>
      </c>
      <c r="K1974" s="85">
        <v>2022</v>
      </c>
      <c r="L1974" s="85">
        <v>5</v>
      </c>
      <c r="N1974" s="1" t="s">
        <v>44</v>
      </c>
    </row>
    <row r="1975" spans="1:14">
      <c r="A1975" s="36" t="s">
        <v>32</v>
      </c>
      <c r="B1975" s="37">
        <v>44742</v>
      </c>
      <c r="C1975" s="36" t="s">
        <v>185</v>
      </c>
      <c r="D1975" s="36" t="s">
        <v>931</v>
      </c>
      <c r="E1975" s="36" t="s">
        <v>76</v>
      </c>
      <c r="G1975" s="87">
        <v>3530000</v>
      </c>
      <c r="H1975" s="87">
        <v>353000</v>
      </c>
      <c r="I1975" s="87">
        <v>3883000</v>
      </c>
      <c r="K1975" s="85">
        <v>2022</v>
      </c>
      <c r="L1975" s="85">
        <v>6</v>
      </c>
      <c r="N1975" s="1" t="s">
        <v>44</v>
      </c>
    </row>
    <row r="1976" spans="1:14">
      <c r="A1976" s="36" t="s">
        <v>32</v>
      </c>
      <c r="B1976" s="37">
        <v>44742</v>
      </c>
      <c r="C1976" s="36" t="s">
        <v>185</v>
      </c>
      <c r="D1976" s="36" t="s">
        <v>931</v>
      </c>
      <c r="E1976" s="36" t="s">
        <v>76</v>
      </c>
      <c r="G1976" s="87">
        <v>2595750</v>
      </c>
      <c r="H1976" s="87">
        <v>259575</v>
      </c>
      <c r="I1976" s="87">
        <v>2855325</v>
      </c>
      <c r="K1976" s="85">
        <v>2022</v>
      </c>
      <c r="L1976" s="85">
        <v>6</v>
      </c>
      <c r="N1976" s="1" t="s">
        <v>44</v>
      </c>
    </row>
    <row r="1977" spans="1:14">
      <c r="A1977" s="36" t="s">
        <v>32</v>
      </c>
      <c r="B1977" s="37">
        <v>44742</v>
      </c>
      <c r="C1977" s="36" t="s">
        <v>185</v>
      </c>
      <c r="D1977" s="36" t="s">
        <v>932</v>
      </c>
      <c r="E1977" s="36" t="s">
        <v>76</v>
      </c>
      <c r="G1977" s="87">
        <v>3658077</v>
      </c>
      <c r="H1977" s="87">
        <v>365807.7</v>
      </c>
      <c r="I1977" s="87">
        <v>4023884.7</v>
      </c>
      <c r="K1977" s="85">
        <v>2022</v>
      </c>
      <c r="L1977" s="85">
        <v>6</v>
      </c>
      <c r="N1977" s="1" t="s">
        <v>44</v>
      </c>
    </row>
    <row r="1978" spans="1:14">
      <c r="A1978" s="36" t="s">
        <v>32</v>
      </c>
      <c r="B1978" s="37">
        <v>44742</v>
      </c>
      <c r="C1978" s="36" t="s">
        <v>185</v>
      </c>
      <c r="D1978" s="36" t="s">
        <v>778</v>
      </c>
      <c r="E1978" s="36" t="s">
        <v>76</v>
      </c>
      <c r="G1978" s="87">
        <v>3969273</v>
      </c>
      <c r="H1978" s="87">
        <v>396927.30000000005</v>
      </c>
      <c r="I1978" s="87">
        <v>4366200.3</v>
      </c>
      <c r="K1978" s="85">
        <v>2022</v>
      </c>
      <c r="L1978" s="85">
        <v>6</v>
      </c>
      <c r="N1978" s="1" t="s">
        <v>44</v>
      </c>
    </row>
    <row r="1979" spans="1:14">
      <c r="A1979" s="36" t="s">
        <v>32</v>
      </c>
      <c r="B1979" s="37">
        <v>44742</v>
      </c>
      <c r="C1979" s="36" t="s">
        <v>185</v>
      </c>
      <c r="D1979" s="36" t="s">
        <v>683</v>
      </c>
      <c r="E1979" s="36" t="s">
        <v>76</v>
      </c>
      <c r="G1979" s="87">
        <v>5390600</v>
      </c>
      <c r="H1979" s="87">
        <v>539060</v>
      </c>
      <c r="I1979" s="87">
        <v>5929660</v>
      </c>
      <c r="K1979" s="85">
        <v>2022</v>
      </c>
      <c r="L1979" s="85">
        <v>6</v>
      </c>
      <c r="N1979" s="1" t="s">
        <v>44</v>
      </c>
    </row>
    <row r="1980" spans="1:14">
      <c r="A1980" s="36" t="s">
        <v>32</v>
      </c>
      <c r="B1980" s="37">
        <v>44742</v>
      </c>
      <c r="C1980" s="36" t="s">
        <v>188</v>
      </c>
      <c r="D1980" s="36" t="s">
        <v>190</v>
      </c>
      <c r="E1980" s="36" t="s">
        <v>148</v>
      </c>
      <c r="J1980" s="87">
        <v>5103780</v>
      </c>
      <c r="K1980" s="85">
        <v>2021</v>
      </c>
      <c r="L1980" s="85">
        <v>4</v>
      </c>
      <c r="N1980" s="208" t="s">
        <v>44</v>
      </c>
    </row>
    <row r="1981" spans="1:14">
      <c r="A1981" s="36" t="s">
        <v>32</v>
      </c>
      <c r="B1981" s="37">
        <v>44742</v>
      </c>
      <c r="C1981" s="36" t="s">
        <v>406</v>
      </c>
      <c r="D1981" s="36" t="s">
        <v>895</v>
      </c>
      <c r="E1981" s="36" t="s">
        <v>148</v>
      </c>
      <c r="J1981" s="87">
        <v>1543872</v>
      </c>
      <c r="K1981" s="85">
        <v>2022</v>
      </c>
      <c r="L1981" s="85">
        <v>5</v>
      </c>
      <c r="N1981" s="1" t="s">
        <v>44</v>
      </c>
    </row>
    <row r="1982" spans="1:14">
      <c r="A1982" s="36" t="s">
        <v>32</v>
      </c>
      <c r="B1982" s="37">
        <v>44742</v>
      </c>
      <c r="C1982" s="36" t="s">
        <v>406</v>
      </c>
      <c r="D1982" s="36" t="s">
        <v>896</v>
      </c>
      <c r="E1982" s="36" t="s">
        <v>77</v>
      </c>
      <c r="J1982" s="87">
        <v>2739440</v>
      </c>
      <c r="K1982" s="85">
        <v>2022</v>
      </c>
      <c r="L1982" s="85">
        <v>5</v>
      </c>
      <c r="N1982" s="1" t="s">
        <v>44</v>
      </c>
    </row>
    <row r="1983" spans="1:14">
      <c r="A1983" s="36" t="s">
        <v>32</v>
      </c>
      <c r="B1983" s="37">
        <v>44742</v>
      </c>
      <c r="C1983" s="36" t="s">
        <v>188</v>
      </c>
      <c r="D1983" s="36" t="s">
        <v>191</v>
      </c>
      <c r="E1983" s="36" t="s">
        <v>148</v>
      </c>
      <c r="J1983" s="87">
        <v>4950000</v>
      </c>
      <c r="K1983" s="85">
        <v>2021</v>
      </c>
      <c r="L1983" s="85">
        <v>5</v>
      </c>
      <c r="N1983" s="208" t="s">
        <v>44</v>
      </c>
    </row>
    <row r="1984" spans="1:14">
      <c r="A1984" s="36" t="s">
        <v>32</v>
      </c>
      <c r="B1984" s="37">
        <v>44742</v>
      </c>
      <c r="C1984" s="36" t="s">
        <v>188</v>
      </c>
      <c r="D1984" s="36" t="s">
        <v>895</v>
      </c>
      <c r="E1984" s="36" t="s">
        <v>76</v>
      </c>
      <c r="G1984" s="87">
        <v>935680</v>
      </c>
      <c r="H1984" s="87">
        <v>93568</v>
      </c>
      <c r="I1984" s="87">
        <v>1029248</v>
      </c>
      <c r="K1984" s="85">
        <v>2022</v>
      </c>
      <c r="L1984" s="85">
        <v>6</v>
      </c>
      <c r="N1984" s="1" t="s">
        <v>44</v>
      </c>
    </row>
    <row r="1985" spans="1:14">
      <c r="A1985" s="36" t="s">
        <v>32</v>
      </c>
      <c r="B1985" s="37">
        <v>44742</v>
      </c>
      <c r="C1985" s="36" t="s">
        <v>188</v>
      </c>
      <c r="D1985" s="36" t="s">
        <v>896</v>
      </c>
      <c r="E1985" s="36" t="s">
        <v>76</v>
      </c>
      <c r="G1985" s="87">
        <v>4502800</v>
      </c>
      <c r="H1985" s="87">
        <v>450280</v>
      </c>
      <c r="I1985" s="87">
        <v>4953080</v>
      </c>
      <c r="K1985" s="85">
        <v>2022</v>
      </c>
      <c r="L1985" s="85">
        <v>6</v>
      </c>
      <c r="N1985" s="1" t="s">
        <v>44</v>
      </c>
    </row>
    <row r="1986" spans="1:14">
      <c r="A1986" s="36" t="s">
        <v>32</v>
      </c>
      <c r="B1986" s="37">
        <v>44742</v>
      </c>
      <c r="C1986" s="36" t="s">
        <v>188</v>
      </c>
      <c r="D1986" s="36" t="s">
        <v>897</v>
      </c>
      <c r="E1986" s="36" t="s">
        <v>76</v>
      </c>
      <c r="G1986" s="87">
        <v>1500000</v>
      </c>
      <c r="H1986" s="87">
        <v>150000</v>
      </c>
      <c r="I1986" s="87">
        <v>1650000</v>
      </c>
      <c r="K1986" s="85">
        <v>2022</v>
      </c>
      <c r="L1986" s="85">
        <v>6</v>
      </c>
      <c r="N1986" s="1" t="s">
        <v>44</v>
      </c>
    </row>
    <row r="1987" spans="1:14">
      <c r="A1987" s="36" t="s">
        <v>32</v>
      </c>
      <c r="B1987" s="37">
        <v>44742</v>
      </c>
      <c r="C1987" s="36" t="s">
        <v>188</v>
      </c>
      <c r="D1987" s="36" t="s">
        <v>649</v>
      </c>
      <c r="E1987" s="36" t="s">
        <v>76</v>
      </c>
      <c r="G1987" s="87">
        <v>1980000</v>
      </c>
      <c r="H1987" s="87">
        <v>198000</v>
      </c>
      <c r="I1987" s="87">
        <v>2178000</v>
      </c>
      <c r="K1987" s="85">
        <v>2022</v>
      </c>
      <c r="L1987" s="85">
        <v>6</v>
      </c>
      <c r="N1987" s="1" t="s">
        <v>44</v>
      </c>
    </row>
    <row r="1988" spans="1:14">
      <c r="A1988" s="36" t="s">
        <v>32</v>
      </c>
      <c r="B1988" s="37">
        <v>44742</v>
      </c>
      <c r="C1988" s="36" t="s">
        <v>920</v>
      </c>
      <c r="D1988" s="36" t="s">
        <v>921</v>
      </c>
      <c r="E1988" s="36" t="s">
        <v>76</v>
      </c>
      <c r="G1988" s="87">
        <v>7590000</v>
      </c>
      <c r="H1988" s="87">
        <v>759000</v>
      </c>
      <c r="I1988" s="87">
        <v>8349000</v>
      </c>
      <c r="K1988" s="85">
        <v>2022</v>
      </c>
      <c r="L1988" s="85">
        <v>6</v>
      </c>
      <c r="N1988" s="1" t="s">
        <v>44</v>
      </c>
    </row>
    <row r="1989" spans="1:14">
      <c r="A1989" s="36" t="s">
        <v>32</v>
      </c>
      <c r="B1989" s="37">
        <v>44742</v>
      </c>
      <c r="C1989" s="36" t="s">
        <v>175</v>
      </c>
      <c r="D1989" s="36" t="s">
        <v>786</v>
      </c>
      <c r="E1989" s="36" t="s">
        <v>148</v>
      </c>
      <c r="J1989" s="87">
        <v>4631880</v>
      </c>
      <c r="K1989" s="85">
        <v>2022</v>
      </c>
      <c r="L1989" s="85">
        <v>3</v>
      </c>
      <c r="N1989" s="208" t="s">
        <v>44</v>
      </c>
    </row>
    <row r="1990" spans="1:14">
      <c r="A1990" s="36" t="s">
        <v>32</v>
      </c>
      <c r="B1990" s="37">
        <v>44742</v>
      </c>
      <c r="C1990" s="36" t="s">
        <v>175</v>
      </c>
      <c r="D1990" s="36" t="s">
        <v>786</v>
      </c>
      <c r="E1990" s="36" t="s">
        <v>77</v>
      </c>
      <c r="J1990" s="87">
        <v>4890600</v>
      </c>
      <c r="K1990" s="85">
        <v>2022</v>
      </c>
      <c r="L1990" s="85">
        <v>4</v>
      </c>
      <c r="N1990" s="1" t="s">
        <v>44</v>
      </c>
    </row>
    <row r="1991" spans="1:14">
      <c r="A1991" s="36" t="s">
        <v>32</v>
      </c>
      <c r="B1991" s="37">
        <v>44742</v>
      </c>
      <c r="C1991" s="36" t="s">
        <v>175</v>
      </c>
      <c r="D1991" s="36" t="s">
        <v>786</v>
      </c>
      <c r="E1991" s="36" t="s">
        <v>77</v>
      </c>
      <c r="J1991" s="87">
        <v>1041920</v>
      </c>
      <c r="K1991" s="85">
        <v>2022</v>
      </c>
      <c r="L1991" s="85">
        <v>6</v>
      </c>
      <c r="N1991" s="1" t="s">
        <v>44</v>
      </c>
    </row>
    <row r="1992" spans="1:14">
      <c r="A1992" s="36" t="s">
        <v>33</v>
      </c>
      <c r="B1992" s="37">
        <v>44742</v>
      </c>
      <c r="C1992" s="36" t="s">
        <v>916</v>
      </c>
      <c r="D1992" s="36" t="s">
        <v>917</v>
      </c>
      <c r="E1992" s="36" t="s">
        <v>76</v>
      </c>
      <c r="G1992" s="87">
        <v>25000000</v>
      </c>
      <c r="H1992" s="87">
        <v>2500000</v>
      </c>
      <c r="I1992" s="87">
        <v>27500000</v>
      </c>
      <c r="K1992" s="85">
        <v>2022</v>
      </c>
      <c r="L1992" s="85">
        <v>6</v>
      </c>
      <c r="N1992" s="1" t="s">
        <v>44</v>
      </c>
    </row>
    <row r="1993" spans="1:14">
      <c r="A1993" s="36" t="s">
        <v>32</v>
      </c>
      <c r="B1993" s="37">
        <v>44742</v>
      </c>
      <c r="C1993" s="36" t="s">
        <v>787</v>
      </c>
      <c r="D1993" s="36" t="s">
        <v>929</v>
      </c>
      <c r="E1993" s="36" t="s">
        <v>76</v>
      </c>
      <c r="G1993" s="87">
        <v>1000000</v>
      </c>
      <c r="H1993" s="87">
        <v>100000</v>
      </c>
      <c r="I1993" s="87">
        <v>1100000</v>
      </c>
      <c r="K1993" s="85">
        <v>2022</v>
      </c>
      <c r="L1993" s="85">
        <v>6</v>
      </c>
      <c r="N1993" s="1" t="s">
        <v>44</v>
      </c>
    </row>
    <row r="1994" spans="1:14">
      <c r="A1994" s="36" t="s">
        <v>32</v>
      </c>
      <c r="B1994" s="37">
        <v>44742</v>
      </c>
      <c r="C1994" s="36" t="s">
        <v>654</v>
      </c>
      <c r="D1994" s="36" t="s">
        <v>835</v>
      </c>
      <c r="E1994" s="36" t="s">
        <v>76</v>
      </c>
      <c r="G1994" s="87">
        <v>75595900</v>
      </c>
      <c r="H1994" s="87">
        <v>7559590</v>
      </c>
      <c r="I1994" s="87">
        <v>83155490</v>
      </c>
      <c r="K1994" s="85">
        <v>2022</v>
      </c>
      <c r="L1994" s="85">
        <v>6</v>
      </c>
      <c r="N1994" s="1" t="s">
        <v>44</v>
      </c>
    </row>
    <row r="1995" spans="1:14">
      <c r="A1995" s="36" t="s">
        <v>32</v>
      </c>
      <c r="B1995" s="37">
        <v>44742</v>
      </c>
      <c r="C1995" s="36" t="s">
        <v>922</v>
      </c>
      <c r="D1995" s="36" t="s">
        <v>923</v>
      </c>
      <c r="E1995" s="36" t="s">
        <v>76</v>
      </c>
      <c r="G1995" s="87">
        <v>5290000</v>
      </c>
      <c r="H1995" s="87">
        <v>529000</v>
      </c>
      <c r="I1995" s="87">
        <v>5819000</v>
      </c>
      <c r="K1995" s="85">
        <v>2022</v>
      </c>
      <c r="L1995" s="85">
        <v>6</v>
      </c>
      <c r="N1995" s="1" t="s">
        <v>44</v>
      </c>
    </row>
    <row r="1996" spans="1:14">
      <c r="A1996" s="36" t="s">
        <v>33</v>
      </c>
      <c r="B1996" s="37">
        <v>44742</v>
      </c>
      <c r="C1996" s="36" t="s">
        <v>912</v>
      </c>
      <c r="D1996" s="36" t="s">
        <v>913</v>
      </c>
      <c r="E1996" s="36" t="s">
        <v>148</v>
      </c>
      <c r="J1996" s="87">
        <v>11820985</v>
      </c>
      <c r="K1996" s="85">
        <v>2022</v>
      </c>
      <c r="L1996" s="85">
        <v>6</v>
      </c>
      <c r="N1996" s="1" t="s">
        <v>44</v>
      </c>
    </row>
    <row r="1997" spans="1:14">
      <c r="A1997" s="36" t="s">
        <v>32</v>
      </c>
      <c r="B1997" s="37">
        <v>44742</v>
      </c>
      <c r="C1997" s="36" t="s">
        <v>651</v>
      </c>
      <c r="D1997" s="36" t="s">
        <v>652</v>
      </c>
      <c r="E1997" s="36" t="s">
        <v>76</v>
      </c>
      <c r="G1997" s="87">
        <v>12000000</v>
      </c>
      <c r="H1997" s="87">
        <v>1200000</v>
      </c>
      <c r="I1997" s="87">
        <v>13200000</v>
      </c>
      <c r="K1997" s="85">
        <v>2022</v>
      </c>
      <c r="L1997" s="85">
        <v>6</v>
      </c>
      <c r="N1997" s="1" t="s">
        <v>44</v>
      </c>
    </row>
    <row r="1998" spans="1:14">
      <c r="A1998" s="36" t="s">
        <v>33</v>
      </c>
      <c r="B1998" s="37">
        <v>44742</v>
      </c>
      <c r="C1998" s="36" t="s">
        <v>789</v>
      </c>
      <c r="D1998" s="36" t="s">
        <v>790</v>
      </c>
      <c r="E1998" s="36" t="s">
        <v>148</v>
      </c>
      <c r="J1998" s="87">
        <v>4762395</v>
      </c>
      <c r="K1998" s="85">
        <v>2022</v>
      </c>
      <c r="L1998" s="85">
        <v>5</v>
      </c>
      <c r="N1998" s="1" t="s">
        <v>44</v>
      </c>
    </row>
    <row r="1999" spans="1:14">
      <c r="A1999" s="36" t="s">
        <v>32</v>
      </c>
      <c r="B1999" s="37">
        <v>44742</v>
      </c>
      <c r="C1999" s="36" t="s">
        <v>688</v>
      </c>
      <c r="D1999" s="36" t="s">
        <v>1731</v>
      </c>
      <c r="E1999" s="36" t="s">
        <v>76</v>
      </c>
      <c r="G1999" s="87">
        <v>5985000</v>
      </c>
      <c r="H1999" s="87">
        <v>598500</v>
      </c>
      <c r="I1999" s="87">
        <v>6583500</v>
      </c>
      <c r="K1999" s="85">
        <v>2022</v>
      </c>
      <c r="L1999" s="85">
        <v>6</v>
      </c>
      <c r="N1999" s="1" t="s">
        <v>44</v>
      </c>
    </row>
    <row r="2000" spans="1:14">
      <c r="A2000" s="36" t="s">
        <v>32</v>
      </c>
      <c r="B2000" s="37">
        <v>44743</v>
      </c>
      <c r="C2000" s="36" t="s">
        <v>353</v>
      </c>
      <c r="D2000" s="36" t="s">
        <v>856</v>
      </c>
      <c r="E2000" s="36" t="s">
        <v>148</v>
      </c>
      <c r="J2000" s="87">
        <v>6087840</v>
      </c>
      <c r="K2000" s="85">
        <v>2022</v>
      </c>
      <c r="L2000" s="85">
        <v>5</v>
      </c>
      <c r="N2000" s="1" t="s">
        <v>44</v>
      </c>
    </row>
    <row r="2001" spans="1:14">
      <c r="A2001" s="36" t="s">
        <v>32</v>
      </c>
      <c r="B2001" s="37">
        <v>44743</v>
      </c>
      <c r="C2001" s="36" t="s">
        <v>353</v>
      </c>
      <c r="D2001" s="36" t="s">
        <v>857</v>
      </c>
      <c r="E2001" s="36" t="s">
        <v>148</v>
      </c>
      <c r="J2001" s="87">
        <v>8252310</v>
      </c>
      <c r="K2001" s="85">
        <v>2022</v>
      </c>
      <c r="L2001" s="85">
        <v>5</v>
      </c>
      <c r="N2001" s="1" t="s">
        <v>44</v>
      </c>
    </row>
    <row r="2002" spans="1:14">
      <c r="A2002" s="36" t="s">
        <v>32</v>
      </c>
      <c r="B2002" s="37">
        <v>44743</v>
      </c>
      <c r="C2002" s="36" t="s">
        <v>209</v>
      </c>
      <c r="D2002" s="36" t="s">
        <v>928</v>
      </c>
      <c r="E2002" s="36" t="s">
        <v>76</v>
      </c>
      <c r="G2002" s="87">
        <v>2023000</v>
      </c>
      <c r="H2002" s="87">
        <v>202300</v>
      </c>
      <c r="I2002" s="87">
        <v>2225300</v>
      </c>
      <c r="K2002" s="85">
        <v>2022</v>
      </c>
      <c r="L2002" s="85">
        <v>7</v>
      </c>
      <c r="N2002" s="1" t="s">
        <v>44</v>
      </c>
    </row>
    <row r="2003" spans="1:14">
      <c r="A2003" s="36" t="s">
        <v>32</v>
      </c>
      <c r="B2003" s="37">
        <v>44743</v>
      </c>
      <c r="C2003" s="36" t="s">
        <v>869</v>
      </c>
      <c r="D2003" s="36" t="s">
        <v>870</v>
      </c>
      <c r="E2003" s="36" t="s">
        <v>148</v>
      </c>
      <c r="J2003" s="87">
        <v>17148560</v>
      </c>
      <c r="K2003" s="85">
        <v>2022</v>
      </c>
      <c r="L2003" s="85">
        <v>5</v>
      </c>
      <c r="N2003" s="1" t="s">
        <v>44</v>
      </c>
    </row>
    <row r="2004" spans="1:14">
      <c r="A2004" s="36" t="s">
        <v>32</v>
      </c>
      <c r="B2004" s="37">
        <v>44743</v>
      </c>
      <c r="C2004" s="36" t="s">
        <v>879</v>
      </c>
      <c r="D2004" s="36" t="s">
        <v>880</v>
      </c>
      <c r="E2004" s="36" t="s">
        <v>148</v>
      </c>
      <c r="J2004" s="87">
        <v>7370000</v>
      </c>
      <c r="K2004" s="85">
        <v>2022</v>
      </c>
      <c r="L2004" s="85">
        <v>5</v>
      </c>
      <c r="N2004" s="1" t="s">
        <v>44</v>
      </c>
    </row>
    <row r="2005" spans="1:14">
      <c r="A2005" s="36" t="s">
        <v>32</v>
      </c>
      <c r="B2005" s="37">
        <v>44747</v>
      </c>
      <c r="C2005" s="36" t="s">
        <v>925</v>
      </c>
      <c r="D2005" s="36" t="s">
        <v>926</v>
      </c>
      <c r="E2005" s="36" t="s">
        <v>77</v>
      </c>
      <c r="J2005" s="38">
        <v>3837922</v>
      </c>
      <c r="K2005" s="85">
        <v>2022</v>
      </c>
      <c r="L2005" s="85">
        <v>6</v>
      </c>
      <c r="N2005" s="1" t="s">
        <v>44</v>
      </c>
    </row>
    <row r="2006" spans="1:14">
      <c r="A2006" s="36" t="s">
        <v>33</v>
      </c>
      <c r="B2006" s="37">
        <v>44747</v>
      </c>
      <c r="C2006" s="36" t="s">
        <v>119</v>
      </c>
      <c r="D2006" s="36" t="s">
        <v>874</v>
      </c>
      <c r="E2006" s="36" t="s">
        <v>148</v>
      </c>
      <c r="J2006" s="87">
        <v>9625287.0999999996</v>
      </c>
      <c r="K2006" s="85">
        <v>2022</v>
      </c>
      <c r="L2006" s="85">
        <v>5</v>
      </c>
      <c r="N2006" s="1" t="s">
        <v>44</v>
      </c>
    </row>
    <row r="2007" spans="1:14">
      <c r="A2007" s="36" t="s">
        <v>32</v>
      </c>
      <c r="B2007" s="37">
        <v>44747</v>
      </c>
      <c r="C2007" s="36" t="s">
        <v>466</v>
      </c>
      <c r="D2007" s="36" t="s">
        <v>467</v>
      </c>
      <c r="E2007" s="36" t="s">
        <v>76</v>
      </c>
      <c r="G2007" s="87">
        <v>1470000</v>
      </c>
      <c r="H2007" s="87">
        <v>147000</v>
      </c>
      <c r="I2007" s="87">
        <v>1617000</v>
      </c>
      <c r="K2007" s="85">
        <v>2022</v>
      </c>
      <c r="L2007" s="85">
        <v>7</v>
      </c>
      <c r="N2007" s="1" t="s">
        <v>44</v>
      </c>
    </row>
    <row r="2008" spans="1:14">
      <c r="A2008" s="36" t="s">
        <v>32</v>
      </c>
      <c r="B2008" s="37">
        <v>44747</v>
      </c>
      <c r="C2008" s="36" t="s">
        <v>466</v>
      </c>
      <c r="D2008" s="36" t="s">
        <v>467</v>
      </c>
      <c r="E2008" s="36" t="s">
        <v>77</v>
      </c>
      <c r="J2008" s="38">
        <v>1605240</v>
      </c>
      <c r="K2008" s="85">
        <v>2022</v>
      </c>
      <c r="L2008" s="85">
        <v>7</v>
      </c>
      <c r="N2008" s="1" t="s">
        <v>44</v>
      </c>
    </row>
    <row r="2009" spans="1:14">
      <c r="A2009" s="36" t="s">
        <v>32</v>
      </c>
      <c r="B2009" s="37">
        <v>44747</v>
      </c>
      <c r="C2009" s="36" t="s">
        <v>466</v>
      </c>
      <c r="D2009" s="36" t="s">
        <v>467</v>
      </c>
      <c r="E2009" s="36" t="s">
        <v>799</v>
      </c>
      <c r="J2009" s="38">
        <v>11760</v>
      </c>
      <c r="K2009" s="85">
        <v>2022</v>
      </c>
      <c r="L2009" s="85">
        <v>7</v>
      </c>
      <c r="N2009" s="1" t="s">
        <v>44</v>
      </c>
    </row>
    <row r="2010" spans="1:14">
      <c r="A2010" s="36" t="s">
        <v>32</v>
      </c>
      <c r="B2010" s="37">
        <v>44748</v>
      </c>
      <c r="C2010" s="36" t="s">
        <v>787</v>
      </c>
      <c r="D2010" s="36" t="s">
        <v>929</v>
      </c>
      <c r="E2010" s="36" t="s">
        <v>77</v>
      </c>
      <c r="J2010" s="38">
        <v>1100000</v>
      </c>
      <c r="K2010" s="85">
        <v>2022</v>
      </c>
      <c r="L2010" s="85">
        <v>6</v>
      </c>
      <c r="N2010" s="1" t="s">
        <v>44</v>
      </c>
    </row>
    <row r="2011" spans="1:14">
      <c r="A2011" s="36" t="s">
        <v>32</v>
      </c>
      <c r="B2011" s="37">
        <v>44750</v>
      </c>
      <c r="C2011" s="36" t="s">
        <v>867</v>
      </c>
      <c r="D2011" s="36" t="s">
        <v>764</v>
      </c>
      <c r="E2011" s="36" t="s">
        <v>148</v>
      </c>
      <c r="J2011" s="87">
        <v>11000000</v>
      </c>
      <c r="K2011" s="85">
        <v>2022</v>
      </c>
      <c r="L2011" s="85">
        <v>5</v>
      </c>
      <c r="N2011" s="1" t="s">
        <v>44</v>
      </c>
    </row>
    <row r="2012" spans="1:14">
      <c r="A2012" s="36" t="s">
        <v>32</v>
      </c>
      <c r="B2012" s="37">
        <v>44750</v>
      </c>
      <c r="C2012" s="36" t="s">
        <v>888</v>
      </c>
      <c r="D2012" s="36" t="s">
        <v>889</v>
      </c>
      <c r="E2012" s="36" t="s">
        <v>148</v>
      </c>
      <c r="J2012" s="87">
        <v>8800000</v>
      </c>
      <c r="K2012" s="85">
        <v>2022</v>
      </c>
      <c r="L2012" s="85">
        <v>5</v>
      </c>
      <c r="N2012" s="1" t="s">
        <v>44</v>
      </c>
    </row>
    <row r="2013" spans="1:14">
      <c r="A2013" s="36" t="s">
        <v>32</v>
      </c>
      <c r="B2013" s="37">
        <v>44750</v>
      </c>
      <c r="C2013" s="36" t="s">
        <v>519</v>
      </c>
      <c r="D2013" s="36" t="s">
        <v>898</v>
      </c>
      <c r="E2013" s="36" t="s">
        <v>148</v>
      </c>
      <c r="J2013" s="87">
        <v>6490000</v>
      </c>
      <c r="K2013" s="85">
        <v>2022</v>
      </c>
      <c r="L2013" s="85">
        <v>5</v>
      </c>
      <c r="N2013" s="1" t="s">
        <v>44</v>
      </c>
    </row>
    <row r="2014" spans="1:14">
      <c r="A2014" s="36" t="s">
        <v>32</v>
      </c>
      <c r="B2014" s="37">
        <v>44751</v>
      </c>
      <c r="C2014" s="36" t="s">
        <v>185</v>
      </c>
      <c r="D2014" s="36" t="s">
        <v>931</v>
      </c>
      <c r="E2014" s="36" t="s">
        <v>77</v>
      </c>
      <c r="J2014" s="38">
        <v>3883000</v>
      </c>
      <c r="K2014" s="85">
        <v>2022</v>
      </c>
      <c r="L2014" s="85">
        <v>6</v>
      </c>
      <c r="M2014" s="36" t="s">
        <v>934</v>
      </c>
      <c r="N2014" s="1" t="s">
        <v>44</v>
      </c>
    </row>
    <row r="2015" spans="1:14">
      <c r="A2015" s="36" t="s">
        <v>32</v>
      </c>
      <c r="B2015" s="37">
        <v>44752</v>
      </c>
      <c r="C2015" s="36" t="s">
        <v>688</v>
      </c>
      <c r="D2015" s="36" t="s">
        <v>1731</v>
      </c>
      <c r="E2015" s="36" t="s">
        <v>77</v>
      </c>
      <c r="J2015" s="38">
        <v>6583500</v>
      </c>
      <c r="K2015" s="85">
        <v>2022</v>
      </c>
      <c r="L2015" s="85">
        <v>6</v>
      </c>
      <c r="N2015" s="1" t="s">
        <v>44</v>
      </c>
    </row>
    <row r="2016" spans="1:14">
      <c r="A2016" s="36" t="s">
        <v>32</v>
      </c>
      <c r="B2016" s="37">
        <v>44753</v>
      </c>
      <c r="C2016" s="36" t="s">
        <v>664</v>
      </c>
      <c r="D2016" s="36" t="s">
        <v>855</v>
      </c>
      <c r="E2016" s="36" t="s">
        <v>148</v>
      </c>
      <c r="J2016" s="87">
        <v>3426720</v>
      </c>
      <c r="K2016" s="85">
        <v>2022</v>
      </c>
      <c r="L2016" s="85">
        <v>5</v>
      </c>
      <c r="N2016" s="1" t="s">
        <v>44</v>
      </c>
    </row>
    <row r="2017" spans="1:14">
      <c r="A2017" s="36" t="s">
        <v>32</v>
      </c>
      <c r="B2017" s="37">
        <v>44753</v>
      </c>
      <c r="C2017" s="36" t="s">
        <v>640</v>
      </c>
      <c r="D2017" s="36" t="s">
        <v>860</v>
      </c>
      <c r="E2017" s="36" t="s">
        <v>77</v>
      </c>
      <c r="J2017" s="38">
        <v>55742500</v>
      </c>
      <c r="K2017" s="85">
        <v>2022</v>
      </c>
      <c r="L2017" s="85">
        <v>6</v>
      </c>
      <c r="N2017" s="1" t="s">
        <v>44</v>
      </c>
    </row>
    <row r="2018" spans="1:14">
      <c r="A2018" s="36" t="s">
        <v>32</v>
      </c>
      <c r="B2018" s="37">
        <v>44753</v>
      </c>
      <c r="C2018" s="36" t="s">
        <v>904</v>
      </c>
      <c r="D2018" s="36" t="s">
        <v>905</v>
      </c>
      <c r="E2018" s="36" t="s">
        <v>148</v>
      </c>
      <c r="J2018" s="87">
        <v>7009733.5</v>
      </c>
      <c r="K2018" s="85">
        <v>2022</v>
      </c>
      <c r="L2018" s="85">
        <v>5</v>
      </c>
      <c r="N2018" s="1" t="s">
        <v>44</v>
      </c>
    </row>
    <row r="2019" spans="1:14">
      <c r="A2019" s="36" t="s">
        <v>32</v>
      </c>
      <c r="B2019" s="37">
        <v>44756</v>
      </c>
      <c r="C2019" s="36" t="s">
        <v>677</v>
      </c>
      <c r="D2019" s="36" t="s">
        <v>924</v>
      </c>
      <c r="E2019" s="36" t="s">
        <v>148</v>
      </c>
      <c r="J2019" s="87">
        <v>10320750</v>
      </c>
      <c r="K2019" s="85">
        <v>2022</v>
      </c>
      <c r="L2019" s="85">
        <v>6</v>
      </c>
      <c r="N2019" s="1" t="s">
        <v>44</v>
      </c>
    </row>
    <row r="2020" spans="1:14">
      <c r="A2020" s="36" t="s">
        <v>32</v>
      </c>
      <c r="B2020" s="37">
        <v>44756</v>
      </c>
      <c r="C2020" s="36" t="s">
        <v>677</v>
      </c>
      <c r="D2020" s="36" t="s">
        <v>825</v>
      </c>
      <c r="E2020" s="36" t="s">
        <v>148</v>
      </c>
      <c r="J2020" s="87">
        <v>44832700</v>
      </c>
      <c r="K2020" s="85">
        <v>2022</v>
      </c>
      <c r="L2020" s="85">
        <v>6</v>
      </c>
      <c r="N2020" s="1" t="s">
        <v>44</v>
      </c>
    </row>
    <row r="2021" spans="1:14">
      <c r="A2021" s="36" t="s">
        <v>33</v>
      </c>
      <c r="B2021" s="37">
        <v>44756</v>
      </c>
      <c r="C2021" s="36" t="s">
        <v>119</v>
      </c>
      <c r="D2021" s="36" t="s">
        <v>931</v>
      </c>
      <c r="E2021" s="36" t="s">
        <v>148</v>
      </c>
      <c r="J2021" s="87">
        <v>3883000</v>
      </c>
      <c r="K2021" s="85">
        <v>2022</v>
      </c>
      <c r="L2021" s="85">
        <v>6</v>
      </c>
      <c r="M2021" s="36" t="s">
        <v>915</v>
      </c>
      <c r="N2021" s="1" t="s">
        <v>44</v>
      </c>
    </row>
    <row r="2022" spans="1:14">
      <c r="A2022" s="36" t="s">
        <v>33</v>
      </c>
      <c r="B2022" s="37">
        <v>44756</v>
      </c>
      <c r="C2022" s="36" t="s">
        <v>916</v>
      </c>
      <c r="D2022" s="36" t="s">
        <v>917</v>
      </c>
      <c r="E2022" s="36" t="s">
        <v>148</v>
      </c>
      <c r="J2022" s="87">
        <v>27500000</v>
      </c>
      <c r="K2022" s="85">
        <v>2022</v>
      </c>
      <c r="L2022" s="85">
        <v>6</v>
      </c>
      <c r="N2022" s="1" t="s">
        <v>44</v>
      </c>
    </row>
    <row r="2023" spans="1:14">
      <c r="A2023" s="36" t="s">
        <v>32</v>
      </c>
      <c r="B2023" s="37">
        <v>44757</v>
      </c>
      <c r="C2023" s="36" t="s">
        <v>677</v>
      </c>
      <c r="D2023" s="36" t="s">
        <v>678</v>
      </c>
      <c r="E2023" s="36" t="s">
        <v>148</v>
      </c>
      <c r="J2023" s="87">
        <v>29011598</v>
      </c>
      <c r="K2023" s="85">
        <v>2022</v>
      </c>
      <c r="L2023" s="85">
        <v>6</v>
      </c>
      <c r="N2023" s="1" t="s">
        <v>44</v>
      </c>
    </row>
    <row r="2024" spans="1:14">
      <c r="A2024" s="36" t="s">
        <v>32</v>
      </c>
      <c r="B2024" s="37">
        <v>44757</v>
      </c>
      <c r="C2024" s="36" t="s">
        <v>651</v>
      </c>
      <c r="D2024" s="36" t="s">
        <v>903</v>
      </c>
      <c r="E2024" s="36" t="s">
        <v>148</v>
      </c>
      <c r="J2024" s="38">
        <v>10000000</v>
      </c>
      <c r="K2024" s="85">
        <v>2022</v>
      </c>
      <c r="L2024" s="85">
        <v>5</v>
      </c>
      <c r="N2024" s="1" t="s">
        <v>44</v>
      </c>
    </row>
    <row r="2025" spans="1:14">
      <c r="A2025" s="36" t="s">
        <v>32</v>
      </c>
      <c r="B2025" s="37">
        <v>44760</v>
      </c>
      <c r="C2025" s="36" t="s">
        <v>209</v>
      </c>
      <c r="D2025" s="36" t="s">
        <v>858</v>
      </c>
      <c r="E2025" s="36" t="s">
        <v>148</v>
      </c>
      <c r="J2025" s="87">
        <v>8162000</v>
      </c>
      <c r="K2025" s="85">
        <v>2022</v>
      </c>
      <c r="L2025" s="85">
        <v>6</v>
      </c>
      <c r="N2025" s="1" t="s">
        <v>44</v>
      </c>
    </row>
    <row r="2026" spans="1:14">
      <c r="A2026" s="36" t="s">
        <v>32</v>
      </c>
      <c r="B2026" s="37">
        <v>44760</v>
      </c>
      <c r="C2026" s="36" t="s">
        <v>940</v>
      </c>
      <c r="D2026" s="36" t="s">
        <v>941</v>
      </c>
      <c r="E2026" s="36" t="s">
        <v>76</v>
      </c>
      <c r="G2026" s="87">
        <v>1250000</v>
      </c>
      <c r="H2026" s="87">
        <v>125000</v>
      </c>
      <c r="I2026" s="87">
        <v>1375000</v>
      </c>
      <c r="K2026" s="85">
        <v>2022</v>
      </c>
      <c r="L2026" s="85">
        <v>7</v>
      </c>
      <c r="N2026" s="1" t="s">
        <v>44</v>
      </c>
    </row>
    <row r="2027" spans="1:14">
      <c r="A2027" s="36" t="s">
        <v>32</v>
      </c>
      <c r="B2027" s="37">
        <v>44761</v>
      </c>
      <c r="C2027" s="36" t="s">
        <v>881</v>
      </c>
      <c r="D2027" s="36" t="s">
        <v>877</v>
      </c>
      <c r="E2027" s="36" t="s">
        <v>148</v>
      </c>
      <c r="J2027" s="87">
        <v>67617000</v>
      </c>
      <c r="K2027" s="85">
        <v>2022</v>
      </c>
      <c r="L2027" s="85">
        <v>6</v>
      </c>
      <c r="N2027" s="1" t="s">
        <v>44</v>
      </c>
    </row>
    <row r="2028" spans="1:14">
      <c r="A2028" s="36" t="s">
        <v>33</v>
      </c>
      <c r="B2028" s="37">
        <v>44762</v>
      </c>
      <c r="C2028" s="36" t="s">
        <v>119</v>
      </c>
      <c r="D2028" s="36" t="s">
        <v>877</v>
      </c>
      <c r="E2028" s="36" t="s">
        <v>148</v>
      </c>
      <c r="J2028" s="87">
        <v>25410000</v>
      </c>
      <c r="K2028" s="85">
        <v>2022</v>
      </c>
      <c r="L2028" s="85">
        <v>6</v>
      </c>
      <c r="N2028" s="1" t="s">
        <v>44</v>
      </c>
    </row>
    <row r="2029" spans="1:14">
      <c r="A2029" s="36" t="s">
        <v>32</v>
      </c>
      <c r="B2029" s="37">
        <v>44762</v>
      </c>
      <c r="C2029" s="36" t="s">
        <v>185</v>
      </c>
      <c r="D2029" s="36" t="s">
        <v>683</v>
      </c>
      <c r="E2029" s="36" t="s">
        <v>77</v>
      </c>
      <c r="J2029" s="87">
        <v>5929660</v>
      </c>
      <c r="K2029" s="85">
        <v>2022</v>
      </c>
      <c r="L2029" s="85">
        <v>6</v>
      </c>
      <c r="N2029" s="1" t="s">
        <v>44</v>
      </c>
    </row>
    <row r="2030" spans="1:14">
      <c r="A2030" s="36" t="s">
        <v>32</v>
      </c>
      <c r="B2030" s="37">
        <v>44762</v>
      </c>
      <c r="C2030" s="36" t="s">
        <v>185</v>
      </c>
      <c r="D2030" s="36" t="s">
        <v>778</v>
      </c>
      <c r="E2030" s="36" t="s">
        <v>148</v>
      </c>
      <c r="J2030" s="87">
        <v>4366200.3</v>
      </c>
      <c r="K2030" s="85">
        <v>2022</v>
      </c>
      <c r="L2030" s="85">
        <v>6</v>
      </c>
      <c r="N2030" s="1" t="s">
        <v>44</v>
      </c>
    </row>
    <row r="2031" spans="1:14">
      <c r="A2031" s="36" t="s">
        <v>32</v>
      </c>
      <c r="B2031" s="37">
        <v>44767</v>
      </c>
      <c r="C2031" s="36" t="s">
        <v>605</v>
      </c>
      <c r="D2031" s="36" t="s">
        <v>606</v>
      </c>
      <c r="E2031" s="36" t="s">
        <v>148</v>
      </c>
      <c r="J2031" s="87">
        <v>2310000</v>
      </c>
      <c r="K2031" s="85">
        <v>2022</v>
      </c>
      <c r="L2031" s="85">
        <v>5</v>
      </c>
      <c r="N2031" s="1" t="s">
        <v>44</v>
      </c>
    </row>
    <row r="2032" spans="1:14">
      <c r="A2032" s="36" t="s">
        <v>32</v>
      </c>
      <c r="B2032" s="37">
        <v>44767</v>
      </c>
      <c r="C2032" s="36" t="s">
        <v>807</v>
      </c>
      <c r="D2032" s="36" t="s">
        <v>808</v>
      </c>
      <c r="E2032" s="36" t="s">
        <v>148</v>
      </c>
      <c r="J2032" s="87">
        <v>3575000</v>
      </c>
      <c r="K2032" s="85">
        <v>2022</v>
      </c>
      <c r="L2032" s="85">
        <v>5</v>
      </c>
      <c r="N2032" s="1" t="s">
        <v>44</v>
      </c>
    </row>
    <row r="2033" spans="1:14">
      <c r="A2033" s="36" t="s">
        <v>32</v>
      </c>
      <c r="B2033" s="37">
        <v>44767</v>
      </c>
      <c r="C2033" s="36" t="s">
        <v>807</v>
      </c>
      <c r="D2033" s="36" t="s">
        <v>808</v>
      </c>
      <c r="E2033" s="36" t="s">
        <v>148</v>
      </c>
      <c r="J2033" s="87">
        <v>3025000</v>
      </c>
      <c r="K2033" s="85">
        <v>2022</v>
      </c>
      <c r="L2033" s="85">
        <v>6</v>
      </c>
      <c r="N2033" s="1" t="s">
        <v>44</v>
      </c>
    </row>
    <row r="2034" spans="1:14">
      <c r="A2034" s="36" t="s">
        <v>33</v>
      </c>
      <c r="B2034" s="37">
        <v>44767</v>
      </c>
      <c r="C2034" s="36" t="s">
        <v>912</v>
      </c>
      <c r="D2034" s="36" t="s">
        <v>663</v>
      </c>
      <c r="E2034" s="36" t="s">
        <v>447</v>
      </c>
      <c r="G2034" s="87">
        <v>12717850</v>
      </c>
      <c r="H2034" s="87">
        <v>1271785</v>
      </c>
      <c r="I2034" s="87">
        <v>13989635</v>
      </c>
      <c r="K2034" s="85">
        <v>2022</v>
      </c>
      <c r="L2034" s="85">
        <v>7</v>
      </c>
      <c r="N2034" s="1" t="s">
        <v>44</v>
      </c>
    </row>
    <row r="2035" spans="1:14">
      <c r="A2035" s="36" t="s">
        <v>32</v>
      </c>
      <c r="B2035" s="37">
        <v>44768</v>
      </c>
      <c r="C2035" s="36" t="s">
        <v>918</v>
      </c>
      <c r="D2035" s="36" t="s">
        <v>919</v>
      </c>
      <c r="E2035" s="36" t="s">
        <v>148</v>
      </c>
      <c r="J2035" s="87">
        <v>2970000</v>
      </c>
      <c r="K2035" s="85">
        <v>2022</v>
      </c>
      <c r="L2035" s="85">
        <v>6</v>
      </c>
      <c r="N2035" s="1" t="s">
        <v>44</v>
      </c>
    </row>
    <row r="2036" spans="1:14">
      <c r="A2036" s="36" t="s">
        <v>32</v>
      </c>
      <c r="B2036" s="37">
        <v>44768</v>
      </c>
      <c r="C2036" s="36" t="s">
        <v>773</v>
      </c>
      <c r="D2036" s="36" t="s">
        <v>774</v>
      </c>
      <c r="E2036" s="36" t="s">
        <v>148</v>
      </c>
      <c r="J2036" s="87">
        <v>14861000</v>
      </c>
      <c r="K2036" s="85">
        <v>2022</v>
      </c>
      <c r="L2036" s="85">
        <v>6</v>
      </c>
      <c r="N2036" s="1" t="s">
        <v>44</v>
      </c>
    </row>
    <row r="2037" spans="1:14">
      <c r="A2037" s="36" t="s">
        <v>32</v>
      </c>
      <c r="B2037" s="37">
        <v>44770</v>
      </c>
      <c r="C2037" s="36" t="s">
        <v>918</v>
      </c>
      <c r="D2037" s="36" t="s">
        <v>919</v>
      </c>
      <c r="E2037" s="36" t="s">
        <v>76</v>
      </c>
      <c r="G2037" s="87">
        <v>2400000</v>
      </c>
      <c r="H2037" s="87">
        <v>240000</v>
      </c>
      <c r="I2037" s="87">
        <v>2640000</v>
      </c>
      <c r="K2037" s="85">
        <v>2022</v>
      </c>
      <c r="L2037" s="85">
        <v>7</v>
      </c>
      <c r="N2037" s="1" t="s">
        <v>44</v>
      </c>
    </row>
    <row r="2038" spans="1:14">
      <c r="A2038" s="36" t="s">
        <v>32</v>
      </c>
      <c r="B2038" s="37">
        <v>44770</v>
      </c>
      <c r="C2038" s="36" t="s">
        <v>918</v>
      </c>
      <c r="D2038" s="36" t="s">
        <v>919</v>
      </c>
      <c r="E2038" s="36" t="s">
        <v>148</v>
      </c>
      <c r="J2038" s="87">
        <v>2640000</v>
      </c>
      <c r="K2038" s="85">
        <v>2022</v>
      </c>
      <c r="L2038" s="85">
        <v>7</v>
      </c>
      <c r="N2038" s="1" t="s">
        <v>44</v>
      </c>
    </row>
    <row r="2039" spans="1:14">
      <c r="A2039" s="36" t="s">
        <v>32</v>
      </c>
      <c r="B2039" s="37">
        <v>44770</v>
      </c>
      <c r="C2039" s="36" t="s">
        <v>174</v>
      </c>
      <c r="D2039" s="36" t="s">
        <v>857</v>
      </c>
      <c r="E2039" s="36" t="s">
        <v>148</v>
      </c>
      <c r="J2039" s="87">
        <v>5212900</v>
      </c>
      <c r="K2039" s="85">
        <v>2022</v>
      </c>
      <c r="L2039" s="85">
        <v>6</v>
      </c>
      <c r="N2039" s="1" t="s">
        <v>44</v>
      </c>
    </row>
    <row r="2040" spans="1:14">
      <c r="A2040" s="36" t="s">
        <v>32</v>
      </c>
      <c r="B2040" s="37">
        <v>44770</v>
      </c>
      <c r="C2040" s="36" t="s">
        <v>174</v>
      </c>
      <c r="D2040" s="36" t="s">
        <v>856</v>
      </c>
      <c r="E2040" s="36" t="s">
        <v>148</v>
      </c>
      <c r="J2040" s="87">
        <v>5353920</v>
      </c>
      <c r="K2040" s="85">
        <v>2022</v>
      </c>
      <c r="L2040" s="85">
        <v>6</v>
      </c>
      <c r="N2040" s="1" t="s">
        <v>44</v>
      </c>
    </row>
    <row r="2041" spans="1:14">
      <c r="A2041" s="36" t="s">
        <v>32</v>
      </c>
      <c r="B2041" s="37">
        <v>44770</v>
      </c>
      <c r="C2041" s="36" t="s">
        <v>209</v>
      </c>
      <c r="D2041" s="36" t="s">
        <v>928</v>
      </c>
      <c r="E2041" s="36" t="s">
        <v>148</v>
      </c>
      <c r="J2041" s="87">
        <v>15355890</v>
      </c>
      <c r="K2041" s="85">
        <v>2022</v>
      </c>
      <c r="L2041" s="85">
        <v>6</v>
      </c>
      <c r="N2041" s="1" t="s">
        <v>44</v>
      </c>
    </row>
    <row r="2042" spans="1:14">
      <c r="A2042" s="36" t="s">
        <v>32</v>
      </c>
      <c r="B2042" s="37">
        <v>44770</v>
      </c>
      <c r="C2042" s="36" t="s">
        <v>175</v>
      </c>
      <c r="D2042" s="36" t="s">
        <v>786</v>
      </c>
      <c r="E2042" s="36" t="s">
        <v>76</v>
      </c>
      <c r="G2042" s="87">
        <v>4221000</v>
      </c>
      <c r="H2042" s="87">
        <v>422100</v>
      </c>
      <c r="I2042" s="87">
        <v>4643100</v>
      </c>
      <c r="K2042" s="85">
        <v>2022</v>
      </c>
      <c r="L2042" s="85">
        <v>7</v>
      </c>
      <c r="N2042" s="1" t="s">
        <v>44</v>
      </c>
    </row>
    <row r="2043" spans="1:14">
      <c r="A2043" s="36" t="s">
        <v>32</v>
      </c>
      <c r="B2043" s="37">
        <v>44770</v>
      </c>
      <c r="C2043" s="36" t="s">
        <v>654</v>
      </c>
      <c r="D2043" s="36" t="s">
        <v>835</v>
      </c>
      <c r="E2043" s="36" t="s">
        <v>76</v>
      </c>
      <c r="G2043" s="87">
        <v>69279200</v>
      </c>
      <c r="H2043" s="87">
        <v>6927920</v>
      </c>
      <c r="I2043" s="87">
        <v>76207120</v>
      </c>
      <c r="K2043" s="85">
        <v>2022</v>
      </c>
      <c r="L2043" s="85">
        <v>7</v>
      </c>
      <c r="N2043" s="1" t="s">
        <v>44</v>
      </c>
    </row>
    <row r="2044" spans="1:14">
      <c r="A2044" s="36" t="s">
        <v>32</v>
      </c>
      <c r="B2044" s="37">
        <v>44770</v>
      </c>
      <c r="C2044" s="36" t="s">
        <v>942</v>
      </c>
      <c r="D2044" s="36" t="s">
        <v>943</v>
      </c>
      <c r="E2044" s="36" t="s">
        <v>76</v>
      </c>
      <c r="G2044" s="87">
        <v>1500000</v>
      </c>
      <c r="H2044" s="87">
        <v>150000</v>
      </c>
      <c r="I2044" s="87">
        <v>1650000</v>
      </c>
      <c r="K2044" s="85">
        <v>2022</v>
      </c>
      <c r="L2044" s="85">
        <v>7</v>
      </c>
      <c r="N2044" s="1" t="s">
        <v>44</v>
      </c>
    </row>
    <row r="2045" spans="1:14">
      <c r="A2045" s="36" t="s">
        <v>32</v>
      </c>
      <c r="B2045" s="37">
        <v>44771</v>
      </c>
      <c r="C2045" s="36" t="s">
        <v>760</v>
      </c>
      <c r="D2045" s="36" t="s">
        <v>930</v>
      </c>
      <c r="E2045" s="36" t="s">
        <v>148</v>
      </c>
      <c r="J2045" s="87">
        <v>15442295</v>
      </c>
      <c r="K2045" s="85">
        <v>2022</v>
      </c>
      <c r="L2045" s="85">
        <v>6</v>
      </c>
      <c r="N2045" s="1" t="s">
        <v>44</v>
      </c>
    </row>
    <row r="2046" spans="1:14">
      <c r="A2046" s="36" t="s">
        <v>33</v>
      </c>
      <c r="B2046" s="37">
        <v>44771</v>
      </c>
      <c r="C2046" s="36" t="s">
        <v>813</v>
      </c>
      <c r="D2046" s="36" t="s">
        <v>814</v>
      </c>
      <c r="E2046" s="36" t="s">
        <v>935</v>
      </c>
      <c r="G2046" s="87">
        <v>741500</v>
      </c>
      <c r="H2046" s="87">
        <v>74150</v>
      </c>
      <c r="I2046" s="87">
        <v>815650</v>
      </c>
      <c r="K2046" s="85">
        <v>2022</v>
      </c>
      <c r="L2046" s="85">
        <v>7</v>
      </c>
      <c r="N2046" s="1" t="s">
        <v>44</v>
      </c>
    </row>
    <row r="2047" spans="1:14">
      <c r="A2047" s="36" t="s">
        <v>32</v>
      </c>
      <c r="B2047" s="37">
        <v>44771</v>
      </c>
      <c r="C2047" s="36" t="s">
        <v>334</v>
      </c>
      <c r="D2047" s="36" t="s">
        <v>586</v>
      </c>
      <c r="E2047" s="36" t="s">
        <v>148</v>
      </c>
      <c r="J2047" s="87">
        <v>8849280</v>
      </c>
      <c r="K2047" s="85">
        <v>2022</v>
      </c>
      <c r="L2047" s="85">
        <v>6</v>
      </c>
      <c r="N2047" s="1" t="s">
        <v>44</v>
      </c>
    </row>
    <row r="2048" spans="1:14">
      <c r="A2048" s="36" t="s">
        <v>32</v>
      </c>
      <c r="B2048" s="37">
        <v>44771</v>
      </c>
      <c r="C2048" s="36" t="s">
        <v>505</v>
      </c>
      <c r="D2048" s="36" t="s">
        <v>506</v>
      </c>
      <c r="E2048" s="36" t="s">
        <v>148</v>
      </c>
      <c r="J2048" s="87">
        <v>4855884</v>
      </c>
      <c r="K2048" s="85">
        <v>2022</v>
      </c>
      <c r="L2048" s="85">
        <v>6</v>
      </c>
      <c r="N2048" s="1" t="s">
        <v>44</v>
      </c>
    </row>
    <row r="2049" spans="1:14">
      <c r="A2049" s="36" t="s">
        <v>32</v>
      </c>
      <c r="B2049" s="37">
        <v>44771</v>
      </c>
      <c r="C2049" s="36" t="s">
        <v>406</v>
      </c>
      <c r="D2049" s="36" t="s">
        <v>897</v>
      </c>
      <c r="E2049" s="36" t="s">
        <v>148</v>
      </c>
      <c r="J2049" s="87">
        <v>4125000</v>
      </c>
      <c r="K2049" s="85">
        <v>2022</v>
      </c>
      <c r="L2049" s="85">
        <v>5</v>
      </c>
      <c r="N2049" s="1" t="s">
        <v>44</v>
      </c>
    </row>
    <row r="2050" spans="1:14">
      <c r="A2050" s="36" t="s">
        <v>32</v>
      </c>
      <c r="B2050" s="37">
        <v>44771</v>
      </c>
      <c r="C2050" s="36" t="s">
        <v>654</v>
      </c>
      <c r="D2050" s="36" t="s">
        <v>835</v>
      </c>
      <c r="E2050" s="36" t="s">
        <v>148</v>
      </c>
      <c r="J2050" s="87">
        <v>83155490</v>
      </c>
      <c r="K2050" s="85">
        <v>2022</v>
      </c>
      <c r="L2050" s="85">
        <v>6</v>
      </c>
      <c r="N2050" s="1" t="s">
        <v>44</v>
      </c>
    </row>
    <row r="2051" spans="1:14">
      <c r="A2051" s="36" t="s">
        <v>33</v>
      </c>
      <c r="B2051" s="37">
        <v>44772</v>
      </c>
      <c r="C2051" s="36" t="s">
        <v>580</v>
      </c>
      <c r="D2051" s="36" t="s">
        <v>581</v>
      </c>
      <c r="E2051" s="36" t="s">
        <v>582</v>
      </c>
      <c r="G2051" s="87">
        <v>360000</v>
      </c>
      <c r="H2051" s="87">
        <v>36000</v>
      </c>
      <c r="I2051" s="87">
        <v>396000</v>
      </c>
      <c r="K2051" s="85">
        <v>2022</v>
      </c>
      <c r="L2051" s="85">
        <v>7</v>
      </c>
      <c r="N2051" s="1" t="s">
        <v>44</v>
      </c>
    </row>
    <row r="2052" spans="1:14">
      <c r="A2052" s="36" t="s">
        <v>33</v>
      </c>
      <c r="B2052" s="37">
        <v>44772</v>
      </c>
      <c r="C2052" s="36" t="s">
        <v>936</v>
      </c>
      <c r="D2052" s="36" t="s">
        <v>937</v>
      </c>
      <c r="E2052" s="36" t="s">
        <v>125</v>
      </c>
      <c r="G2052" s="87">
        <v>1533636</v>
      </c>
      <c r="H2052" s="87">
        <v>153363.6</v>
      </c>
      <c r="I2052" s="87">
        <v>1686999.6</v>
      </c>
      <c r="K2052" s="85">
        <v>2022</v>
      </c>
      <c r="L2052" s="85">
        <v>7</v>
      </c>
      <c r="N2052" s="1" t="s">
        <v>44</v>
      </c>
    </row>
    <row r="2053" spans="1:14">
      <c r="A2053" s="36" t="s">
        <v>33</v>
      </c>
      <c r="B2053" s="37">
        <v>44772</v>
      </c>
      <c r="C2053" s="36" t="s">
        <v>115</v>
      </c>
      <c r="D2053" s="36" t="s">
        <v>938</v>
      </c>
      <c r="E2053" s="36" t="s">
        <v>125</v>
      </c>
      <c r="G2053" s="87">
        <v>3500000</v>
      </c>
      <c r="H2053" s="87">
        <v>350000</v>
      </c>
      <c r="I2053" s="87">
        <v>3850000</v>
      </c>
      <c r="K2053" s="85">
        <v>2022</v>
      </c>
      <c r="L2053" s="85">
        <v>7</v>
      </c>
      <c r="N2053" s="1" t="s">
        <v>44</v>
      </c>
    </row>
    <row r="2054" spans="1:14">
      <c r="A2054" s="36" t="s">
        <v>32</v>
      </c>
      <c r="B2054" s="37">
        <v>44773</v>
      </c>
      <c r="C2054" s="36" t="s">
        <v>760</v>
      </c>
      <c r="D2054" s="36" t="s">
        <v>854</v>
      </c>
      <c r="E2054" s="36" t="s">
        <v>76</v>
      </c>
      <c r="G2054" s="87">
        <v>18120000</v>
      </c>
      <c r="H2054" s="87">
        <v>1812000</v>
      </c>
      <c r="I2054" s="87">
        <v>19932000</v>
      </c>
      <c r="K2054" s="85">
        <v>2022</v>
      </c>
      <c r="L2054" s="85">
        <v>7</v>
      </c>
      <c r="N2054" s="1" t="s">
        <v>44</v>
      </c>
    </row>
    <row r="2055" spans="1:14">
      <c r="A2055" s="36" t="s">
        <v>32</v>
      </c>
      <c r="B2055" s="37">
        <v>44773</v>
      </c>
      <c r="C2055" s="36" t="s">
        <v>760</v>
      </c>
      <c r="D2055" s="36" t="s">
        <v>946</v>
      </c>
      <c r="E2055" s="36" t="s">
        <v>76</v>
      </c>
      <c r="G2055" s="87">
        <v>11782850</v>
      </c>
      <c r="H2055" s="87">
        <v>1178285</v>
      </c>
      <c r="I2055" s="87">
        <v>12961135</v>
      </c>
      <c r="K2055" s="85">
        <v>2022</v>
      </c>
      <c r="L2055" s="85">
        <v>7</v>
      </c>
      <c r="N2055" s="1" t="s">
        <v>44</v>
      </c>
    </row>
    <row r="2056" spans="1:14">
      <c r="A2056" s="36" t="s">
        <v>32</v>
      </c>
      <c r="B2056" s="37">
        <v>44773</v>
      </c>
      <c r="C2056" s="36" t="s">
        <v>760</v>
      </c>
      <c r="D2056" s="36" t="s">
        <v>947</v>
      </c>
      <c r="E2056" s="36" t="s">
        <v>76</v>
      </c>
      <c r="G2056" s="87">
        <v>4400000</v>
      </c>
      <c r="H2056" s="87">
        <v>440000</v>
      </c>
      <c r="I2056" s="87">
        <v>4840000</v>
      </c>
      <c r="K2056" s="85">
        <v>2022</v>
      </c>
      <c r="L2056" s="85">
        <v>7</v>
      </c>
      <c r="N2056" s="1" t="s">
        <v>44</v>
      </c>
    </row>
    <row r="2057" spans="1:14">
      <c r="A2057" s="36" t="s">
        <v>32</v>
      </c>
      <c r="B2057" s="37">
        <v>44773</v>
      </c>
      <c r="C2057" s="36" t="s">
        <v>664</v>
      </c>
      <c r="D2057" s="36" t="s">
        <v>629</v>
      </c>
      <c r="E2057" s="36" t="s">
        <v>76</v>
      </c>
      <c r="G2057" s="87">
        <v>1543200</v>
      </c>
      <c r="H2057" s="87">
        <v>154320</v>
      </c>
      <c r="I2057" s="87">
        <v>1697520</v>
      </c>
      <c r="K2057" s="85">
        <v>2022</v>
      </c>
      <c r="L2057" s="85">
        <v>7</v>
      </c>
      <c r="N2057" s="1" t="s">
        <v>44</v>
      </c>
    </row>
    <row r="2058" spans="1:14">
      <c r="A2058" s="36" t="s">
        <v>32</v>
      </c>
      <c r="B2058" s="37">
        <v>44773</v>
      </c>
      <c r="C2058" s="36" t="s">
        <v>174</v>
      </c>
      <c r="D2058" s="36" t="s">
        <v>811</v>
      </c>
      <c r="E2058" s="36" t="s">
        <v>76</v>
      </c>
      <c r="G2058" s="87">
        <v>8278100</v>
      </c>
      <c r="H2058" s="87">
        <v>827810</v>
      </c>
      <c r="I2058" s="87">
        <v>9105910</v>
      </c>
      <c r="K2058" s="85">
        <v>2022</v>
      </c>
      <c r="L2058" s="85">
        <v>7</v>
      </c>
      <c r="N2058" s="1" t="s">
        <v>44</v>
      </c>
    </row>
    <row r="2059" spans="1:14">
      <c r="A2059" s="36" t="s">
        <v>32</v>
      </c>
      <c r="B2059" s="37">
        <v>44773</v>
      </c>
      <c r="C2059" s="36" t="s">
        <v>948</v>
      </c>
      <c r="D2059" s="36" t="s">
        <v>949</v>
      </c>
      <c r="E2059" s="36" t="s">
        <v>76</v>
      </c>
      <c r="G2059" s="87">
        <v>2240000</v>
      </c>
      <c r="H2059" s="87">
        <v>224000</v>
      </c>
      <c r="I2059" s="87">
        <v>2464000</v>
      </c>
      <c r="K2059" s="85">
        <v>2022</v>
      </c>
      <c r="L2059" s="85">
        <v>7</v>
      </c>
      <c r="N2059" s="1" t="s">
        <v>44</v>
      </c>
    </row>
    <row r="2060" spans="1:14">
      <c r="A2060" s="36" t="s">
        <v>32</v>
      </c>
      <c r="B2060" s="37">
        <v>44773</v>
      </c>
      <c r="C2060" s="36" t="s">
        <v>209</v>
      </c>
      <c r="D2060" s="36" t="s">
        <v>928</v>
      </c>
      <c r="E2060" s="36" t="s">
        <v>76</v>
      </c>
      <c r="G2060" s="87">
        <v>17392600</v>
      </c>
      <c r="H2060" s="87">
        <v>1739260</v>
      </c>
      <c r="I2060" s="87">
        <v>19131860</v>
      </c>
      <c r="K2060" s="85">
        <v>2022</v>
      </c>
      <c r="L2060" s="85">
        <v>7</v>
      </c>
      <c r="N2060" s="1" t="s">
        <v>44</v>
      </c>
    </row>
    <row r="2061" spans="1:14">
      <c r="A2061" s="36" t="s">
        <v>32</v>
      </c>
      <c r="B2061" s="37">
        <v>44773</v>
      </c>
      <c r="C2061" s="36" t="s">
        <v>209</v>
      </c>
      <c r="D2061" s="36" t="s">
        <v>812</v>
      </c>
      <c r="E2061" s="36" t="s">
        <v>76</v>
      </c>
      <c r="G2061" s="87">
        <v>7140000</v>
      </c>
      <c r="H2061" s="87">
        <v>714000</v>
      </c>
      <c r="I2061" s="87">
        <v>7854000</v>
      </c>
      <c r="K2061" s="85">
        <v>2022</v>
      </c>
      <c r="L2061" s="85">
        <v>7</v>
      </c>
      <c r="N2061" s="1" t="s">
        <v>44</v>
      </c>
    </row>
    <row r="2062" spans="1:14">
      <c r="A2062" s="36" t="s">
        <v>32</v>
      </c>
      <c r="B2062" s="37">
        <v>44773</v>
      </c>
      <c r="C2062" s="36" t="s">
        <v>209</v>
      </c>
      <c r="D2062" s="36" t="s">
        <v>928</v>
      </c>
      <c r="E2062" s="36" t="s">
        <v>148</v>
      </c>
      <c r="J2062" s="87">
        <v>2225300</v>
      </c>
      <c r="K2062" s="85">
        <v>2022</v>
      </c>
      <c r="L2062" s="85">
        <v>7</v>
      </c>
      <c r="N2062" s="1" t="s">
        <v>44</v>
      </c>
    </row>
    <row r="2063" spans="1:14">
      <c r="A2063" s="36" t="s">
        <v>32</v>
      </c>
      <c r="B2063" s="37">
        <v>44773</v>
      </c>
      <c r="C2063" s="36" t="s">
        <v>209</v>
      </c>
      <c r="D2063" s="36" t="s">
        <v>928</v>
      </c>
      <c r="E2063" s="36" t="s">
        <v>148</v>
      </c>
      <c r="J2063" s="87">
        <v>19131860</v>
      </c>
      <c r="K2063" s="85">
        <v>2022</v>
      </c>
      <c r="L2063" s="85">
        <v>7</v>
      </c>
      <c r="N2063" s="1" t="s">
        <v>44</v>
      </c>
    </row>
    <row r="2064" spans="1:14">
      <c r="A2064" s="36" t="s">
        <v>32</v>
      </c>
      <c r="B2064" s="37">
        <v>44773</v>
      </c>
      <c r="C2064" s="36" t="s">
        <v>640</v>
      </c>
      <c r="D2064" s="36" t="s">
        <v>763</v>
      </c>
      <c r="E2064" s="36" t="s">
        <v>76</v>
      </c>
      <c r="G2064" s="87">
        <v>48625000</v>
      </c>
      <c r="H2064" s="87">
        <v>4862500</v>
      </c>
      <c r="I2064" s="87">
        <v>53487500</v>
      </c>
      <c r="K2064" s="85">
        <v>2022</v>
      </c>
      <c r="L2064" s="85">
        <v>7</v>
      </c>
      <c r="N2064" s="1" t="s">
        <v>44</v>
      </c>
    </row>
    <row r="2065" spans="1:14">
      <c r="A2065" s="36" t="s">
        <v>32</v>
      </c>
      <c r="B2065" s="37">
        <v>44773</v>
      </c>
      <c r="C2065" s="36" t="s">
        <v>204</v>
      </c>
      <c r="D2065" s="36" t="s">
        <v>674</v>
      </c>
      <c r="E2065" s="36" t="s">
        <v>76</v>
      </c>
      <c r="G2065" s="87">
        <v>4223000</v>
      </c>
      <c r="H2065" s="87">
        <v>422300</v>
      </c>
      <c r="I2065" s="87">
        <v>4645300</v>
      </c>
      <c r="K2065" s="85">
        <v>2022</v>
      </c>
      <c r="L2065" s="85">
        <v>7</v>
      </c>
      <c r="N2065" s="1" t="s">
        <v>44</v>
      </c>
    </row>
    <row r="2066" spans="1:14">
      <c r="A2066" s="36" t="s">
        <v>32</v>
      </c>
      <c r="B2066" s="37">
        <v>44773</v>
      </c>
      <c r="C2066" s="36" t="s">
        <v>204</v>
      </c>
      <c r="D2066" s="36" t="s">
        <v>817</v>
      </c>
      <c r="E2066" s="36" t="s">
        <v>76</v>
      </c>
      <c r="G2066" s="87">
        <v>10614600</v>
      </c>
      <c r="H2066" s="87">
        <v>1061460</v>
      </c>
      <c r="I2066" s="87">
        <v>11676060</v>
      </c>
      <c r="K2066" s="85">
        <v>2022</v>
      </c>
      <c r="L2066" s="85">
        <v>7</v>
      </c>
      <c r="N2066" s="1" t="s">
        <v>44</v>
      </c>
    </row>
    <row r="2067" spans="1:14">
      <c r="A2067" s="36" t="s">
        <v>33</v>
      </c>
      <c r="B2067" s="37">
        <v>44773</v>
      </c>
      <c r="C2067" s="36" t="s">
        <v>544</v>
      </c>
      <c r="D2067" s="36" t="s">
        <v>766</v>
      </c>
      <c r="E2067" s="36" t="s">
        <v>125</v>
      </c>
      <c r="G2067" s="87">
        <v>22000</v>
      </c>
      <c r="H2067" s="87">
        <v>2200</v>
      </c>
      <c r="I2067" s="87">
        <v>24200</v>
      </c>
      <c r="K2067" s="85">
        <v>2022</v>
      </c>
      <c r="L2067" s="85">
        <v>7</v>
      </c>
      <c r="N2067" s="1" t="s">
        <v>84</v>
      </c>
    </row>
    <row r="2068" spans="1:14">
      <c r="A2068" s="36" t="s">
        <v>33</v>
      </c>
      <c r="B2068" s="37">
        <v>44773</v>
      </c>
      <c r="C2068" s="36" t="s">
        <v>925</v>
      </c>
      <c r="D2068" s="36" t="s">
        <v>926</v>
      </c>
      <c r="E2068" s="36" t="s">
        <v>939</v>
      </c>
      <c r="G2068" s="87">
        <v>4180000</v>
      </c>
      <c r="H2068" s="87">
        <v>418000</v>
      </c>
      <c r="I2068" s="87">
        <v>4598000</v>
      </c>
      <c r="K2068" s="85">
        <v>2022</v>
      </c>
      <c r="L2068" s="85">
        <v>7</v>
      </c>
      <c r="N2068" s="1" t="s">
        <v>44</v>
      </c>
    </row>
    <row r="2069" spans="1:14">
      <c r="A2069" s="36" t="s">
        <v>32</v>
      </c>
      <c r="B2069" s="37">
        <v>44773</v>
      </c>
      <c r="C2069" s="36" t="s">
        <v>334</v>
      </c>
      <c r="D2069" s="36" t="s">
        <v>953</v>
      </c>
      <c r="E2069" s="36" t="s">
        <v>76</v>
      </c>
      <c r="G2069" s="87">
        <v>3000000</v>
      </c>
      <c r="H2069" s="87">
        <v>300000</v>
      </c>
      <c r="I2069" s="87">
        <v>3300000</v>
      </c>
      <c r="K2069" s="85">
        <v>2022</v>
      </c>
      <c r="L2069" s="85">
        <v>7</v>
      </c>
      <c r="N2069" s="1" t="s">
        <v>44</v>
      </c>
    </row>
    <row r="2070" spans="1:14">
      <c r="A2070" s="36" t="s">
        <v>33</v>
      </c>
      <c r="B2070" s="37">
        <v>44773</v>
      </c>
      <c r="C2070" s="36" t="s">
        <v>771</v>
      </c>
      <c r="D2070" s="36" t="s">
        <v>772</v>
      </c>
      <c r="E2070" s="36" t="s">
        <v>76</v>
      </c>
      <c r="G2070" s="87">
        <v>3080000</v>
      </c>
      <c r="H2070" s="87">
        <v>308000</v>
      </c>
      <c r="I2070" s="87">
        <v>3388000</v>
      </c>
      <c r="K2070" s="85">
        <v>2022</v>
      </c>
      <c r="L2070" s="85">
        <v>7</v>
      </c>
      <c r="N2070" s="1" t="s">
        <v>44</v>
      </c>
    </row>
    <row r="2071" spans="1:14">
      <c r="A2071" s="36" t="s">
        <v>32</v>
      </c>
      <c r="B2071" s="37">
        <v>44773</v>
      </c>
      <c r="C2071" s="36" t="s">
        <v>773</v>
      </c>
      <c r="D2071" s="36" t="s">
        <v>952</v>
      </c>
      <c r="E2071" s="36" t="s">
        <v>76</v>
      </c>
      <c r="G2071" s="87">
        <v>15660000</v>
      </c>
      <c r="H2071" s="87">
        <v>1566000</v>
      </c>
      <c r="I2071" s="87">
        <v>17226000</v>
      </c>
      <c r="K2071" s="85">
        <v>2022</v>
      </c>
      <c r="L2071" s="85">
        <v>7</v>
      </c>
      <c r="N2071" s="1" t="s">
        <v>44</v>
      </c>
    </row>
    <row r="2072" spans="1:14">
      <c r="A2072" s="36" t="s">
        <v>32</v>
      </c>
      <c r="B2072" s="37">
        <v>44773</v>
      </c>
      <c r="C2072" s="36" t="s">
        <v>181</v>
      </c>
      <c r="D2072" s="36" t="s">
        <v>822</v>
      </c>
      <c r="E2072" s="36" t="s">
        <v>76</v>
      </c>
      <c r="G2072" s="87">
        <v>675000</v>
      </c>
      <c r="H2072" s="87">
        <v>67500</v>
      </c>
      <c r="I2072" s="87">
        <v>742500</v>
      </c>
      <c r="K2072" s="85">
        <v>2022</v>
      </c>
      <c r="L2072" s="85">
        <v>7</v>
      </c>
      <c r="N2072" s="1" t="s">
        <v>44</v>
      </c>
    </row>
    <row r="2073" spans="1:14">
      <c r="A2073" s="36" t="s">
        <v>32</v>
      </c>
      <c r="B2073" s="37">
        <v>44773</v>
      </c>
      <c r="C2073" s="36" t="s">
        <v>181</v>
      </c>
      <c r="D2073" s="36" t="s">
        <v>823</v>
      </c>
      <c r="E2073" s="36" t="s">
        <v>76</v>
      </c>
      <c r="G2073" s="87">
        <v>4320000</v>
      </c>
      <c r="H2073" s="87">
        <v>432000</v>
      </c>
      <c r="I2073" s="87">
        <v>4752000</v>
      </c>
      <c r="K2073" s="85">
        <v>2022</v>
      </c>
      <c r="L2073" s="85">
        <v>7</v>
      </c>
      <c r="N2073" s="1" t="s">
        <v>44</v>
      </c>
    </row>
    <row r="2074" spans="1:14">
      <c r="A2074" s="36" t="s">
        <v>32</v>
      </c>
      <c r="B2074" s="37">
        <v>44773</v>
      </c>
      <c r="C2074" s="36" t="s">
        <v>950</v>
      </c>
      <c r="D2074" s="36" t="s">
        <v>951</v>
      </c>
      <c r="E2074" s="36" t="s">
        <v>76</v>
      </c>
      <c r="G2074" s="87">
        <v>10200000</v>
      </c>
      <c r="H2074" s="87">
        <v>1020000</v>
      </c>
      <c r="I2074" s="87">
        <v>11220000</v>
      </c>
      <c r="K2074" s="85">
        <v>2022</v>
      </c>
      <c r="L2074" s="85">
        <v>7</v>
      </c>
      <c r="N2074" s="1" t="s">
        <v>44</v>
      </c>
    </row>
    <row r="2075" spans="1:14">
      <c r="A2075" s="36" t="s">
        <v>32</v>
      </c>
      <c r="B2075" s="37">
        <v>44773</v>
      </c>
      <c r="C2075" s="36" t="s">
        <v>677</v>
      </c>
      <c r="D2075" s="36" t="s">
        <v>825</v>
      </c>
      <c r="E2075" s="36" t="s">
        <v>76</v>
      </c>
      <c r="G2075" s="87">
        <v>68635000</v>
      </c>
      <c r="H2075" s="87">
        <v>6863500</v>
      </c>
      <c r="I2075" s="87">
        <v>75498500</v>
      </c>
      <c r="K2075" s="85">
        <v>2022</v>
      </c>
      <c r="L2075" s="85">
        <v>7</v>
      </c>
      <c r="N2075" s="1" t="s">
        <v>44</v>
      </c>
    </row>
    <row r="2076" spans="1:14">
      <c r="A2076" s="36" t="s">
        <v>32</v>
      </c>
      <c r="B2076" s="37">
        <v>44773</v>
      </c>
      <c r="C2076" s="36" t="s">
        <v>677</v>
      </c>
      <c r="D2076" s="36" t="s">
        <v>924</v>
      </c>
      <c r="E2076" s="36" t="s">
        <v>76</v>
      </c>
      <c r="G2076" s="87">
        <v>38478000</v>
      </c>
      <c r="H2076" s="87">
        <v>3847800</v>
      </c>
      <c r="I2076" s="87">
        <v>42325800</v>
      </c>
      <c r="K2076" s="85">
        <v>2022</v>
      </c>
      <c r="L2076" s="85">
        <v>7</v>
      </c>
      <c r="N2076" s="1" t="s">
        <v>44</v>
      </c>
    </row>
    <row r="2077" spans="1:14">
      <c r="A2077" s="36" t="s">
        <v>32</v>
      </c>
      <c r="B2077" s="37">
        <v>44773</v>
      </c>
      <c r="C2077" s="36" t="s">
        <v>677</v>
      </c>
      <c r="D2077" s="36" t="s">
        <v>678</v>
      </c>
      <c r="E2077" s="36" t="s">
        <v>76</v>
      </c>
      <c r="G2077" s="87">
        <v>58751340</v>
      </c>
      <c r="H2077" s="87">
        <v>5875134</v>
      </c>
      <c r="I2077" s="87">
        <v>64626474</v>
      </c>
      <c r="K2077" s="85">
        <v>2022</v>
      </c>
      <c r="L2077" s="85">
        <v>7</v>
      </c>
      <c r="N2077" s="1" t="s">
        <v>44</v>
      </c>
    </row>
    <row r="2078" spans="1:14">
      <c r="A2078" s="36" t="s">
        <v>33</v>
      </c>
      <c r="B2078" s="37">
        <v>44773</v>
      </c>
      <c r="C2078" s="36" t="s">
        <v>119</v>
      </c>
      <c r="D2078" s="36" t="s">
        <v>374</v>
      </c>
      <c r="E2078" s="36" t="s">
        <v>76</v>
      </c>
      <c r="G2078" s="87">
        <v>7734800</v>
      </c>
      <c r="H2078" s="87">
        <v>773480</v>
      </c>
      <c r="I2078" s="87">
        <v>8508280</v>
      </c>
      <c r="K2078" s="85">
        <v>2022</v>
      </c>
      <c r="L2078" s="85">
        <v>7</v>
      </c>
      <c r="N2078" s="1" t="s">
        <v>44</v>
      </c>
    </row>
    <row r="2079" spans="1:14">
      <c r="A2079" s="36" t="s">
        <v>33</v>
      </c>
      <c r="B2079" s="37">
        <v>44773</v>
      </c>
      <c r="C2079" s="36" t="s">
        <v>119</v>
      </c>
      <c r="D2079" s="36" t="s">
        <v>877</v>
      </c>
      <c r="E2079" s="36" t="s">
        <v>76</v>
      </c>
      <c r="G2079" s="87">
        <v>7260000</v>
      </c>
      <c r="H2079" s="87">
        <v>726000</v>
      </c>
      <c r="I2079" s="87">
        <v>7986000</v>
      </c>
      <c r="K2079" s="85">
        <v>2022</v>
      </c>
      <c r="L2079" s="85">
        <v>7</v>
      </c>
      <c r="N2079" s="1" t="s">
        <v>44</v>
      </c>
    </row>
    <row r="2080" spans="1:14">
      <c r="A2080" s="36" t="s">
        <v>33</v>
      </c>
      <c r="B2080" s="37">
        <v>44773</v>
      </c>
      <c r="C2080" s="36" t="s">
        <v>119</v>
      </c>
      <c r="D2080" s="36" t="s">
        <v>823</v>
      </c>
      <c r="E2080" s="36" t="s">
        <v>76</v>
      </c>
      <c r="G2080" s="87">
        <v>4160000</v>
      </c>
      <c r="H2080" s="87">
        <v>416000</v>
      </c>
      <c r="I2080" s="87">
        <v>4576000</v>
      </c>
      <c r="K2080" s="85">
        <v>2022</v>
      </c>
      <c r="L2080" s="85">
        <v>7</v>
      </c>
      <c r="N2080" s="1" t="s">
        <v>44</v>
      </c>
    </row>
    <row r="2081" spans="1:14">
      <c r="A2081" s="36" t="s">
        <v>33</v>
      </c>
      <c r="B2081" s="37">
        <v>44773</v>
      </c>
      <c r="C2081" s="36" t="s">
        <v>119</v>
      </c>
      <c r="D2081" s="36" t="s">
        <v>931</v>
      </c>
      <c r="E2081" s="36" t="s">
        <v>76</v>
      </c>
      <c r="G2081" s="87">
        <v>4280796</v>
      </c>
      <c r="H2081" s="87">
        <v>428079</v>
      </c>
      <c r="I2081" s="87">
        <v>4708875</v>
      </c>
      <c r="K2081" s="85">
        <v>2022</v>
      </c>
      <c r="L2081" s="85">
        <v>7</v>
      </c>
      <c r="N2081" s="1" t="s">
        <v>44</v>
      </c>
    </row>
    <row r="2082" spans="1:14">
      <c r="A2082" s="36" t="s">
        <v>32</v>
      </c>
      <c r="B2082" s="37">
        <v>44773</v>
      </c>
      <c r="C2082" s="36" t="s">
        <v>511</v>
      </c>
      <c r="D2082" s="36" t="s">
        <v>512</v>
      </c>
      <c r="E2082" s="36" t="s">
        <v>76</v>
      </c>
      <c r="G2082" s="87">
        <v>7264700</v>
      </c>
      <c r="H2082" s="87">
        <v>726470</v>
      </c>
      <c r="I2082" s="87">
        <v>7991170</v>
      </c>
      <c r="K2082" s="85">
        <v>2022</v>
      </c>
      <c r="L2082" s="85">
        <v>7</v>
      </c>
      <c r="N2082" s="1" t="s">
        <v>44</v>
      </c>
    </row>
    <row r="2083" spans="1:14">
      <c r="A2083" s="36" t="s">
        <v>32</v>
      </c>
      <c r="B2083" s="37">
        <v>44773</v>
      </c>
      <c r="C2083" s="36" t="s">
        <v>881</v>
      </c>
      <c r="D2083" s="36" t="s">
        <v>877</v>
      </c>
      <c r="E2083" s="36" t="s">
        <v>76</v>
      </c>
      <c r="G2083" s="87">
        <v>85025000</v>
      </c>
      <c r="H2083" s="87">
        <v>8502500</v>
      </c>
      <c r="I2083" s="87">
        <v>93527500</v>
      </c>
      <c r="K2083" s="85">
        <v>2022</v>
      </c>
      <c r="L2083" s="85">
        <v>7</v>
      </c>
      <c r="N2083" s="1" t="s">
        <v>44</v>
      </c>
    </row>
    <row r="2084" spans="1:14">
      <c r="A2084" s="36" t="s">
        <v>32</v>
      </c>
      <c r="B2084" s="37">
        <v>44773</v>
      </c>
      <c r="C2084" s="36" t="s">
        <v>881</v>
      </c>
      <c r="D2084" s="36" t="s">
        <v>877</v>
      </c>
      <c r="E2084" s="36" t="s">
        <v>76</v>
      </c>
      <c r="G2084" s="87">
        <v>123547500</v>
      </c>
      <c r="H2084" s="87">
        <v>12354750</v>
      </c>
      <c r="I2084" s="87">
        <v>135902250</v>
      </c>
      <c r="K2084" s="85">
        <v>2022</v>
      </c>
      <c r="L2084" s="85">
        <v>7</v>
      </c>
      <c r="N2084" s="1" t="s">
        <v>44</v>
      </c>
    </row>
    <row r="2085" spans="1:14">
      <c r="A2085" s="36" t="s">
        <v>32</v>
      </c>
      <c r="B2085" s="37">
        <v>44773</v>
      </c>
      <c r="C2085" s="36" t="s">
        <v>206</v>
      </c>
      <c r="D2085" s="36" t="s">
        <v>152</v>
      </c>
      <c r="E2085" s="36" t="s">
        <v>76</v>
      </c>
      <c r="G2085" s="87">
        <v>2785500</v>
      </c>
      <c r="H2085" s="87">
        <v>278550</v>
      </c>
      <c r="I2085" s="87">
        <v>3064050</v>
      </c>
      <c r="K2085" s="85">
        <v>2022</v>
      </c>
      <c r="L2085" s="85">
        <v>7</v>
      </c>
      <c r="N2085" s="1" t="s">
        <v>44</v>
      </c>
    </row>
    <row r="2086" spans="1:14">
      <c r="A2086" s="36" t="s">
        <v>33</v>
      </c>
      <c r="B2086" s="37">
        <v>44773</v>
      </c>
      <c r="C2086" s="36" t="s">
        <v>226</v>
      </c>
      <c r="D2086" s="36" t="s">
        <v>227</v>
      </c>
      <c r="E2086" s="36" t="s">
        <v>228</v>
      </c>
      <c r="G2086" s="87">
        <v>3793636</v>
      </c>
      <c r="H2086" s="87">
        <v>379363.60000000003</v>
      </c>
      <c r="I2086" s="87">
        <v>4172999.6</v>
      </c>
      <c r="K2086" s="85">
        <v>2022</v>
      </c>
      <c r="L2086" s="85">
        <v>7</v>
      </c>
      <c r="N2086" s="1" t="s">
        <v>44</v>
      </c>
    </row>
    <row r="2087" spans="1:14">
      <c r="A2087" s="36" t="s">
        <v>32</v>
      </c>
      <c r="B2087" s="37">
        <v>44773</v>
      </c>
      <c r="C2087" s="36" t="s">
        <v>185</v>
      </c>
      <c r="D2087" s="36" t="s">
        <v>931</v>
      </c>
      <c r="E2087" s="36" t="s">
        <v>76</v>
      </c>
      <c r="G2087" s="87">
        <v>4280796</v>
      </c>
      <c r="H2087" s="87">
        <v>428079</v>
      </c>
      <c r="I2087" s="87">
        <v>4708875</v>
      </c>
      <c r="K2087" s="85">
        <v>2022</v>
      </c>
      <c r="L2087" s="85">
        <v>7</v>
      </c>
      <c r="N2087" s="1" t="s">
        <v>44</v>
      </c>
    </row>
    <row r="2088" spans="1:14">
      <c r="A2088" s="36" t="s">
        <v>32</v>
      </c>
      <c r="B2088" s="37">
        <v>44773</v>
      </c>
      <c r="C2088" s="36" t="s">
        <v>185</v>
      </c>
      <c r="D2088" s="36" t="s">
        <v>932</v>
      </c>
      <c r="E2088" s="36" t="s">
        <v>76</v>
      </c>
      <c r="G2088" s="87">
        <v>12089046</v>
      </c>
      <c r="H2088" s="87">
        <v>1208904</v>
      </c>
      <c r="I2088" s="87">
        <v>13297950</v>
      </c>
      <c r="K2088" s="85">
        <v>2022</v>
      </c>
      <c r="L2088" s="85">
        <v>7</v>
      </c>
      <c r="N2088" s="1" t="s">
        <v>44</v>
      </c>
    </row>
    <row r="2089" spans="1:14">
      <c r="A2089" s="36" t="s">
        <v>32</v>
      </c>
      <c r="B2089" s="37">
        <v>44773</v>
      </c>
      <c r="C2089" s="36" t="s">
        <v>185</v>
      </c>
      <c r="D2089" s="36" t="s">
        <v>778</v>
      </c>
      <c r="E2089" s="36" t="s">
        <v>76</v>
      </c>
      <c r="G2089" s="87">
        <v>4342374</v>
      </c>
      <c r="H2089" s="87">
        <v>434237.4</v>
      </c>
      <c r="I2089" s="87">
        <v>4776611.4000000004</v>
      </c>
      <c r="K2089" s="85">
        <v>2022</v>
      </c>
      <c r="L2089" s="85">
        <v>7</v>
      </c>
      <c r="N2089" s="1" t="s">
        <v>44</v>
      </c>
    </row>
    <row r="2090" spans="1:14">
      <c r="A2090" s="36" t="s">
        <v>32</v>
      </c>
      <c r="B2090" s="37">
        <v>44773</v>
      </c>
      <c r="C2090" s="36" t="s">
        <v>185</v>
      </c>
      <c r="D2090" s="36" t="s">
        <v>683</v>
      </c>
      <c r="E2090" s="36" t="s">
        <v>76</v>
      </c>
      <c r="G2090" s="87">
        <v>22759340</v>
      </c>
      <c r="H2090" s="87">
        <v>2275934</v>
      </c>
      <c r="I2090" s="87">
        <v>25035274</v>
      </c>
      <c r="K2090" s="85">
        <v>2022</v>
      </c>
      <c r="L2090" s="85">
        <v>7</v>
      </c>
      <c r="N2090" s="1" t="s">
        <v>44</v>
      </c>
    </row>
    <row r="2091" spans="1:14">
      <c r="A2091" s="36" t="s">
        <v>32</v>
      </c>
      <c r="B2091" s="37">
        <v>44773</v>
      </c>
      <c r="C2091" s="36" t="s">
        <v>268</v>
      </c>
      <c r="D2091" s="36" t="s">
        <v>954</v>
      </c>
      <c r="E2091" s="36" t="s">
        <v>76</v>
      </c>
      <c r="G2091" s="87">
        <v>12997800</v>
      </c>
      <c r="H2091" s="87">
        <v>1299780</v>
      </c>
      <c r="I2091" s="87">
        <v>14297580</v>
      </c>
      <c r="K2091" s="85">
        <v>2022</v>
      </c>
      <c r="L2091" s="85">
        <v>7</v>
      </c>
      <c r="N2091" s="1" t="s">
        <v>44</v>
      </c>
    </row>
    <row r="2092" spans="1:14">
      <c r="A2092" s="36" t="s">
        <v>33</v>
      </c>
      <c r="B2092" s="37">
        <v>44773</v>
      </c>
      <c r="C2092" s="36" t="s">
        <v>781</v>
      </c>
      <c r="D2092" s="36" t="s">
        <v>782</v>
      </c>
      <c r="E2092" s="36" t="s">
        <v>125</v>
      </c>
      <c r="G2092" s="87">
        <v>573000</v>
      </c>
      <c r="H2092" s="87">
        <v>57300</v>
      </c>
      <c r="I2092" s="87">
        <v>630300</v>
      </c>
      <c r="K2092" s="85">
        <v>2022</v>
      </c>
      <c r="L2092" s="85">
        <v>7</v>
      </c>
      <c r="N2092" s="1" t="s">
        <v>44</v>
      </c>
    </row>
    <row r="2093" spans="1:14">
      <c r="A2093" s="36" t="s">
        <v>32</v>
      </c>
      <c r="B2093" s="37">
        <v>44773</v>
      </c>
      <c r="C2093" s="36" t="s">
        <v>406</v>
      </c>
      <c r="D2093" s="36" t="s">
        <v>896</v>
      </c>
      <c r="E2093" s="36" t="s">
        <v>76</v>
      </c>
      <c r="G2093" s="87">
        <v>2490400</v>
      </c>
      <c r="H2093" s="87">
        <v>249040</v>
      </c>
      <c r="I2093" s="87">
        <v>2739440</v>
      </c>
      <c r="K2093" s="85">
        <v>2022</v>
      </c>
      <c r="L2093" s="85">
        <v>7</v>
      </c>
      <c r="N2093" s="1" t="s">
        <v>44</v>
      </c>
    </row>
    <row r="2094" spans="1:14">
      <c r="A2094" s="36" t="s">
        <v>32</v>
      </c>
      <c r="B2094" s="37">
        <v>44773</v>
      </c>
      <c r="C2094" s="36" t="s">
        <v>406</v>
      </c>
      <c r="D2094" s="36" t="s">
        <v>897</v>
      </c>
      <c r="E2094" s="36" t="s">
        <v>76</v>
      </c>
      <c r="G2094" s="87">
        <v>2500000</v>
      </c>
      <c r="H2094" s="87">
        <v>250000</v>
      </c>
      <c r="I2094" s="87">
        <v>2750000</v>
      </c>
      <c r="K2094" s="85">
        <v>2022</v>
      </c>
      <c r="L2094" s="85">
        <v>7</v>
      </c>
      <c r="N2094" s="1" t="s">
        <v>44</v>
      </c>
    </row>
    <row r="2095" spans="1:14">
      <c r="A2095" s="36" t="s">
        <v>32</v>
      </c>
      <c r="B2095" s="37">
        <v>44773</v>
      </c>
      <c r="C2095" s="36" t="s">
        <v>920</v>
      </c>
      <c r="D2095" s="36" t="s">
        <v>921</v>
      </c>
      <c r="E2095" s="36" t="s">
        <v>76</v>
      </c>
      <c r="G2095" s="87">
        <v>12650000</v>
      </c>
      <c r="H2095" s="87">
        <v>1265000</v>
      </c>
      <c r="I2095" s="87">
        <v>13915000</v>
      </c>
      <c r="K2095" s="85">
        <v>2022</v>
      </c>
      <c r="L2095" s="85">
        <v>7</v>
      </c>
      <c r="N2095" s="1" t="s">
        <v>44</v>
      </c>
    </row>
    <row r="2096" spans="1:14">
      <c r="A2096" s="36" t="s">
        <v>32</v>
      </c>
      <c r="B2096" s="37">
        <v>44773</v>
      </c>
      <c r="C2096" s="36" t="s">
        <v>466</v>
      </c>
      <c r="D2096" s="36" t="s">
        <v>735</v>
      </c>
      <c r="E2096" s="36" t="s">
        <v>76</v>
      </c>
      <c r="G2096" s="87">
        <v>652120</v>
      </c>
      <c r="H2096" s="87">
        <v>65212</v>
      </c>
      <c r="I2096" s="87">
        <v>717332</v>
      </c>
      <c r="K2096" s="85">
        <v>2022</v>
      </c>
      <c r="L2096" s="85">
        <v>7</v>
      </c>
      <c r="N2096" s="1" t="s">
        <v>44</v>
      </c>
    </row>
    <row r="2097" spans="1:14">
      <c r="A2097" s="36" t="s">
        <v>32</v>
      </c>
      <c r="B2097" s="37">
        <v>44773</v>
      </c>
      <c r="C2097" s="36" t="s">
        <v>922</v>
      </c>
      <c r="D2097" s="36" t="s">
        <v>923</v>
      </c>
      <c r="E2097" s="36" t="s">
        <v>148</v>
      </c>
      <c r="J2097" s="87">
        <v>5819000</v>
      </c>
      <c r="K2097" s="85">
        <v>2022</v>
      </c>
      <c r="L2097" s="85">
        <v>6</v>
      </c>
      <c r="N2097" s="1" t="s">
        <v>44</v>
      </c>
    </row>
    <row r="2098" spans="1:14">
      <c r="A2098" s="36" t="s">
        <v>32</v>
      </c>
      <c r="B2098" s="37">
        <v>44773</v>
      </c>
      <c r="C2098" s="36" t="s">
        <v>922</v>
      </c>
      <c r="D2098" s="36" t="s">
        <v>923</v>
      </c>
      <c r="E2098" s="36" t="s">
        <v>76</v>
      </c>
      <c r="G2098" s="87">
        <v>15180000</v>
      </c>
      <c r="H2098" s="87">
        <v>1518000</v>
      </c>
      <c r="I2098" s="87">
        <v>16698000</v>
      </c>
      <c r="K2098" s="85">
        <v>2022</v>
      </c>
      <c r="L2098" s="85">
        <v>7</v>
      </c>
      <c r="N2098" s="1" t="s">
        <v>44</v>
      </c>
    </row>
    <row r="2099" spans="1:14">
      <c r="A2099" s="36" t="s">
        <v>32</v>
      </c>
      <c r="B2099" s="37">
        <v>44773</v>
      </c>
      <c r="C2099" s="36" t="s">
        <v>944</v>
      </c>
      <c r="D2099" s="36" t="s">
        <v>945</v>
      </c>
      <c r="E2099" s="36" t="s">
        <v>76</v>
      </c>
      <c r="G2099" s="87">
        <v>6073700</v>
      </c>
      <c r="H2099" s="87">
        <v>607370</v>
      </c>
      <c r="I2099" s="87">
        <v>6681070</v>
      </c>
      <c r="K2099" s="85">
        <v>2022</v>
      </c>
      <c r="L2099" s="85">
        <v>7</v>
      </c>
      <c r="N2099" s="1" t="s">
        <v>44</v>
      </c>
    </row>
    <row r="2100" spans="1:14">
      <c r="A2100" s="36" t="s">
        <v>32</v>
      </c>
      <c r="B2100" s="37">
        <v>44773</v>
      </c>
      <c r="C2100" s="36" t="s">
        <v>688</v>
      </c>
      <c r="D2100" s="36" t="s">
        <v>1731</v>
      </c>
      <c r="E2100" s="36" t="s">
        <v>76</v>
      </c>
      <c r="G2100" s="87">
        <v>1540000</v>
      </c>
      <c r="H2100" s="87">
        <v>154000</v>
      </c>
      <c r="I2100" s="87">
        <v>1694000</v>
      </c>
      <c r="K2100" s="85">
        <v>2022</v>
      </c>
      <c r="L2100" s="85">
        <v>7</v>
      </c>
      <c r="N2100" s="1" t="s">
        <v>44</v>
      </c>
    </row>
    <row r="2101" spans="1:14">
      <c r="A2101" s="36" t="s">
        <v>32</v>
      </c>
      <c r="B2101" s="37">
        <v>44774</v>
      </c>
      <c r="C2101" s="36" t="s">
        <v>204</v>
      </c>
      <c r="D2101" s="36" t="s">
        <v>674</v>
      </c>
      <c r="E2101" s="36" t="s">
        <v>148</v>
      </c>
      <c r="J2101" s="87">
        <v>2950200</v>
      </c>
      <c r="K2101" s="85">
        <v>2022</v>
      </c>
      <c r="L2101" s="85">
        <v>6</v>
      </c>
      <c r="N2101" s="1" t="s">
        <v>44</v>
      </c>
    </row>
    <row r="2102" spans="1:14">
      <c r="A2102" s="36" t="s">
        <v>32</v>
      </c>
      <c r="B2102" s="37">
        <v>44774</v>
      </c>
      <c r="C2102" s="36" t="s">
        <v>204</v>
      </c>
      <c r="D2102" s="36" t="s">
        <v>817</v>
      </c>
      <c r="E2102" s="36" t="s">
        <v>148</v>
      </c>
      <c r="J2102" s="87">
        <v>6217860</v>
      </c>
      <c r="K2102" s="85">
        <v>2022</v>
      </c>
      <c r="L2102" s="85">
        <v>6</v>
      </c>
      <c r="N2102" s="1" t="s">
        <v>44</v>
      </c>
    </row>
    <row r="2103" spans="1:14">
      <c r="A2103" s="36" t="s">
        <v>32</v>
      </c>
      <c r="B2103" s="37">
        <v>44774</v>
      </c>
      <c r="C2103" s="36" t="s">
        <v>181</v>
      </c>
      <c r="D2103" s="36" t="s">
        <v>822</v>
      </c>
      <c r="E2103" s="36" t="s">
        <v>148</v>
      </c>
      <c r="J2103" s="87">
        <v>1485000</v>
      </c>
      <c r="K2103" s="85">
        <v>2022</v>
      </c>
      <c r="L2103" s="85">
        <v>6</v>
      </c>
      <c r="N2103" s="1" t="s">
        <v>44</v>
      </c>
    </row>
    <row r="2104" spans="1:14">
      <c r="A2104" s="36" t="s">
        <v>32</v>
      </c>
      <c r="B2104" s="37">
        <v>44774</v>
      </c>
      <c r="C2104" s="36" t="s">
        <v>181</v>
      </c>
      <c r="D2104" s="36" t="s">
        <v>823</v>
      </c>
      <c r="E2104" s="36" t="s">
        <v>148</v>
      </c>
      <c r="J2104" s="87">
        <v>5346000</v>
      </c>
      <c r="K2104" s="85">
        <v>2022</v>
      </c>
      <c r="L2104" s="85">
        <v>6</v>
      </c>
      <c r="N2104" s="1" t="s">
        <v>44</v>
      </c>
    </row>
    <row r="2105" spans="1:14">
      <c r="A2105" s="36" t="s">
        <v>32</v>
      </c>
      <c r="B2105" s="37">
        <v>44774</v>
      </c>
      <c r="C2105" s="36" t="s">
        <v>677</v>
      </c>
      <c r="D2105" s="36" t="s">
        <v>825</v>
      </c>
      <c r="E2105" s="36" t="s">
        <v>76</v>
      </c>
      <c r="G2105" s="87">
        <v>2252500</v>
      </c>
      <c r="H2105" s="87">
        <v>225250</v>
      </c>
      <c r="I2105" s="87">
        <v>2477750</v>
      </c>
      <c r="K2105" s="85">
        <v>2022</v>
      </c>
      <c r="L2105" s="85">
        <v>8</v>
      </c>
      <c r="N2105" s="1" t="s">
        <v>44</v>
      </c>
    </row>
    <row r="2106" spans="1:14">
      <c r="A2106" s="36" t="s">
        <v>32</v>
      </c>
      <c r="B2106" s="37">
        <v>44774</v>
      </c>
      <c r="C2106" s="36" t="s">
        <v>188</v>
      </c>
      <c r="D2106" s="36" t="s">
        <v>409</v>
      </c>
      <c r="E2106" s="36" t="s">
        <v>148</v>
      </c>
      <c r="J2106" s="87">
        <v>3718000</v>
      </c>
      <c r="K2106" s="85">
        <v>2021</v>
      </c>
      <c r="L2106" s="85">
        <v>7</v>
      </c>
      <c r="N2106" s="208" t="s">
        <v>44</v>
      </c>
    </row>
    <row r="2107" spans="1:14">
      <c r="A2107" s="36" t="s">
        <v>32</v>
      </c>
      <c r="B2107" s="37">
        <v>44774</v>
      </c>
      <c r="C2107" s="36" t="s">
        <v>188</v>
      </c>
      <c r="D2107" s="36" t="s">
        <v>461</v>
      </c>
      <c r="E2107" s="36" t="s">
        <v>148</v>
      </c>
      <c r="J2107" s="87">
        <v>3465000</v>
      </c>
      <c r="K2107" s="85">
        <v>2021</v>
      </c>
      <c r="L2107" s="85">
        <v>7</v>
      </c>
      <c r="N2107" s="208" t="s">
        <v>44</v>
      </c>
    </row>
    <row r="2108" spans="1:14">
      <c r="A2108" s="36" t="s">
        <v>32</v>
      </c>
      <c r="B2108" s="37">
        <v>44774</v>
      </c>
      <c r="C2108" s="36" t="s">
        <v>834</v>
      </c>
      <c r="D2108" s="36" t="s">
        <v>190</v>
      </c>
      <c r="E2108" s="36" t="s">
        <v>148</v>
      </c>
      <c r="J2108" s="87">
        <v>924000</v>
      </c>
      <c r="K2108" s="85">
        <v>2022</v>
      </c>
      <c r="L2108" s="85">
        <v>4</v>
      </c>
      <c r="N2108" s="208" t="s">
        <v>44</v>
      </c>
    </row>
    <row r="2109" spans="1:14">
      <c r="A2109" s="36" t="s">
        <v>32</v>
      </c>
      <c r="B2109" s="37">
        <v>44774</v>
      </c>
      <c r="C2109" s="36" t="s">
        <v>944</v>
      </c>
      <c r="D2109" s="36" t="s">
        <v>945</v>
      </c>
      <c r="E2109" s="36" t="s">
        <v>77</v>
      </c>
      <c r="J2109" s="38">
        <v>6681070</v>
      </c>
      <c r="K2109" s="85">
        <v>2022</v>
      </c>
      <c r="L2109" s="85">
        <v>7</v>
      </c>
      <c r="N2109" s="1" t="s">
        <v>44</v>
      </c>
    </row>
    <row r="2110" spans="1:14">
      <c r="A2110" s="36" t="s">
        <v>33</v>
      </c>
      <c r="B2110" s="37">
        <v>44775</v>
      </c>
      <c r="C2110" s="36" t="s">
        <v>813</v>
      </c>
      <c r="D2110" s="36" t="s">
        <v>814</v>
      </c>
      <c r="E2110" s="36" t="s">
        <v>77</v>
      </c>
      <c r="J2110" s="38">
        <v>815650</v>
      </c>
      <c r="K2110" s="85">
        <v>2022</v>
      </c>
      <c r="L2110" s="85">
        <v>7</v>
      </c>
      <c r="N2110" s="1" t="s">
        <v>44</v>
      </c>
    </row>
    <row r="2111" spans="1:14">
      <c r="A2111" s="36" t="s">
        <v>33</v>
      </c>
      <c r="B2111" s="37">
        <v>44775</v>
      </c>
      <c r="C2111" s="36" t="s">
        <v>544</v>
      </c>
      <c r="D2111" s="36" t="s">
        <v>766</v>
      </c>
      <c r="E2111" s="36" t="s">
        <v>148</v>
      </c>
      <c r="J2111" s="87">
        <v>1040600</v>
      </c>
      <c r="K2111" s="85">
        <v>2022</v>
      </c>
      <c r="L2111" s="85">
        <v>6</v>
      </c>
      <c r="M2111" s="36" t="s">
        <v>107</v>
      </c>
      <c r="N2111" s="1" t="s">
        <v>44</v>
      </c>
    </row>
    <row r="2112" spans="1:14">
      <c r="A2112" s="36" t="s">
        <v>33</v>
      </c>
      <c r="B2112" s="37">
        <v>44775</v>
      </c>
      <c r="C2112" s="36" t="s">
        <v>544</v>
      </c>
      <c r="D2112" s="36" t="s">
        <v>766</v>
      </c>
      <c r="E2112" s="36" t="s">
        <v>148</v>
      </c>
      <c r="J2112" s="38">
        <v>24200</v>
      </c>
      <c r="K2112" s="85">
        <v>2022</v>
      </c>
      <c r="L2112" s="85">
        <v>7</v>
      </c>
      <c r="N2112" s="1" t="s">
        <v>84</v>
      </c>
    </row>
    <row r="2113" spans="1:14">
      <c r="A2113" s="36" t="s">
        <v>33</v>
      </c>
      <c r="B2113" s="37">
        <v>44775</v>
      </c>
      <c r="C2113" s="36" t="s">
        <v>119</v>
      </c>
      <c r="D2113" s="36" t="s">
        <v>823</v>
      </c>
      <c r="E2113" s="36" t="s">
        <v>148</v>
      </c>
      <c r="J2113" s="38">
        <v>5148000</v>
      </c>
      <c r="K2113" s="85">
        <v>2022</v>
      </c>
      <c r="L2113" s="85">
        <v>6</v>
      </c>
      <c r="N2113" s="1" t="s">
        <v>44</v>
      </c>
    </row>
    <row r="2114" spans="1:14">
      <c r="A2114" s="36" t="s">
        <v>33</v>
      </c>
      <c r="B2114" s="37">
        <v>44775</v>
      </c>
      <c r="C2114" s="36" t="s">
        <v>580</v>
      </c>
      <c r="D2114" s="36" t="s">
        <v>581</v>
      </c>
      <c r="E2114" s="36" t="s">
        <v>77</v>
      </c>
      <c r="J2114" s="38">
        <v>396000</v>
      </c>
      <c r="K2114" s="85">
        <v>2022</v>
      </c>
      <c r="L2114" s="85">
        <v>7</v>
      </c>
      <c r="N2114" s="1" t="s">
        <v>44</v>
      </c>
    </row>
    <row r="2115" spans="1:14">
      <c r="A2115" s="36" t="s">
        <v>33</v>
      </c>
      <c r="B2115" s="37">
        <v>44775</v>
      </c>
      <c r="C2115" s="36" t="s">
        <v>226</v>
      </c>
      <c r="D2115" s="36" t="s">
        <v>227</v>
      </c>
      <c r="E2115" s="36" t="s">
        <v>77</v>
      </c>
      <c r="J2115" s="38">
        <v>4173000</v>
      </c>
      <c r="K2115" s="85">
        <v>2022</v>
      </c>
      <c r="L2115" s="85">
        <v>7</v>
      </c>
      <c r="N2115" s="1" t="s">
        <v>44</v>
      </c>
    </row>
    <row r="2116" spans="1:14">
      <c r="A2116" s="36" t="s">
        <v>32</v>
      </c>
      <c r="B2116" s="37">
        <v>44775</v>
      </c>
      <c r="C2116" s="36" t="s">
        <v>185</v>
      </c>
      <c r="D2116" s="36" t="s">
        <v>890</v>
      </c>
      <c r="E2116" s="36" t="s">
        <v>148</v>
      </c>
      <c r="J2116" s="38">
        <v>929127</v>
      </c>
      <c r="K2116" s="85">
        <v>2022</v>
      </c>
      <c r="L2116" s="85">
        <v>5</v>
      </c>
      <c r="N2116" s="1" t="s">
        <v>44</v>
      </c>
    </row>
    <row r="2117" spans="1:14">
      <c r="A2117" s="36" t="s">
        <v>32</v>
      </c>
      <c r="B2117" s="37">
        <v>44775</v>
      </c>
      <c r="C2117" s="36" t="s">
        <v>185</v>
      </c>
      <c r="D2117" s="36" t="s">
        <v>891</v>
      </c>
      <c r="E2117" s="36" t="s">
        <v>148</v>
      </c>
      <c r="J2117" s="38">
        <v>1361080</v>
      </c>
      <c r="K2117" s="85">
        <v>2022</v>
      </c>
      <c r="L2117" s="85">
        <v>5</v>
      </c>
      <c r="N2117" s="1" t="s">
        <v>44</v>
      </c>
    </row>
    <row r="2118" spans="1:14">
      <c r="A2118" s="36" t="s">
        <v>32</v>
      </c>
      <c r="B2118" s="37">
        <v>44775</v>
      </c>
      <c r="C2118" s="36" t="s">
        <v>185</v>
      </c>
      <c r="D2118" s="36" t="s">
        <v>931</v>
      </c>
      <c r="E2118" s="36" t="s">
        <v>148</v>
      </c>
      <c r="J2118" s="38">
        <v>2855325</v>
      </c>
      <c r="K2118" s="85">
        <v>2022</v>
      </c>
      <c r="L2118" s="85">
        <v>6</v>
      </c>
      <c r="N2118" s="1" t="s">
        <v>44</v>
      </c>
    </row>
    <row r="2119" spans="1:14">
      <c r="A2119" s="36" t="s">
        <v>32</v>
      </c>
      <c r="B2119" s="37">
        <v>44775</v>
      </c>
      <c r="C2119" s="36" t="s">
        <v>185</v>
      </c>
      <c r="D2119" s="36" t="s">
        <v>932</v>
      </c>
      <c r="E2119" s="36" t="s">
        <v>148</v>
      </c>
      <c r="J2119" s="38">
        <v>4023885</v>
      </c>
      <c r="K2119" s="85">
        <v>2022</v>
      </c>
      <c r="L2119" s="85">
        <v>6</v>
      </c>
      <c r="N2119" s="1" t="s">
        <v>44</v>
      </c>
    </row>
    <row r="2120" spans="1:14">
      <c r="A2120" s="36" t="s">
        <v>33</v>
      </c>
      <c r="B2120" s="37">
        <v>44775</v>
      </c>
      <c r="C2120" s="36" t="s">
        <v>781</v>
      </c>
      <c r="D2120" s="36" t="s">
        <v>782</v>
      </c>
      <c r="E2120" s="36" t="s">
        <v>77</v>
      </c>
      <c r="J2120" s="38">
        <v>630300</v>
      </c>
      <c r="K2120" s="85">
        <v>2022</v>
      </c>
      <c r="L2120" s="85">
        <v>7</v>
      </c>
      <c r="N2120" s="1" t="s">
        <v>44</v>
      </c>
    </row>
    <row r="2121" spans="1:14">
      <c r="A2121" s="36" t="s">
        <v>33</v>
      </c>
      <c r="B2121" s="37">
        <v>44775</v>
      </c>
      <c r="C2121" s="36" t="s">
        <v>936</v>
      </c>
      <c r="D2121" s="36" t="s">
        <v>937</v>
      </c>
      <c r="E2121" s="36" t="s">
        <v>77</v>
      </c>
      <c r="J2121" s="38">
        <v>1687000</v>
      </c>
      <c r="K2121" s="85">
        <v>2022</v>
      </c>
      <c r="L2121" s="85">
        <v>7</v>
      </c>
      <c r="N2121" s="1" t="s">
        <v>44</v>
      </c>
    </row>
    <row r="2122" spans="1:14">
      <c r="A2122" s="36" t="s">
        <v>33</v>
      </c>
      <c r="B2122" s="37">
        <v>44775</v>
      </c>
      <c r="C2122" s="36" t="s">
        <v>115</v>
      </c>
      <c r="D2122" s="36" t="s">
        <v>938</v>
      </c>
      <c r="E2122" s="36" t="s">
        <v>77</v>
      </c>
      <c r="J2122" s="38">
        <v>3850000</v>
      </c>
      <c r="K2122" s="85">
        <v>2022</v>
      </c>
      <c r="L2122" s="85">
        <v>7</v>
      </c>
      <c r="N2122" s="1" t="s">
        <v>44</v>
      </c>
    </row>
    <row r="2123" spans="1:14">
      <c r="A2123" s="36" t="s">
        <v>33</v>
      </c>
      <c r="B2123" s="37">
        <v>44776</v>
      </c>
      <c r="C2123" s="36" t="s">
        <v>320</v>
      </c>
      <c r="D2123" s="36" t="s">
        <v>321</v>
      </c>
      <c r="E2123" s="36" t="s">
        <v>148</v>
      </c>
      <c r="J2123" s="87">
        <v>132000</v>
      </c>
      <c r="K2123" s="85">
        <v>2022</v>
      </c>
      <c r="L2123" s="85">
        <v>6</v>
      </c>
      <c r="N2123" s="1" t="s">
        <v>44</v>
      </c>
    </row>
    <row r="2124" spans="1:14">
      <c r="A2124" s="36" t="s">
        <v>33</v>
      </c>
      <c r="B2124" s="37">
        <v>44776</v>
      </c>
      <c r="C2124" s="36" t="s">
        <v>119</v>
      </c>
      <c r="D2124" s="36" t="s">
        <v>931</v>
      </c>
      <c r="E2124" s="36" t="s">
        <v>148</v>
      </c>
      <c r="J2124" s="87">
        <v>2855325</v>
      </c>
      <c r="K2124" s="85">
        <v>2022</v>
      </c>
      <c r="L2124" s="85">
        <v>6</v>
      </c>
      <c r="N2124" s="1" t="s">
        <v>44</v>
      </c>
    </row>
    <row r="2125" spans="1:14">
      <c r="A2125" s="36" t="s">
        <v>32</v>
      </c>
      <c r="B2125" s="37">
        <v>44776</v>
      </c>
      <c r="C2125" s="36" t="s">
        <v>879</v>
      </c>
      <c r="D2125" s="36" t="s">
        <v>933</v>
      </c>
      <c r="E2125" s="36" t="s">
        <v>148</v>
      </c>
      <c r="J2125" s="87">
        <v>25410000</v>
      </c>
      <c r="K2125" s="85">
        <v>2022</v>
      </c>
      <c r="L2125" s="85">
        <v>6</v>
      </c>
      <c r="N2125" s="1" t="s">
        <v>44</v>
      </c>
    </row>
    <row r="2126" spans="1:14">
      <c r="A2126" s="36" t="s">
        <v>32</v>
      </c>
      <c r="B2126" s="37">
        <v>44776</v>
      </c>
      <c r="C2126" s="36" t="s">
        <v>519</v>
      </c>
      <c r="D2126" s="36" t="s">
        <v>898</v>
      </c>
      <c r="E2126" s="36" t="s">
        <v>148</v>
      </c>
      <c r="J2126" s="87">
        <v>1925000</v>
      </c>
      <c r="K2126" s="85">
        <v>2022</v>
      </c>
      <c r="L2126" s="85">
        <v>6</v>
      </c>
      <c r="N2126" s="1" t="s">
        <v>44</v>
      </c>
    </row>
    <row r="2127" spans="1:14">
      <c r="A2127" s="36" t="s">
        <v>32</v>
      </c>
      <c r="B2127" s="37">
        <v>44778</v>
      </c>
      <c r="C2127" s="36" t="s">
        <v>174</v>
      </c>
      <c r="D2127" s="36" t="s">
        <v>540</v>
      </c>
      <c r="E2127" s="36" t="s">
        <v>148</v>
      </c>
      <c r="J2127" s="87">
        <v>12638560</v>
      </c>
      <c r="K2127" s="85">
        <v>2022</v>
      </c>
      <c r="L2127" s="85">
        <v>5</v>
      </c>
      <c r="N2127" s="1" t="s">
        <v>44</v>
      </c>
    </row>
    <row r="2128" spans="1:14">
      <c r="A2128" s="36" t="s">
        <v>32</v>
      </c>
      <c r="B2128" s="37">
        <v>44778</v>
      </c>
      <c r="C2128" s="36" t="s">
        <v>511</v>
      </c>
      <c r="D2128" s="36" t="s">
        <v>512</v>
      </c>
      <c r="E2128" s="36" t="s">
        <v>148</v>
      </c>
      <c r="J2128" s="87">
        <v>2797080</v>
      </c>
      <c r="K2128" s="85">
        <v>2022</v>
      </c>
      <c r="L2128" s="85">
        <v>6</v>
      </c>
      <c r="N2128" s="1" t="s">
        <v>44</v>
      </c>
    </row>
    <row r="2129" spans="1:14">
      <c r="A2129" s="36" t="s">
        <v>33</v>
      </c>
      <c r="B2129" s="37">
        <v>44782</v>
      </c>
      <c r="C2129" s="36" t="s">
        <v>955</v>
      </c>
      <c r="D2129" s="36" t="s">
        <v>956</v>
      </c>
      <c r="E2129" s="36" t="s">
        <v>957</v>
      </c>
      <c r="G2129" s="87">
        <v>1000000</v>
      </c>
      <c r="H2129" s="87">
        <v>100000</v>
      </c>
      <c r="I2129" s="87">
        <v>1100000</v>
      </c>
      <c r="K2129" s="85">
        <v>2022</v>
      </c>
      <c r="L2129" s="85">
        <v>8</v>
      </c>
      <c r="N2129" s="1" t="s">
        <v>44</v>
      </c>
    </row>
    <row r="2130" spans="1:14">
      <c r="A2130" s="36" t="s">
        <v>32</v>
      </c>
      <c r="B2130" s="37">
        <v>44783</v>
      </c>
      <c r="C2130" s="36" t="s">
        <v>760</v>
      </c>
      <c r="D2130" s="36" t="s">
        <v>854</v>
      </c>
      <c r="E2130" s="36" t="s">
        <v>77</v>
      </c>
      <c r="J2130" s="38">
        <v>19932000</v>
      </c>
      <c r="K2130" s="85">
        <v>2022</v>
      </c>
      <c r="L2130" s="85">
        <v>7</v>
      </c>
      <c r="N2130" s="1" t="s">
        <v>44</v>
      </c>
    </row>
    <row r="2131" spans="1:14">
      <c r="A2131" s="36" t="s">
        <v>32</v>
      </c>
      <c r="B2131" s="37">
        <v>44783</v>
      </c>
      <c r="C2131" s="36" t="s">
        <v>664</v>
      </c>
      <c r="D2131" s="36" t="s">
        <v>855</v>
      </c>
      <c r="E2131" s="36" t="s">
        <v>148</v>
      </c>
      <c r="J2131" s="87">
        <v>2737900</v>
      </c>
      <c r="K2131" s="85">
        <v>2022</v>
      </c>
      <c r="L2131" s="85">
        <v>6</v>
      </c>
      <c r="N2131" s="1" t="s">
        <v>44</v>
      </c>
    </row>
    <row r="2132" spans="1:14">
      <c r="A2132" s="36" t="s">
        <v>32</v>
      </c>
      <c r="B2132" s="37">
        <v>44783</v>
      </c>
      <c r="C2132" s="36" t="s">
        <v>640</v>
      </c>
      <c r="D2132" s="36" t="s">
        <v>763</v>
      </c>
      <c r="E2132" s="36" t="s">
        <v>77</v>
      </c>
      <c r="J2132" s="38">
        <v>53487500</v>
      </c>
      <c r="K2132" s="85">
        <v>2022</v>
      </c>
      <c r="L2132" s="85">
        <v>7</v>
      </c>
      <c r="N2132" s="1" t="s">
        <v>44</v>
      </c>
    </row>
    <row r="2133" spans="1:14">
      <c r="A2133" s="36" t="s">
        <v>32</v>
      </c>
      <c r="B2133" s="37">
        <v>44783</v>
      </c>
      <c r="C2133" s="36" t="s">
        <v>688</v>
      </c>
      <c r="D2133" s="36" t="s">
        <v>1731</v>
      </c>
      <c r="E2133" s="36" t="s">
        <v>77</v>
      </c>
      <c r="J2133" s="38">
        <v>1694000</v>
      </c>
      <c r="K2133" s="85">
        <v>2022</v>
      </c>
      <c r="L2133" s="85">
        <v>7</v>
      </c>
      <c r="N2133" s="1" t="s">
        <v>44</v>
      </c>
    </row>
    <row r="2134" spans="1:14">
      <c r="A2134" s="36" t="s">
        <v>32</v>
      </c>
      <c r="B2134" s="37">
        <v>44785</v>
      </c>
      <c r="C2134" s="36" t="s">
        <v>209</v>
      </c>
      <c r="D2134" s="36" t="s">
        <v>812</v>
      </c>
      <c r="E2134" s="36" t="s">
        <v>148</v>
      </c>
      <c r="J2134" s="87">
        <v>7854000</v>
      </c>
      <c r="K2134" s="85">
        <v>2022</v>
      </c>
      <c r="L2134" s="85">
        <v>7</v>
      </c>
      <c r="N2134" s="1" t="s">
        <v>44</v>
      </c>
    </row>
    <row r="2135" spans="1:14">
      <c r="A2135" s="36" t="s">
        <v>32</v>
      </c>
      <c r="B2135" s="37">
        <v>44789</v>
      </c>
      <c r="C2135" s="36" t="s">
        <v>677</v>
      </c>
      <c r="D2135" s="36" t="s">
        <v>924</v>
      </c>
      <c r="E2135" s="36" t="s">
        <v>77</v>
      </c>
      <c r="J2135" s="87">
        <v>42325800</v>
      </c>
      <c r="K2135" s="85">
        <v>2022</v>
      </c>
      <c r="L2135" s="85">
        <v>7</v>
      </c>
      <c r="N2135" s="1" t="s">
        <v>44</v>
      </c>
    </row>
    <row r="2136" spans="1:14">
      <c r="A2136" s="36" t="s">
        <v>32</v>
      </c>
      <c r="B2136" s="37">
        <v>44789</v>
      </c>
      <c r="C2136" s="36" t="s">
        <v>677</v>
      </c>
      <c r="D2136" s="36" t="s">
        <v>825</v>
      </c>
      <c r="E2136" s="36" t="s">
        <v>77</v>
      </c>
      <c r="J2136" s="38">
        <v>2477750</v>
      </c>
      <c r="K2136" s="85">
        <v>2022</v>
      </c>
      <c r="L2136" s="85">
        <v>8</v>
      </c>
      <c r="N2136" s="1" t="s">
        <v>44</v>
      </c>
    </row>
    <row r="2137" spans="1:14">
      <c r="A2137" s="36" t="s">
        <v>32</v>
      </c>
      <c r="B2137" s="37">
        <v>44789</v>
      </c>
      <c r="C2137" s="36" t="s">
        <v>268</v>
      </c>
      <c r="D2137" s="36" t="s">
        <v>954</v>
      </c>
      <c r="E2137" s="36" t="s">
        <v>148</v>
      </c>
      <c r="J2137" s="87">
        <v>14297580</v>
      </c>
      <c r="K2137" s="85">
        <v>2022</v>
      </c>
      <c r="L2137" s="85">
        <v>7</v>
      </c>
      <c r="N2137" s="1" t="s">
        <v>44</v>
      </c>
    </row>
    <row r="2138" spans="1:14">
      <c r="A2138" s="36" t="s">
        <v>32</v>
      </c>
      <c r="B2138" s="37">
        <v>44789</v>
      </c>
      <c r="C2138" s="36" t="s">
        <v>920</v>
      </c>
      <c r="D2138" s="36" t="s">
        <v>921</v>
      </c>
      <c r="E2138" s="36" t="s">
        <v>148</v>
      </c>
      <c r="J2138" s="87">
        <v>8349000</v>
      </c>
      <c r="K2138" s="85">
        <v>2022</v>
      </c>
      <c r="L2138" s="85">
        <v>6</v>
      </c>
      <c r="N2138" s="1" t="s">
        <v>44</v>
      </c>
    </row>
    <row r="2139" spans="1:14">
      <c r="A2139" s="36" t="s">
        <v>33</v>
      </c>
      <c r="B2139" s="37">
        <v>44790</v>
      </c>
      <c r="C2139" s="36" t="s">
        <v>925</v>
      </c>
      <c r="D2139" s="36" t="s">
        <v>926</v>
      </c>
      <c r="E2139" s="36" t="s">
        <v>148</v>
      </c>
      <c r="J2139" s="87">
        <v>4598000</v>
      </c>
      <c r="K2139" s="85">
        <v>2022</v>
      </c>
      <c r="L2139" s="85">
        <v>7</v>
      </c>
      <c r="N2139" s="1" t="s">
        <v>44</v>
      </c>
    </row>
    <row r="2140" spans="1:14">
      <c r="A2140" s="36" t="s">
        <v>32</v>
      </c>
      <c r="B2140" s="37">
        <v>44790</v>
      </c>
      <c r="C2140" s="36" t="s">
        <v>677</v>
      </c>
      <c r="D2140" s="36" t="s">
        <v>825</v>
      </c>
      <c r="E2140" s="36" t="s">
        <v>148</v>
      </c>
      <c r="J2140" s="87">
        <v>75498500</v>
      </c>
      <c r="K2140" s="85">
        <v>2022</v>
      </c>
      <c r="L2140" s="85">
        <v>7</v>
      </c>
      <c r="N2140" s="1" t="s">
        <v>44</v>
      </c>
    </row>
    <row r="2141" spans="1:14">
      <c r="A2141" s="36" t="s">
        <v>32</v>
      </c>
      <c r="B2141" s="37">
        <v>44790</v>
      </c>
      <c r="C2141" s="36" t="s">
        <v>677</v>
      </c>
      <c r="D2141" s="36" t="s">
        <v>678</v>
      </c>
      <c r="E2141" s="36" t="s">
        <v>148</v>
      </c>
      <c r="J2141" s="87">
        <v>64626474</v>
      </c>
      <c r="K2141" s="85">
        <v>2022</v>
      </c>
      <c r="L2141" s="85">
        <v>7</v>
      </c>
      <c r="N2141" s="1" t="s">
        <v>44</v>
      </c>
    </row>
    <row r="2142" spans="1:14">
      <c r="A2142" s="36" t="s">
        <v>33</v>
      </c>
      <c r="B2142" s="37">
        <v>44790</v>
      </c>
      <c r="C2142" s="36" t="s">
        <v>119</v>
      </c>
      <c r="D2142" s="36" t="s">
        <v>877</v>
      </c>
      <c r="E2142" s="36" t="s">
        <v>148</v>
      </c>
      <c r="J2142" s="87">
        <v>7986000</v>
      </c>
      <c r="K2142" s="85">
        <v>2022</v>
      </c>
      <c r="L2142" s="85">
        <v>7</v>
      </c>
      <c r="N2142" s="1" t="s">
        <v>44</v>
      </c>
    </row>
    <row r="2143" spans="1:14">
      <c r="A2143" s="36" t="s">
        <v>32</v>
      </c>
      <c r="B2143" s="37">
        <v>44790</v>
      </c>
      <c r="C2143" s="36" t="s">
        <v>881</v>
      </c>
      <c r="D2143" s="36" t="s">
        <v>877</v>
      </c>
      <c r="E2143" s="36" t="s">
        <v>148</v>
      </c>
      <c r="J2143" s="87">
        <v>93527500</v>
      </c>
      <c r="K2143" s="85">
        <v>2022</v>
      </c>
      <c r="L2143" s="85">
        <v>7</v>
      </c>
      <c r="N2143" s="1" t="s">
        <v>44</v>
      </c>
    </row>
    <row r="2144" spans="1:14">
      <c r="A2144" s="36" t="s">
        <v>32</v>
      </c>
      <c r="B2144" s="37">
        <v>44790</v>
      </c>
      <c r="C2144" s="36" t="s">
        <v>881</v>
      </c>
      <c r="D2144" s="36" t="s">
        <v>877</v>
      </c>
      <c r="E2144" s="36" t="s">
        <v>148</v>
      </c>
      <c r="J2144" s="87">
        <v>135902250</v>
      </c>
      <c r="K2144" s="85">
        <v>2022</v>
      </c>
      <c r="L2144" s="85">
        <v>7</v>
      </c>
      <c r="N2144" s="1" t="s">
        <v>44</v>
      </c>
    </row>
    <row r="2145" spans="1:14">
      <c r="A2145" s="36" t="s">
        <v>32</v>
      </c>
      <c r="B2145" s="37">
        <v>44793</v>
      </c>
      <c r="C2145" s="36" t="s">
        <v>209</v>
      </c>
      <c r="D2145" s="36" t="s">
        <v>1048</v>
      </c>
      <c r="E2145" s="36" t="s">
        <v>76</v>
      </c>
      <c r="G2145" s="87">
        <v>11400400</v>
      </c>
      <c r="H2145" s="87">
        <v>1140040</v>
      </c>
      <c r="I2145" s="87">
        <v>12540440</v>
      </c>
      <c r="K2145" s="85">
        <v>2022</v>
      </c>
      <c r="L2145" s="85">
        <v>8</v>
      </c>
      <c r="N2145" s="1" t="s">
        <v>44</v>
      </c>
    </row>
    <row r="2146" spans="1:14">
      <c r="A2146" s="36" t="s">
        <v>32</v>
      </c>
      <c r="B2146" s="37">
        <v>44796</v>
      </c>
      <c r="C2146" s="36" t="s">
        <v>942</v>
      </c>
      <c r="D2146" s="36" t="s">
        <v>943</v>
      </c>
      <c r="E2146" s="36" t="s">
        <v>148</v>
      </c>
      <c r="J2146" s="87">
        <v>1650000</v>
      </c>
      <c r="K2146" s="85">
        <v>2022</v>
      </c>
      <c r="L2146" s="85">
        <v>7</v>
      </c>
      <c r="N2146" s="1" t="s">
        <v>44</v>
      </c>
    </row>
    <row r="2147" spans="1:14">
      <c r="A2147" s="36" t="s">
        <v>33</v>
      </c>
      <c r="B2147" s="37">
        <v>44798</v>
      </c>
      <c r="C2147" s="36" t="s">
        <v>131</v>
      </c>
      <c r="D2147" s="36" t="s">
        <v>439</v>
      </c>
      <c r="E2147" s="36" t="s">
        <v>963</v>
      </c>
      <c r="G2147" s="87">
        <v>396000</v>
      </c>
      <c r="H2147" s="87">
        <v>39600</v>
      </c>
      <c r="I2147" s="87">
        <v>435600</v>
      </c>
      <c r="K2147" s="85">
        <v>2022</v>
      </c>
      <c r="L2147" s="85">
        <v>8</v>
      </c>
      <c r="N2147" s="1" t="s">
        <v>44</v>
      </c>
    </row>
    <row r="2148" spans="1:14">
      <c r="A2148" s="36" t="s">
        <v>33</v>
      </c>
      <c r="B2148" s="37">
        <v>44798</v>
      </c>
      <c r="C2148" s="36" t="s">
        <v>813</v>
      </c>
      <c r="D2148" s="36" t="s">
        <v>814</v>
      </c>
      <c r="E2148" s="36" t="s">
        <v>935</v>
      </c>
      <c r="G2148" s="87">
        <v>142500</v>
      </c>
      <c r="H2148" s="87">
        <v>14250</v>
      </c>
      <c r="I2148" s="87">
        <v>156750</v>
      </c>
      <c r="K2148" s="85">
        <v>2022</v>
      </c>
      <c r="L2148" s="85">
        <v>8</v>
      </c>
      <c r="N2148" s="1" t="s">
        <v>44</v>
      </c>
    </row>
    <row r="2149" spans="1:14">
      <c r="A2149" s="36" t="s">
        <v>33</v>
      </c>
      <c r="B2149" s="37">
        <v>44798</v>
      </c>
      <c r="C2149" s="36" t="s">
        <v>813</v>
      </c>
      <c r="D2149" s="36" t="s">
        <v>814</v>
      </c>
      <c r="E2149" s="36" t="s">
        <v>148</v>
      </c>
      <c r="J2149" s="87">
        <v>156750</v>
      </c>
      <c r="K2149" s="85">
        <v>2022</v>
      </c>
      <c r="L2149" s="85">
        <v>8</v>
      </c>
      <c r="N2149" s="1" t="s">
        <v>44</v>
      </c>
    </row>
    <row r="2150" spans="1:14">
      <c r="A2150" s="36" t="s">
        <v>33</v>
      </c>
      <c r="B2150" s="37">
        <v>44798</v>
      </c>
      <c r="C2150" s="36" t="s">
        <v>958</v>
      </c>
      <c r="D2150" s="36" t="s">
        <v>347</v>
      </c>
      <c r="E2150" s="36" t="s">
        <v>959</v>
      </c>
      <c r="G2150" s="87">
        <v>267000</v>
      </c>
      <c r="H2150" s="87">
        <v>26700</v>
      </c>
      <c r="I2150" s="87">
        <v>293700</v>
      </c>
      <c r="K2150" s="85">
        <v>2022</v>
      </c>
      <c r="L2150" s="85">
        <v>8</v>
      </c>
      <c r="N2150" s="1" t="s">
        <v>44</v>
      </c>
    </row>
    <row r="2151" spans="1:14">
      <c r="A2151" s="36" t="s">
        <v>33</v>
      </c>
      <c r="B2151" s="37">
        <v>44798</v>
      </c>
      <c r="C2151" s="36" t="s">
        <v>958</v>
      </c>
      <c r="D2151" s="36" t="s">
        <v>347</v>
      </c>
      <c r="E2151" s="36" t="s">
        <v>77</v>
      </c>
      <c r="J2151" s="38">
        <v>293700</v>
      </c>
      <c r="K2151" s="85">
        <v>2022</v>
      </c>
      <c r="L2151" s="85">
        <v>8</v>
      </c>
      <c r="N2151" s="1" t="s">
        <v>44</v>
      </c>
    </row>
    <row r="2152" spans="1:14">
      <c r="A2152" s="36" t="s">
        <v>33</v>
      </c>
      <c r="B2152" s="37">
        <v>44798</v>
      </c>
      <c r="C2152" s="36" t="s">
        <v>119</v>
      </c>
      <c r="D2152" s="36" t="s">
        <v>1048</v>
      </c>
      <c r="E2152" s="36" t="s">
        <v>76</v>
      </c>
      <c r="G2152" s="87">
        <v>9002200</v>
      </c>
      <c r="H2152" s="87">
        <v>900220</v>
      </c>
      <c r="I2152" s="87">
        <v>9902420</v>
      </c>
      <c r="K2152" s="85">
        <v>2022</v>
      </c>
      <c r="L2152" s="85">
        <v>8</v>
      </c>
      <c r="N2152" s="1" t="s">
        <v>44</v>
      </c>
    </row>
    <row r="2153" spans="1:14">
      <c r="A2153" s="36" t="s">
        <v>32</v>
      </c>
      <c r="B2153" s="37">
        <v>44798</v>
      </c>
      <c r="C2153" s="36" t="s">
        <v>977</v>
      </c>
      <c r="D2153" s="36" t="s">
        <v>978</v>
      </c>
      <c r="E2153" s="36" t="s">
        <v>76</v>
      </c>
      <c r="G2153" s="87">
        <v>2100000</v>
      </c>
      <c r="H2153" s="87">
        <v>210000</v>
      </c>
      <c r="I2153" s="87">
        <v>2310000</v>
      </c>
      <c r="K2153" s="85">
        <v>2022</v>
      </c>
      <c r="L2153" s="85">
        <v>8</v>
      </c>
      <c r="N2153" s="1" t="s">
        <v>44</v>
      </c>
    </row>
    <row r="2154" spans="1:14">
      <c r="A2154" s="36" t="s">
        <v>32</v>
      </c>
      <c r="B2154" s="37">
        <v>44799</v>
      </c>
      <c r="C2154" s="36" t="s">
        <v>950</v>
      </c>
      <c r="D2154" s="36" t="s">
        <v>951</v>
      </c>
      <c r="E2154" s="36" t="s">
        <v>148</v>
      </c>
      <c r="J2154" s="87">
        <v>11220000</v>
      </c>
      <c r="K2154" s="85">
        <v>2022</v>
      </c>
      <c r="L2154" s="85">
        <v>7</v>
      </c>
      <c r="N2154" s="1" t="s">
        <v>44</v>
      </c>
    </row>
    <row r="2155" spans="1:14">
      <c r="A2155" s="36" t="s">
        <v>32</v>
      </c>
      <c r="B2155" s="37">
        <v>44799</v>
      </c>
      <c r="C2155" s="36" t="s">
        <v>950</v>
      </c>
      <c r="D2155" s="36" t="s">
        <v>979</v>
      </c>
      <c r="E2155" s="36" t="s">
        <v>76</v>
      </c>
      <c r="G2155" s="87">
        <v>5950000</v>
      </c>
      <c r="H2155" s="87">
        <v>595000</v>
      </c>
      <c r="I2155" s="87">
        <v>6545000</v>
      </c>
      <c r="K2155" s="85">
        <v>2022</v>
      </c>
      <c r="L2155" s="85">
        <v>8</v>
      </c>
      <c r="N2155" s="1" t="s">
        <v>44</v>
      </c>
    </row>
    <row r="2156" spans="1:14">
      <c r="A2156" s="36" t="s">
        <v>32</v>
      </c>
      <c r="B2156" s="37">
        <v>44799</v>
      </c>
      <c r="C2156" s="36" t="s">
        <v>950</v>
      </c>
      <c r="D2156" s="36" t="s">
        <v>979</v>
      </c>
      <c r="E2156" s="36" t="s">
        <v>77</v>
      </c>
      <c r="J2156" s="38">
        <v>6545000</v>
      </c>
      <c r="K2156" s="85">
        <v>2022</v>
      </c>
      <c r="L2156" s="85">
        <v>8</v>
      </c>
      <c r="N2156" s="1" t="s">
        <v>44</v>
      </c>
    </row>
    <row r="2157" spans="1:14">
      <c r="A2157" s="36" t="s">
        <v>32</v>
      </c>
      <c r="B2157" s="37">
        <v>44799</v>
      </c>
      <c r="C2157" s="36" t="s">
        <v>590</v>
      </c>
      <c r="D2157" s="36" t="s">
        <v>591</v>
      </c>
      <c r="E2157" s="36" t="s">
        <v>76</v>
      </c>
      <c r="G2157" s="87">
        <v>3680000</v>
      </c>
      <c r="H2157" s="87">
        <v>368000</v>
      </c>
      <c r="I2157" s="87">
        <v>4048000</v>
      </c>
      <c r="K2157" s="85">
        <v>2022</v>
      </c>
      <c r="L2157" s="85">
        <v>8</v>
      </c>
      <c r="N2157" s="1" t="s">
        <v>44</v>
      </c>
    </row>
    <row r="2158" spans="1:14">
      <c r="A2158" s="36" t="s">
        <v>32</v>
      </c>
      <c r="B2158" s="37">
        <v>44802</v>
      </c>
      <c r="C2158" s="36" t="s">
        <v>948</v>
      </c>
      <c r="D2158" s="36" t="s">
        <v>949</v>
      </c>
      <c r="E2158" s="36" t="s">
        <v>148</v>
      </c>
      <c r="J2158" s="87">
        <v>2464000</v>
      </c>
      <c r="K2158" s="85">
        <v>2022</v>
      </c>
      <c r="L2158" s="85">
        <v>7</v>
      </c>
      <c r="N2158" s="1" t="s">
        <v>44</v>
      </c>
    </row>
    <row r="2159" spans="1:14">
      <c r="A2159" s="36" t="s">
        <v>33</v>
      </c>
      <c r="B2159" s="37">
        <v>44802</v>
      </c>
      <c r="C2159" s="36" t="s">
        <v>131</v>
      </c>
      <c r="D2159" s="36" t="s">
        <v>439</v>
      </c>
      <c r="E2159" s="36" t="s">
        <v>964</v>
      </c>
      <c r="G2159" s="87">
        <v>88000</v>
      </c>
      <c r="H2159" s="87">
        <v>8800</v>
      </c>
      <c r="I2159" s="87">
        <v>96800</v>
      </c>
      <c r="K2159" s="85">
        <v>2022</v>
      </c>
      <c r="L2159" s="85">
        <v>8</v>
      </c>
      <c r="N2159" s="1" t="s">
        <v>44</v>
      </c>
    </row>
    <row r="2160" spans="1:14">
      <c r="A2160" s="36" t="s">
        <v>32</v>
      </c>
      <c r="B2160" s="37">
        <v>44802</v>
      </c>
      <c r="C2160" s="36" t="s">
        <v>307</v>
      </c>
      <c r="D2160" s="36" t="s">
        <v>980</v>
      </c>
      <c r="E2160" s="36" t="s">
        <v>76</v>
      </c>
      <c r="G2160" s="87">
        <v>1120000</v>
      </c>
      <c r="H2160" s="87">
        <v>112000</v>
      </c>
      <c r="I2160" s="87">
        <v>1232000</v>
      </c>
      <c r="K2160" s="85">
        <v>2022</v>
      </c>
      <c r="L2160" s="85">
        <v>8</v>
      </c>
      <c r="N2160" s="1" t="s">
        <v>44</v>
      </c>
    </row>
    <row r="2161" spans="1:14">
      <c r="A2161" s="36" t="s">
        <v>33</v>
      </c>
      <c r="B2161" s="37">
        <v>44803</v>
      </c>
      <c r="C2161" s="36" t="s">
        <v>131</v>
      </c>
      <c r="D2161" s="36" t="s">
        <v>439</v>
      </c>
      <c r="E2161" s="36" t="s">
        <v>77</v>
      </c>
      <c r="J2161" s="38">
        <v>435600</v>
      </c>
      <c r="K2161" s="85">
        <v>2022</v>
      </c>
      <c r="L2161" s="85">
        <v>8</v>
      </c>
      <c r="N2161" s="1" t="s">
        <v>44</v>
      </c>
    </row>
    <row r="2162" spans="1:14">
      <c r="A2162" s="36" t="s">
        <v>33</v>
      </c>
      <c r="B2162" s="37">
        <v>44803</v>
      </c>
      <c r="C2162" s="36" t="s">
        <v>131</v>
      </c>
      <c r="D2162" s="36" t="s">
        <v>439</v>
      </c>
      <c r="E2162" s="36" t="s">
        <v>77</v>
      </c>
      <c r="J2162" s="38">
        <v>96800</v>
      </c>
      <c r="K2162" s="85">
        <v>2022</v>
      </c>
      <c r="L2162" s="85">
        <v>8</v>
      </c>
      <c r="N2162" s="1" t="s">
        <v>44</v>
      </c>
    </row>
    <row r="2163" spans="1:14">
      <c r="A2163" s="36" t="s">
        <v>32</v>
      </c>
      <c r="B2163" s="37">
        <v>44803</v>
      </c>
      <c r="C2163" s="36" t="s">
        <v>352</v>
      </c>
      <c r="D2163" s="36" t="s">
        <v>427</v>
      </c>
      <c r="E2163" s="36" t="s">
        <v>76</v>
      </c>
      <c r="G2163" s="87">
        <v>2701228</v>
      </c>
      <c r="H2163" s="87">
        <v>270122.8</v>
      </c>
      <c r="I2163" s="87">
        <v>2971350.8</v>
      </c>
      <c r="K2163" s="85">
        <v>2022</v>
      </c>
      <c r="L2163" s="85">
        <v>8</v>
      </c>
      <c r="N2163" s="1" t="s">
        <v>44</v>
      </c>
    </row>
    <row r="2164" spans="1:14">
      <c r="A2164" s="36" t="s">
        <v>32</v>
      </c>
      <c r="B2164" s="37">
        <v>44804</v>
      </c>
      <c r="C2164" s="36" t="s">
        <v>760</v>
      </c>
      <c r="D2164" s="36" t="s">
        <v>946</v>
      </c>
      <c r="E2164" s="36" t="s">
        <v>77</v>
      </c>
      <c r="J2164" s="87">
        <v>12961135</v>
      </c>
      <c r="K2164" s="85">
        <v>2022</v>
      </c>
      <c r="L2164" s="85">
        <v>7</v>
      </c>
      <c r="N2164" s="1" t="s">
        <v>44</v>
      </c>
    </row>
    <row r="2165" spans="1:14">
      <c r="A2165" s="36" t="s">
        <v>32</v>
      </c>
      <c r="B2165" s="37">
        <v>44804</v>
      </c>
      <c r="C2165" s="36" t="s">
        <v>760</v>
      </c>
      <c r="D2165" s="36" t="s">
        <v>947</v>
      </c>
      <c r="E2165" s="36" t="s">
        <v>77</v>
      </c>
      <c r="J2165" s="87">
        <v>4840000</v>
      </c>
      <c r="K2165" s="85">
        <v>2022</v>
      </c>
      <c r="L2165" s="85">
        <v>7</v>
      </c>
      <c r="N2165" s="1" t="s">
        <v>44</v>
      </c>
    </row>
    <row r="2166" spans="1:14">
      <c r="A2166" s="36" t="s">
        <v>32</v>
      </c>
      <c r="B2166" s="37">
        <v>44804</v>
      </c>
      <c r="C2166" s="36" t="s">
        <v>760</v>
      </c>
      <c r="D2166" s="36" t="s">
        <v>854</v>
      </c>
      <c r="E2166" s="36" t="s">
        <v>76</v>
      </c>
      <c r="G2166" s="87">
        <v>3120000</v>
      </c>
      <c r="H2166" s="87">
        <v>312000</v>
      </c>
      <c r="I2166" s="87">
        <v>3432000</v>
      </c>
      <c r="K2166" s="85">
        <v>2022</v>
      </c>
      <c r="L2166" s="85">
        <v>8</v>
      </c>
      <c r="N2166" s="1" t="s">
        <v>44</v>
      </c>
    </row>
    <row r="2167" spans="1:14">
      <c r="A2167" s="36" t="s">
        <v>32</v>
      </c>
      <c r="B2167" s="37">
        <v>44804</v>
      </c>
      <c r="C2167" s="36" t="s">
        <v>760</v>
      </c>
      <c r="D2167" s="36" t="s">
        <v>986</v>
      </c>
      <c r="E2167" s="36" t="s">
        <v>76</v>
      </c>
      <c r="G2167" s="87">
        <v>2860000</v>
      </c>
      <c r="H2167" s="87">
        <v>286000</v>
      </c>
      <c r="I2167" s="87">
        <v>3146000</v>
      </c>
      <c r="K2167" s="85">
        <v>2022</v>
      </c>
      <c r="L2167" s="85">
        <v>8</v>
      </c>
      <c r="N2167" s="1" t="s">
        <v>44</v>
      </c>
    </row>
    <row r="2168" spans="1:14">
      <c r="A2168" s="36" t="s">
        <v>32</v>
      </c>
      <c r="B2168" s="37">
        <v>44804</v>
      </c>
      <c r="C2168" s="36" t="s">
        <v>664</v>
      </c>
      <c r="D2168" s="36" t="s">
        <v>629</v>
      </c>
      <c r="E2168" s="36" t="s">
        <v>76</v>
      </c>
      <c r="G2168" s="87">
        <v>1141800</v>
      </c>
      <c r="H2168" s="87">
        <v>114180</v>
      </c>
      <c r="I2168" s="87">
        <v>1255980</v>
      </c>
      <c r="K2168" s="85">
        <v>2022</v>
      </c>
      <c r="L2168" s="85">
        <v>8</v>
      </c>
      <c r="N2168" s="1" t="s">
        <v>44</v>
      </c>
    </row>
    <row r="2169" spans="1:14">
      <c r="A2169" s="36" t="s">
        <v>32</v>
      </c>
      <c r="B2169" s="37">
        <v>44804</v>
      </c>
      <c r="C2169" s="36" t="s">
        <v>174</v>
      </c>
      <c r="D2169" s="36" t="s">
        <v>811</v>
      </c>
      <c r="E2169" s="36" t="s">
        <v>76</v>
      </c>
      <c r="G2169" s="87">
        <v>5366400</v>
      </c>
      <c r="H2169" s="87">
        <v>536640</v>
      </c>
      <c r="I2169" s="87">
        <v>5903040</v>
      </c>
      <c r="K2169" s="85">
        <v>2022</v>
      </c>
      <c r="L2169" s="85">
        <v>8</v>
      </c>
      <c r="N2169" s="1" t="s">
        <v>44</v>
      </c>
    </row>
    <row r="2170" spans="1:14">
      <c r="A2170" s="36" t="s">
        <v>32</v>
      </c>
      <c r="B2170" s="37">
        <v>44804</v>
      </c>
      <c r="C2170" s="36" t="s">
        <v>209</v>
      </c>
      <c r="D2170" s="36" t="s">
        <v>812</v>
      </c>
      <c r="E2170" s="36" t="s">
        <v>76</v>
      </c>
      <c r="G2170" s="87">
        <v>10220000</v>
      </c>
      <c r="H2170" s="87">
        <v>1022000</v>
      </c>
      <c r="I2170" s="87">
        <v>11242000</v>
      </c>
      <c r="K2170" s="85">
        <v>2022</v>
      </c>
      <c r="L2170" s="85">
        <v>8</v>
      </c>
      <c r="N2170" s="1" t="s">
        <v>44</v>
      </c>
    </row>
    <row r="2171" spans="1:14">
      <c r="A2171" s="36" t="s">
        <v>32</v>
      </c>
      <c r="B2171" s="37">
        <v>44804</v>
      </c>
      <c r="C2171" s="36" t="s">
        <v>209</v>
      </c>
      <c r="D2171" s="36" t="s">
        <v>928</v>
      </c>
      <c r="E2171" s="36" t="s">
        <v>76</v>
      </c>
      <c r="G2171" s="87">
        <v>5516500</v>
      </c>
      <c r="H2171" s="87">
        <v>551650</v>
      </c>
      <c r="I2171" s="87">
        <v>6068150</v>
      </c>
      <c r="K2171" s="85">
        <v>2022</v>
      </c>
      <c r="L2171" s="85">
        <v>8</v>
      </c>
      <c r="N2171" s="1" t="s">
        <v>44</v>
      </c>
    </row>
    <row r="2172" spans="1:14">
      <c r="A2172" s="36" t="s">
        <v>32</v>
      </c>
      <c r="B2172" s="37">
        <v>44804</v>
      </c>
      <c r="C2172" s="36" t="s">
        <v>640</v>
      </c>
      <c r="D2172" s="36" t="s">
        <v>763</v>
      </c>
      <c r="E2172" s="36" t="s">
        <v>76</v>
      </c>
      <c r="G2172" s="87">
        <v>57125000</v>
      </c>
      <c r="H2172" s="87">
        <v>5712500</v>
      </c>
      <c r="I2172" s="87">
        <v>62837500</v>
      </c>
      <c r="K2172" s="85">
        <v>2022</v>
      </c>
      <c r="L2172" s="85">
        <v>8</v>
      </c>
      <c r="N2172" s="1" t="s">
        <v>44</v>
      </c>
    </row>
    <row r="2173" spans="1:14">
      <c r="A2173" s="36" t="s">
        <v>32</v>
      </c>
      <c r="B2173" s="37">
        <v>44804</v>
      </c>
      <c r="C2173" s="36" t="s">
        <v>989</v>
      </c>
      <c r="D2173" s="36" t="s">
        <v>990</v>
      </c>
      <c r="E2173" s="36" t="s">
        <v>76</v>
      </c>
      <c r="G2173" s="87">
        <v>9160500</v>
      </c>
      <c r="H2173" s="87">
        <v>916050</v>
      </c>
      <c r="I2173" s="87">
        <v>10076550</v>
      </c>
      <c r="K2173" s="85">
        <v>2022</v>
      </c>
      <c r="L2173" s="85">
        <v>8</v>
      </c>
      <c r="N2173" s="1" t="s">
        <v>44</v>
      </c>
    </row>
    <row r="2174" spans="1:14">
      <c r="A2174" s="36" t="s">
        <v>33</v>
      </c>
      <c r="B2174" s="37">
        <v>44804</v>
      </c>
      <c r="C2174" s="36" t="s">
        <v>864</v>
      </c>
      <c r="D2174" s="36" t="s">
        <v>865</v>
      </c>
      <c r="E2174" s="36" t="s">
        <v>967</v>
      </c>
      <c r="G2174" s="87">
        <v>2400000</v>
      </c>
      <c r="H2174" s="87">
        <v>240000</v>
      </c>
      <c r="I2174" s="87">
        <v>2640000</v>
      </c>
      <c r="K2174" s="85">
        <v>2022</v>
      </c>
      <c r="L2174" s="85">
        <v>8</v>
      </c>
      <c r="N2174" s="1" t="s">
        <v>44</v>
      </c>
    </row>
    <row r="2175" spans="1:14">
      <c r="A2175" s="36" t="s">
        <v>33</v>
      </c>
      <c r="B2175" s="37">
        <v>44804</v>
      </c>
      <c r="C2175" s="36" t="s">
        <v>974</v>
      </c>
      <c r="D2175" s="36" t="s">
        <v>975</v>
      </c>
      <c r="E2175" s="36" t="s">
        <v>76</v>
      </c>
      <c r="G2175" s="87">
        <v>2185000</v>
      </c>
      <c r="H2175" s="87">
        <v>218500</v>
      </c>
      <c r="I2175" s="87">
        <v>2403500</v>
      </c>
      <c r="K2175" s="85">
        <v>2022</v>
      </c>
      <c r="L2175" s="85">
        <v>8</v>
      </c>
      <c r="N2175" s="1" t="s">
        <v>44</v>
      </c>
    </row>
    <row r="2176" spans="1:14">
      <c r="A2176" s="36" t="s">
        <v>33</v>
      </c>
      <c r="B2176" s="37">
        <v>44804</v>
      </c>
      <c r="C2176" s="36" t="s">
        <v>958</v>
      </c>
      <c r="D2176" s="36" t="s">
        <v>347</v>
      </c>
      <c r="E2176" s="36" t="s">
        <v>965</v>
      </c>
      <c r="G2176" s="87">
        <v>343500</v>
      </c>
      <c r="H2176" s="87">
        <v>34350</v>
      </c>
      <c r="I2176" s="87">
        <v>377850</v>
      </c>
      <c r="K2176" s="85">
        <v>2022</v>
      </c>
      <c r="L2176" s="85">
        <v>8</v>
      </c>
      <c r="N2176" s="1" t="s">
        <v>44</v>
      </c>
    </row>
    <row r="2177" spans="1:14">
      <c r="A2177" s="36" t="s">
        <v>32</v>
      </c>
      <c r="B2177" s="37">
        <v>44804</v>
      </c>
      <c r="C2177" s="36" t="s">
        <v>204</v>
      </c>
      <c r="D2177" s="36" t="s">
        <v>674</v>
      </c>
      <c r="E2177" s="36" t="s">
        <v>76</v>
      </c>
      <c r="G2177" s="87">
        <v>3919500</v>
      </c>
      <c r="H2177" s="87">
        <v>391950</v>
      </c>
      <c r="I2177" s="87">
        <v>4311450</v>
      </c>
      <c r="K2177" s="85">
        <v>2022</v>
      </c>
      <c r="L2177" s="85">
        <v>8</v>
      </c>
      <c r="N2177" s="1" t="s">
        <v>44</v>
      </c>
    </row>
    <row r="2178" spans="1:14">
      <c r="A2178" s="36" t="s">
        <v>32</v>
      </c>
      <c r="B2178" s="37">
        <v>44804</v>
      </c>
      <c r="C2178" s="36" t="s">
        <v>204</v>
      </c>
      <c r="D2178" s="36" t="s">
        <v>995</v>
      </c>
      <c r="E2178" s="36" t="s">
        <v>76</v>
      </c>
      <c r="G2178" s="87">
        <v>4750000</v>
      </c>
      <c r="H2178" s="87">
        <v>475000</v>
      </c>
      <c r="I2178" s="87">
        <v>5225000</v>
      </c>
      <c r="K2178" s="85">
        <v>2022</v>
      </c>
      <c r="L2178" s="85">
        <v>8</v>
      </c>
      <c r="N2178" s="1" t="s">
        <v>44</v>
      </c>
    </row>
    <row r="2179" spans="1:14">
      <c r="A2179" s="36" t="s">
        <v>33</v>
      </c>
      <c r="B2179" s="37">
        <v>44804</v>
      </c>
      <c r="C2179" s="36" t="s">
        <v>960</v>
      </c>
      <c r="D2179" s="36" t="s">
        <v>961</v>
      </c>
      <c r="E2179" s="36" t="s">
        <v>962</v>
      </c>
      <c r="G2179" s="87">
        <v>2040000</v>
      </c>
      <c r="H2179" s="87">
        <v>204000</v>
      </c>
      <c r="I2179" s="87">
        <v>2244000</v>
      </c>
      <c r="K2179" s="85">
        <v>2022</v>
      </c>
      <c r="L2179" s="85">
        <v>8</v>
      </c>
      <c r="N2179" s="1" t="s">
        <v>44</v>
      </c>
    </row>
    <row r="2180" spans="1:14">
      <c r="A2180" s="36" t="s">
        <v>32</v>
      </c>
      <c r="B2180" s="37">
        <v>44804</v>
      </c>
      <c r="C2180" s="36" t="s">
        <v>983</v>
      </c>
      <c r="D2180" s="36" t="s">
        <v>408</v>
      </c>
      <c r="E2180" s="36" t="s">
        <v>76</v>
      </c>
      <c r="G2180" s="87">
        <v>8375000</v>
      </c>
      <c r="H2180" s="87">
        <v>837500</v>
      </c>
      <c r="I2180" s="87">
        <v>9212500</v>
      </c>
      <c r="K2180" s="85">
        <v>2022</v>
      </c>
      <c r="L2180" s="85">
        <v>8</v>
      </c>
      <c r="N2180" s="1" t="s">
        <v>44</v>
      </c>
    </row>
    <row r="2181" spans="1:14">
      <c r="A2181" s="36" t="s">
        <v>33</v>
      </c>
      <c r="B2181" s="37">
        <v>44804</v>
      </c>
      <c r="C2181" s="36" t="s">
        <v>838</v>
      </c>
      <c r="D2181" s="36" t="s">
        <v>347</v>
      </c>
      <c r="E2181" s="36" t="s">
        <v>165</v>
      </c>
      <c r="G2181" s="87">
        <v>1800000</v>
      </c>
      <c r="H2181" s="87">
        <v>180000</v>
      </c>
      <c r="I2181" s="87">
        <v>1980000</v>
      </c>
      <c r="K2181" s="85">
        <v>2022</v>
      </c>
      <c r="L2181" s="85">
        <v>8</v>
      </c>
      <c r="N2181" s="1" t="s">
        <v>44</v>
      </c>
    </row>
    <row r="2182" spans="1:14">
      <c r="A2182" s="36" t="s">
        <v>32</v>
      </c>
      <c r="B2182" s="37">
        <v>44804</v>
      </c>
      <c r="C2182" s="36" t="s">
        <v>982</v>
      </c>
      <c r="D2182" s="36" t="s">
        <v>1019</v>
      </c>
      <c r="E2182" s="36" t="s">
        <v>76</v>
      </c>
      <c r="G2182" s="87">
        <v>3780000</v>
      </c>
      <c r="H2182" s="87">
        <v>378000</v>
      </c>
      <c r="I2182" s="87">
        <v>4158000</v>
      </c>
      <c r="K2182" s="85">
        <v>2022</v>
      </c>
      <c r="L2182" s="85">
        <v>8</v>
      </c>
      <c r="N2182" s="1" t="s">
        <v>44</v>
      </c>
    </row>
    <row r="2183" spans="1:14">
      <c r="A2183" s="36" t="s">
        <v>32</v>
      </c>
      <c r="B2183" s="37">
        <v>44804</v>
      </c>
      <c r="C2183" s="36" t="s">
        <v>334</v>
      </c>
      <c r="D2183" s="36" t="s">
        <v>953</v>
      </c>
      <c r="E2183" s="36" t="s">
        <v>76</v>
      </c>
      <c r="G2183" s="87">
        <v>1500000</v>
      </c>
      <c r="H2183" s="87">
        <v>150000</v>
      </c>
      <c r="I2183" s="87">
        <v>1650000</v>
      </c>
      <c r="K2183" s="85">
        <v>2022</v>
      </c>
      <c r="L2183" s="85">
        <v>8</v>
      </c>
      <c r="N2183" s="1" t="s">
        <v>44</v>
      </c>
    </row>
    <row r="2184" spans="1:14">
      <c r="A2184" s="36" t="s">
        <v>32</v>
      </c>
      <c r="B2184" s="37">
        <v>44804</v>
      </c>
      <c r="C2184" s="36" t="s">
        <v>773</v>
      </c>
      <c r="D2184" s="36" t="s">
        <v>952</v>
      </c>
      <c r="E2184" s="36" t="s">
        <v>76</v>
      </c>
      <c r="G2184" s="87">
        <v>3510000</v>
      </c>
      <c r="H2184" s="87">
        <v>351000</v>
      </c>
      <c r="I2184" s="87">
        <v>3861000</v>
      </c>
      <c r="K2184" s="85">
        <v>2022</v>
      </c>
      <c r="L2184" s="85">
        <v>8</v>
      </c>
      <c r="N2184" s="1" t="s">
        <v>44</v>
      </c>
    </row>
    <row r="2185" spans="1:14">
      <c r="A2185" s="36" t="s">
        <v>32</v>
      </c>
      <c r="B2185" s="37">
        <v>44804</v>
      </c>
      <c r="C2185" s="36" t="s">
        <v>181</v>
      </c>
      <c r="D2185" s="36" t="s">
        <v>822</v>
      </c>
      <c r="E2185" s="36" t="s">
        <v>76</v>
      </c>
      <c r="G2185" s="87">
        <v>2700000</v>
      </c>
      <c r="H2185" s="87">
        <v>270000</v>
      </c>
      <c r="I2185" s="87">
        <v>2970000</v>
      </c>
      <c r="K2185" s="85">
        <v>2022</v>
      </c>
      <c r="L2185" s="85">
        <v>8</v>
      </c>
      <c r="N2185" s="1" t="s">
        <v>44</v>
      </c>
    </row>
    <row r="2186" spans="1:14">
      <c r="A2186" s="36" t="s">
        <v>32</v>
      </c>
      <c r="B2186" s="37">
        <v>44804</v>
      </c>
      <c r="C2186" s="36" t="s">
        <v>181</v>
      </c>
      <c r="D2186" s="36" t="s">
        <v>823</v>
      </c>
      <c r="E2186" s="36" t="s">
        <v>76</v>
      </c>
      <c r="G2186" s="87">
        <v>3780000</v>
      </c>
      <c r="H2186" s="87">
        <v>378000</v>
      </c>
      <c r="I2186" s="87">
        <v>4158000</v>
      </c>
      <c r="K2186" s="85">
        <v>2022</v>
      </c>
      <c r="L2186" s="85">
        <v>8</v>
      </c>
      <c r="N2186" s="1" t="s">
        <v>44</v>
      </c>
    </row>
    <row r="2187" spans="1:14">
      <c r="A2187" s="36" t="s">
        <v>33</v>
      </c>
      <c r="B2187" s="37">
        <v>44804</v>
      </c>
      <c r="C2187" s="36" t="s">
        <v>320</v>
      </c>
      <c r="D2187" s="36" t="s">
        <v>347</v>
      </c>
      <c r="E2187" s="36" t="s">
        <v>968</v>
      </c>
      <c r="G2187" s="87">
        <v>770000</v>
      </c>
      <c r="H2187" s="87">
        <v>77000</v>
      </c>
      <c r="I2187" s="87">
        <v>847000</v>
      </c>
      <c r="K2187" s="85">
        <v>2022</v>
      </c>
      <c r="L2187" s="85">
        <v>8</v>
      </c>
      <c r="N2187" s="1" t="s">
        <v>44</v>
      </c>
    </row>
    <row r="2188" spans="1:14">
      <c r="A2188" s="36" t="s">
        <v>32</v>
      </c>
      <c r="B2188" s="37">
        <v>44804</v>
      </c>
      <c r="C2188" s="36" t="s">
        <v>677</v>
      </c>
      <c r="D2188" s="36" t="s">
        <v>825</v>
      </c>
      <c r="E2188" s="36" t="s">
        <v>76</v>
      </c>
      <c r="G2188" s="87">
        <v>87715000</v>
      </c>
      <c r="H2188" s="87">
        <v>8771500</v>
      </c>
      <c r="I2188" s="87">
        <v>96486500</v>
      </c>
      <c r="K2188" s="85">
        <v>2022</v>
      </c>
      <c r="L2188" s="85">
        <v>8</v>
      </c>
      <c r="N2188" s="1" t="s">
        <v>44</v>
      </c>
    </row>
    <row r="2189" spans="1:14">
      <c r="A2189" s="36" t="s">
        <v>32</v>
      </c>
      <c r="B2189" s="37">
        <v>44804</v>
      </c>
      <c r="C2189" s="36" t="s">
        <v>677</v>
      </c>
      <c r="D2189" s="36" t="s">
        <v>924</v>
      </c>
      <c r="E2189" s="36" t="s">
        <v>76</v>
      </c>
      <c r="G2189" s="87">
        <v>34715000</v>
      </c>
      <c r="H2189" s="87">
        <v>3471500</v>
      </c>
      <c r="I2189" s="87">
        <v>38186500</v>
      </c>
      <c r="K2189" s="85">
        <v>2022</v>
      </c>
      <c r="L2189" s="85">
        <v>8</v>
      </c>
      <c r="N2189" s="1" t="s">
        <v>44</v>
      </c>
    </row>
    <row r="2190" spans="1:14">
      <c r="A2190" s="36" t="s">
        <v>32</v>
      </c>
      <c r="B2190" s="37">
        <v>44804</v>
      </c>
      <c r="C2190" s="36" t="s">
        <v>677</v>
      </c>
      <c r="D2190" s="36" t="s">
        <v>678</v>
      </c>
      <c r="E2190" s="36" t="s">
        <v>76</v>
      </c>
      <c r="G2190" s="87">
        <v>60624060</v>
      </c>
      <c r="H2190" s="87">
        <v>6062406</v>
      </c>
      <c r="I2190" s="87">
        <v>66686466</v>
      </c>
      <c r="K2190" s="85">
        <v>2022</v>
      </c>
      <c r="L2190" s="85">
        <v>8</v>
      </c>
      <c r="N2190" s="1" t="s">
        <v>44</v>
      </c>
    </row>
    <row r="2191" spans="1:14">
      <c r="A2191" s="36" t="s">
        <v>32</v>
      </c>
      <c r="B2191" s="37">
        <v>44804</v>
      </c>
      <c r="C2191" s="36" t="s">
        <v>984</v>
      </c>
      <c r="D2191" s="36" t="s">
        <v>985</v>
      </c>
      <c r="E2191" s="36" t="s">
        <v>76</v>
      </c>
      <c r="G2191" s="87">
        <v>7000000</v>
      </c>
      <c r="H2191" s="87">
        <v>700000</v>
      </c>
      <c r="I2191" s="87">
        <v>7700000</v>
      </c>
      <c r="K2191" s="85">
        <v>2022</v>
      </c>
      <c r="L2191" s="85">
        <v>8</v>
      </c>
      <c r="N2191" s="1" t="s">
        <v>44</v>
      </c>
    </row>
    <row r="2192" spans="1:14">
      <c r="A2192" s="36" t="s">
        <v>33</v>
      </c>
      <c r="B2192" s="37">
        <v>44804</v>
      </c>
      <c r="C2192" s="36" t="s">
        <v>119</v>
      </c>
      <c r="D2192" s="36" t="s">
        <v>877</v>
      </c>
      <c r="E2192" s="36" t="s">
        <v>76</v>
      </c>
      <c r="G2192" s="87">
        <v>23140000</v>
      </c>
      <c r="H2192" s="87">
        <v>2314000</v>
      </c>
      <c r="I2192" s="87">
        <v>25454000</v>
      </c>
      <c r="K2192" s="85">
        <v>2022</v>
      </c>
      <c r="L2192" s="85">
        <v>8</v>
      </c>
      <c r="N2192" s="1" t="s">
        <v>44</v>
      </c>
    </row>
    <row r="2193" spans="1:14">
      <c r="A2193" s="36" t="s">
        <v>33</v>
      </c>
      <c r="B2193" s="37">
        <v>44804</v>
      </c>
      <c r="C2193" s="36" t="s">
        <v>119</v>
      </c>
      <c r="D2193" s="36" t="s">
        <v>374</v>
      </c>
      <c r="E2193" s="36" t="s">
        <v>76</v>
      </c>
      <c r="G2193" s="87">
        <v>1320000</v>
      </c>
      <c r="H2193" s="87">
        <v>132000</v>
      </c>
      <c r="I2193" s="87">
        <v>1452000</v>
      </c>
      <c r="K2193" s="85">
        <v>2022</v>
      </c>
      <c r="L2193" s="85">
        <v>8</v>
      </c>
      <c r="N2193" s="1" t="s">
        <v>44</v>
      </c>
    </row>
    <row r="2194" spans="1:14">
      <c r="A2194" s="36" t="s">
        <v>33</v>
      </c>
      <c r="B2194" s="37">
        <v>44804</v>
      </c>
      <c r="C2194" s="36" t="s">
        <v>119</v>
      </c>
      <c r="D2194" s="36" t="s">
        <v>823</v>
      </c>
      <c r="E2194" s="36" t="s">
        <v>76</v>
      </c>
      <c r="G2194" s="87">
        <v>3640000</v>
      </c>
      <c r="H2194" s="87">
        <v>364000</v>
      </c>
      <c r="I2194" s="87">
        <v>4004000</v>
      </c>
      <c r="K2194" s="85">
        <v>2022</v>
      </c>
      <c r="L2194" s="85">
        <v>8</v>
      </c>
      <c r="N2194" s="1" t="s">
        <v>44</v>
      </c>
    </row>
    <row r="2195" spans="1:14">
      <c r="A2195" s="36" t="s">
        <v>33</v>
      </c>
      <c r="B2195" s="37">
        <v>44804</v>
      </c>
      <c r="C2195" s="36" t="s">
        <v>119</v>
      </c>
      <c r="D2195" s="36" t="s">
        <v>931</v>
      </c>
      <c r="E2195" s="36" t="s">
        <v>76</v>
      </c>
      <c r="G2195" s="87">
        <v>4969602</v>
      </c>
      <c r="H2195" s="87">
        <v>496960.2</v>
      </c>
      <c r="I2195" s="87">
        <v>5466562.2000000002</v>
      </c>
      <c r="K2195" s="85">
        <v>2022</v>
      </c>
      <c r="L2195" s="85">
        <v>8</v>
      </c>
      <c r="N2195" s="1" t="s">
        <v>44</v>
      </c>
    </row>
    <row r="2196" spans="1:14">
      <c r="A2196" s="36" t="s">
        <v>33</v>
      </c>
      <c r="B2196" s="37">
        <v>44804</v>
      </c>
      <c r="C2196" s="36" t="s">
        <v>119</v>
      </c>
      <c r="D2196" s="36" t="s">
        <v>990</v>
      </c>
      <c r="E2196" s="36" t="s">
        <v>269</v>
      </c>
      <c r="G2196" s="87">
        <v>9043600</v>
      </c>
      <c r="H2196" s="87">
        <v>904360</v>
      </c>
      <c r="I2196" s="87">
        <v>9947960</v>
      </c>
      <c r="K2196" s="85">
        <v>2022</v>
      </c>
      <c r="L2196" s="85">
        <v>8</v>
      </c>
      <c r="N2196" s="1" t="s">
        <v>44</v>
      </c>
    </row>
    <row r="2197" spans="1:14">
      <c r="A2197" s="36" t="s">
        <v>32</v>
      </c>
      <c r="B2197" s="37">
        <v>44804</v>
      </c>
      <c r="C2197" s="36" t="s">
        <v>264</v>
      </c>
      <c r="D2197" s="36" t="s">
        <v>993</v>
      </c>
      <c r="E2197" s="36" t="s">
        <v>76</v>
      </c>
      <c r="G2197" s="87">
        <v>12000000</v>
      </c>
      <c r="H2197" s="87">
        <v>1200000</v>
      </c>
      <c r="I2197" s="87">
        <v>13200000</v>
      </c>
      <c r="K2197" s="85">
        <v>2022</v>
      </c>
      <c r="L2197" s="85">
        <v>8</v>
      </c>
      <c r="N2197" s="1" t="s">
        <v>44</v>
      </c>
    </row>
    <row r="2198" spans="1:14">
      <c r="A2198" s="36" t="s">
        <v>32</v>
      </c>
      <c r="B2198" s="37">
        <v>44804</v>
      </c>
      <c r="C2198" s="36" t="s">
        <v>881</v>
      </c>
      <c r="D2198" s="36" t="s">
        <v>877</v>
      </c>
      <c r="E2198" s="36" t="s">
        <v>76</v>
      </c>
      <c r="G2198" s="87">
        <v>114962000</v>
      </c>
      <c r="H2198" s="87">
        <v>11496200</v>
      </c>
      <c r="I2198" s="87">
        <v>126458200</v>
      </c>
      <c r="K2198" s="85">
        <v>2022</v>
      </c>
      <c r="L2198" s="85">
        <v>8</v>
      </c>
      <c r="N2198" s="1" t="s">
        <v>44</v>
      </c>
    </row>
    <row r="2199" spans="1:14">
      <c r="A2199" s="36" t="s">
        <v>32</v>
      </c>
      <c r="B2199" s="37">
        <v>44804</v>
      </c>
      <c r="C2199" s="36" t="s">
        <v>881</v>
      </c>
      <c r="D2199" s="36" t="s">
        <v>877</v>
      </c>
      <c r="E2199" s="36" t="s">
        <v>76</v>
      </c>
      <c r="G2199" s="87">
        <v>103275000</v>
      </c>
      <c r="H2199" s="87">
        <v>10327500</v>
      </c>
      <c r="I2199" s="87">
        <v>113602500</v>
      </c>
      <c r="K2199" s="85">
        <v>2022</v>
      </c>
      <c r="L2199" s="85">
        <v>8</v>
      </c>
      <c r="N2199" s="1" t="s">
        <v>44</v>
      </c>
    </row>
    <row r="2200" spans="1:14">
      <c r="A2200" s="36" t="s">
        <v>32</v>
      </c>
      <c r="B2200" s="37">
        <v>44804</v>
      </c>
      <c r="C2200" s="36" t="s">
        <v>206</v>
      </c>
      <c r="D2200" s="36" t="s">
        <v>152</v>
      </c>
      <c r="E2200" s="36" t="s">
        <v>76</v>
      </c>
      <c r="G2200" s="87">
        <v>4293900</v>
      </c>
      <c r="H2200" s="87">
        <v>429390</v>
      </c>
      <c r="I2200" s="87">
        <v>4723290</v>
      </c>
      <c r="K2200" s="85">
        <v>2022</v>
      </c>
      <c r="L2200" s="85">
        <v>8</v>
      </c>
      <c r="N2200" s="1" t="s">
        <v>44</v>
      </c>
    </row>
    <row r="2201" spans="1:14">
      <c r="A2201" s="36" t="s">
        <v>33</v>
      </c>
      <c r="B2201" s="37">
        <v>44804</v>
      </c>
      <c r="C2201" s="36" t="s">
        <v>996</v>
      </c>
      <c r="D2201" s="36" t="s">
        <v>928</v>
      </c>
      <c r="E2201" s="36" t="s">
        <v>973</v>
      </c>
      <c r="G2201" s="87">
        <v>5920000</v>
      </c>
      <c r="H2201" s="87">
        <v>592000</v>
      </c>
      <c r="I2201" s="87">
        <v>6512000</v>
      </c>
      <c r="K2201" s="85">
        <v>2022</v>
      </c>
      <c r="L2201" s="85">
        <v>8</v>
      </c>
      <c r="N2201" s="1" t="s">
        <v>44</v>
      </c>
    </row>
    <row r="2202" spans="1:14">
      <c r="A2202" s="36" t="s">
        <v>33</v>
      </c>
      <c r="B2202" s="37">
        <v>44804</v>
      </c>
      <c r="C2202" s="36" t="s">
        <v>966</v>
      </c>
      <c r="D2202" s="36" t="s">
        <v>1003</v>
      </c>
      <c r="E2202" s="36" t="s">
        <v>967</v>
      </c>
      <c r="G2202" s="87">
        <v>5280000</v>
      </c>
      <c r="H2202" s="87">
        <v>528000</v>
      </c>
      <c r="I2202" s="87">
        <v>5808000</v>
      </c>
      <c r="K2202" s="85">
        <v>2022</v>
      </c>
      <c r="L2202" s="85">
        <v>8</v>
      </c>
      <c r="N2202" s="1" t="s">
        <v>44</v>
      </c>
    </row>
    <row r="2203" spans="1:14">
      <c r="A2203" s="36" t="s">
        <v>32</v>
      </c>
      <c r="B2203" s="37">
        <v>44804</v>
      </c>
      <c r="C2203" s="36" t="s">
        <v>185</v>
      </c>
      <c r="D2203" s="36" t="s">
        <v>931</v>
      </c>
      <c r="E2203" s="36" t="s">
        <v>148</v>
      </c>
      <c r="J2203" s="87">
        <v>4708875</v>
      </c>
      <c r="K2203" s="85">
        <v>2022</v>
      </c>
      <c r="L2203" s="85">
        <v>7</v>
      </c>
      <c r="N2203" s="1" t="s">
        <v>44</v>
      </c>
    </row>
    <row r="2204" spans="1:14">
      <c r="A2204" s="36" t="s">
        <v>32</v>
      </c>
      <c r="B2204" s="37">
        <v>44804</v>
      </c>
      <c r="C2204" s="36" t="s">
        <v>185</v>
      </c>
      <c r="D2204" s="36" t="s">
        <v>932</v>
      </c>
      <c r="E2204" s="36" t="s">
        <v>148</v>
      </c>
      <c r="J2204" s="87">
        <v>13297950</v>
      </c>
      <c r="K2204" s="85">
        <v>2022</v>
      </c>
      <c r="L2204" s="85">
        <v>7</v>
      </c>
      <c r="N2204" s="1" t="s">
        <v>44</v>
      </c>
    </row>
    <row r="2205" spans="1:14">
      <c r="A2205" s="36" t="s">
        <v>32</v>
      </c>
      <c r="B2205" s="37">
        <v>44804</v>
      </c>
      <c r="C2205" s="36" t="s">
        <v>185</v>
      </c>
      <c r="D2205" s="36" t="s">
        <v>778</v>
      </c>
      <c r="E2205" s="36" t="s">
        <v>148</v>
      </c>
      <c r="J2205" s="87">
        <v>4776611.4000000004</v>
      </c>
      <c r="K2205" s="85">
        <v>2022</v>
      </c>
      <c r="L2205" s="85">
        <v>7</v>
      </c>
      <c r="N2205" s="1" t="s">
        <v>44</v>
      </c>
    </row>
    <row r="2206" spans="1:14">
      <c r="A2206" s="36" t="s">
        <v>32</v>
      </c>
      <c r="B2206" s="37">
        <v>44804</v>
      </c>
      <c r="C2206" s="36" t="s">
        <v>185</v>
      </c>
      <c r="D2206" s="36" t="s">
        <v>931</v>
      </c>
      <c r="E2206" s="36" t="s">
        <v>76</v>
      </c>
      <c r="G2206" s="87">
        <v>4969602</v>
      </c>
      <c r="H2206" s="87">
        <v>496960.2</v>
      </c>
      <c r="I2206" s="87">
        <v>5466562.2000000002</v>
      </c>
      <c r="K2206" s="85">
        <v>2022</v>
      </c>
      <c r="L2206" s="85">
        <v>8</v>
      </c>
      <c r="N2206" s="1" t="s">
        <v>44</v>
      </c>
    </row>
    <row r="2207" spans="1:14">
      <c r="A2207" s="36" t="s">
        <v>32</v>
      </c>
      <c r="B2207" s="37">
        <v>44804</v>
      </c>
      <c r="C2207" s="36" t="s">
        <v>185</v>
      </c>
      <c r="D2207" s="36" t="s">
        <v>932</v>
      </c>
      <c r="E2207" s="36" t="s">
        <v>76</v>
      </c>
      <c r="G2207" s="87">
        <v>19684842</v>
      </c>
      <c r="H2207" s="87">
        <v>1968484.2000000002</v>
      </c>
      <c r="I2207" s="87">
        <v>21653326.199999999</v>
      </c>
      <c r="K2207" s="85">
        <v>2022</v>
      </c>
      <c r="L2207" s="85">
        <v>8</v>
      </c>
      <c r="N2207" s="1" t="s">
        <v>44</v>
      </c>
    </row>
    <row r="2208" spans="1:14">
      <c r="A2208" s="36" t="s">
        <v>32</v>
      </c>
      <c r="B2208" s="37">
        <v>44804</v>
      </c>
      <c r="C2208" s="36" t="s">
        <v>185</v>
      </c>
      <c r="D2208" s="36" t="s">
        <v>778</v>
      </c>
      <c r="E2208" s="36" t="s">
        <v>76</v>
      </c>
      <c r="G2208" s="87">
        <v>3508800</v>
      </c>
      <c r="H2208" s="87">
        <v>350880</v>
      </c>
      <c r="I2208" s="87">
        <v>3859680</v>
      </c>
      <c r="K2208" s="85">
        <v>2022</v>
      </c>
      <c r="L2208" s="85">
        <v>8</v>
      </c>
      <c r="N2208" s="1" t="s">
        <v>44</v>
      </c>
    </row>
    <row r="2209" spans="1:14">
      <c r="A2209" s="36" t="s">
        <v>32</v>
      </c>
      <c r="B2209" s="37">
        <v>44804</v>
      </c>
      <c r="C2209" s="36" t="s">
        <v>268</v>
      </c>
      <c r="D2209" s="36" t="s">
        <v>954</v>
      </c>
      <c r="E2209" s="36" t="s">
        <v>76</v>
      </c>
      <c r="G2209" s="87">
        <v>30435000</v>
      </c>
      <c r="H2209" s="87">
        <v>3043500</v>
      </c>
      <c r="I2209" s="87">
        <v>33478500</v>
      </c>
      <c r="K2209" s="85">
        <v>2022</v>
      </c>
      <c r="L2209" s="85">
        <v>8</v>
      </c>
      <c r="N2209" s="1" t="s">
        <v>44</v>
      </c>
    </row>
    <row r="2210" spans="1:14">
      <c r="A2210" s="36" t="s">
        <v>32</v>
      </c>
      <c r="B2210" s="37">
        <v>44804</v>
      </c>
      <c r="C2210" s="36" t="s">
        <v>188</v>
      </c>
      <c r="D2210" s="36" t="s">
        <v>649</v>
      </c>
      <c r="E2210" s="36" t="s">
        <v>148</v>
      </c>
      <c r="J2210" s="87">
        <v>2178000</v>
      </c>
      <c r="K2210" s="85">
        <v>2022</v>
      </c>
      <c r="L2210" s="85">
        <v>6</v>
      </c>
      <c r="N2210" s="1" t="s">
        <v>44</v>
      </c>
    </row>
    <row r="2211" spans="1:14">
      <c r="A2211" s="36" t="s">
        <v>32</v>
      </c>
      <c r="B2211" s="37">
        <v>44804</v>
      </c>
      <c r="C2211" s="36" t="s">
        <v>188</v>
      </c>
      <c r="D2211" s="36" t="s">
        <v>515</v>
      </c>
      <c r="E2211" s="36" t="s">
        <v>148</v>
      </c>
      <c r="J2211" s="87">
        <v>4224000</v>
      </c>
      <c r="K2211" s="85">
        <v>2021</v>
      </c>
      <c r="L2211" s="85">
        <v>8</v>
      </c>
      <c r="N2211" s="208" t="s">
        <v>44</v>
      </c>
    </row>
    <row r="2212" spans="1:14">
      <c r="A2212" s="36" t="s">
        <v>32</v>
      </c>
      <c r="B2212" s="37">
        <v>44804</v>
      </c>
      <c r="C2212" s="36" t="s">
        <v>188</v>
      </c>
      <c r="D2212" s="36" t="s">
        <v>981</v>
      </c>
      <c r="E2212" s="36" t="s">
        <v>76</v>
      </c>
      <c r="G2212" s="87">
        <v>6672960</v>
      </c>
      <c r="H2212" s="87">
        <v>667296</v>
      </c>
      <c r="I2212" s="87">
        <v>7340256</v>
      </c>
      <c r="K2212" s="85">
        <v>2022</v>
      </c>
      <c r="L2212" s="85">
        <v>8</v>
      </c>
      <c r="N2212" s="1" t="s">
        <v>44</v>
      </c>
    </row>
    <row r="2213" spans="1:14">
      <c r="A2213" s="36" t="s">
        <v>32</v>
      </c>
      <c r="B2213" s="37">
        <v>44804</v>
      </c>
      <c r="C2213" s="36" t="s">
        <v>991</v>
      </c>
      <c r="D2213" s="36" t="s">
        <v>992</v>
      </c>
      <c r="E2213" s="36" t="s">
        <v>76</v>
      </c>
      <c r="G2213" s="87">
        <v>8795200</v>
      </c>
      <c r="H2213" s="87">
        <v>879520</v>
      </c>
      <c r="I2213" s="87">
        <v>9674720</v>
      </c>
      <c r="K2213" s="85">
        <v>2022</v>
      </c>
      <c r="L2213" s="85">
        <v>8</v>
      </c>
      <c r="N2213" s="1" t="s">
        <v>44</v>
      </c>
    </row>
    <row r="2214" spans="1:14">
      <c r="A2214" s="36" t="s">
        <v>32</v>
      </c>
      <c r="B2214" s="37">
        <v>44804</v>
      </c>
      <c r="C2214" s="36" t="s">
        <v>987</v>
      </c>
      <c r="D2214" s="36" t="s">
        <v>988</v>
      </c>
      <c r="E2214" s="36" t="s">
        <v>76</v>
      </c>
      <c r="G2214" s="87">
        <v>1500000</v>
      </c>
      <c r="H2214" s="87">
        <v>150000</v>
      </c>
      <c r="I2214" s="87">
        <v>1650000</v>
      </c>
      <c r="K2214" s="85">
        <v>2022</v>
      </c>
      <c r="L2214" s="85">
        <v>8</v>
      </c>
      <c r="N2214" s="1" t="s">
        <v>44</v>
      </c>
    </row>
    <row r="2215" spans="1:14">
      <c r="A2215" s="36" t="s">
        <v>32</v>
      </c>
      <c r="B2215" s="37">
        <v>44804</v>
      </c>
      <c r="C2215" s="36" t="s">
        <v>987</v>
      </c>
      <c r="D2215" s="36" t="s">
        <v>988</v>
      </c>
      <c r="E2215" s="36" t="s">
        <v>76</v>
      </c>
      <c r="G2215" s="87">
        <v>4800000</v>
      </c>
      <c r="H2215" s="87">
        <v>480000</v>
      </c>
      <c r="I2215" s="87">
        <v>5280000</v>
      </c>
      <c r="K2215" s="85">
        <v>2022</v>
      </c>
      <c r="L2215" s="85">
        <v>8</v>
      </c>
      <c r="N2215" s="1" t="s">
        <v>44</v>
      </c>
    </row>
    <row r="2216" spans="1:14">
      <c r="A2216" s="36" t="s">
        <v>32</v>
      </c>
      <c r="B2216" s="37">
        <v>44804</v>
      </c>
      <c r="C2216" s="36" t="s">
        <v>654</v>
      </c>
      <c r="D2216" s="36" t="s">
        <v>835</v>
      </c>
      <c r="E2216" s="36" t="s">
        <v>148</v>
      </c>
      <c r="J2216" s="87">
        <v>76207120</v>
      </c>
      <c r="K2216" s="85">
        <v>2022</v>
      </c>
      <c r="L2216" s="85">
        <v>7</v>
      </c>
      <c r="N2216" s="1" t="s">
        <v>44</v>
      </c>
    </row>
    <row r="2217" spans="1:14">
      <c r="A2217" s="36" t="s">
        <v>32</v>
      </c>
      <c r="B2217" s="37">
        <v>44804</v>
      </c>
      <c r="C2217" s="36" t="s">
        <v>654</v>
      </c>
      <c r="D2217" s="36" t="s">
        <v>994</v>
      </c>
      <c r="E2217" s="36" t="s">
        <v>76</v>
      </c>
      <c r="G2217" s="87">
        <v>48361900</v>
      </c>
      <c r="H2217" s="87">
        <v>4836190</v>
      </c>
      <c r="I2217" s="87">
        <v>53198090</v>
      </c>
      <c r="K2217" s="85">
        <v>2022</v>
      </c>
      <c r="L2217" s="85">
        <v>8</v>
      </c>
      <c r="N2217" s="1" t="s">
        <v>44</v>
      </c>
    </row>
    <row r="2218" spans="1:14">
      <c r="A2218" s="36" t="s">
        <v>32</v>
      </c>
      <c r="B2218" s="37">
        <v>44804</v>
      </c>
      <c r="C2218" s="36" t="s">
        <v>922</v>
      </c>
      <c r="D2218" s="36" t="s">
        <v>923</v>
      </c>
      <c r="E2218" s="36" t="s">
        <v>76</v>
      </c>
      <c r="G2218" s="87">
        <v>13110000</v>
      </c>
      <c r="H2218" s="87">
        <v>1311000</v>
      </c>
      <c r="I2218" s="87">
        <v>14421000</v>
      </c>
      <c r="K2218" s="85">
        <v>2022</v>
      </c>
      <c r="L2218" s="85">
        <v>8</v>
      </c>
      <c r="N2218" s="1" t="s">
        <v>44</v>
      </c>
    </row>
    <row r="2219" spans="1:14">
      <c r="A2219" s="36" t="s">
        <v>33</v>
      </c>
      <c r="B2219" s="37">
        <v>44804</v>
      </c>
      <c r="C2219" s="36" t="s">
        <v>789</v>
      </c>
      <c r="D2219" s="36" t="s">
        <v>790</v>
      </c>
      <c r="E2219" s="36" t="s">
        <v>836</v>
      </c>
      <c r="G2219" s="87">
        <v>2420000</v>
      </c>
      <c r="H2219" s="87">
        <v>242000</v>
      </c>
      <c r="I2219" s="87">
        <v>2662000</v>
      </c>
      <c r="K2219" s="85">
        <v>2022</v>
      </c>
      <c r="L2219" s="85">
        <v>8</v>
      </c>
      <c r="N2219" s="1" t="s">
        <v>44</v>
      </c>
    </row>
    <row r="2220" spans="1:14">
      <c r="A2220" s="36" t="s">
        <v>33</v>
      </c>
      <c r="B2220" s="37">
        <v>44805</v>
      </c>
      <c r="C2220" s="36" t="s">
        <v>958</v>
      </c>
      <c r="D2220" s="36" t="s">
        <v>347</v>
      </c>
      <c r="E2220" s="36" t="s">
        <v>77</v>
      </c>
      <c r="J2220" s="38">
        <v>377850</v>
      </c>
      <c r="K2220" s="85">
        <v>2022</v>
      </c>
      <c r="L2220" s="85">
        <v>8</v>
      </c>
      <c r="N2220" s="1" t="s">
        <v>44</v>
      </c>
    </row>
    <row r="2221" spans="1:14">
      <c r="A2221" s="36" t="s">
        <v>32</v>
      </c>
      <c r="B2221" s="37">
        <v>44805</v>
      </c>
      <c r="C2221" s="36" t="s">
        <v>940</v>
      </c>
      <c r="D2221" s="36" t="s">
        <v>941</v>
      </c>
      <c r="E2221" s="36" t="s">
        <v>148</v>
      </c>
      <c r="J2221" s="87">
        <v>1375000</v>
      </c>
      <c r="K2221" s="85">
        <v>2022</v>
      </c>
      <c r="L2221" s="85">
        <v>7</v>
      </c>
      <c r="N2221" s="1" t="s">
        <v>44</v>
      </c>
    </row>
    <row r="2222" spans="1:14">
      <c r="A2222" s="36" t="s">
        <v>32</v>
      </c>
      <c r="B2222" s="37">
        <v>44805</v>
      </c>
      <c r="C2222" s="36" t="s">
        <v>334</v>
      </c>
      <c r="D2222" s="36" t="s">
        <v>953</v>
      </c>
      <c r="E2222" s="36" t="s">
        <v>148</v>
      </c>
      <c r="J2222" s="87">
        <v>3300000</v>
      </c>
      <c r="K2222" s="85">
        <v>2022</v>
      </c>
      <c r="L2222" s="85">
        <v>7</v>
      </c>
      <c r="N2222" s="1" t="s">
        <v>44</v>
      </c>
    </row>
    <row r="2223" spans="1:14">
      <c r="A2223" s="36" t="s">
        <v>32</v>
      </c>
      <c r="B2223" s="37">
        <v>44805</v>
      </c>
      <c r="C2223" s="36" t="s">
        <v>334</v>
      </c>
      <c r="D2223" s="36" t="s">
        <v>953</v>
      </c>
      <c r="E2223" s="36" t="s">
        <v>77</v>
      </c>
      <c r="J2223" s="38">
        <v>1650000</v>
      </c>
      <c r="K2223" s="85">
        <v>2022</v>
      </c>
      <c r="L2223" s="85">
        <v>8</v>
      </c>
      <c r="N2223" s="1" t="s">
        <v>44</v>
      </c>
    </row>
    <row r="2224" spans="1:14">
      <c r="A2224" s="36" t="s">
        <v>33</v>
      </c>
      <c r="B2224" s="37">
        <v>44805</v>
      </c>
      <c r="C2224" s="36" t="s">
        <v>771</v>
      </c>
      <c r="D2224" s="36" t="s">
        <v>772</v>
      </c>
      <c r="E2224" s="36" t="s">
        <v>148</v>
      </c>
      <c r="J2224" s="87">
        <v>3388000</v>
      </c>
      <c r="K2224" s="85">
        <v>2022</v>
      </c>
      <c r="L2224" s="85">
        <v>7</v>
      </c>
      <c r="N2224" s="1" t="s">
        <v>44</v>
      </c>
    </row>
    <row r="2225" spans="1:14">
      <c r="A2225" s="36" t="s">
        <v>32</v>
      </c>
      <c r="B2225" s="37">
        <v>44805</v>
      </c>
      <c r="C2225" s="36" t="s">
        <v>181</v>
      </c>
      <c r="D2225" s="36" t="s">
        <v>822</v>
      </c>
      <c r="E2225" s="36" t="s">
        <v>148</v>
      </c>
      <c r="J2225" s="87">
        <v>742500</v>
      </c>
      <c r="K2225" s="85">
        <v>2022</v>
      </c>
      <c r="L2225" s="85">
        <v>7</v>
      </c>
      <c r="N2225" s="1" t="s">
        <v>44</v>
      </c>
    </row>
    <row r="2226" spans="1:14">
      <c r="A2226" s="36" t="s">
        <v>32</v>
      </c>
      <c r="B2226" s="37">
        <v>44805</v>
      </c>
      <c r="C2226" s="36" t="s">
        <v>181</v>
      </c>
      <c r="D2226" s="36" t="s">
        <v>823</v>
      </c>
      <c r="E2226" s="36" t="s">
        <v>148</v>
      </c>
      <c r="J2226" s="87">
        <v>4752000</v>
      </c>
      <c r="K2226" s="85">
        <v>2022</v>
      </c>
      <c r="L2226" s="85">
        <v>7</v>
      </c>
      <c r="N2226" s="1" t="s">
        <v>44</v>
      </c>
    </row>
    <row r="2227" spans="1:14">
      <c r="A2227" s="36" t="s">
        <v>33</v>
      </c>
      <c r="B2227" s="37">
        <v>44805</v>
      </c>
      <c r="C2227" s="36" t="s">
        <v>119</v>
      </c>
      <c r="D2227" s="36" t="s">
        <v>374</v>
      </c>
      <c r="E2227" s="36" t="s">
        <v>148</v>
      </c>
      <c r="J2227" s="87">
        <v>8508280</v>
      </c>
      <c r="K2227" s="85">
        <v>2022</v>
      </c>
      <c r="L2227" s="85">
        <v>7</v>
      </c>
      <c r="N2227" s="1" t="s">
        <v>44</v>
      </c>
    </row>
    <row r="2228" spans="1:14">
      <c r="A2228" s="36" t="s">
        <v>33</v>
      </c>
      <c r="B2228" s="37">
        <v>44805</v>
      </c>
      <c r="C2228" s="36" t="s">
        <v>119</v>
      </c>
      <c r="D2228" s="36" t="s">
        <v>823</v>
      </c>
      <c r="E2228" s="36" t="s">
        <v>148</v>
      </c>
      <c r="J2228" s="87">
        <v>4576000</v>
      </c>
      <c r="K2228" s="85">
        <v>2022</v>
      </c>
      <c r="L2228" s="85">
        <v>7</v>
      </c>
      <c r="N2228" s="1" t="s">
        <v>44</v>
      </c>
    </row>
    <row r="2229" spans="1:14">
      <c r="A2229" s="36" t="s">
        <v>33</v>
      </c>
      <c r="B2229" s="37">
        <v>44805</v>
      </c>
      <c r="C2229" s="36" t="s">
        <v>119</v>
      </c>
      <c r="D2229" s="36" t="s">
        <v>931</v>
      </c>
      <c r="E2229" s="36" t="s">
        <v>148</v>
      </c>
      <c r="J2229" s="87">
        <v>4708875</v>
      </c>
      <c r="K2229" s="85">
        <v>2022</v>
      </c>
      <c r="L2229" s="85">
        <v>7</v>
      </c>
      <c r="N2229" s="1" t="s">
        <v>44</v>
      </c>
    </row>
    <row r="2230" spans="1:14">
      <c r="A2230" s="36" t="s">
        <v>32</v>
      </c>
      <c r="B2230" s="37">
        <v>44806</v>
      </c>
      <c r="C2230" s="36" t="s">
        <v>174</v>
      </c>
      <c r="D2230" s="36" t="s">
        <v>811</v>
      </c>
      <c r="E2230" s="36" t="s">
        <v>148</v>
      </c>
      <c r="J2230" s="87">
        <v>9105910</v>
      </c>
      <c r="K2230" s="85">
        <v>2022</v>
      </c>
      <c r="L2230" s="85">
        <v>7</v>
      </c>
      <c r="N2230" s="1" t="s">
        <v>44</v>
      </c>
    </row>
    <row r="2231" spans="1:14">
      <c r="A2231" s="36" t="s">
        <v>33</v>
      </c>
      <c r="B2231" s="37">
        <v>44806</v>
      </c>
      <c r="C2231" s="36" t="s">
        <v>131</v>
      </c>
      <c r="D2231" s="36" t="s">
        <v>439</v>
      </c>
      <c r="E2231" s="36" t="s">
        <v>969</v>
      </c>
      <c r="G2231" s="87">
        <v>206000</v>
      </c>
      <c r="H2231" s="87">
        <v>20600</v>
      </c>
      <c r="I2231" s="87">
        <v>226600</v>
      </c>
      <c r="K2231" s="85">
        <v>2022</v>
      </c>
      <c r="L2231" s="85">
        <v>9</v>
      </c>
      <c r="M2231" s="36" t="s">
        <v>970</v>
      </c>
      <c r="N2231" s="1" t="s">
        <v>44</v>
      </c>
    </row>
    <row r="2232" spans="1:14">
      <c r="A2232" s="36" t="s">
        <v>33</v>
      </c>
      <c r="B2232" s="37">
        <v>44809</v>
      </c>
      <c r="C2232" s="36" t="s">
        <v>131</v>
      </c>
      <c r="D2232" s="36" t="s">
        <v>439</v>
      </c>
      <c r="E2232" s="36" t="s">
        <v>77</v>
      </c>
      <c r="J2232" s="38">
        <v>226600</v>
      </c>
      <c r="K2232" s="85">
        <v>2022</v>
      </c>
      <c r="L2232" s="85">
        <v>9</v>
      </c>
      <c r="N2232" s="1" t="s">
        <v>44</v>
      </c>
    </row>
    <row r="2233" spans="1:14">
      <c r="A2233" s="36" t="s">
        <v>32</v>
      </c>
      <c r="B2233" s="37">
        <v>44809</v>
      </c>
      <c r="C2233" s="36" t="s">
        <v>984</v>
      </c>
      <c r="D2233" s="36" t="s">
        <v>985</v>
      </c>
      <c r="E2233" s="36" t="s">
        <v>77</v>
      </c>
      <c r="J2233" s="38">
        <v>7700000</v>
      </c>
      <c r="K2233" s="85">
        <v>2022</v>
      </c>
      <c r="L2233" s="85">
        <v>8</v>
      </c>
      <c r="N2233" s="1" t="s">
        <v>44</v>
      </c>
    </row>
    <row r="2234" spans="1:14">
      <c r="A2234" s="36" t="s">
        <v>32</v>
      </c>
      <c r="B2234" s="37">
        <v>44809</v>
      </c>
      <c r="C2234" s="36" t="s">
        <v>466</v>
      </c>
      <c r="D2234" s="36" t="s">
        <v>735</v>
      </c>
      <c r="E2234" s="36" t="s">
        <v>148</v>
      </c>
      <c r="J2234" s="38">
        <v>711472</v>
      </c>
      <c r="K2234" s="85">
        <v>2022</v>
      </c>
      <c r="L2234" s="85">
        <v>7</v>
      </c>
      <c r="N2234" s="1" t="s">
        <v>44</v>
      </c>
    </row>
    <row r="2235" spans="1:14">
      <c r="A2235" s="36" t="s">
        <v>32</v>
      </c>
      <c r="B2235" s="37">
        <v>44809</v>
      </c>
      <c r="C2235" s="36" t="s">
        <v>466</v>
      </c>
      <c r="D2235" s="36" t="s">
        <v>735</v>
      </c>
      <c r="E2235" s="36" t="s">
        <v>997</v>
      </c>
      <c r="J2235" s="38">
        <v>5860</v>
      </c>
      <c r="K2235" s="85">
        <v>2022</v>
      </c>
      <c r="L2235" s="85">
        <v>7</v>
      </c>
      <c r="N2235" s="1" t="s">
        <v>44</v>
      </c>
    </row>
    <row r="2236" spans="1:14">
      <c r="A2236" s="36" t="s">
        <v>32</v>
      </c>
      <c r="B2236" s="37">
        <v>44810</v>
      </c>
      <c r="C2236" s="36" t="s">
        <v>204</v>
      </c>
      <c r="D2236" s="36" t="s">
        <v>674</v>
      </c>
      <c r="E2236" s="36" t="s">
        <v>148</v>
      </c>
      <c r="J2236" s="87">
        <v>4645300</v>
      </c>
      <c r="K2236" s="85">
        <v>2022</v>
      </c>
      <c r="L2236" s="85">
        <v>7</v>
      </c>
      <c r="N2236" s="1" t="s">
        <v>44</v>
      </c>
    </row>
    <row r="2237" spans="1:14">
      <c r="A2237" s="36" t="s">
        <v>32</v>
      </c>
      <c r="B2237" s="37">
        <v>44810</v>
      </c>
      <c r="C2237" s="36" t="s">
        <v>204</v>
      </c>
      <c r="D2237" s="36" t="s">
        <v>817</v>
      </c>
      <c r="E2237" s="36" t="s">
        <v>148</v>
      </c>
      <c r="J2237" s="87">
        <v>11676060</v>
      </c>
      <c r="K2237" s="85">
        <v>2022</v>
      </c>
      <c r="L2237" s="85">
        <v>7</v>
      </c>
      <c r="N2237" s="1" t="s">
        <v>44</v>
      </c>
    </row>
    <row r="2238" spans="1:14">
      <c r="A2238" s="36" t="s">
        <v>33</v>
      </c>
      <c r="B2238" s="37">
        <v>44810</v>
      </c>
      <c r="C2238" s="36" t="s">
        <v>971</v>
      </c>
      <c r="D2238" s="36" t="s">
        <v>972</v>
      </c>
      <c r="E2238" s="36" t="s">
        <v>973</v>
      </c>
      <c r="G2238" s="87">
        <v>3115500</v>
      </c>
      <c r="H2238" s="87">
        <v>311550</v>
      </c>
      <c r="I2238" s="87">
        <v>3427050</v>
      </c>
      <c r="K2238" s="85">
        <v>2022</v>
      </c>
      <c r="L2238" s="85">
        <v>8</v>
      </c>
      <c r="N2238" s="1" t="s">
        <v>44</v>
      </c>
    </row>
    <row r="2239" spans="1:14">
      <c r="A2239" s="36" t="s">
        <v>33</v>
      </c>
      <c r="B2239" s="37">
        <v>44810</v>
      </c>
      <c r="C2239" s="36" t="s">
        <v>971</v>
      </c>
      <c r="D2239" s="36" t="s">
        <v>972</v>
      </c>
      <c r="E2239" s="36" t="s">
        <v>77</v>
      </c>
      <c r="J2239" s="38">
        <v>3427050</v>
      </c>
      <c r="K2239" s="85">
        <v>2022</v>
      </c>
      <c r="L2239" s="85">
        <v>8</v>
      </c>
      <c r="N2239" s="1" t="s">
        <v>44</v>
      </c>
    </row>
    <row r="2240" spans="1:14">
      <c r="A2240" s="36" t="s">
        <v>32</v>
      </c>
      <c r="B2240" s="37">
        <v>44810</v>
      </c>
      <c r="C2240" s="36" t="s">
        <v>987</v>
      </c>
      <c r="D2240" s="36" t="s">
        <v>988</v>
      </c>
      <c r="E2240" s="36" t="s">
        <v>77</v>
      </c>
      <c r="J2240" s="38">
        <v>5280000</v>
      </c>
      <c r="K2240" s="85">
        <v>2022</v>
      </c>
      <c r="L2240" s="85">
        <v>8</v>
      </c>
      <c r="N2240" s="1" t="s">
        <v>44</v>
      </c>
    </row>
    <row r="2241" spans="1:14">
      <c r="A2241" s="36" t="s">
        <v>32</v>
      </c>
      <c r="B2241" s="37">
        <v>44811</v>
      </c>
      <c r="C2241" s="36" t="s">
        <v>640</v>
      </c>
      <c r="D2241" s="36" t="s">
        <v>763</v>
      </c>
      <c r="E2241" s="36" t="s">
        <v>77</v>
      </c>
      <c r="J2241" s="38">
        <v>62837500</v>
      </c>
      <c r="K2241" s="85">
        <v>2022</v>
      </c>
      <c r="L2241" s="85">
        <v>8</v>
      </c>
      <c r="N2241" s="1" t="s">
        <v>44</v>
      </c>
    </row>
    <row r="2242" spans="1:14">
      <c r="A2242" s="36" t="s">
        <v>32</v>
      </c>
      <c r="B2242" s="37">
        <v>44811</v>
      </c>
      <c r="C2242" s="36" t="s">
        <v>206</v>
      </c>
      <c r="D2242" s="36" t="s">
        <v>152</v>
      </c>
      <c r="E2242" s="36" t="s">
        <v>148</v>
      </c>
      <c r="J2242" s="87">
        <v>3064050</v>
      </c>
      <c r="K2242" s="85">
        <v>2022</v>
      </c>
      <c r="L2242" s="85">
        <v>7</v>
      </c>
      <c r="N2242" s="1" t="s">
        <v>44</v>
      </c>
    </row>
    <row r="2243" spans="1:14">
      <c r="A2243" s="36" t="s">
        <v>32</v>
      </c>
      <c r="B2243" s="37">
        <v>44811</v>
      </c>
      <c r="C2243" s="36" t="s">
        <v>268</v>
      </c>
      <c r="D2243" s="36" t="s">
        <v>954</v>
      </c>
      <c r="E2243" s="36" t="s">
        <v>77</v>
      </c>
      <c r="J2243" s="38">
        <v>33478500</v>
      </c>
      <c r="K2243" s="85">
        <v>2022</v>
      </c>
      <c r="L2243" s="85">
        <v>8</v>
      </c>
      <c r="N2243" s="1" t="s">
        <v>44</v>
      </c>
    </row>
    <row r="2244" spans="1:14">
      <c r="A2244" s="36" t="s">
        <v>32</v>
      </c>
      <c r="B2244" s="37">
        <v>44811</v>
      </c>
      <c r="C2244" s="36" t="s">
        <v>352</v>
      </c>
      <c r="D2244" s="36" t="s">
        <v>427</v>
      </c>
      <c r="E2244" s="36" t="s">
        <v>77</v>
      </c>
      <c r="J2244" s="38">
        <v>2971351</v>
      </c>
      <c r="K2244" s="85">
        <v>2022</v>
      </c>
      <c r="L2244" s="85">
        <v>8</v>
      </c>
      <c r="N2244" s="1" t="s">
        <v>44</v>
      </c>
    </row>
    <row r="2245" spans="1:14">
      <c r="A2245" s="36" t="s">
        <v>32</v>
      </c>
      <c r="B2245" s="37">
        <v>44812</v>
      </c>
      <c r="C2245" s="36" t="s">
        <v>209</v>
      </c>
      <c r="D2245" s="36" t="s">
        <v>812</v>
      </c>
      <c r="E2245" s="36" t="s">
        <v>77</v>
      </c>
      <c r="J2245" s="38">
        <v>11242000</v>
      </c>
      <c r="K2245" s="85">
        <v>2022</v>
      </c>
      <c r="L2245" s="85">
        <v>8</v>
      </c>
      <c r="N2245" s="1" t="s">
        <v>44</v>
      </c>
    </row>
    <row r="2246" spans="1:14">
      <c r="A2246" s="36" t="s">
        <v>32</v>
      </c>
      <c r="B2246" s="37">
        <v>44812</v>
      </c>
      <c r="C2246" s="36" t="s">
        <v>888</v>
      </c>
      <c r="D2246" s="36" t="s">
        <v>927</v>
      </c>
      <c r="E2246" s="36" t="s">
        <v>148</v>
      </c>
      <c r="J2246" s="87">
        <v>5500000</v>
      </c>
      <c r="K2246" s="85">
        <v>2022</v>
      </c>
      <c r="L2246" s="85">
        <v>6</v>
      </c>
      <c r="N2246" s="1" t="s">
        <v>44</v>
      </c>
    </row>
    <row r="2247" spans="1:14">
      <c r="A2247" s="36" t="s">
        <v>32</v>
      </c>
      <c r="B2247" s="37">
        <v>44812</v>
      </c>
      <c r="C2247" s="36" t="s">
        <v>307</v>
      </c>
      <c r="D2247" s="36" t="s">
        <v>980</v>
      </c>
      <c r="E2247" s="36" t="s">
        <v>148</v>
      </c>
      <c r="J2247" s="87">
        <v>1232000</v>
      </c>
      <c r="K2247" s="85">
        <v>2022</v>
      </c>
      <c r="L2247" s="85">
        <v>8</v>
      </c>
      <c r="N2247" s="1" t="s">
        <v>44</v>
      </c>
    </row>
    <row r="2248" spans="1:14">
      <c r="A2248" s="36" t="s">
        <v>32</v>
      </c>
      <c r="B2248" s="37">
        <v>44812</v>
      </c>
      <c r="C2248" s="36" t="s">
        <v>991</v>
      </c>
      <c r="D2248" s="36" t="s">
        <v>992</v>
      </c>
      <c r="E2248" s="36" t="s">
        <v>77</v>
      </c>
      <c r="J2248" s="38">
        <v>9674720</v>
      </c>
      <c r="K2248" s="85">
        <v>2022</v>
      </c>
      <c r="L2248" s="85">
        <v>8</v>
      </c>
      <c r="N2248" s="1" t="s">
        <v>44</v>
      </c>
    </row>
    <row r="2249" spans="1:14">
      <c r="A2249" s="36" t="s">
        <v>32</v>
      </c>
      <c r="B2249" s="37">
        <v>44812</v>
      </c>
      <c r="C2249" s="36" t="s">
        <v>175</v>
      </c>
      <c r="D2249" s="36" t="s">
        <v>414</v>
      </c>
      <c r="E2249" s="36" t="s">
        <v>148</v>
      </c>
      <c r="J2249" s="87">
        <v>2168320</v>
      </c>
      <c r="K2249" s="85">
        <v>2022</v>
      </c>
      <c r="L2249" s="85">
        <v>5</v>
      </c>
      <c r="N2249" s="1" t="s">
        <v>44</v>
      </c>
    </row>
    <row r="2250" spans="1:14">
      <c r="A2250" s="36" t="s">
        <v>32</v>
      </c>
      <c r="B2250" s="37">
        <v>44817</v>
      </c>
      <c r="C2250" s="36" t="s">
        <v>209</v>
      </c>
      <c r="D2250" s="36" t="s">
        <v>1048</v>
      </c>
      <c r="E2250" s="36" t="s">
        <v>77</v>
      </c>
      <c r="J2250" s="38">
        <v>12540440</v>
      </c>
      <c r="K2250" s="85">
        <v>2022</v>
      </c>
      <c r="L2250" s="85">
        <v>8</v>
      </c>
      <c r="N2250" s="1" t="s">
        <v>44</v>
      </c>
    </row>
    <row r="2251" spans="1:14">
      <c r="A2251" s="36" t="s">
        <v>33</v>
      </c>
      <c r="B2251" s="37">
        <v>44817</v>
      </c>
      <c r="C2251" s="36" t="s">
        <v>119</v>
      </c>
      <c r="D2251" s="36" t="s">
        <v>1048</v>
      </c>
      <c r="E2251" s="36" t="s">
        <v>148</v>
      </c>
      <c r="J2251" s="87">
        <v>9902420</v>
      </c>
      <c r="K2251" s="85">
        <v>2022</v>
      </c>
      <c r="L2251" s="85">
        <v>8</v>
      </c>
      <c r="N2251" s="1" t="s">
        <v>44</v>
      </c>
    </row>
    <row r="2252" spans="1:14">
      <c r="A2252" s="36" t="s">
        <v>32</v>
      </c>
      <c r="B2252" s="37">
        <v>44818</v>
      </c>
      <c r="C2252" s="36" t="s">
        <v>987</v>
      </c>
      <c r="D2252" s="36" t="s">
        <v>988</v>
      </c>
      <c r="E2252" s="36" t="s">
        <v>77</v>
      </c>
      <c r="J2252" s="87">
        <v>1650000</v>
      </c>
      <c r="K2252" s="85">
        <v>2022</v>
      </c>
      <c r="L2252" s="85">
        <v>8</v>
      </c>
      <c r="N2252" s="1" t="s">
        <v>44</v>
      </c>
    </row>
    <row r="2253" spans="1:14">
      <c r="A2253" s="36" t="s">
        <v>32</v>
      </c>
      <c r="B2253" s="37">
        <v>44819</v>
      </c>
      <c r="C2253" s="36" t="s">
        <v>677</v>
      </c>
      <c r="D2253" s="36" t="s">
        <v>825</v>
      </c>
      <c r="E2253" s="36" t="s">
        <v>77</v>
      </c>
      <c r="J2253" s="87">
        <v>96486500</v>
      </c>
      <c r="K2253" s="85">
        <v>2022</v>
      </c>
      <c r="L2253" s="85">
        <v>8</v>
      </c>
      <c r="N2253" s="1" t="s">
        <v>44</v>
      </c>
    </row>
    <row r="2254" spans="1:14">
      <c r="A2254" s="36" t="s">
        <v>32</v>
      </c>
      <c r="B2254" s="37">
        <v>44820</v>
      </c>
      <c r="C2254" s="36" t="s">
        <v>209</v>
      </c>
      <c r="D2254" s="36" t="s">
        <v>859</v>
      </c>
      <c r="E2254" s="36" t="s">
        <v>77</v>
      </c>
      <c r="J2254" s="38">
        <v>3472920</v>
      </c>
      <c r="K2254" s="85">
        <v>2022</v>
      </c>
      <c r="L2254" s="85">
        <v>5</v>
      </c>
      <c r="N2254" s="1" t="s">
        <v>44</v>
      </c>
    </row>
    <row r="2255" spans="1:14">
      <c r="A2255" s="36" t="s">
        <v>32</v>
      </c>
      <c r="B2255" s="37">
        <v>44820</v>
      </c>
      <c r="C2255" s="36" t="s">
        <v>677</v>
      </c>
      <c r="D2255" s="36" t="s">
        <v>924</v>
      </c>
      <c r="E2255" s="36" t="s">
        <v>77</v>
      </c>
      <c r="J2255" s="87">
        <v>38186500</v>
      </c>
      <c r="K2255" s="85">
        <v>2022</v>
      </c>
      <c r="L2255" s="85">
        <v>8</v>
      </c>
      <c r="N2255" s="1" t="s">
        <v>44</v>
      </c>
    </row>
    <row r="2256" spans="1:14">
      <c r="A2256" s="36" t="s">
        <v>32</v>
      </c>
      <c r="B2256" s="37">
        <v>44820</v>
      </c>
      <c r="C2256" s="36" t="s">
        <v>677</v>
      </c>
      <c r="D2256" s="36" t="s">
        <v>678</v>
      </c>
      <c r="E2256" s="36" t="s">
        <v>77</v>
      </c>
      <c r="J2256" s="87">
        <v>66686466</v>
      </c>
      <c r="K2256" s="85">
        <v>2022</v>
      </c>
      <c r="L2256" s="85">
        <v>8</v>
      </c>
      <c r="N2256" s="1" t="s">
        <v>44</v>
      </c>
    </row>
    <row r="2257" spans="1:14">
      <c r="A2257" s="36" t="s">
        <v>33</v>
      </c>
      <c r="B2257" s="37">
        <v>44820</v>
      </c>
      <c r="C2257" s="36" t="s">
        <v>789</v>
      </c>
      <c r="D2257" s="36" t="s">
        <v>790</v>
      </c>
      <c r="E2257" s="36" t="s">
        <v>148</v>
      </c>
      <c r="J2257" s="87">
        <v>2662000</v>
      </c>
      <c r="K2257" s="85">
        <v>2022</v>
      </c>
      <c r="L2257" s="85">
        <v>8</v>
      </c>
      <c r="N2257" s="1" t="s">
        <v>44</v>
      </c>
    </row>
    <row r="2258" spans="1:14">
      <c r="A2258" s="36" t="s">
        <v>32</v>
      </c>
      <c r="B2258" s="37">
        <v>44823</v>
      </c>
      <c r="C2258" s="36" t="s">
        <v>920</v>
      </c>
      <c r="D2258" s="36" t="s">
        <v>921</v>
      </c>
      <c r="E2258" s="36" t="s">
        <v>148</v>
      </c>
      <c r="J2258" s="38">
        <v>10000000</v>
      </c>
      <c r="K2258" s="85">
        <v>2022</v>
      </c>
      <c r="L2258" s="85">
        <v>7</v>
      </c>
      <c r="N2258" s="1" t="s">
        <v>44</v>
      </c>
    </row>
    <row r="2259" spans="1:14">
      <c r="A2259" s="36" t="s">
        <v>32</v>
      </c>
      <c r="B2259" s="37">
        <v>44824</v>
      </c>
      <c r="C2259" s="36" t="s">
        <v>188</v>
      </c>
      <c r="D2259" s="36" t="s">
        <v>783</v>
      </c>
      <c r="E2259" s="36" t="s">
        <v>148</v>
      </c>
      <c r="J2259" s="38">
        <v>4733000</v>
      </c>
      <c r="K2259" s="85">
        <v>2022</v>
      </c>
      <c r="L2259" s="85">
        <v>3</v>
      </c>
      <c r="N2259" s="208" t="s">
        <v>44</v>
      </c>
    </row>
    <row r="2260" spans="1:14">
      <c r="A2260" s="36" t="s">
        <v>32</v>
      </c>
      <c r="B2260" s="37">
        <v>44824</v>
      </c>
      <c r="C2260" s="36" t="s">
        <v>188</v>
      </c>
      <c r="D2260" s="36" t="s">
        <v>830</v>
      </c>
      <c r="E2260" s="36" t="s">
        <v>148</v>
      </c>
      <c r="J2260" s="87">
        <v>7733000</v>
      </c>
      <c r="K2260" s="85">
        <v>2022</v>
      </c>
      <c r="L2260" s="85">
        <v>4</v>
      </c>
      <c r="N2260" s="208" t="s">
        <v>44</v>
      </c>
    </row>
    <row r="2261" spans="1:14">
      <c r="A2261" s="36" t="s">
        <v>32</v>
      </c>
      <c r="B2261" s="37">
        <v>44824</v>
      </c>
      <c r="C2261" s="36" t="s">
        <v>406</v>
      </c>
      <c r="D2261" s="36" t="s">
        <v>783</v>
      </c>
      <c r="E2261" s="36" t="s">
        <v>148</v>
      </c>
      <c r="J2261" s="87">
        <v>6631020</v>
      </c>
      <c r="K2261" s="85">
        <v>2022</v>
      </c>
      <c r="L2261" s="85">
        <v>5</v>
      </c>
      <c r="N2261" s="1" t="s">
        <v>44</v>
      </c>
    </row>
    <row r="2262" spans="1:14">
      <c r="A2262" s="36" t="s">
        <v>33</v>
      </c>
      <c r="B2262" s="37">
        <v>44824</v>
      </c>
      <c r="C2262" s="36" t="s">
        <v>912</v>
      </c>
      <c r="D2262" s="36" t="s">
        <v>663</v>
      </c>
      <c r="E2262" s="36" t="s">
        <v>148</v>
      </c>
      <c r="J2262" s="87">
        <v>13989635</v>
      </c>
      <c r="K2262" s="85">
        <v>2022</v>
      </c>
      <c r="L2262" s="85">
        <v>7</v>
      </c>
      <c r="N2262" s="1" t="s">
        <v>44</v>
      </c>
    </row>
    <row r="2263" spans="1:14">
      <c r="A2263" s="36" t="s">
        <v>32</v>
      </c>
      <c r="B2263" s="37">
        <v>44825</v>
      </c>
      <c r="C2263" s="36" t="s">
        <v>881</v>
      </c>
      <c r="D2263" s="36" t="s">
        <v>877</v>
      </c>
      <c r="E2263" s="36" t="s">
        <v>148</v>
      </c>
      <c r="J2263" s="87">
        <v>126458200</v>
      </c>
      <c r="K2263" s="85">
        <v>2022</v>
      </c>
      <c r="L2263" s="85">
        <v>8</v>
      </c>
      <c r="N2263" s="1" t="s">
        <v>44</v>
      </c>
    </row>
    <row r="2264" spans="1:14">
      <c r="A2264" s="36" t="s">
        <v>32</v>
      </c>
      <c r="B2264" s="37">
        <v>44825</v>
      </c>
      <c r="C2264" s="36" t="s">
        <v>881</v>
      </c>
      <c r="D2264" s="36" t="s">
        <v>877</v>
      </c>
      <c r="E2264" s="36" t="s">
        <v>148</v>
      </c>
      <c r="J2264" s="87">
        <v>113602500</v>
      </c>
      <c r="K2264" s="85">
        <v>2022</v>
      </c>
      <c r="L2264" s="85">
        <v>8</v>
      </c>
      <c r="N2264" s="1" t="s">
        <v>44</v>
      </c>
    </row>
    <row r="2265" spans="1:14">
      <c r="A2265" s="36" t="s">
        <v>33</v>
      </c>
      <c r="B2265" s="37">
        <v>44826</v>
      </c>
      <c r="C2265" s="36" t="s">
        <v>864</v>
      </c>
      <c r="D2265" s="36" t="s">
        <v>865</v>
      </c>
      <c r="E2265" s="36" t="s">
        <v>148</v>
      </c>
      <c r="J2265" s="87">
        <v>2640000</v>
      </c>
      <c r="K2265" s="85">
        <v>2022</v>
      </c>
      <c r="L2265" s="85">
        <v>8</v>
      </c>
      <c r="N2265" s="1" t="s">
        <v>44</v>
      </c>
    </row>
    <row r="2266" spans="1:14">
      <c r="A2266" s="36" t="s">
        <v>33</v>
      </c>
      <c r="B2266" s="37">
        <v>44826</v>
      </c>
      <c r="C2266" s="36" t="s">
        <v>119</v>
      </c>
      <c r="D2266" s="36" t="s">
        <v>877</v>
      </c>
      <c r="E2266" s="36" t="s">
        <v>148</v>
      </c>
      <c r="J2266" s="87">
        <v>25454000</v>
      </c>
      <c r="K2266" s="85">
        <v>2022</v>
      </c>
      <c r="L2266" s="85">
        <v>8</v>
      </c>
      <c r="N2266" s="1" t="s">
        <v>44</v>
      </c>
    </row>
    <row r="2267" spans="1:14">
      <c r="A2267" s="36" t="s">
        <v>33</v>
      </c>
      <c r="B2267" s="37">
        <v>44826</v>
      </c>
      <c r="C2267" s="36" t="s">
        <v>966</v>
      </c>
      <c r="D2267" s="36" t="s">
        <v>1003</v>
      </c>
      <c r="E2267" s="36" t="s">
        <v>148</v>
      </c>
      <c r="J2267" s="87">
        <v>5808000</v>
      </c>
      <c r="K2267" s="85">
        <v>2022</v>
      </c>
      <c r="L2267" s="85">
        <v>8</v>
      </c>
      <c r="N2267" s="1" t="s">
        <v>44</v>
      </c>
    </row>
    <row r="2268" spans="1:14">
      <c r="A2268" s="36" t="s">
        <v>33</v>
      </c>
      <c r="B2268" s="37">
        <v>44830</v>
      </c>
      <c r="C2268" s="36" t="s">
        <v>813</v>
      </c>
      <c r="D2268" s="36" t="s">
        <v>814</v>
      </c>
      <c r="E2268" s="36" t="s">
        <v>935</v>
      </c>
      <c r="G2268" s="87">
        <v>184000</v>
      </c>
      <c r="H2268" s="87">
        <v>18400</v>
      </c>
      <c r="I2268" s="87">
        <v>202400</v>
      </c>
      <c r="K2268" s="85">
        <v>2022</v>
      </c>
      <c r="L2268" s="85">
        <v>9</v>
      </c>
      <c r="N2268" s="1" t="s">
        <v>44</v>
      </c>
    </row>
    <row r="2269" spans="1:14">
      <c r="A2269" s="36" t="s">
        <v>32</v>
      </c>
      <c r="B2269" s="37">
        <v>44831</v>
      </c>
      <c r="C2269" s="36" t="s">
        <v>989</v>
      </c>
      <c r="D2269" s="36" t="s">
        <v>990</v>
      </c>
      <c r="E2269" s="36" t="s">
        <v>148</v>
      </c>
      <c r="J2269" s="87">
        <v>10076550</v>
      </c>
      <c r="K2269" s="85">
        <v>2022</v>
      </c>
      <c r="L2269" s="85">
        <v>8</v>
      </c>
      <c r="N2269" s="1" t="s">
        <v>44</v>
      </c>
    </row>
    <row r="2270" spans="1:14">
      <c r="A2270" s="36" t="s">
        <v>32</v>
      </c>
      <c r="B2270" s="37">
        <v>44831</v>
      </c>
      <c r="C2270" s="36" t="s">
        <v>773</v>
      </c>
      <c r="D2270" s="36" t="s">
        <v>775</v>
      </c>
      <c r="E2270" s="36" t="s">
        <v>148</v>
      </c>
      <c r="J2270" s="38">
        <v>10000000</v>
      </c>
      <c r="K2270" s="85">
        <v>2022</v>
      </c>
      <c r="L2270" s="85">
        <v>3</v>
      </c>
      <c r="N2270" s="1" t="s">
        <v>44</v>
      </c>
    </row>
    <row r="2271" spans="1:14">
      <c r="A2271" s="36" t="s">
        <v>33</v>
      </c>
      <c r="B2271" s="37">
        <v>44831</v>
      </c>
      <c r="C2271" s="36" t="s">
        <v>119</v>
      </c>
      <c r="D2271" s="36" t="s">
        <v>990</v>
      </c>
      <c r="E2271" s="36" t="s">
        <v>148</v>
      </c>
      <c r="J2271" s="87">
        <v>9947960</v>
      </c>
      <c r="K2271" s="85">
        <v>2022</v>
      </c>
      <c r="L2271" s="85">
        <v>8</v>
      </c>
      <c r="N2271" s="1" t="s">
        <v>44</v>
      </c>
    </row>
    <row r="2272" spans="1:14">
      <c r="A2272" s="36" t="s">
        <v>32</v>
      </c>
      <c r="B2272" s="37">
        <v>44831</v>
      </c>
      <c r="C2272" s="36" t="s">
        <v>406</v>
      </c>
      <c r="D2272" s="36" t="s">
        <v>896</v>
      </c>
      <c r="E2272" s="36" t="s">
        <v>148</v>
      </c>
      <c r="J2272" s="87">
        <v>2739440</v>
      </c>
      <c r="K2272" s="85">
        <v>2022</v>
      </c>
      <c r="L2272" s="85">
        <v>7</v>
      </c>
      <c r="N2272" s="1" t="s">
        <v>44</v>
      </c>
    </row>
    <row r="2273" spans="1:14">
      <c r="A2273" s="36" t="s">
        <v>32</v>
      </c>
      <c r="B2273" s="37">
        <v>44831</v>
      </c>
      <c r="C2273" s="36" t="s">
        <v>188</v>
      </c>
      <c r="D2273" s="36" t="s">
        <v>981</v>
      </c>
      <c r="E2273" s="36" t="s">
        <v>148</v>
      </c>
      <c r="J2273" s="87">
        <v>7340256</v>
      </c>
      <c r="K2273" s="85">
        <v>2022</v>
      </c>
      <c r="L2273" s="85">
        <v>8</v>
      </c>
      <c r="N2273" s="1" t="s">
        <v>44</v>
      </c>
    </row>
    <row r="2274" spans="1:14">
      <c r="A2274" s="36" t="s">
        <v>33</v>
      </c>
      <c r="B2274" s="37">
        <v>44832</v>
      </c>
      <c r="C2274" s="36" t="s">
        <v>131</v>
      </c>
      <c r="D2274" s="36" t="s">
        <v>439</v>
      </c>
      <c r="E2274" s="36" t="s">
        <v>1005</v>
      </c>
      <c r="G2274" s="87">
        <v>374000</v>
      </c>
      <c r="H2274" s="87">
        <v>37400</v>
      </c>
      <c r="I2274" s="87">
        <v>411400</v>
      </c>
      <c r="K2274" s="85">
        <v>2022</v>
      </c>
      <c r="L2274" s="85">
        <v>9</v>
      </c>
      <c r="N2274" s="1" t="s">
        <v>44</v>
      </c>
    </row>
    <row r="2275" spans="1:14">
      <c r="A2275" s="36" t="s">
        <v>33</v>
      </c>
      <c r="B2275" s="37">
        <v>44833</v>
      </c>
      <c r="C2275" s="36" t="s">
        <v>131</v>
      </c>
      <c r="D2275" s="36" t="s">
        <v>439</v>
      </c>
      <c r="E2275" s="36" t="s">
        <v>1004</v>
      </c>
      <c r="G2275" s="87">
        <v>229000</v>
      </c>
      <c r="H2275" s="87">
        <v>22900</v>
      </c>
      <c r="I2275" s="87">
        <v>251900</v>
      </c>
      <c r="K2275" s="85">
        <v>2022</v>
      </c>
      <c r="L2275" s="85">
        <v>9</v>
      </c>
      <c r="N2275" s="1" t="s">
        <v>44</v>
      </c>
    </row>
    <row r="2276" spans="1:14">
      <c r="A2276" s="36" t="s">
        <v>33</v>
      </c>
      <c r="B2276" s="37">
        <v>44833</v>
      </c>
      <c r="C2276" s="36" t="s">
        <v>912</v>
      </c>
      <c r="D2276" s="36" t="s">
        <v>663</v>
      </c>
      <c r="E2276" s="36" t="s">
        <v>1006</v>
      </c>
      <c r="G2276" s="87">
        <v>20957765</v>
      </c>
      <c r="H2276" s="87">
        <v>2095776</v>
      </c>
      <c r="I2276" s="87">
        <v>23053541</v>
      </c>
      <c r="K2276" s="85">
        <v>2022</v>
      </c>
      <c r="L2276" s="85">
        <v>9</v>
      </c>
      <c r="N2276" s="1" t="s">
        <v>44</v>
      </c>
    </row>
    <row r="2277" spans="1:14">
      <c r="A2277" s="36" t="s">
        <v>32</v>
      </c>
      <c r="B2277" s="37">
        <v>44834</v>
      </c>
      <c r="C2277" s="36" t="s">
        <v>760</v>
      </c>
      <c r="D2277" s="36" t="s">
        <v>854</v>
      </c>
      <c r="E2277" s="36" t="s">
        <v>148</v>
      </c>
      <c r="J2277" s="87">
        <v>3432000</v>
      </c>
      <c r="K2277" s="85">
        <v>2022</v>
      </c>
      <c r="L2277" s="85">
        <v>8</v>
      </c>
      <c r="N2277" s="1" t="s">
        <v>44</v>
      </c>
    </row>
    <row r="2278" spans="1:14">
      <c r="A2278" s="36" t="s">
        <v>32</v>
      </c>
      <c r="B2278" s="37">
        <v>44834</v>
      </c>
      <c r="C2278" s="36" t="s">
        <v>760</v>
      </c>
      <c r="D2278" s="36" t="s">
        <v>930</v>
      </c>
      <c r="E2278" s="36" t="s">
        <v>76</v>
      </c>
      <c r="G2278" s="87">
        <v>7812720</v>
      </c>
      <c r="H2278" s="87">
        <v>781272</v>
      </c>
      <c r="I2278" s="87">
        <v>8593992</v>
      </c>
      <c r="K2278" s="85">
        <v>2022</v>
      </c>
      <c r="L2278" s="85">
        <v>9</v>
      </c>
      <c r="N2278" s="1" t="s">
        <v>44</v>
      </c>
    </row>
    <row r="2279" spans="1:14">
      <c r="A2279" s="36" t="s">
        <v>32</v>
      </c>
      <c r="B2279" s="37">
        <v>44834</v>
      </c>
      <c r="C2279" s="36" t="s">
        <v>664</v>
      </c>
      <c r="D2279" s="36" t="s">
        <v>629</v>
      </c>
      <c r="E2279" s="36" t="s">
        <v>76</v>
      </c>
      <c r="G2279" s="87">
        <v>3330000</v>
      </c>
      <c r="H2279" s="87">
        <v>333000</v>
      </c>
      <c r="I2279" s="87">
        <v>3663000</v>
      </c>
      <c r="K2279" s="85">
        <v>2022</v>
      </c>
      <c r="L2279" s="85">
        <v>9</v>
      </c>
      <c r="N2279" s="1" t="s">
        <v>44</v>
      </c>
    </row>
    <row r="2280" spans="1:14">
      <c r="A2280" s="36" t="s">
        <v>32</v>
      </c>
      <c r="B2280" s="37">
        <v>44834</v>
      </c>
      <c r="C2280" s="36" t="s">
        <v>174</v>
      </c>
      <c r="D2280" s="36" t="s">
        <v>811</v>
      </c>
      <c r="E2280" s="36" t="s">
        <v>148</v>
      </c>
      <c r="J2280" s="87">
        <v>5903040</v>
      </c>
      <c r="K2280" s="85">
        <v>2022</v>
      </c>
      <c r="L2280" s="85">
        <v>8</v>
      </c>
      <c r="N2280" s="1" t="s">
        <v>44</v>
      </c>
    </row>
    <row r="2281" spans="1:14">
      <c r="A2281" s="36" t="s">
        <v>32</v>
      </c>
      <c r="B2281" s="37">
        <v>44834</v>
      </c>
      <c r="C2281" s="36" t="s">
        <v>174</v>
      </c>
      <c r="D2281" s="36" t="s">
        <v>811</v>
      </c>
      <c r="E2281" s="36" t="s">
        <v>250</v>
      </c>
      <c r="G2281" s="87">
        <v>1558000</v>
      </c>
      <c r="H2281" s="87">
        <v>155800</v>
      </c>
      <c r="I2281" s="87">
        <v>1713800</v>
      </c>
      <c r="K2281" s="85">
        <v>2022</v>
      </c>
      <c r="L2281" s="85">
        <v>9</v>
      </c>
      <c r="N2281" s="1" t="s">
        <v>44</v>
      </c>
    </row>
    <row r="2282" spans="1:14">
      <c r="A2282" s="36" t="s">
        <v>32</v>
      </c>
      <c r="B2282" s="37">
        <v>44834</v>
      </c>
      <c r="C2282" s="36" t="s">
        <v>209</v>
      </c>
      <c r="D2282" s="36" t="s">
        <v>1048</v>
      </c>
      <c r="E2282" s="36" t="s">
        <v>76</v>
      </c>
      <c r="G2282" s="87">
        <v>18797600</v>
      </c>
      <c r="H2282" s="87">
        <v>1879760</v>
      </c>
      <c r="I2282" s="87">
        <v>20677360</v>
      </c>
      <c r="K2282" s="85">
        <v>2022</v>
      </c>
      <c r="L2282" s="85">
        <v>9</v>
      </c>
      <c r="N2282" s="1" t="s">
        <v>44</v>
      </c>
    </row>
    <row r="2283" spans="1:14">
      <c r="A2283" s="36" t="s">
        <v>32</v>
      </c>
      <c r="B2283" s="37">
        <v>44834</v>
      </c>
      <c r="C2283" s="36" t="s">
        <v>209</v>
      </c>
      <c r="D2283" s="36" t="s">
        <v>812</v>
      </c>
      <c r="E2283" s="36" t="s">
        <v>76</v>
      </c>
      <c r="G2283" s="87">
        <v>12600000</v>
      </c>
      <c r="H2283" s="87">
        <v>1260000</v>
      </c>
      <c r="I2283" s="87">
        <v>13860000</v>
      </c>
      <c r="K2283" s="85">
        <v>2022</v>
      </c>
      <c r="L2283" s="85">
        <v>9</v>
      </c>
      <c r="N2283" s="1" t="s">
        <v>44</v>
      </c>
    </row>
    <row r="2284" spans="1:14">
      <c r="A2284" s="36" t="s">
        <v>32</v>
      </c>
      <c r="B2284" s="37">
        <v>44834</v>
      </c>
      <c r="C2284" s="36" t="s">
        <v>209</v>
      </c>
      <c r="D2284" s="36" t="s">
        <v>928</v>
      </c>
      <c r="E2284" s="36" t="s">
        <v>76</v>
      </c>
      <c r="G2284" s="87">
        <v>6937200</v>
      </c>
      <c r="H2284" s="87">
        <v>693720</v>
      </c>
      <c r="I2284" s="87">
        <v>7630920</v>
      </c>
      <c r="K2284" s="85">
        <v>2022</v>
      </c>
      <c r="L2284" s="85">
        <v>9</v>
      </c>
      <c r="N2284" s="1" t="s">
        <v>44</v>
      </c>
    </row>
    <row r="2285" spans="1:14">
      <c r="A2285" s="36" t="s">
        <v>33</v>
      </c>
      <c r="B2285" s="37">
        <v>44834</v>
      </c>
      <c r="C2285" s="36" t="s">
        <v>131</v>
      </c>
      <c r="D2285" s="36" t="s">
        <v>439</v>
      </c>
      <c r="E2285" s="36" t="s">
        <v>148</v>
      </c>
      <c r="J2285" s="87">
        <v>251900</v>
      </c>
      <c r="K2285" s="85">
        <v>2022</v>
      </c>
      <c r="L2285" s="85">
        <v>9</v>
      </c>
      <c r="N2285" s="1" t="s">
        <v>44</v>
      </c>
    </row>
    <row r="2286" spans="1:14">
      <c r="A2286" s="36" t="s">
        <v>33</v>
      </c>
      <c r="B2286" s="37">
        <v>44834</v>
      </c>
      <c r="C2286" s="36" t="s">
        <v>131</v>
      </c>
      <c r="D2286" s="36" t="s">
        <v>439</v>
      </c>
      <c r="E2286" s="36" t="s">
        <v>148</v>
      </c>
      <c r="J2286" s="87">
        <v>411400</v>
      </c>
      <c r="K2286" s="85">
        <v>2022</v>
      </c>
      <c r="L2286" s="85">
        <v>9</v>
      </c>
      <c r="N2286" s="1" t="s">
        <v>44</v>
      </c>
    </row>
    <row r="2287" spans="1:14">
      <c r="A2287" s="36" t="s">
        <v>32</v>
      </c>
      <c r="B2287" s="37">
        <v>44834</v>
      </c>
      <c r="C2287" s="36" t="s">
        <v>640</v>
      </c>
      <c r="D2287" s="36" t="s">
        <v>763</v>
      </c>
      <c r="E2287" s="36" t="s">
        <v>76</v>
      </c>
      <c r="G2287" s="87">
        <v>45000000</v>
      </c>
      <c r="H2287" s="87">
        <v>4500000</v>
      </c>
      <c r="I2287" s="87">
        <v>49500000</v>
      </c>
      <c r="K2287" s="85">
        <v>2022</v>
      </c>
      <c r="L2287" s="85">
        <v>9</v>
      </c>
      <c r="N2287" s="1" t="s">
        <v>44</v>
      </c>
    </row>
    <row r="2288" spans="1:14">
      <c r="A2288" s="36" t="s">
        <v>32</v>
      </c>
      <c r="B2288" s="37">
        <v>44834</v>
      </c>
      <c r="C2288" s="36" t="s">
        <v>989</v>
      </c>
      <c r="D2288" s="36" t="s">
        <v>990</v>
      </c>
      <c r="E2288" s="36" t="s">
        <v>345</v>
      </c>
      <c r="G2288" s="87">
        <v>14688500</v>
      </c>
      <c r="H2288" s="87">
        <v>1468850</v>
      </c>
      <c r="I2288" s="87">
        <v>16157350</v>
      </c>
      <c r="K2288" s="85">
        <v>2022</v>
      </c>
      <c r="L2288" s="85">
        <v>9</v>
      </c>
      <c r="N2288" s="1" t="s">
        <v>44</v>
      </c>
    </row>
    <row r="2289" spans="1:14">
      <c r="A2289" s="36" t="s">
        <v>33</v>
      </c>
      <c r="B2289" s="37">
        <v>44834</v>
      </c>
      <c r="C2289" s="36" t="s">
        <v>813</v>
      </c>
      <c r="D2289" s="36" t="s">
        <v>814</v>
      </c>
      <c r="E2289" s="36" t="s">
        <v>148</v>
      </c>
      <c r="J2289" s="87">
        <v>202400</v>
      </c>
      <c r="K2289" s="85">
        <v>2022</v>
      </c>
      <c r="L2289" s="85">
        <v>9</v>
      </c>
      <c r="N2289" s="1" t="s">
        <v>44</v>
      </c>
    </row>
    <row r="2290" spans="1:14">
      <c r="A2290" s="36" t="s">
        <v>33</v>
      </c>
      <c r="B2290" s="37">
        <v>44834</v>
      </c>
      <c r="C2290" s="36" t="s">
        <v>864</v>
      </c>
      <c r="D2290" s="36" t="s">
        <v>865</v>
      </c>
      <c r="E2290" s="36" t="s">
        <v>967</v>
      </c>
      <c r="G2290" s="87">
        <v>3520000</v>
      </c>
      <c r="H2290" s="87">
        <v>352000</v>
      </c>
      <c r="I2290" s="87">
        <v>3872000</v>
      </c>
      <c r="K2290" s="85">
        <v>2022</v>
      </c>
      <c r="L2290" s="85">
        <v>9</v>
      </c>
      <c r="M2290" s="36" t="s">
        <v>865</v>
      </c>
      <c r="N2290" s="1" t="s">
        <v>44</v>
      </c>
    </row>
    <row r="2291" spans="1:14">
      <c r="A2291" s="36" t="s">
        <v>33</v>
      </c>
      <c r="B2291" s="37">
        <v>44834</v>
      </c>
      <c r="C2291" s="36" t="s">
        <v>974</v>
      </c>
      <c r="D2291" s="36" t="s">
        <v>975</v>
      </c>
      <c r="E2291" s="36" t="s">
        <v>148</v>
      </c>
      <c r="J2291" s="87">
        <v>2403500</v>
      </c>
      <c r="K2291" s="85">
        <v>2022</v>
      </c>
      <c r="L2291" s="85">
        <v>8</v>
      </c>
      <c r="N2291" s="1" t="s">
        <v>44</v>
      </c>
    </row>
    <row r="2292" spans="1:14">
      <c r="A2292" s="36" t="s">
        <v>33</v>
      </c>
      <c r="B2292" s="37">
        <v>44834</v>
      </c>
      <c r="C2292" s="36" t="s">
        <v>960</v>
      </c>
      <c r="D2292" s="36" t="s">
        <v>961</v>
      </c>
      <c r="E2292" s="36" t="s">
        <v>77</v>
      </c>
      <c r="J2292" s="38">
        <v>2244000</v>
      </c>
      <c r="K2292" s="85">
        <v>2022</v>
      </c>
      <c r="L2292" s="85">
        <v>8</v>
      </c>
      <c r="N2292" s="1" t="s">
        <v>44</v>
      </c>
    </row>
    <row r="2293" spans="1:14">
      <c r="A2293" s="36" t="s">
        <v>32</v>
      </c>
      <c r="B2293" s="37">
        <v>44834</v>
      </c>
      <c r="C2293" s="36" t="s">
        <v>983</v>
      </c>
      <c r="D2293" s="36" t="s">
        <v>408</v>
      </c>
      <c r="E2293" s="36" t="s">
        <v>148</v>
      </c>
      <c r="J2293" s="87">
        <v>9212500</v>
      </c>
      <c r="K2293" s="85">
        <v>2022</v>
      </c>
      <c r="L2293" s="85">
        <v>8</v>
      </c>
      <c r="N2293" s="1" t="s">
        <v>44</v>
      </c>
    </row>
    <row r="2294" spans="1:14">
      <c r="A2294" s="36" t="s">
        <v>32</v>
      </c>
      <c r="B2294" s="37">
        <v>44834</v>
      </c>
      <c r="C2294" s="36" t="s">
        <v>983</v>
      </c>
      <c r="D2294" s="36" t="s">
        <v>557</v>
      </c>
      <c r="E2294" s="36" t="s">
        <v>76</v>
      </c>
      <c r="G2294" s="87">
        <v>8370000</v>
      </c>
      <c r="H2294" s="87">
        <v>837000</v>
      </c>
      <c r="I2294" s="87">
        <v>9207000</v>
      </c>
      <c r="K2294" s="85">
        <v>2022</v>
      </c>
      <c r="L2294" s="85">
        <v>9</v>
      </c>
      <c r="N2294" s="1" t="s">
        <v>44</v>
      </c>
    </row>
    <row r="2295" spans="1:14">
      <c r="A2295" s="36" t="s">
        <v>32</v>
      </c>
      <c r="B2295" s="37">
        <v>44834</v>
      </c>
      <c r="C2295" s="36" t="s">
        <v>983</v>
      </c>
      <c r="D2295" s="36" t="s">
        <v>1012</v>
      </c>
      <c r="E2295" s="36" t="s">
        <v>76</v>
      </c>
      <c r="G2295" s="87">
        <v>1080000</v>
      </c>
      <c r="H2295" s="87">
        <v>108000</v>
      </c>
      <c r="I2295" s="87">
        <v>1188000</v>
      </c>
      <c r="K2295" s="85">
        <v>2022</v>
      </c>
      <c r="L2295" s="85">
        <v>9</v>
      </c>
      <c r="N2295" s="1" t="s">
        <v>44</v>
      </c>
    </row>
    <row r="2296" spans="1:14">
      <c r="A2296" s="36" t="s">
        <v>32</v>
      </c>
      <c r="B2296" s="37">
        <v>44834</v>
      </c>
      <c r="C2296" s="36" t="s">
        <v>983</v>
      </c>
      <c r="D2296" s="36" t="s">
        <v>557</v>
      </c>
      <c r="E2296" s="36" t="s">
        <v>148</v>
      </c>
      <c r="J2296" s="87">
        <v>9207000</v>
      </c>
      <c r="K2296" s="85">
        <v>2022</v>
      </c>
      <c r="L2296" s="85">
        <v>9</v>
      </c>
      <c r="N2296" s="1" t="s">
        <v>44</v>
      </c>
    </row>
    <row r="2297" spans="1:14">
      <c r="A2297" s="36" t="s">
        <v>32</v>
      </c>
      <c r="B2297" s="37">
        <v>44834</v>
      </c>
      <c r="C2297" s="36" t="s">
        <v>983</v>
      </c>
      <c r="D2297" s="36" t="s">
        <v>1012</v>
      </c>
      <c r="E2297" s="36" t="s">
        <v>148</v>
      </c>
      <c r="J2297" s="87">
        <v>1188000</v>
      </c>
      <c r="K2297" s="85">
        <v>2022</v>
      </c>
      <c r="L2297" s="85">
        <v>9</v>
      </c>
      <c r="N2297" s="1" t="s">
        <v>44</v>
      </c>
    </row>
    <row r="2298" spans="1:14">
      <c r="A2298" s="36" t="s">
        <v>33</v>
      </c>
      <c r="B2298" s="37">
        <v>44834</v>
      </c>
      <c r="C2298" s="36" t="s">
        <v>838</v>
      </c>
      <c r="D2298" s="36" t="s">
        <v>347</v>
      </c>
      <c r="E2298" s="36" t="s">
        <v>148</v>
      </c>
      <c r="J2298" s="87">
        <v>1980000</v>
      </c>
      <c r="K2298" s="85">
        <v>2022</v>
      </c>
      <c r="L2298" s="85">
        <v>8</v>
      </c>
      <c r="N2298" s="1" t="s">
        <v>44</v>
      </c>
    </row>
    <row r="2299" spans="1:14">
      <c r="A2299" s="36" t="s">
        <v>32</v>
      </c>
      <c r="B2299" s="37">
        <v>44834</v>
      </c>
      <c r="C2299" s="36" t="s">
        <v>982</v>
      </c>
      <c r="D2299" s="36" t="s">
        <v>1019</v>
      </c>
      <c r="E2299" s="36" t="s">
        <v>250</v>
      </c>
      <c r="G2299" s="87">
        <v>560000</v>
      </c>
      <c r="H2299" s="87">
        <v>56000</v>
      </c>
      <c r="I2299" s="87">
        <v>616000</v>
      </c>
      <c r="K2299" s="85">
        <v>2022</v>
      </c>
      <c r="L2299" s="85">
        <v>9</v>
      </c>
      <c r="N2299" s="1" t="s">
        <v>44</v>
      </c>
    </row>
    <row r="2300" spans="1:14">
      <c r="A2300" s="36" t="s">
        <v>32</v>
      </c>
      <c r="B2300" s="37">
        <v>44834</v>
      </c>
      <c r="C2300" s="36" t="s">
        <v>334</v>
      </c>
      <c r="D2300" s="36" t="s">
        <v>1014</v>
      </c>
      <c r="E2300" s="36" t="s">
        <v>76</v>
      </c>
      <c r="G2300" s="87">
        <v>6600000</v>
      </c>
      <c r="H2300" s="87">
        <v>660000</v>
      </c>
      <c r="I2300" s="87">
        <v>7260000</v>
      </c>
      <c r="K2300" s="85">
        <v>2022</v>
      </c>
      <c r="L2300" s="85">
        <v>9</v>
      </c>
      <c r="N2300" s="1" t="s">
        <v>44</v>
      </c>
    </row>
    <row r="2301" spans="1:14">
      <c r="A2301" s="36" t="s">
        <v>32</v>
      </c>
      <c r="B2301" s="37">
        <v>44834</v>
      </c>
      <c r="C2301" s="36" t="s">
        <v>334</v>
      </c>
      <c r="D2301" s="36" t="s">
        <v>953</v>
      </c>
      <c r="E2301" s="36" t="s">
        <v>250</v>
      </c>
      <c r="G2301" s="87">
        <v>1500000</v>
      </c>
      <c r="H2301" s="87">
        <v>150000</v>
      </c>
      <c r="I2301" s="87">
        <v>1650000</v>
      </c>
      <c r="K2301" s="85">
        <v>2022</v>
      </c>
      <c r="L2301" s="85">
        <v>9</v>
      </c>
      <c r="N2301" s="1" t="s">
        <v>44</v>
      </c>
    </row>
    <row r="2302" spans="1:14">
      <c r="A2302" s="36" t="s">
        <v>32</v>
      </c>
      <c r="B2302" s="37">
        <v>44834</v>
      </c>
      <c r="C2302" s="36" t="s">
        <v>773</v>
      </c>
      <c r="D2302" s="36" t="s">
        <v>952</v>
      </c>
      <c r="E2302" s="36" t="s">
        <v>250</v>
      </c>
      <c r="G2302" s="87">
        <v>3780000</v>
      </c>
      <c r="H2302" s="87">
        <v>378000</v>
      </c>
      <c r="I2302" s="87">
        <v>4158000</v>
      </c>
      <c r="K2302" s="85">
        <v>2022</v>
      </c>
      <c r="L2302" s="85">
        <v>9</v>
      </c>
      <c r="N2302" s="1" t="s">
        <v>44</v>
      </c>
    </row>
    <row r="2303" spans="1:14">
      <c r="A2303" s="36" t="s">
        <v>32</v>
      </c>
      <c r="B2303" s="37">
        <v>44834</v>
      </c>
      <c r="C2303" s="36" t="s">
        <v>181</v>
      </c>
      <c r="D2303" s="36" t="s">
        <v>822</v>
      </c>
      <c r="E2303" s="36" t="s">
        <v>148</v>
      </c>
      <c r="J2303" s="87">
        <v>2970000</v>
      </c>
      <c r="K2303" s="85">
        <v>2022</v>
      </c>
      <c r="L2303" s="85">
        <v>8</v>
      </c>
      <c r="N2303" s="1" t="s">
        <v>44</v>
      </c>
    </row>
    <row r="2304" spans="1:14">
      <c r="A2304" s="36" t="s">
        <v>32</v>
      </c>
      <c r="B2304" s="37">
        <v>44834</v>
      </c>
      <c r="C2304" s="36" t="s">
        <v>181</v>
      </c>
      <c r="D2304" s="36" t="s">
        <v>823</v>
      </c>
      <c r="E2304" s="36" t="s">
        <v>76</v>
      </c>
      <c r="G2304" s="87">
        <v>8640000</v>
      </c>
      <c r="H2304" s="87">
        <v>864000</v>
      </c>
      <c r="I2304" s="87">
        <v>9504000</v>
      </c>
      <c r="K2304" s="85">
        <v>2022</v>
      </c>
      <c r="L2304" s="85">
        <v>9</v>
      </c>
      <c r="N2304" s="1" t="s">
        <v>44</v>
      </c>
    </row>
    <row r="2305" spans="1:14">
      <c r="A2305" s="36" t="s">
        <v>33</v>
      </c>
      <c r="B2305" s="37">
        <v>44834</v>
      </c>
      <c r="C2305" s="36" t="s">
        <v>320</v>
      </c>
      <c r="D2305" s="36" t="s">
        <v>347</v>
      </c>
      <c r="E2305" s="36" t="s">
        <v>148</v>
      </c>
      <c r="J2305" s="87">
        <v>847000</v>
      </c>
      <c r="K2305" s="85">
        <v>2022</v>
      </c>
      <c r="L2305" s="85">
        <v>8</v>
      </c>
      <c r="N2305" s="1" t="s">
        <v>44</v>
      </c>
    </row>
    <row r="2306" spans="1:14">
      <c r="A2306" s="36" t="s">
        <v>33</v>
      </c>
      <c r="B2306" s="37">
        <v>44834</v>
      </c>
      <c r="C2306" s="36" t="s">
        <v>320</v>
      </c>
      <c r="D2306" s="36" t="s">
        <v>321</v>
      </c>
      <c r="E2306" s="36" t="s">
        <v>143</v>
      </c>
      <c r="G2306" s="87">
        <v>280000</v>
      </c>
      <c r="H2306" s="87">
        <v>28000</v>
      </c>
      <c r="I2306" s="87">
        <v>308000</v>
      </c>
      <c r="K2306" s="85">
        <v>2022</v>
      </c>
      <c r="L2306" s="85">
        <v>9</v>
      </c>
      <c r="N2306" s="1" t="s">
        <v>44</v>
      </c>
    </row>
    <row r="2307" spans="1:14">
      <c r="A2307" s="36" t="s">
        <v>32</v>
      </c>
      <c r="B2307" s="37">
        <v>44834</v>
      </c>
      <c r="C2307" s="36" t="s">
        <v>677</v>
      </c>
      <c r="D2307" s="36" t="s">
        <v>825</v>
      </c>
      <c r="E2307" s="36" t="s">
        <v>76</v>
      </c>
      <c r="G2307" s="87">
        <v>123490000</v>
      </c>
      <c r="H2307" s="87">
        <v>12349000</v>
      </c>
      <c r="I2307" s="87">
        <v>135839000</v>
      </c>
      <c r="K2307" s="85">
        <v>2022</v>
      </c>
      <c r="L2307" s="85">
        <v>9</v>
      </c>
      <c r="N2307" s="1" t="s">
        <v>44</v>
      </c>
    </row>
    <row r="2308" spans="1:14">
      <c r="A2308" s="36" t="s">
        <v>32</v>
      </c>
      <c r="B2308" s="37">
        <v>44834</v>
      </c>
      <c r="C2308" s="36" t="s">
        <v>677</v>
      </c>
      <c r="D2308" s="36" t="s">
        <v>924</v>
      </c>
      <c r="E2308" s="36" t="s">
        <v>76</v>
      </c>
      <c r="G2308" s="87">
        <v>51081500</v>
      </c>
      <c r="H2308" s="87">
        <v>5108150</v>
      </c>
      <c r="I2308" s="87">
        <v>56189650</v>
      </c>
      <c r="K2308" s="85">
        <v>2022</v>
      </c>
      <c r="L2308" s="85">
        <v>9</v>
      </c>
      <c r="N2308" s="1" t="s">
        <v>44</v>
      </c>
    </row>
    <row r="2309" spans="1:14">
      <c r="A2309" s="36" t="s">
        <v>32</v>
      </c>
      <c r="B2309" s="37">
        <v>44834</v>
      </c>
      <c r="C2309" s="36" t="s">
        <v>677</v>
      </c>
      <c r="D2309" s="36" t="s">
        <v>678</v>
      </c>
      <c r="E2309" s="36" t="s">
        <v>76</v>
      </c>
      <c r="G2309" s="87">
        <v>45127920</v>
      </c>
      <c r="H2309" s="87">
        <v>4512792</v>
      </c>
      <c r="I2309" s="87">
        <v>49640712</v>
      </c>
      <c r="K2309" s="85">
        <v>2022</v>
      </c>
      <c r="L2309" s="85">
        <v>9</v>
      </c>
      <c r="N2309" s="1" t="s">
        <v>44</v>
      </c>
    </row>
    <row r="2310" spans="1:14">
      <c r="A2310" s="36" t="s">
        <v>33</v>
      </c>
      <c r="B2310" s="37">
        <v>44834</v>
      </c>
      <c r="C2310" s="36" t="s">
        <v>119</v>
      </c>
      <c r="D2310" s="36" t="s">
        <v>374</v>
      </c>
      <c r="E2310" s="36" t="s">
        <v>148</v>
      </c>
      <c r="J2310" s="87">
        <v>1452000</v>
      </c>
      <c r="K2310" s="85">
        <v>2022</v>
      </c>
      <c r="L2310" s="85">
        <v>8</v>
      </c>
      <c r="N2310" s="1" t="s">
        <v>44</v>
      </c>
    </row>
    <row r="2311" spans="1:14">
      <c r="A2311" s="36" t="s">
        <v>19</v>
      </c>
      <c r="B2311" s="37">
        <v>44834</v>
      </c>
      <c r="C2311" s="36" t="s">
        <v>397</v>
      </c>
      <c r="D2311" s="36" t="s">
        <v>998</v>
      </c>
      <c r="E2311" s="36" t="s">
        <v>246</v>
      </c>
      <c r="G2311" s="87">
        <v>260000</v>
      </c>
      <c r="H2311" s="87">
        <v>26000</v>
      </c>
      <c r="I2311" s="87">
        <v>286000</v>
      </c>
      <c r="K2311" s="85">
        <v>2022</v>
      </c>
      <c r="L2311" s="85">
        <v>9</v>
      </c>
      <c r="N2311" s="1" t="s">
        <v>84</v>
      </c>
    </row>
    <row r="2312" spans="1:14">
      <c r="A2312" s="36" t="s">
        <v>19</v>
      </c>
      <c r="B2312" s="37">
        <v>44834</v>
      </c>
      <c r="C2312" s="36" t="s">
        <v>397</v>
      </c>
      <c r="D2312" s="36" t="s">
        <v>826</v>
      </c>
      <c r="E2312" s="36" t="s">
        <v>246</v>
      </c>
      <c r="G2312" s="87">
        <v>8320000</v>
      </c>
      <c r="H2312" s="87">
        <v>832000</v>
      </c>
      <c r="I2312" s="87">
        <v>9152000</v>
      </c>
      <c r="K2312" s="85">
        <v>2022</v>
      </c>
      <c r="L2312" s="85">
        <v>9</v>
      </c>
      <c r="N2312" s="1" t="s">
        <v>84</v>
      </c>
    </row>
    <row r="2313" spans="1:14">
      <c r="A2313" s="36" t="s">
        <v>19</v>
      </c>
      <c r="B2313" s="37">
        <v>44834</v>
      </c>
      <c r="C2313" s="36" t="s">
        <v>397</v>
      </c>
      <c r="D2313" s="36" t="s">
        <v>1002</v>
      </c>
      <c r="E2313" s="36" t="s">
        <v>246</v>
      </c>
      <c r="G2313" s="87">
        <v>14090600</v>
      </c>
      <c r="H2313" s="87">
        <v>1409060</v>
      </c>
      <c r="I2313" s="87">
        <v>15499660</v>
      </c>
      <c r="K2313" s="85">
        <v>2022</v>
      </c>
      <c r="L2313" s="85">
        <v>9</v>
      </c>
      <c r="N2313" s="1" t="s">
        <v>84</v>
      </c>
    </row>
    <row r="2314" spans="1:14">
      <c r="A2314" s="36" t="s">
        <v>33</v>
      </c>
      <c r="B2314" s="37">
        <v>44834</v>
      </c>
      <c r="C2314" s="36" t="s">
        <v>119</v>
      </c>
      <c r="D2314" s="36" t="s">
        <v>877</v>
      </c>
      <c r="E2314" s="36" t="s">
        <v>76</v>
      </c>
      <c r="G2314" s="87">
        <v>2860000</v>
      </c>
      <c r="H2314" s="87">
        <v>286000</v>
      </c>
      <c r="I2314" s="87">
        <v>3146000</v>
      </c>
      <c r="K2314" s="85">
        <v>2022</v>
      </c>
      <c r="L2314" s="85">
        <v>9</v>
      </c>
      <c r="N2314" s="1" t="s">
        <v>44</v>
      </c>
    </row>
    <row r="2315" spans="1:14">
      <c r="A2315" s="36" t="s">
        <v>33</v>
      </c>
      <c r="B2315" s="37">
        <v>44834</v>
      </c>
      <c r="C2315" s="36" t="s">
        <v>119</v>
      </c>
      <c r="D2315" s="36" t="s">
        <v>1048</v>
      </c>
      <c r="E2315" s="36" t="s">
        <v>76</v>
      </c>
      <c r="G2315" s="87">
        <v>18646300</v>
      </c>
      <c r="H2315" s="87">
        <v>1864630</v>
      </c>
      <c r="I2315" s="87">
        <v>20510930</v>
      </c>
      <c r="K2315" s="85">
        <v>2022</v>
      </c>
      <c r="L2315" s="85">
        <v>9</v>
      </c>
      <c r="N2315" s="1" t="s">
        <v>44</v>
      </c>
    </row>
    <row r="2316" spans="1:14">
      <c r="A2316" s="36" t="s">
        <v>32</v>
      </c>
      <c r="B2316" s="37">
        <v>44834</v>
      </c>
      <c r="C2316" s="36" t="s">
        <v>119</v>
      </c>
      <c r="D2316" s="36" t="s">
        <v>1013</v>
      </c>
      <c r="E2316" s="36" t="s">
        <v>76</v>
      </c>
      <c r="G2316" s="87">
        <v>7430000</v>
      </c>
      <c r="H2316" s="87">
        <v>743000</v>
      </c>
      <c r="I2316" s="87">
        <v>8173000</v>
      </c>
      <c r="K2316" s="85">
        <v>2022</v>
      </c>
      <c r="L2316" s="85">
        <v>9</v>
      </c>
      <c r="N2316" s="1" t="s">
        <v>44</v>
      </c>
    </row>
    <row r="2317" spans="1:14">
      <c r="A2317" s="36" t="s">
        <v>32</v>
      </c>
      <c r="B2317" s="37">
        <v>44834</v>
      </c>
      <c r="C2317" s="36" t="s">
        <v>264</v>
      </c>
      <c r="D2317" s="36" t="s">
        <v>993</v>
      </c>
      <c r="E2317" s="36" t="s">
        <v>148</v>
      </c>
      <c r="J2317" s="87">
        <v>13200000</v>
      </c>
      <c r="K2317" s="85">
        <v>2022</v>
      </c>
      <c r="L2317" s="85">
        <v>8</v>
      </c>
      <c r="N2317" s="1" t="s">
        <v>44</v>
      </c>
    </row>
    <row r="2318" spans="1:14">
      <c r="A2318" s="36" t="s">
        <v>32</v>
      </c>
      <c r="B2318" s="37">
        <v>44834</v>
      </c>
      <c r="C2318" s="36" t="s">
        <v>264</v>
      </c>
      <c r="D2318" s="36" t="s">
        <v>993</v>
      </c>
      <c r="E2318" s="36" t="s">
        <v>76</v>
      </c>
      <c r="G2318" s="87">
        <v>21200000</v>
      </c>
      <c r="H2318" s="87">
        <v>2120000</v>
      </c>
      <c r="I2318" s="87">
        <v>23320000</v>
      </c>
      <c r="K2318" s="85">
        <v>2022</v>
      </c>
      <c r="L2318" s="85">
        <v>9</v>
      </c>
      <c r="N2318" s="1" t="s">
        <v>44</v>
      </c>
    </row>
    <row r="2319" spans="1:14">
      <c r="A2319" s="36" t="s">
        <v>19</v>
      </c>
      <c r="B2319" s="37">
        <v>44834</v>
      </c>
      <c r="C2319" s="36" t="s">
        <v>999</v>
      </c>
      <c r="D2319" s="36" t="s">
        <v>998</v>
      </c>
      <c r="E2319" s="36" t="s">
        <v>1000</v>
      </c>
      <c r="G2319" s="87">
        <v>7920000</v>
      </c>
      <c r="H2319" s="87">
        <v>792000</v>
      </c>
      <c r="I2319" s="87">
        <v>8712000</v>
      </c>
      <c r="K2319" s="85">
        <v>2022</v>
      </c>
      <c r="L2319" s="85">
        <v>9</v>
      </c>
      <c r="M2319" s="36" t="s">
        <v>1001</v>
      </c>
      <c r="N2319" s="1" t="s">
        <v>84</v>
      </c>
    </row>
    <row r="2320" spans="1:14">
      <c r="A2320" s="36" t="s">
        <v>32</v>
      </c>
      <c r="B2320" s="37">
        <v>44834</v>
      </c>
      <c r="C2320" s="36" t="s">
        <v>511</v>
      </c>
      <c r="D2320" s="36" t="s">
        <v>1016</v>
      </c>
      <c r="E2320" s="36" t="s">
        <v>76</v>
      </c>
      <c r="G2320" s="87">
        <v>73619300</v>
      </c>
      <c r="H2320" s="87">
        <v>7361930</v>
      </c>
      <c r="I2320" s="87">
        <v>80981230</v>
      </c>
      <c r="K2320" s="85">
        <v>2022</v>
      </c>
      <c r="L2320" s="85">
        <v>9</v>
      </c>
      <c r="N2320" s="1" t="s">
        <v>44</v>
      </c>
    </row>
    <row r="2321" spans="1:14">
      <c r="A2321" s="36" t="s">
        <v>32</v>
      </c>
      <c r="B2321" s="37">
        <v>44834</v>
      </c>
      <c r="C2321" s="36" t="s">
        <v>881</v>
      </c>
      <c r="D2321" s="36" t="s">
        <v>877</v>
      </c>
      <c r="E2321" s="36" t="s">
        <v>76</v>
      </c>
      <c r="G2321" s="87">
        <v>94037000</v>
      </c>
      <c r="H2321" s="87">
        <v>9403700</v>
      </c>
      <c r="I2321" s="87">
        <v>103440700</v>
      </c>
      <c r="K2321" s="85">
        <v>2022</v>
      </c>
      <c r="L2321" s="85">
        <v>9</v>
      </c>
      <c r="N2321" s="1" t="s">
        <v>44</v>
      </c>
    </row>
    <row r="2322" spans="1:14">
      <c r="A2322" s="36" t="s">
        <v>32</v>
      </c>
      <c r="B2322" s="37">
        <v>44834</v>
      </c>
      <c r="C2322" s="36" t="s">
        <v>881</v>
      </c>
      <c r="D2322" s="36" t="s">
        <v>877</v>
      </c>
      <c r="E2322" s="36" t="s">
        <v>76</v>
      </c>
      <c r="G2322" s="87">
        <v>145750000</v>
      </c>
      <c r="H2322" s="87">
        <v>14575000</v>
      </c>
      <c r="I2322" s="87">
        <v>160325000</v>
      </c>
      <c r="K2322" s="85">
        <v>2022</v>
      </c>
      <c r="L2322" s="85">
        <v>9</v>
      </c>
      <c r="N2322" s="1" t="s">
        <v>44</v>
      </c>
    </row>
    <row r="2323" spans="1:14">
      <c r="A2323" s="36" t="s">
        <v>32</v>
      </c>
      <c r="B2323" s="37">
        <v>44834</v>
      </c>
      <c r="C2323" s="36" t="s">
        <v>552</v>
      </c>
      <c r="D2323" s="36" t="s">
        <v>1011</v>
      </c>
      <c r="E2323" s="36" t="s">
        <v>76</v>
      </c>
      <c r="G2323" s="87">
        <v>6818364</v>
      </c>
      <c r="H2323" s="87">
        <v>681836.4</v>
      </c>
      <c r="I2323" s="87">
        <v>7500200.4000000004</v>
      </c>
      <c r="K2323" s="85">
        <v>2022</v>
      </c>
      <c r="L2323" s="85">
        <v>9</v>
      </c>
      <c r="N2323" s="1" t="s">
        <v>44</v>
      </c>
    </row>
    <row r="2324" spans="1:14">
      <c r="A2324" s="36" t="s">
        <v>32</v>
      </c>
      <c r="B2324" s="37">
        <v>44834</v>
      </c>
      <c r="C2324" s="36" t="s">
        <v>206</v>
      </c>
      <c r="D2324" s="36" t="s">
        <v>152</v>
      </c>
      <c r="E2324" s="36" t="s">
        <v>76</v>
      </c>
      <c r="G2324" s="87">
        <v>6743100</v>
      </c>
      <c r="H2324" s="87">
        <v>674310</v>
      </c>
      <c r="I2324" s="87">
        <v>7417410</v>
      </c>
      <c r="K2324" s="85">
        <v>2022</v>
      </c>
      <c r="L2324" s="85">
        <v>9</v>
      </c>
      <c r="N2324" s="1" t="s">
        <v>44</v>
      </c>
    </row>
    <row r="2325" spans="1:14">
      <c r="A2325" s="36" t="s">
        <v>33</v>
      </c>
      <c r="B2325" s="37">
        <v>44834</v>
      </c>
      <c r="C2325" s="36" t="s">
        <v>1007</v>
      </c>
      <c r="D2325" s="36" t="s">
        <v>1008</v>
      </c>
      <c r="E2325" s="36" t="s">
        <v>1009</v>
      </c>
      <c r="G2325" s="87">
        <v>8370000</v>
      </c>
      <c r="H2325" s="87">
        <v>837000</v>
      </c>
      <c r="I2325" s="87">
        <v>9207000</v>
      </c>
      <c r="K2325" s="85">
        <v>2022</v>
      </c>
      <c r="L2325" s="85">
        <v>9</v>
      </c>
      <c r="N2325" s="1" t="s">
        <v>44</v>
      </c>
    </row>
    <row r="2326" spans="1:14">
      <c r="A2326" s="36" t="s">
        <v>33</v>
      </c>
      <c r="B2326" s="37">
        <v>44834</v>
      </c>
      <c r="C2326" s="36" t="s">
        <v>966</v>
      </c>
      <c r="D2326" s="36" t="s">
        <v>1003</v>
      </c>
      <c r="E2326" s="36" t="s">
        <v>967</v>
      </c>
      <c r="G2326" s="87">
        <v>18480000</v>
      </c>
      <c r="H2326" s="87">
        <v>1848000</v>
      </c>
      <c r="I2326" s="87">
        <v>20328000</v>
      </c>
      <c r="K2326" s="85">
        <v>2022</v>
      </c>
      <c r="L2326" s="85">
        <v>9</v>
      </c>
      <c r="M2326" s="36" t="s">
        <v>1010</v>
      </c>
      <c r="N2326" s="1" t="s">
        <v>44</v>
      </c>
    </row>
    <row r="2327" spans="1:14">
      <c r="A2327" s="36" t="s">
        <v>32</v>
      </c>
      <c r="B2327" s="37">
        <v>44834</v>
      </c>
      <c r="C2327" s="36" t="s">
        <v>888</v>
      </c>
      <c r="D2327" s="36" t="s">
        <v>927</v>
      </c>
      <c r="E2327" s="36" t="s">
        <v>250</v>
      </c>
      <c r="G2327" s="87">
        <v>1368000</v>
      </c>
      <c r="H2327" s="87">
        <v>136800</v>
      </c>
      <c r="I2327" s="87">
        <v>1504800</v>
      </c>
      <c r="K2327" s="85">
        <v>2022</v>
      </c>
      <c r="L2327" s="85">
        <v>9</v>
      </c>
      <c r="N2327" s="1" t="s">
        <v>44</v>
      </c>
    </row>
    <row r="2328" spans="1:14">
      <c r="A2328" s="36" t="s">
        <v>32</v>
      </c>
      <c r="B2328" s="37">
        <v>44834</v>
      </c>
      <c r="C2328" s="36" t="s">
        <v>185</v>
      </c>
      <c r="D2328" s="36" t="s">
        <v>931</v>
      </c>
      <c r="E2328" s="36" t="s">
        <v>148</v>
      </c>
      <c r="J2328" s="87">
        <v>5466562.2000000002</v>
      </c>
      <c r="K2328" s="85">
        <v>2022</v>
      </c>
      <c r="L2328" s="85">
        <v>8</v>
      </c>
      <c r="N2328" s="1" t="s">
        <v>44</v>
      </c>
    </row>
    <row r="2329" spans="1:14">
      <c r="A2329" s="36" t="s">
        <v>32</v>
      </c>
      <c r="B2329" s="37">
        <v>44834</v>
      </c>
      <c r="C2329" s="36" t="s">
        <v>185</v>
      </c>
      <c r="D2329" s="36" t="s">
        <v>932</v>
      </c>
      <c r="E2329" s="36" t="s">
        <v>148</v>
      </c>
      <c r="J2329" s="87">
        <v>21653326.199999999</v>
      </c>
      <c r="K2329" s="85">
        <v>2022</v>
      </c>
      <c r="L2329" s="85">
        <v>8</v>
      </c>
      <c r="N2329" s="1" t="s">
        <v>44</v>
      </c>
    </row>
    <row r="2330" spans="1:14">
      <c r="A2330" s="36" t="s">
        <v>32</v>
      </c>
      <c r="B2330" s="37">
        <v>44834</v>
      </c>
      <c r="C2330" s="36" t="s">
        <v>185</v>
      </c>
      <c r="D2330" s="36" t="s">
        <v>778</v>
      </c>
      <c r="E2330" s="36" t="s">
        <v>148</v>
      </c>
      <c r="J2330" s="87">
        <v>3859680</v>
      </c>
      <c r="K2330" s="85">
        <v>2022</v>
      </c>
      <c r="L2330" s="85">
        <v>8</v>
      </c>
      <c r="N2330" s="1" t="s">
        <v>44</v>
      </c>
    </row>
    <row r="2331" spans="1:14">
      <c r="A2331" s="36" t="s">
        <v>32</v>
      </c>
      <c r="B2331" s="37">
        <v>44834</v>
      </c>
      <c r="C2331" s="36" t="s">
        <v>185</v>
      </c>
      <c r="D2331" s="36" t="s">
        <v>778</v>
      </c>
      <c r="E2331" s="36" t="s">
        <v>76</v>
      </c>
      <c r="G2331" s="87">
        <v>4877879</v>
      </c>
      <c r="H2331" s="87">
        <v>487787.9</v>
      </c>
      <c r="I2331" s="87">
        <v>5365666.9000000004</v>
      </c>
      <c r="K2331" s="85">
        <v>2022</v>
      </c>
      <c r="L2331" s="85">
        <v>9</v>
      </c>
      <c r="N2331" s="1" t="s">
        <v>44</v>
      </c>
    </row>
    <row r="2332" spans="1:14">
      <c r="A2332" s="36" t="s">
        <v>32</v>
      </c>
      <c r="B2332" s="37">
        <v>44834</v>
      </c>
      <c r="C2332" s="36" t="s">
        <v>185</v>
      </c>
      <c r="D2332" s="36" t="s">
        <v>778</v>
      </c>
      <c r="E2332" s="36" t="s">
        <v>148</v>
      </c>
      <c r="J2332" s="87">
        <v>5365666.9000000004</v>
      </c>
      <c r="K2332" s="85">
        <v>2022</v>
      </c>
      <c r="L2332" s="85">
        <v>9</v>
      </c>
      <c r="N2332" s="1" t="s">
        <v>44</v>
      </c>
    </row>
    <row r="2333" spans="1:14">
      <c r="A2333" s="36" t="s">
        <v>32</v>
      </c>
      <c r="B2333" s="37">
        <v>44834</v>
      </c>
      <c r="C2333" s="36" t="s">
        <v>268</v>
      </c>
      <c r="D2333" s="36" t="s">
        <v>954</v>
      </c>
      <c r="E2333" s="36" t="s">
        <v>76</v>
      </c>
      <c r="G2333" s="87">
        <v>56685000</v>
      </c>
      <c r="H2333" s="87">
        <v>5668500</v>
      </c>
      <c r="I2333" s="87">
        <v>62353500</v>
      </c>
      <c r="K2333" s="85">
        <v>2022</v>
      </c>
      <c r="L2333" s="85">
        <v>9</v>
      </c>
      <c r="N2333" s="1" t="s">
        <v>44</v>
      </c>
    </row>
    <row r="2334" spans="1:14">
      <c r="A2334" s="36" t="s">
        <v>32</v>
      </c>
      <c r="B2334" s="37">
        <v>44834</v>
      </c>
      <c r="C2334" s="36" t="s">
        <v>590</v>
      </c>
      <c r="D2334" s="36" t="s">
        <v>591</v>
      </c>
      <c r="E2334" s="36" t="s">
        <v>148</v>
      </c>
      <c r="J2334" s="87">
        <v>4048000</v>
      </c>
      <c r="K2334" s="85">
        <v>2022</v>
      </c>
      <c r="L2334" s="85">
        <v>8</v>
      </c>
      <c r="N2334" s="1" t="s">
        <v>44</v>
      </c>
    </row>
    <row r="2335" spans="1:14">
      <c r="A2335" s="36" t="s">
        <v>33</v>
      </c>
      <c r="B2335" s="37">
        <v>44834</v>
      </c>
      <c r="C2335" s="36" t="s">
        <v>590</v>
      </c>
      <c r="D2335" s="36" t="s">
        <v>1011</v>
      </c>
      <c r="E2335" s="36" t="s">
        <v>78</v>
      </c>
      <c r="G2335" s="87">
        <v>4894000</v>
      </c>
      <c r="H2335" s="87">
        <v>489400</v>
      </c>
      <c r="I2335" s="87">
        <v>5383400</v>
      </c>
      <c r="K2335" s="85">
        <v>2022</v>
      </c>
      <c r="L2335" s="85">
        <v>9</v>
      </c>
      <c r="M2335" s="36" t="s">
        <v>591</v>
      </c>
      <c r="N2335" s="1" t="s">
        <v>44</v>
      </c>
    </row>
    <row r="2336" spans="1:14">
      <c r="A2336" s="36" t="s">
        <v>33</v>
      </c>
      <c r="B2336" s="37">
        <v>44834</v>
      </c>
      <c r="C2336" s="36" t="s">
        <v>590</v>
      </c>
      <c r="D2336" s="36" t="s">
        <v>1012</v>
      </c>
      <c r="E2336" s="36" t="s">
        <v>269</v>
      </c>
      <c r="G2336" s="87">
        <v>1080000</v>
      </c>
      <c r="H2336" s="87">
        <v>108000</v>
      </c>
      <c r="I2336" s="87">
        <v>1188000</v>
      </c>
      <c r="K2336" s="85">
        <v>2022</v>
      </c>
      <c r="L2336" s="85">
        <v>9</v>
      </c>
      <c r="M2336" s="36" t="s">
        <v>591</v>
      </c>
      <c r="N2336" s="1" t="s">
        <v>44</v>
      </c>
    </row>
    <row r="2337" spans="1:14">
      <c r="A2337" s="36" t="s">
        <v>32</v>
      </c>
      <c r="B2337" s="37">
        <v>44834</v>
      </c>
      <c r="C2337" s="36" t="s">
        <v>188</v>
      </c>
      <c r="D2337" s="36" t="s">
        <v>649</v>
      </c>
      <c r="E2337" s="36" t="s">
        <v>76</v>
      </c>
      <c r="G2337" s="87">
        <v>1991520</v>
      </c>
      <c r="H2337" s="87">
        <v>199152</v>
      </c>
      <c r="I2337" s="87">
        <v>2190672</v>
      </c>
      <c r="K2337" s="85">
        <v>2022</v>
      </c>
      <c r="L2337" s="85">
        <v>9</v>
      </c>
      <c r="N2337" s="1" t="s">
        <v>44</v>
      </c>
    </row>
    <row r="2338" spans="1:14">
      <c r="A2338" s="36" t="s">
        <v>32</v>
      </c>
      <c r="B2338" s="37">
        <v>44834</v>
      </c>
      <c r="C2338" s="36" t="s">
        <v>188</v>
      </c>
      <c r="D2338" s="36" t="s">
        <v>1321</v>
      </c>
      <c r="E2338" s="36" t="s">
        <v>1018</v>
      </c>
      <c r="G2338" s="87">
        <v>3525000</v>
      </c>
      <c r="H2338" s="87">
        <v>352500</v>
      </c>
      <c r="I2338" s="87">
        <v>3877500</v>
      </c>
      <c r="K2338" s="85">
        <v>2022</v>
      </c>
      <c r="L2338" s="85">
        <v>9</v>
      </c>
      <c r="N2338" s="1" t="s">
        <v>44</v>
      </c>
    </row>
    <row r="2339" spans="1:14">
      <c r="A2339" s="36" t="s">
        <v>32</v>
      </c>
      <c r="B2339" s="37">
        <v>44834</v>
      </c>
      <c r="C2339" s="36" t="s">
        <v>307</v>
      </c>
      <c r="D2339" s="36" t="s">
        <v>980</v>
      </c>
      <c r="E2339" s="36" t="s">
        <v>250</v>
      </c>
      <c r="G2339" s="87">
        <v>840000</v>
      </c>
      <c r="H2339" s="87">
        <v>84000</v>
      </c>
      <c r="I2339" s="87">
        <v>924000</v>
      </c>
      <c r="K2339" s="85">
        <v>2022</v>
      </c>
      <c r="L2339" s="85">
        <v>9</v>
      </c>
      <c r="N2339" s="1" t="s">
        <v>44</v>
      </c>
    </row>
    <row r="2340" spans="1:14">
      <c r="A2340" s="36" t="s">
        <v>32</v>
      </c>
      <c r="B2340" s="37">
        <v>44834</v>
      </c>
      <c r="C2340" s="36" t="s">
        <v>519</v>
      </c>
      <c r="D2340" s="36" t="s">
        <v>1017</v>
      </c>
      <c r="E2340" s="36" t="s">
        <v>250</v>
      </c>
      <c r="G2340" s="87">
        <v>1080000</v>
      </c>
      <c r="H2340" s="87">
        <v>108000</v>
      </c>
      <c r="I2340" s="87">
        <v>1188000</v>
      </c>
      <c r="K2340" s="85">
        <v>2022</v>
      </c>
      <c r="L2340" s="85">
        <v>9</v>
      </c>
      <c r="N2340" s="1" t="s">
        <v>44</v>
      </c>
    </row>
    <row r="2341" spans="1:14">
      <c r="A2341" s="36" t="s">
        <v>32</v>
      </c>
      <c r="B2341" s="37">
        <v>44834</v>
      </c>
      <c r="C2341" s="36" t="s">
        <v>987</v>
      </c>
      <c r="D2341" s="36" t="s">
        <v>1015</v>
      </c>
      <c r="E2341" s="36" t="s">
        <v>76</v>
      </c>
      <c r="G2341" s="87">
        <v>7625000</v>
      </c>
      <c r="H2341" s="87">
        <v>762500</v>
      </c>
      <c r="I2341" s="87">
        <v>8387500</v>
      </c>
      <c r="K2341" s="85">
        <v>2022</v>
      </c>
      <c r="L2341" s="85">
        <v>9</v>
      </c>
      <c r="N2341" s="1" t="s">
        <v>44</v>
      </c>
    </row>
    <row r="2342" spans="1:14">
      <c r="A2342" s="36" t="s">
        <v>32</v>
      </c>
      <c r="B2342" s="37">
        <v>44834</v>
      </c>
      <c r="C2342" s="36" t="s">
        <v>987</v>
      </c>
      <c r="D2342" s="36" t="s">
        <v>988</v>
      </c>
      <c r="E2342" s="36" t="s">
        <v>76</v>
      </c>
      <c r="G2342" s="87">
        <v>750000</v>
      </c>
      <c r="H2342" s="87">
        <v>75000</v>
      </c>
      <c r="I2342" s="87">
        <v>825000</v>
      </c>
      <c r="K2342" s="85">
        <v>2022</v>
      </c>
      <c r="L2342" s="85">
        <v>9</v>
      </c>
      <c r="N2342" s="1" t="s">
        <v>44</v>
      </c>
    </row>
    <row r="2343" spans="1:14">
      <c r="A2343" s="36" t="s">
        <v>32</v>
      </c>
      <c r="B2343" s="37">
        <v>44834</v>
      </c>
      <c r="C2343" s="36" t="s">
        <v>977</v>
      </c>
      <c r="D2343" s="36" t="s">
        <v>978</v>
      </c>
      <c r="E2343" s="36" t="s">
        <v>148</v>
      </c>
      <c r="J2343" s="87">
        <v>2310000</v>
      </c>
      <c r="K2343" s="85">
        <v>2022</v>
      </c>
      <c r="L2343" s="85">
        <v>8</v>
      </c>
      <c r="N2343" s="1" t="s">
        <v>44</v>
      </c>
    </row>
    <row r="2344" spans="1:14">
      <c r="A2344" s="36" t="s">
        <v>32</v>
      </c>
      <c r="B2344" s="37">
        <v>44834</v>
      </c>
      <c r="C2344" s="36" t="s">
        <v>654</v>
      </c>
      <c r="D2344" s="36" t="s">
        <v>835</v>
      </c>
      <c r="E2344" s="36" t="s">
        <v>76</v>
      </c>
      <c r="G2344" s="87">
        <v>5927400</v>
      </c>
      <c r="H2344" s="87">
        <v>592740</v>
      </c>
      <c r="I2344" s="87">
        <v>6520140</v>
      </c>
      <c r="K2344" s="85">
        <v>2022</v>
      </c>
      <c r="L2344" s="85">
        <v>9</v>
      </c>
      <c r="N2344" s="1" t="s">
        <v>44</v>
      </c>
    </row>
    <row r="2345" spans="1:14">
      <c r="A2345" s="36" t="s">
        <v>32</v>
      </c>
      <c r="B2345" s="37">
        <v>44834</v>
      </c>
      <c r="C2345" s="36" t="s">
        <v>654</v>
      </c>
      <c r="D2345" s="36" t="s">
        <v>994</v>
      </c>
      <c r="E2345" s="36" t="s">
        <v>76</v>
      </c>
      <c r="G2345" s="87">
        <v>68021100</v>
      </c>
      <c r="H2345" s="87">
        <v>6802110</v>
      </c>
      <c r="I2345" s="87">
        <v>74823210</v>
      </c>
      <c r="K2345" s="85">
        <v>2022</v>
      </c>
      <c r="L2345" s="85">
        <v>9</v>
      </c>
      <c r="N2345" s="1" t="s">
        <v>44</v>
      </c>
    </row>
    <row r="2346" spans="1:14">
      <c r="A2346" s="36" t="s">
        <v>32</v>
      </c>
      <c r="B2346" s="37">
        <v>44834</v>
      </c>
      <c r="C2346" s="36" t="s">
        <v>922</v>
      </c>
      <c r="D2346" s="36" t="s">
        <v>1020</v>
      </c>
      <c r="E2346" s="36" t="s">
        <v>76</v>
      </c>
      <c r="G2346" s="87">
        <v>1035000</v>
      </c>
      <c r="H2346" s="87">
        <v>103500</v>
      </c>
      <c r="I2346" s="87">
        <v>1138500</v>
      </c>
      <c r="K2346" s="85">
        <v>2022</v>
      </c>
      <c r="L2346" s="85">
        <v>9</v>
      </c>
      <c r="N2346" s="1" t="s">
        <v>44</v>
      </c>
    </row>
    <row r="2347" spans="1:14">
      <c r="A2347" s="36" t="s">
        <v>32</v>
      </c>
      <c r="B2347" s="37">
        <v>44834</v>
      </c>
      <c r="C2347" s="36" t="s">
        <v>944</v>
      </c>
      <c r="D2347" s="36" t="s">
        <v>945</v>
      </c>
      <c r="E2347" s="36" t="s">
        <v>76</v>
      </c>
      <c r="G2347" s="87">
        <v>2860000</v>
      </c>
      <c r="H2347" s="87">
        <v>286000</v>
      </c>
      <c r="I2347" s="87">
        <v>3146000</v>
      </c>
      <c r="K2347" s="85">
        <v>2022</v>
      </c>
      <c r="L2347" s="85">
        <v>9</v>
      </c>
      <c r="N2347" s="1" t="s">
        <v>44</v>
      </c>
    </row>
    <row r="2348" spans="1:14">
      <c r="A2348" s="36" t="s">
        <v>32</v>
      </c>
      <c r="B2348" s="37">
        <v>44834</v>
      </c>
      <c r="C2348" s="36" t="s">
        <v>474</v>
      </c>
      <c r="D2348" s="36" t="s">
        <v>804</v>
      </c>
      <c r="E2348" s="36" t="s">
        <v>76</v>
      </c>
      <c r="G2348" s="87">
        <v>1880000</v>
      </c>
      <c r="H2348" s="87">
        <v>188000</v>
      </c>
      <c r="I2348" s="87">
        <v>2068000</v>
      </c>
      <c r="K2348" s="85">
        <v>2022</v>
      </c>
      <c r="L2348" s="85">
        <v>9</v>
      </c>
      <c r="N2348" s="1" t="s">
        <v>44</v>
      </c>
    </row>
    <row r="2349" spans="1:14">
      <c r="A2349" s="36" t="s">
        <v>32</v>
      </c>
      <c r="B2349" s="37">
        <v>44834</v>
      </c>
      <c r="C2349" s="36" t="s">
        <v>942</v>
      </c>
      <c r="D2349" s="36" t="s">
        <v>943</v>
      </c>
      <c r="E2349" s="36" t="s">
        <v>76</v>
      </c>
      <c r="G2349" s="87">
        <v>1350000</v>
      </c>
      <c r="H2349" s="87">
        <v>135000</v>
      </c>
      <c r="I2349" s="87">
        <v>1485000</v>
      </c>
      <c r="K2349" s="85">
        <v>2022</v>
      </c>
      <c r="L2349" s="85">
        <v>9</v>
      </c>
      <c r="N2349" s="1" t="s">
        <v>44</v>
      </c>
    </row>
    <row r="2350" spans="1:14">
      <c r="A2350" s="36" t="s">
        <v>33</v>
      </c>
      <c r="B2350" s="37">
        <v>44834</v>
      </c>
      <c r="C2350" s="36" t="s">
        <v>955</v>
      </c>
      <c r="D2350" s="36" t="s">
        <v>956</v>
      </c>
      <c r="E2350" s="36" t="s">
        <v>148</v>
      </c>
      <c r="J2350" s="87">
        <v>1100000</v>
      </c>
      <c r="K2350" s="85">
        <v>2022</v>
      </c>
      <c r="L2350" s="85">
        <v>8</v>
      </c>
      <c r="N2350" s="1" t="s">
        <v>44</v>
      </c>
    </row>
    <row r="2351" spans="1:14">
      <c r="A2351" s="36" t="s">
        <v>32</v>
      </c>
      <c r="B2351" s="37">
        <v>44835</v>
      </c>
      <c r="C2351" s="36" t="s">
        <v>664</v>
      </c>
      <c r="D2351" s="36" t="s">
        <v>1070</v>
      </c>
      <c r="E2351" s="36" t="s">
        <v>76</v>
      </c>
      <c r="G2351" s="87">
        <v>24182500</v>
      </c>
      <c r="H2351" s="87">
        <v>2418250</v>
      </c>
      <c r="I2351" s="87">
        <v>26600750</v>
      </c>
      <c r="K2351" s="85">
        <v>2022</v>
      </c>
      <c r="L2351" s="85">
        <v>10</v>
      </c>
      <c r="N2351" s="1" t="s">
        <v>44</v>
      </c>
    </row>
    <row r="2352" spans="1:14">
      <c r="A2352" s="36" t="s">
        <v>33</v>
      </c>
      <c r="B2352" s="37">
        <v>44835</v>
      </c>
      <c r="C2352" s="36" t="s">
        <v>1022</v>
      </c>
      <c r="D2352" s="36" t="s">
        <v>1023</v>
      </c>
      <c r="E2352" s="36" t="s">
        <v>76</v>
      </c>
      <c r="G2352" s="87">
        <v>8000000</v>
      </c>
      <c r="H2352" s="87">
        <v>800000</v>
      </c>
      <c r="I2352" s="87">
        <v>8800000</v>
      </c>
      <c r="K2352" s="85">
        <v>2022</v>
      </c>
      <c r="L2352" s="85">
        <v>10</v>
      </c>
      <c r="N2352" s="1" t="s">
        <v>44</v>
      </c>
    </row>
    <row r="2353" spans="1:14">
      <c r="A2353" s="36" t="s">
        <v>18</v>
      </c>
      <c r="B2353" s="37">
        <v>44835</v>
      </c>
      <c r="C2353" s="36" t="s">
        <v>1027</v>
      </c>
      <c r="D2353" s="36" t="s">
        <v>1028</v>
      </c>
      <c r="E2353" s="36" t="s">
        <v>1029</v>
      </c>
      <c r="G2353" s="87">
        <v>-4000000</v>
      </c>
      <c r="H2353" s="87">
        <v>-400000</v>
      </c>
      <c r="I2353" s="87">
        <v>-4400000</v>
      </c>
      <c r="K2353" s="85">
        <v>2022</v>
      </c>
      <c r="L2353" s="85">
        <v>3</v>
      </c>
      <c r="N2353" s="1" t="s">
        <v>84</v>
      </c>
    </row>
    <row r="2354" spans="1:14">
      <c r="A2354" s="36" t="s">
        <v>18</v>
      </c>
      <c r="B2354" s="37">
        <v>44835</v>
      </c>
      <c r="C2354" s="36" t="s">
        <v>1027</v>
      </c>
      <c r="D2354" s="36" t="s">
        <v>1028</v>
      </c>
      <c r="E2354" s="36" t="s">
        <v>1030</v>
      </c>
      <c r="G2354" s="87">
        <v>-5000000</v>
      </c>
      <c r="H2354" s="87">
        <v>-500000</v>
      </c>
      <c r="I2354" s="87">
        <v>-5500000</v>
      </c>
      <c r="K2354" s="85">
        <v>2022</v>
      </c>
      <c r="L2354" s="85">
        <v>4</v>
      </c>
      <c r="N2354" s="208" t="s">
        <v>44</v>
      </c>
    </row>
    <row r="2355" spans="1:14">
      <c r="A2355" s="36" t="s">
        <v>32</v>
      </c>
      <c r="B2355" s="37">
        <v>44835</v>
      </c>
      <c r="C2355" s="36" t="s">
        <v>920</v>
      </c>
      <c r="D2355" s="36" t="s">
        <v>1071</v>
      </c>
      <c r="E2355" s="36" t="s">
        <v>1090</v>
      </c>
      <c r="G2355" s="87">
        <v>2592000</v>
      </c>
      <c r="H2355" s="87">
        <v>259200</v>
      </c>
      <c r="I2355" s="87">
        <v>2851200</v>
      </c>
      <c r="K2355" s="85">
        <v>2022</v>
      </c>
      <c r="L2355" s="85">
        <v>10</v>
      </c>
      <c r="N2355" s="1" t="s">
        <v>44</v>
      </c>
    </row>
    <row r="2356" spans="1:14">
      <c r="A2356" s="36" t="s">
        <v>32</v>
      </c>
      <c r="B2356" s="37">
        <v>44835</v>
      </c>
      <c r="C2356" s="36" t="s">
        <v>920</v>
      </c>
      <c r="D2356" s="36" t="s">
        <v>1071</v>
      </c>
      <c r="E2356" s="36" t="s">
        <v>1091</v>
      </c>
      <c r="G2356" s="87">
        <v>8589233</v>
      </c>
      <c r="H2356" s="87">
        <v>858923.3</v>
      </c>
      <c r="I2356" s="87">
        <v>9448156.3000000007</v>
      </c>
      <c r="K2356" s="85">
        <v>2022</v>
      </c>
      <c r="L2356" s="85">
        <v>10</v>
      </c>
      <c r="N2356" s="1" t="s">
        <v>44</v>
      </c>
    </row>
    <row r="2357" spans="1:14">
      <c r="A2357" s="36" t="s">
        <v>32</v>
      </c>
      <c r="B2357" s="37">
        <v>44835</v>
      </c>
      <c r="C2357" s="36" t="s">
        <v>651</v>
      </c>
      <c r="D2357" s="36" t="s">
        <v>903</v>
      </c>
      <c r="E2357" s="36" t="s">
        <v>1026</v>
      </c>
      <c r="G2357" s="87">
        <v>-4272727</v>
      </c>
      <c r="H2357" s="87">
        <v>-427273</v>
      </c>
      <c r="I2357" s="87">
        <v>-4700000</v>
      </c>
      <c r="J2357" s="87"/>
      <c r="K2357" s="85">
        <v>2022</v>
      </c>
      <c r="L2357" s="85">
        <v>5</v>
      </c>
      <c r="M2357" s="36" t="s">
        <v>1024</v>
      </c>
      <c r="N2357" s="1" t="s">
        <v>44</v>
      </c>
    </row>
    <row r="2358" spans="1:14">
      <c r="A2358" s="36" t="s">
        <v>32</v>
      </c>
      <c r="B2358" s="37">
        <v>44838</v>
      </c>
      <c r="C2358" s="36" t="s">
        <v>760</v>
      </c>
      <c r="D2358" s="36" t="s">
        <v>986</v>
      </c>
      <c r="E2358" s="36" t="s">
        <v>148</v>
      </c>
      <c r="J2358" s="87">
        <v>3146000</v>
      </c>
      <c r="K2358" s="85">
        <v>2022</v>
      </c>
      <c r="L2358" s="85">
        <v>8</v>
      </c>
      <c r="N2358" s="1" t="s">
        <v>44</v>
      </c>
    </row>
    <row r="2359" spans="1:14">
      <c r="A2359" s="36" t="s">
        <v>33</v>
      </c>
      <c r="B2359" s="37">
        <v>44838</v>
      </c>
      <c r="C2359" s="36" t="s">
        <v>119</v>
      </c>
      <c r="D2359" s="36" t="s">
        <v>931</v>
      </c>
      <c r="E2359" s="36" t="s">
        <v>148</v>
      </c>
      <c r="J2359" s="87">
        <v>5466562.2000000002</v>
      </c>
      <c r="K2359" s="85">
        <v>2022</v>
      </c>
      <c r="L2359" s="85">
        <v>8</v>
      </c>
      <c r="N2359" s="1" t="s">
        <v>44</v>
      </c>
    </row>
    <row r="2360" spans="1:14">
      <c r="A2360" s="36" t="s">
        <v>32</v>
      </c>
      <c r="B2360" s="37">
        <v>44838</v>
      </c>
      <c r="C2360" s="36" t="s">
        <v>307</v>
      </c>
      <c r="D2360" s="36" t="s">
        <v>980</v>
      </c>
      <c r="E2360" s="36" t="s">
        <v>77</v>
      </c>
      <c r="J2360" s="38">
        <v>924000</v>
      </c>
      <c r="K2360" s="85">
        <v>2022</v>
      </c>
      <c r="L2360" s="85">
        <v>9</v>
      </c>
      <c r="N2360" s="1" t="s">
        <v>44</v>
      </c>
    </row>
    <row r="2361" spans="1:14">
      <c r="A2361" s="36" t="s">
        <v>32</v>
      </c>
      <c r="B2361" s="37">
        <v>44839</v>
      </c>
      <c r="C2361" s="36" t="s">
        <v>511</v>
      </c>
      <c r="D2361" s="36" t="s">
        <v>512</v>
      </c>
      <c r="E2361" s="36" t="s">
        <v>148</v>
      </c>
      <c r="J2361" s="87">
        <v>7991170</v>
      </c>
      <c r="K2361" s="85">
        <v>2022</v>
      </c>
      <c r="L2361" s="85">
        <v>7</v>
      </c>
      <c r="N2361" s="1" t="s">
        <v>44</v>
      </c>
    </row>
    <row r="2362" spans="1:14">
      <c r="A2362" s="36" t="s">
        <v>32</v>
      </c>
      <c r="B2362" s="37">
        <v>44839</v>
      </c>
      <c r="C2362" s="36" t="s">
        <v>511</v>
      </c>
      <c r="D2362" s="36" t="s">
        <v>1016</v>
      </c>
      <c r="E2362" s="36" t="s">
        <v>77</v>
      </c>
      <c r="J2362" s="38">
        <v>22008830</v>
      </c>
      <c r="K2362" s="85">
        <v>2022</v>
      </c>
      <c r="L2362" s="85">
        <v>9</v>
      </c>
      <c r="N2362" s="1" t="s">
        <v>44</v>
      </c>
    </row>
    <row r="2363" spans="1:14">
      <c r="A2363" s="36" t="s">
        <v>32</v>
      </c>
      <c r="B2363" s="37">
        <v>44839</v>
      </c>
      <c r="C2363" s="36" t="s">
        <v>188</v>
      </c>
      <c r="D2363" s="36" t="s">
        <v>897</v>
      </c>
      <c r="E2363" s="36" t="s">
        <v>148</v>
      </c>
      <c r="J2363" s="87">
        <v>1650000</v>
      </c>
      <c r="K2363" s="85">
        <v>2022</v>
      </c>
      <c r="L2363" s="85">
        <v>6</v>
      </c>
      <c r="N2363" s="1" t="s">
        <v>44</v>
      </c>
    </row>
    <row r="2364" spans="1:14">
      <c r="A2364" s="36" t="s">
        <v>32</v>
      </c>
      <c r="B2364" s="37">
        <v>44839</v>
      </c>
      <c r="C2364" s="36" t="s">
        <v>406</v>
      </c>
      <c r="D2364" s="36" t="s">
        <v>897</v>
      </c>
      <c r="E2364" s="36" t="s">
        <v>148</v>
      </c>
      <c r="J2364" s="87">
        <v>2750000</v>
      </c>
      <c r="K2364" s="85">
        <v>2022</v>
      </c>
      <c r="L2364" s="85">
        <v>7</v>
      </c>
      <c r="N2364" s="1" t="s">
        <v>44</v>
      </c>
    </row>
    <row r="2365" spans="1:14">
      <c r="A2365" s="36" t="s">
        <v>32</v>
      </c>
      <c r="B2365" s="37">
        <v>44839</v>
      </c>
      <c r="C2365" s="36" t="s">
        <v>654</v>
      </c>
      <c r="D2365" s="36" t="s">
        <v>994</v>
      </c>
      <c r="E2365" s="36" t="s">
        <v>148</v>
      </c>
      <c r="J2365" s="87">
        <v>53198090</v>
      </c>
      <c r="K2365" s="85">
        <v>2022</v>
      </c>
      <c r="L2365" s="85">
        <v>8</v>
      </c>
      <c r="N2365" s="1" t="s">
        <v>44</v>
      </c>
    </row>
    <row r="2366" spans="1:14">
      <c r="A2366" s="36" t="s">
        <v>32</v>
      </c>
      <c r="B2366" s="37">
        <v>44840</v>
      </c>
      <c r="C2366" s="36" t="s">
        <v>944</v>
      </c>
      <c r="D2366" s="36" t="s">
        <v>945</v>
      </c>
      <c r="E2366" s="36" t="s">
        <v>77</v>
      </c>
      <c r="J2366" s="38">
        <v>3146000</v>
      </c>
      <c r="K2366" s="85">
        <v>2022</v>
      </c>
      <c r="L2366" s="85">
        <v>9</v>
      </c>
      <c r="N2366" s="1" t="s">
        <v>44</v>
      </c>
    </row>
    <row r="2367" spans="1:14">
      <c r="A2367" s="36" t="s">
        <v>33</v>
      </c>
      <c r="B2367" s="37">
        <v>44841</v>
      </c>
      <c r="C2367" s="36" t="s">
        <v>1007</v>
      </c>
      <c r="D2367" s="36" t="s">
        <v>1008</v>
      </c>
      <c r="E2367" s="36" t="s">
        <v>148</v>
      </c>
      <c r="J2367" s="87">
        <v>9207000</v>
      </c>
      <c r="K2367" s="85">
        <v>2022</v>
      </c>
      <c r="L2367" s="85">
        <v>9</v>
      </c>
      <c r="N2367" s="1" t="s">
        <v>44</v>
      </c>
    </row>
    <row r="2368" spans="1:14">
      <c r="A2368" s="36" t="s">
        <v>32</v>
      </c>
      <c r="B2368" s="37">
        <v>44844</v>
      </c>
      <c r="C2368" s="36" t="s">
        <v>920</v>
      </c>
      <c r="D2368" s="36" t="s">
        <v>921</v>
      </c>
      <c r="E2368" s="36" t="s">
        <v>148</v>
      </c>
      <c r="J2368" s="38">
        <v>3915000</v>
      </c>
      <c r="K2368" s="85">
        <v>2022</v>
      </c>
      <c r="L2368" s="85">
        <v>7</v>
      </c>
      <c r="N2368" s="1" t="s">
        <v>44</v>
      </c>
    </row>
    <row r="2369" spans="1:14">
      <c r="A2369" s="36" t="s">
        <v>32</v>
      </c>
      <c r="B2369" s="37">
        <v>44845</v>
      </c>
      <c r="C2369" s="36" t="s">
        <v>209</v>
      </c>
      <c r="D2369" s="36" t="s">
        <v>928</v>
      </c>
      <c r="E2369" s="36" t="s">
        <v>77</v>
      </c>
      <c r="J2369" s="87">
        <v>6068150</v>
      </c>
      <c r="K2369" s="85">
        <v>2022</v>
      </c>
      <c r="L2369" s="85">
        <v>8</v>
      </c>
      <c r="N2369" s="1" t="s">
        <v>44</v>
      </c>
    </row>
    <row r="2370" spans="1:14">
      <c r="A2370" s="36" t="s">
        <v>32</v>
      </c>
      <c r="B2370" s="37">
        <v>44845</v>
      </c>
      <c r="C2370" s="36" t="s">
        <v>209</v>
      </c>
      <c r="D2370" s="36" t="s">
        <v>1048</v>
      </c>
      <c r="E2370" s="36" t="s">
        <v>77</v>
      </c>
      <c r="J2370" s="38">
        <v>20677360</v>
      </c>
      <c r="K2370" s="85">
        <v>2022</v>
      </c>
      <c r="L2370" s="85">
        <v>9</v>
      </c>
      <c r="N2370" s="1" t="s">
        <v>44</v>
      </c>
    </row>
    <row r="2371" spans="1:14">
      <c r="A2371" s="36" t="s">
        <v>32</v>
      </c>
      <c r="B2371" s="37">
        <v>44845</v>
      </c>
      <c r="C2371" s="36" t="s">
        <v>640</v>
      </c>
      <c r="D2371" s="36" t="s">
        <v>763</v>
      </c>
      <c r="E2371" s="36" t="s">
        <v>77</v>
      </c>
      <c r="J2371" s="38">
        <v>49500000</v>
      </c>
      <c r="K2371" s="85">
        <v>2022</v>
      </c>
      <c r="L2371" s="85">
        <v>9</v>
      </c>
      <c r="N2371" s="1" t="s">
        <v>44</v>
      </c>
    </row>
    <row r="2372" spans="1:14">
      <c r="A2372" s="36" t="s">
        <v>32</v>
      </c>
      <c r="B2372" s="37">
        <v>44845</v>
      </c>
      <c r="C2372" s="36" t="s">
        <v>346</v>
      </c>
      <c r="D2372" s="36" t="s">
        <v>347</v>
      </c>
      <c r="E2372" s="36" t="s">
        <v>148</v>
      </c>
      <c r="J2372" s="87">
        <v>12168200</v>
      </c>
      <c r="K2372" s="85">
        <v>2022</v>
      </c>
      <c r="L2372" s="85">
        <v>3</v>
      </c>
      <c r="N2372" s="208" t="s">
        <v>44</v>
      </c>
    </row>
    <row r="2373" spans="1:14">
      <c r="A2373" s="36" t="s">
        <v>32</v>
      </c>
      <c r="B2373" s="37">
        <v>44845</v>
      </c>
      <c r="C2373" s="36" t="s">
        <v>204</v>
      </c>
      <c r="D2373" s="36" t="s">
        <v>674</v>
      </c>
      <c r="E2373" s="36" t="s">
        <v>148</v>
      </c>
      <c r="J2373" s="87">
        <v>4311450</v>
      </c>
      <c r="K2373" s="85">
        <v>2022</v>
      </c>
      <c r="L2373" s="85">
        <v>8</v>
      </c>
      <c r="N2373" s="1" t="s">
        <v>44</v>
      </c>
    </row>
    <row r="2374" spans="1:14">
      <c r="A2374" s="36" t="s">
        <v>32</v>
      </c>
      <c r="B2374" s="37">
        <v>44845</v>
      </c>
      <c r="C2374" s="36" t="s">
        <v>204</v>
      </c>
      <c r="D2374" s="36" t="s">
        <v>995</v>
      </c>
      <c r="E2374" s="36" t="s">
        <v>148</v>
      </c>
      <c r="J2374" s="87">
        <v>5225000</v>
      </c>
      <c r="K2374" s="85">
        <v>2022</v>
      </c>
      <c r="L2374" s="85">
        <v>8</v>
      </c>
      <c r="N2374" s="1" t="s">
        <v>44</v>
      </c>
    </row>
    <row r="2375" spans="1:14">
      <c r="A2375" s="36" t="s">
        <v>32</v>
      </c>
      <c r="B2375" s="37">
        <v>44845</v>
      </c>
      <c r="C2375" s="36" t="s">
        <v>511</v>
      </c>
      <c r="D2375" s="36" t="s">
        <v>1016</v>
      </c>
      <c r="E2375" s="36" t="s">
        <v>77</v>
      </c>
      <c r="J2375" s="38">
        <v>30000000</v>
      </c>
      <c r="K2375" s="85">
        <v>2022</v>
      </c>
      <c r="L2375" s="85">
        <v>9</v>
      </c>
      <c r="N2375" s="1" t="s">
        <v>44</v>
      </c>
    </row>
    <row r="2376" spans="1:14">
      <c r="A2376" s="36" t="s">
        <v>32</v>
      </c>
      <c r="B2376" s="37">
        <v>44845</v>
      </c>
      <c r="C2376" s="36" t="s">
        <v>206</v>
      </c>
      <c r="D2376" s="36" t="s">
        <v>152</v>
      </c>
      <c r="E2376" s="36" t="s">
        <v>148</v>
      </c>
      <c r="J2376" s="87">
        <v>4723290</v>
      </c>
      <c r="K2376" s="85">
        <v>2022</v>
      </c>
      <c r="L2376" s="85">
        <v>8</v>
      </c>
      <c r="N2376" s="1" t="s">
        <v>44</v>
      </c>
    </row>
    <row r="2377" spans="1:14">
      <c r="A2377" s="36" t="s">
        <v>33</v>
      </c>
      <c r="B2377" s="37">
        <v>44845</v>
      </c>
      <c r="C2377" s="36" t="s">
        <v>996</v>
      </c>
      <c r="D2377" s="36" t="s">
        <v>928</v>
      </c>
      <c r="E2377" s="36" t="s">
        <v>148</v>
      </c>
      <c r="J2377" s="87">
        <v>5057250</v>
      </c>
      <c r="K2377" s="85">
        <v>2022</v>
      </c>
      <c r="L2377" s="85">
        <v>8</v>
      </c>
      <c r="N2377" s="1" t="s">
        <v>44</v>
      </c>
    </row>
    <row r="2378" spans="1:14">
      <c r="A2378" s="36" t="s">
        <v>33</v>
      </c>
      <c r="B2378" s="37">
        <v>44846</v>
      </c>
      <c r="C2378" s="36" t="s">
        <v>119</v>
      </c>
      <c r="D2378" s="36" t="s">
        <v>931</v>
      </c>
      <c r="E2378" s="36" t="s">
        <v>1021</v>
      </c>
      <c r="G2378" s="87">
        <v>2340000</v>
      </c>
      <c r="H2378" s="87">
        <v>234000</v>
      </c>
      <c r="I2378" s="87">
        <v>2574000</v>
      </c>
      <c r="K2378" s="85">
        <v>2022</v>
      </c>
      <c r="L2378" s="85">
        <v>10</v>
      </c>
      <c r="N2378" s="1" t="s">
        <v>44</v>
      </c>
    </row>
    <row r="2379" spans="1:14">
      <c r="A2379" s="36" t="s">
        <v>32</v>
      </c>
      <c r="B2379" s="37">
        <v>44846</v>
      </c>
      <c r="C2379" s="36" t="s">
        <v>888</v>
      </c>
      <c r="D2379" s="36" t="s">
        <v>927</v>
      </c>
      <c r="E2379" s="36" t="s">
        <v>148</v>
      </c>
      <c r="J2379" s="87">
        <v>1504800</v>
      </c>
      <c r="K2379" s="85">
        <v>2022</v>
      </c>
      <c r="L2379" s="85">
        <v>9</v>
      </c>
      <c r="N2379" s="1" t="s">
        <v>44</v>
      </c>
    </row>
    <row r="2380" spans="1:14">
      <c r="A2380" s="36" t="s">
        <v>33</v>
      </c>
      <c r="B2380" s="37">
        <v>44847</v>
      </c>
      <c r="C2380" s="36" t="s">
        <v>1022</v>
      </c>
      <c r="D2380" s="36" t="s">
        <v>1023</v>
      </c>
      <c r="E2380" s="36" t="s">
        <v>77</v>
      </c>
      <c r="J2380" s="38">
        <v>8800000</v>
      </c>
      <c r="K2380" s="85">
        <v>2022</v>
      </c>
      <c r="L2380" s="85">
        <v>10</v>
      </c>
      <c r="N2380" s="1" t="s">
        <v>44</v>
      </c>
    </row>
    <row r="2381" spans="1:14">
      <c r="A2381" s="36" t="s">
        <v>33</v>
      </c>
      <c r="B2381" s="37">
        <v>44847</v>
      </c>
      <c r="C2381" s="36" t="s">
        <v>119</v>
      </c>
      <c r="D2381" s="36" t="s">
        <v>1048</v>
      </c>
      <c r="E2381" s="36" t="s">
        <v>148</v>
      </c>
      <c r="J2381" s="87">
        <v>20510930</v>
      </c>
      <c r="K2381" s="85">
        <v>2022</v>
      </c>
      <c r="L2381" s="85">
        <v>9</v>
      </c>
      <c r="N2381" s="1" t="s">
        <v>44</v>
      </c>
    </row>
    <row r="2382" spans="1:14">
      <c r="A2382" s="36" t="s">
        <v>32</v>
      </c>
      <c r="B2382" s="37">
        <v>44848</v>
      </c>
      <c r="C2382" s="36" t="s">
        <v>209</v>
      </c>
      <c r="D2382" s="36" t="s">
        <v>812</v>
      </c>
      <c r="E2382" s="36" t="s">
        <v>148</v>
      </c>
      <c r="J2382" s="87">
        <v>13860000</v>
      </c>
      <c r="K2382" s="85">
        <v>2022</v>
      </c>
      <c r="L2382" s="85">
        <v>9</v>
      </c>
      <c r="N2382" s="1" t="s">
        <v>44</v>
      </c>
    </row>
    <row r="2383" spans="1:14">
      <c r="A2383" s="36" t="s">
        <v>32</v>
      </c>
      <c r="B2383" s="37">
        <v>44848</v>
      </c>
      <c r="C2383" s="36" t="s">
        <v>677</v>
      </c>
      <c r="D2383" s="36" t="s">
        <v>924</v>
      </c>
      <c r="E2383" s="36" t="s">
        <v>148</v>
      </c>
      <c r="J2383" s="87">
        <v>56189650</v>
      </c>
      <c r="K2383" s="85">
        <v>2022</v>
      </c>
      <c r="L2383" s="85">
        <v>9</v>
      </c>
      <c r="N2383" s="1" t="s">
        <v>44</v>
      </c>
    </row>
    <row r="2384" spans="1:14">
      <c r="A2384" s="36" t="s">
        <v>32</v>
      </c>
      <c r="B2384" s="37">
        <v>44848</v>
      </c>
      <c r="C2384" s="36" t="s">
        <v>268</v>
      </c>
      <c r="D2384" s="36" t="s">
        <v>954</v>
      </c>
      <c r="E2384" s="36" t="s">
        <v>148</v>
      </c>
      <c r="J2384" s="87">
        <v>62353500</v>
      </c>
      <c r="K2384" s="85">
        <v>2022</v>
      </c>
      <c r="L2384" s="85">
        <v>9</v>
      </c>
      <c r="N2384" s="1" t="s">
        <v>44</v>
      </c>
    </row>
    <row r="2385" spans="1:14">
      <c r="A2385" s="36" t="s">
        <v>32</v>
      </c>
      <c r="B2385" s="37">
        <v>44848</v>
      </c>
      <c r="C2385" s="36" t="s">
        <v>651</v>
      </c>
      <c r="D2385" s="36" t="s">
        <v>903</v>
      </c>
      <c r="E2385" s="36" t="s">
        <v>148</v>
      </c>
      <c r="J2385" s="38">
        <v>1800000</v>
      </c>
      <c r="K2385" s="85">
        <v>2022</v>
      </c>
      <c r="L2385" s="85">
        <v>5</v>
      </c>
      <c r="N2385" s="1" t="s">
        <v>44</v>
      </c>
    </row>
    <row r="2386" spans="1:14">
      <c r="A2386" s="36" t="s">
        <v>32</v>
      </c>
      <c r="B2386" s="37">
        <v>44848</v>
      </c>
      <c r="C2386" s="36" t="s">
        <v>651</v>
      </c>
      <c r="D2386" s="36" t="s">
        <v>652</v>
      </c>
      <c r="E2386" s="36" t="s">
        <v>148</v>
      </c>
      <c r="J2386" s="87">
        <v>13200000</v>
      </c>
      <c r="K2386" s="85">
        <v>2022</v>
      </c>
      <c r="L2386" s="85">
        <v>6</v>
      </c>
      <c r="N2386" s="1" t="s">
        <v>44</v>
      </c>
    </row>
    <row r="2387" spans="1:14">
      <c r="A2387" s="36" t="s">
        <v>32</v>
      </c>
      <c r="B2387" s="37">
        <v>44851</v>
      </c>
      <c r="C2387" s="36" t="s">
        <v>677</v>
      </c>
      <c r="D2387" s="36" t="s">
        <v>678</v>
      </c>
      <c r="E2387" s="36" t="s">
        <v>148</v>
      </c>
      <c r="J2387" s="87">
        <v>49640712</v>
      </c>
      <c r="K2387" s="85">
        <v>2022</v>
      </c>
      <c r="L2387" s="85">
        <v>9</v>
      </c>
      <c r="N2387" s="1" t="s">
        <v>44</v>
      </c>
    </row>
    <row r="2388" spans="1:14">
      <c r="A2388" s="36" t="s">
        <v>32</v>
      </c>
      <c r="B2388" s="37">
        <v>44851</v>
      </c>
      <c r="C2388" s="36" t="s">
        <v>677</v>
      </c>
      <c r="D2388" s="36" t="s">
        <v>825</v>
      </c>
      <c r="E2388" s="36" t="s">
        <v>148</v>
      </c>
      <c r="J2388" s="87">
        <v>135839000</v>
      </c>
      <c r="K2388" s="85">
        <v>2022</v>
      </c>
      <c r="L2388" s="85">
        <v>9</v>
      </c>
      <c r="N2388" s="1" t="s">
        <v>44</v>
      </c>
    </row>
    <row r="2389" spans="1:14">
      <c r="A2389" s="36" t="s">
        <v>33</v>
      </c>
      <c r="B2389" s="37">
        <v>44851</v>
      </c>
      <c r="C2389" s="36" t="s">
        <v>1007</v>
      </c>
      <c r="D2389" s="36" t="s">
        <v>1025</v>
      </c>
      <c r="E2389" s="36" t="s">
        <v>1009</v>
      </c>
      <c r="G2389" s="87">
        <v>9660000</v>
      </c>
      <c r="H2389" s="87">
        <v>966000</v>
      </c>
      <c r="I2389" s="87">
        <v>10626000</v>
      </c>
      <c r="K2389" s="85">
        <v>2022</v>
      </c>
      <c r="L2389" s="85">
        <v>10</v>
      </c>
      <c r="N2389" s="1" t="s">
        <v>44</v>
      </c>
    </row>
    <row r="2390" spans="1:14">
      <c r="A2390" s="36" t="s">
        <v>33</v>
      </c>
      <c r="B2390" s="37">
        <v>44851</v>
      </c>
      <c r="C2390" s="36" t="s">
        <v>1007</v>
      </c>
      <c r="D2390" s="36" t="s">
        <v>1025</v>
      </c>
      <c r="E2390" s="36" t="s">
        <v>77</v>
      </c>
      <c r="J2390" s="38">
        <v>10626000</v>
      </c>
      <c r="K2390" s="85">
        <v>2022</v>
      </c>
      <c r="L2390" s="85">
        <v>10</v>
      </c>
      <c r="N2390" s="1" t="s">
        <v>44</v>
      </c>
    </row>
    <row r="2391" spans="1:14">
      <c r="A2391" s="36" t="s">
        <v>33</v>
      </c>
      <c r="B2391" s="37">
        <v>44851</v>
      </c>
      <c r="C2391" s="36" t="s">
        <v>1007</v>
      </c>
      <c r="D2391" s="36" t="s">
        <v>914</v>
      </c>
      <c r="E2391" s="36" t="s">
        <v>1009</v>
      </c>
      <c r="G2391" s="87">
        <v>15470000</v>
      </c>
      <c r="H2391" s="87">
        <v>1547000</v>
      </c>
      <c r="I2391" s="87">
        <v>17017000</v>
      </c>
      <c r="K2391" s="85">
        <v>2022</v>
      </c>
      <c r="L2391" s="85">
        <v>10</v>
      </c>
      <c r="N2391" s="1" t="s">
        <v>44</v>
      </c>
    </row>
    <row r="2392" spans="1:14">
      <c r="A2392" s="36" t="s">
        <v>33</v>
      </c>
      <c r="B2392" s="37">
        <v>44852</v>
      </c>
      <c r="C2392" s="36" t="s">
        <v>1007</v>
      </c>
      <c r="D2392" s="36" t="s">
        <v>914</v>
      </c>
      <c r="E2392" s="36" t="s">
        <v>148</v>
      </c>
      <c r="J2392" s="87">
        <v>17017000</v>
      </c>
      <c r="K2392" s="85">
        <v>2022</v>
      </c>
      <c r="L2392" s="85">
        <v>10</v>
      </c>
      <c r="N2392" s="1" t="s">
        <v>44</v>
      </c>
    </row>
    <row r="2393" spans="1:14">
      <c r="A2393" s="36" t="s">
        <v>33</v>
      </c>
      <c r="B2393" s="37">
        <v>44852</v>
      </c>
      <c r="C2393" s="36" t="s">
        <v>912</v>
      </c>
      <c r="D2393" s="36" t="s">
        <v>663</v>
      </c>
      <c r="E2393" s="36" t="s">
        <v>148</v>
      </c>
      <c r="J2393" s="87">
        <v>23053541</v>
      </c>
      <c r="K2393" s="85">
        <v>2022</v>
      </c>
      <c r="L2393" s="85">
        <v>9</v>
      </c>
      <c r="N2393" s="1" t="s">
        <v>44</v>
      </c>
    </row>
    <row r="2394" spans="1:14">
      <c r="A2394" s="36" t="s">
        <v>32</v>
      </c>
      <c r="B2394" s="37">
        <v>44853</v>
      </c>
      <c r="C2394" s="36" t="s">
        <v>984</v>
      </c>
      <c r="D2394" s="36" t="s">
        <v>1069</v>
      </c>
      <c r="E2394" s="36" t="s">
        <v>637</v>
      </c>
      <c r="G2394" s="87">
        <v>8250000</v>
      </c>
      <c r="H2394" s="87">
        <v>825000</v>
      </c>
      <c r="I2394" s="87">
        <v>9075000</v>
      </c>
      <c r="K2394" s="85">
        <v>2022</v>
      </c>
      <c r="L2394" s="85">
        <v>10</v>
      </c>
      <c r="N2394" s="1" t="s">
        <v>44</v>
      </c>
    </row>
    <row r="2395" spans="1:14">
      <c r="A2395" s="36" t="s">
        <v>32</v>
      </c>
      <c r="B2395" s="37">
        <v>44854</v>
      </c>
      <c r="C2395" s="36" t="s">
        <v>664</v>
      </c>
      <c r="D2395" s="36" t="s">
        <v>629</v>
      </c>
      <c r="E2395" s="36" t="s">
        <v>148</v>
      </c>
      <c r="J2395" s="87">
        <v>1255980</v>
      </c>
      <c r="K2395" s="85">
        <v>2022</v>
      </c>
      <c r="L2395" s="85">
        <v>8</v>
      </c>
      <c r="N2395" s="1" t="s">
        <v>44</v>
      </c>
    </row>
    <row r="2396" spans="1:14">
      <c r="A2396" s="36" t="s">
        <v>33</v>
      </c>
      <c r="B2396" s="37">
        <v>44854</v>
      </c>
      <c r="C2396" s="36" t="s">
        <v>771</v>
      </c>
      <c r="D2396" s="36" t="s">
        <v>772</v>
      </c>
      <c r="E2396" s="36" t="s">
        <v>76</v>
      </c>
      <c r="G2396" s="87">
        <v>2000000</v>
      </c>
      <c r="H2396" s="87">
        <v>200000</v>
      </c>
      <c r="I2396" s="87">
        <v>2200000</v>
      </c>
      <c r="K2396" s="85">
        <v>2022</v>
      </c>
      <c r="L2396" s="85">
        <v>10</v>
      </c>
      <c r="N2396" s="1" t="s">
        <v>44</v>
      </c>
    </row>
    <row r="2397" spans="1:14">
      <c r="A2397" s="36" t="s">
        <v>33</v>
      </c>
      <c r="B2397" s="37">
        <v>44854</v>
      </c>
      <c r="C2397" s="36" t="s">
        <v>771</v>
      </c>
      <c r="D2397" s="36" t="s">
        <v>772</v>
      </c>
      <c r="E2397" s="36" t="s">
        <v>77</v>
      </c>
      <c r="J2397" s="38">
        <v>2200000</v>
      </c>
      <c r="K2397" s="85">
        <v>2022</v>
      </c>
      <c r="L2397" s="85">
        <v>10</v>
      </c>
      <c r="N2397" s="1" t="s">
        <v>44</v>
      </c>
    </row>
    <row r="2398" spans="1:14">
      <c r="A2398" s="36" t="s">
        <v>32</v>
      </c>
      <c r="B2398" s="37">
        <v>44854</v>
      </c>
      <c r="C2398" s="36" t="s">
        <v>511</v>
      </c>
      <c r="D2398" s="36" t="s">
        <v>1016</v>
      </c>
      <c r="E2398" s="36" t="s">
        <v>77</v>
      </c>
      <c r="J2398" s="38">
        <v>28972400</v>
      </c>
      <c r="K2398" s="85">
        <v>2022</v>
      </c>
      <c r="L2398" s="85">
        <v>9</v>
      </c>
      <c r="N2398" s="1" t="s">
        <v>44</v>
      </c>
    </row>
    <row r="2399" spans="1:14">
      <c r="A2399" s="36" t="s">
        <v>33</v>
      </c>
      <c r="B2399" s="37">
        <v>44854</v>
      </c>
      <c r="C2399" s="36" t="s">
        <v>1034</v>
      </c>
      <c r="D2399" s="36" t="s">
        <v>801</v>
      </c>
      <c r="E2399" s="36" t="s">
        <v>1036</v>
      </c>
      <c r="J2399" s="38">
        <v>5000000</v>
      </c>
      <c r="K2399" s="85">
        <v>2022</v>
      </c>
      <c r="L2399" s="85">
        <v>10</v>
      </c>
      <c r="N2399" s="1" t="s">
        <v>44</v>
      </c>
    </row>
    <row r="2400" spans="1:14">
      <c r="A2400" s="36" t="s">
        <v>33</v>
      </c>
      <c r="B2400" s="37">
        <v>44855</v>
      </c>
      <c r="C2400" s="36" t="s">
        <v>864</v>
      </c>
      <c r="D2400" s="36" t="s">
        <v>865</v>
      </c>
      <c r="E2400" s="36" t="s">
        <v>148</v>
      </c>
      <c r="J2400" s="87">
        <v>3872000</v>
      </c>
      <c r="K2400" s="85">
        <v>2022</v>
      </c>
      <c r="L2400" s="85">
        <v>9</v>
      </c>
      <c r="M2400" s="36" t="s">
        <v>865</v>
      </c>
      <c r="N2400" s="1" t="s">
        <v>44</v>
      </c>
    </row>
    <row r="2401" spans="1:14">
      <c r="A2401" s="36" t="s">
        <v>32</v>
      </c>
      <c r="B2401" s="37">
        <v>44855</v>
      </c>
      <c r="C2401" s="36" t="s">
        <v>984</v>
      </c>
      <c r="D2401" s="36" t="s">
        <v>1069</v>
      </c>
      <c r="E2401" s="36" t="s">
        <v>77</v>
      </c>
      <c r="J2401" s="38">
        <v>9075000</v>
      </c>
      <c r="K2401" s="85">
        <v>2022</v>
      </c>
      <c r="L2401" s="85">
        <v>10</v>
      </c>
      <c r="N2401" s="1" t="s">
        <v>44</v>
      </c>
    </row>
    <row r="2402" spans="1:14">
      <c r="A2402" s="36" t="s">
        <v>33</v>
      </c>
      <c r="B2402" s="37">
        <v>44855</v>
      </c>
      <c r="C2402" s="36" t="s">
        <v>119</v>
      </c>
      <c r="D2402" s="36" t="s">
        <v>877</v>
      </c>
      <c r="E2402" s="36" t="s">
        <v>148</v>
      </c>
      <c r="J2402" s="87">
        <v>3146000</v>
      </c>
      <c r="K2402" s="85">
        <v>2022</v>
      </c>
      <c r="L2402" s="85">
        <v>9</v>
      </c>
      <c r="N2402" s="1" t="s">
        <v>44</v>
      </c>
    </row>
    <row r="2403" spans="1:14">
      <c r="A2403" s="36" t="s">
        <v>19</v>
      </c>
      <c r="B2403" s="37">
        <v>44855</v>
      </c>
      <c r="C2403" s="36" t="s">
        <v>397</v>
      </c>
      <c r="D2403" s="36" t="s">
        <v>998</v>
      </c>
      <c r="E2403" s="36" t="s">
        <v>148</v>
      </c>
      <c r="J2403" s="87">
        <v>286000</v>
      </c>
      <c r="K2403" s="85">
        <v>2022</v>
      </c>
      <c r="L2403" s="85">
        <v>9</v>
      </c>
      <c r="N2403" s="1" t="s">
        <v>84</v>
      </c>
    </row>
    <row r="2404" spans="1:14">
      <c r="A2404" s="36" t="s">
        <v>19</v>
      </c>
      <c r="B2404" s="37">
        <v>44855</v>
      </c>
      <c r="C2404" s="36" t="s">
        <v>999</v>
      </c>
      <c r="D2404" s="36" t="s">
        <v>998</v>
      </c>
      <c r="E2404" s="36" t="s">
        <v>148</v>
      </c>
      <c r="J2404" s="87">
        <v>8712000</v>
      </c>
      <c r="K2404" s="85">
        <v>2022</v>
      </c>
      <c r="L2404" s="85">
        <v>9</v>
      </c>
      <c r="M2404" s="36" t="s">
        <v>1001</v>
      </c>
      <c r="N2404" s="1" t="s">
        <v>84</v>
      </c>
    </row>
    <row r="2405" spans="1:14">
      <c r="A2405" s="36" t="s">
        <v>32</v>
      </c>
      <c r="B2405" s="37">
        <v>44855</v>
      </c>
      <c r="C2405" s="36" t="s">
        <v>881</v>
      </c>
      <c r="D2405" s="36" t="s">
        <v>877</v>
      </c>
      <c r="E2405" s="36" t="s">
        <v>148</v>
      </c>
      <c r="J2405" s="87">
        <v>103440700</v>
      </c>
      <c r="K2405" s="85">
        <v>2022</v>
      </c>
      <c r="L2405" s="85">
        <v>9</v>
      </c>
      <c r="N2405" s="1" t="s">
        <v>44</v>
      </c>
    </row>
    <row r="2406" spans="1:14">
      <c r="A2406" s="36" t="s">
        <v>32</v>
      </c>
      <c r="B2406" s="37">
        <v>44855</v>
      </c>
      <c r="C2406" s="36" t="s">
        <v>881</v>
      </c>
      <c r="D2406" s="36" t="s">
        <v>877</v>
      </c>
      <c r="E2406" s="36" t="s">
        <v>148</v>
      </c>
      <c r="J2406" s="87">
        <v>160325000</v>
      </c>
      <c r="K2406" s="85">
        <v>2022</v>
      </c>
      <c r="L2406" s="85">
        <v>9</v>
      </c>
      <c r="N2406" s="1" t="s">
        <v>44</v>
      </c>
    </row>
    <row r="2407" spans="1:14">
      <c r="A2407" s="36" t="s">
        <v>33</v>
      </c>
      <c r="B2407" s="37">
        <v>44855</v>
      </c>
      <c r="C2407" s="36" t="s">
        <v>966</v>
      </c>
      <c r="D2407" s="36" t="s">
        <v>1003</v>
      </c>
      <c r="E2407" s="36" t="s">
        <v>148</v>
      </c>
      <c r="J2407" s="87">
        <v>20328000</v>
      </c>
      <c r="K2407" s="85">
        <v>2022</v>
      </c>
      <c r="L2407" s="85">
        <v>9</v>
      </c>
      <c r="M2407" s="36" t="s">
        <v>1010</v>
      </c>
      <c r="N2407" s="1" t="s">
        <v>44</v>
      </c>
    </row>
    <row r="2408" spans="1:14">
      <c r="A2408" s="36" t="s">
        <v>32</v>
      </c>
      <c r="B2408" s="37">
        <v>44858</v>
      </c>
      <c r="C2408" s="36" t="s">
        <v>474</v>
      </c>
      <c r="D2408" s="36" t="s">
        <v>804</v>
      </c>
      <c r="E2408" s="36" t="s">
        <v>148</v>
      </c>
      <c r="J2408" s="87">
        <v>2068000</v>
      </c>
      <c r="K2408" s="85">
        <v>2022</v>
      </c>
      <c r="L2408" s="85">
        <v>9</v>
      </c>
      <c r="N2408" s="1" t="s">
        <v>44</v>
      </c>
    </row>
    <row r="2409" spans="1:14">
      <c r="A2409" s="36" t="s">
        <v>32</v>
      </c>
      <c r="B2409" s="37">
        <v>44859</v>
      </c>
      <c r="C2409" s="36" t="s">
        <v>209</v>
      </c>
      <c r="D2409" s="36" t="s">
        <v>928</v>
      </c>
      <c r="E2409" s="36" t="s">
        <v>148</v>
      </c>
      <c r="J2409" s="87">
        <v>7630920</v>
      </c>
      <c r="K2409" s="85">
        <v>2022</v>
      </c>
      <c r="L2409" s="85">
        <v>9</v>
      </c>
      <c r="N2409" s="1" t="s">
        <v>44</v>
      </c>
    </row>
    <row r="2410" spans="1:14">
      <c r="A2410" s="36" t="s">
        <v>32</v>
      </c>
      <c r="B2410" s="37">
        <v>44859</v>
      </c>
      <c r="C2410" s="36" t="s">
        <v>922</v>
      </c>
      <c r="D2410" s="36" t="s">
        <v>923</v>
      </c>
      <c r="E2410" s="36" t="s">
        <v>148</v>
      </c>
      <c r="J2410" s="87">
        <v>16698000</v>
      </c>
      <c r="K2410" s="85">
        <v>2022</v>
      </c>
      <c r="L2410" s="85">
        <v>7</v>
      </c>
      <c r="N2410" s="1" t="s">
        <v>44</v>
      </c>
    </row>
    <row r="2411" spans="1:14">
      <c r="A2411" s="36" t="s">
        <v>32</v>
      </c>
      <c r="B2411" s="37">
        <v>44859</v>
      </c>
      <c r="C2411" s="36" t="s">
        <v>922</v>
      </c>
      <c r="D2411" s="36" t="s">
        <v>923</v>
      </c>
      <c r="E2411" s="36" t="s">
        <v>148</v>
      </c>
      <c r="J2411" s="87">
        <v>14421000</v>
      </c>
      <c r="K2411" s="85">
        <v>2022</v>
      </c>
      <c r="L2411" s="85">
        <v>8</v>
      </c>
      <c r="N2411" s="1" t="s">
        <v>44</v>
      </c>
    </row>
    <row r="2412" spans="1:14">
      <c r="A2412" s="36" t="s">
        <v>32</v>
      </c>
      <c r="B2412" s="37">
        <v>44859</v>
      </c>
      <c r="C2412" s="36" t="s">
        <v>922</v>
      </c>
      <c r="D2412" s="36" t="s">
        <v>1020</v>
      </c>
      <c r="E2412" s="36" t="s">
        <v>148</v>
      </c>
      <c r="J2412" s="87">
        <v>1138500</v>
      </c>
      <c r="K2412" s="85">
        <v>2022</v>
      </c>
      <c r="L2412" s="85">
        <v>9</v>
      </c>
      <c r="N2412" s="1" t="s">
        <v>44</v>
      </c>
    </row>
    <row r="2413" spans="1:14">
      <c r="A2413" s="36" t="s">
        <v>32</v>
      </c>
      <c r="B2413" s="37">
        <v>44860</v>
      </c>
      <c r="C2413" s="36" t="s">
        <v>552</v>
      </c>
      <c r="D2413" s="36" t="s">
        <v>1011</v>
      </c>
      <c r="E2413" s="36" t="s">
        <v>148</v>
      </c>
      <c r="J2413" s="87">
        <v>7500200.4000000004</v>
      </c>
      <c r="K2413" s="85">
        <v>2022</v>
      </c>
      <c r="L2413" s="85">
        <v>9</v>
      </c>
      <c r="N2413" s="1" t="s">
        <v>44</v>
      </c>
    </row>
    <row r="2414" spans="1:14">
      <c r="A2414" s="36" t="s">
        <v>33</v>
      </c>
      <c r="B2414" s="37">
        <v>44860</v>
      </c>
      <c r="C2414" s="36" t="s">
        <v>590</v>
      </c>
      <c r="D2414" s="36" t="s">
        <v>1011</v>
      </c>
      <c r="E2414" s="36" t="s">
        <v>148</v>
      </c>
      <c r="J2414" s="87">
        <v>5383400</v>
      </c>
      <c r="K2414" s="85">
        <v>2022</v>
      </c>
      <c r="L2414" s="85">
        <v>9</v>
      </c>
      <c r="M2414" s="36" t="s">
        <v>591</v>
      </c>
      <c r="N2414" s="1" t="s">
        <v>44</v>
      </c>
    </row>
    <row r="2415" spans="1:14">
      <c r="A2415" s="36" t="s">
        <v>32</v>
      </c>
      <c r="B2415" s="37">
        <v>44860</v>
      </c>
      <c r="C2415" s="36" t="s">
        <v>920</v>
      </c>
      <c r="D2415" s="36" t="s">
        <v>1071</v>
      </c>
      <c r="E2415" s="36" t="s">
        <v>77</v>
      </c>
      <c r="J2415" s="38">
        <v>2851200</v>
      </c>
      <c r="K2415" s="85">
        <v>2022</v>
      </c>
      <c r="L2415" s="85">
        <v>10</v>
      </c>
      <c r="N2415" s="1" t="s">
        <v>44</v>
      </c>
    </row>
    <row r="2416" spans="1:14">
      <c r="A2416" s="36" t="s">
        <v>32</v>
      </c>
      <c r="B2416" s="37">
        <v>44861</v>
      </c>
      <c r="C2416" s="36" t="s">
        <v>989</v>
      </c>
      <c r="D2416" s="36" t="s">
        <v>990</v>
      </c>
      <c r="E2416" s="36" t="s">
        <v>148</v>
      </c>
      <c r="J2416" s="87">
        <v>16157350</v>
      </c>
      <c r="K2416" s="85">
        <v>2022</v>
      </c>
      <c r="L2416" s="85">
        <v>9</v>
      </c>
      <c r="N2416" s="1" t="s">
        <v>44</v>
      </c>
    </row>
    <row r="2417" spans="1:14">
      <c r="A2417" s="36" t="s">
        <v>19</v>
      </c>
      <c r="B2417" s="37">
        <v>44861</v>
      </c>
      <c r="C2417" s="36" t="s">
        <v>397</v>
      </c>
      <c r="D2417" s="36" t="s">
        <v>1002</v>
      </c>
      <c r="E2417" s="36" t="s">
        <v>246</v>
      </c>
      <c r="J2417" s="87">
        <v>15499660</v>
      </c>
      <c r="K2417" s="85">
        <v>2022</v>
      </c>
      <c r="L2417" s="85">
        <v>9</v>
      </c>
      <c r="N2417" s="1" t="s">
        <v>84</v>
      </c>
    </row>
    <row r="2418" spans="1:14">
      <c r="A2418" s="36" t="s">
        <v>33</v>
      </c>
      <c r="B2418" s="37">
        <v>44862</v>
      </c>
      <c r="C2418" s="36" t="s">
        <v>1034</v>
      </c>
      <c r="D2418" s="36" t="s">
        <v>801</v>
      </c>
      <c r="E2418" s="36" t="s">
        <v>1035</v>
      </c>
      <c r="G2418" s="87">
        <v>13690000</v>
      </c>
      <c r="H2418" s="87">
        <v>1369000</v>
      </c>
      <c r="I2418" s="87">
        <v>15059000</v>
      </c>
      <c r="K2418" s="85">
        <v>2022</v>
      </c>
      <c r="L2418" s="85">
        <v>10</v>
      </c>
      <c r="N2418" s="1" t="s">
        <v>44</v>
      </c>
    </row>
    <row r="2419" spans="1:14">
      <c r="A2419" s="36" t="s">
        <v>33</v>
      </c>
      <c r="B2419" s="37">
        <v>44862</v>
      </c>
      <c r="C2419" s="36" t="s">
        <v>971</v>
      </c>
      <c r="D2419" s="36" t="s">
        <v>987</v>
      </c>
      <c r="E2419" s="36" t="s">
        <v>1031</v>
      </c>
      <c r="G2419" s="87">
        <v>1395500</v>
      </c>
      <c r="H2419" s="87">
        <v>139550</v>
      </c>
      <c r="I2419" s="87">
        <v>1535050</v>
      </c>
      <c r="K2419" s="85">
        <v>2022</v>
      </c>
      <c r="L2419" s="85">
        <v>10</v>
      </c>
      <c r="N2419" s="1" t="s">
        <v>44</v>
      </c>
    </row>
    <row r="2420" spans="1:14">
      <c r="A2420" s="36" t="s">
        <v>33</v>
      </c>
      <c r="B2420" s="37">
        <v>44864</v>
      </c>
      <c r="C2420" s="36" t="s">
        <v>1032</v>
      </c>
      <c r="D2420" s="36" t="s">
        <v>1033</v>
      </c>
      <c r="E2420" s="36" t="s">
        <v>76</v>
      </c>
      <c r="G2420" s="87">
        <v>4795000</v>
      </c>
      <c r="H2420" s="87">
        <v>479500</v>
      </c>
      <c r="I2420" s="87">
        <v>5274500</v>
      </c>
      <c r="K2420" s="85">
        <v>2022</v>
      </c>
      <c r="L2420" s="85">
        <v>10</v>
      </c>
      <c r="N2420" s="1" t="s">
        <v>44</v>
      </c>
    </row>
    <row r="2421" spans="1:14">
      <c r="A2421" s="36" t="s">
        <v>32</v>
      </c>
      <c r="B2421" s="37">
        <v>44865</v>
      </c>
      <c r="C2421" s="36" t="s">
        <v>664</v>
      </c>
      <c r="D2421" s="36" t="s">
        <v>629</v>
      </c>
      <c r="E2421" s="36" t="s">
        <v>267</v>
      </c>
      <c r="G2421" s="87">
        <v>534000</v>
      </c>
      <c r="H2421" s="87">
        <v>53400</v>
      </c>
      <c r="I2421" s="87">
        <v>587400</v>
      </c>
      <c r="K2421" s="85">
        <v>2022</v>
      </c>
      <c r="L2421" s="85">
        <v>10</v>
      </c>
      <c r="N2421" s="1" t="s">
        <v>44</v>
      </c>
    </row>
    <row r="2422" spans="1:14">
      <c r="A2422" s="36" t="s">
        <v>32</v>
      </c>
      <c r="B2422" s="37">
        <v>44865</v>
      </c>
      <c r="C2422" s="36" t="s">
        <v>664</v>
      </c>
      <c r="D2422" s="36" t="s">
        <v>1070</v>
      </c>
      <c r="E2422" s="36" t="s">
        <v>77</v>
      </c>
      <c r="J2422" s="38">
        <v>26600750</v>
      </c>
      <c r="K2422" s="85">
        <v>2022</v>
      </c>
      <c r="L2422" s="85">
        <v>10</v>
      </c>
      <c r="N2422" s="1" t="s">
        <v>44</v>
      </c>
    </row>
    <row r="2423" spans="1:14">
      <c r="A2423" s="36" t="s">
        <v>32</v>
      </c>
      <c r="B2423" s="37">
        <v>44865</v>
      </c>
      <c r="C2423" s="36" t="s">
        <v>209</v>
      </c>
      <c r="D2423" s="36" t="s">
        <v>1048</v>
      </c>
      <c r="E2423" s="36" t="s">
        <v>76</v>
      </c>
      <c r="G2423" s="87">
        <v>26336900</v>
      </c>
      <c r="H2423" s="87">
        <v>2633690</v>
      </c>
      <c r="I2423" s="87">
        <v>28970590</v>
      </c>
      <c r="K2423" s="85">
        <v>2022</v>
      </c>
      <c r="L2423" s="85">
        <v>10</v>
      </c>
      <c r="N2423" s="1" t="s">
        <v>44</v>
      </c>
    </row>
    <row r="2424" spans="1:14">
      <c r="A2424" s="36" t="s">
        <v>32</v>
      </c>
      <c r="B2424" s="37">
        <v>44865</v>
      </c>
      <c r="C2424" s="36" t="s">
        <v>209</v>
      </c>
      <c r="D2424" s="36" t="s">
        <v>928</v>
      </c>
      <c r="E2424" s="36" t="s">
        <v>76</v>
      </c>
      <c r="G2424" s="87">
        <v>17040800</v>
      </c>
      <c r="H2424" s="87">
        <v>1704080</v>
      </c>
      <c r="I2424" s="87">
        <v>18744880</v>
      </c>
      <c r="K2424" s="85">
        <v>2022</v>
      </c>
      <c r="L2424" s="85">
        <v>10</v>
      </c>
      <c r="N2424" s="1" t="s">
        <v>44</v>
      </c>
    </row>
    <row r="2425" spans="1:14">
      <c r="A2425" s="36" t="s">
        <v>32</v>
      </c>
      <c r="B2425" s="37">
        <v>44865</v>
      </c>
      <c r="C2425" s="36" t="s">
        <v>209</v>
      </c>
      <c r="D2425" s="36" t="s">
        <v>812</v>
      </c>
      <c r="E2425" s="36" t="s">
        <v>76</v>
      </c>
      <c r="G2425" s="87">
        <v>15540000</v>
      </c>
      <c r="H2425" s="87">
        <v>1554000</v>
      </c>
      <c r="I2425" s="87">
        <v>17094000</v>
      </c>
      <c r="K2425" s="85">
        <v>2022</v>
      </c>
      <c r="L2425" s="85">
        <v>10</v>
      </c>
      <c r="N2425" s="1" t="s">
        <v>44</v>
      </c>
    </row>
    <row r="2426" spans="1:14">
      <c r="A2426" s="36" t="s">
        <v>32</v>
      </c>
      <c r="B2426" s="37">
        <v>44865</v>
      </c>
      <c r="C2426" s="36" t="s">
        <v>640</v>
      </c>
      <c r="D2426" s="36" t="s">
        <v>763</v>
      </c>
      <c r="E2426" s="36" t="s">
        <v>76</v>
      </c>
      <c r="G2426" s="87">
        <v>21125000</v>
      </c>
      <c r="H2426" s="87">
        <v>2112500</v>
      </c>
      <c r="I2426" s="87">
        <v>23237500</v>
      </c>
      <c r="K2426" s="85">
        <v>2022</v>
      </c>
      <c r="L2426" s="85">
        <v>10</v>
      </c>
      <c r="N2426" s="1" t="s">
        <v>44</v>
      </c>
    </row>
    <row r="2427" spans="1:14">
      <c r="A2427" s="36" t="s">
        <v>32</v>
      </c>
      <c r="B2427" s="37">
        <v>44865</v>
      </c>
      <c r="C2427" s="36" t="s">
        <v>989</v>
      </c>
      <c r="D2427" s="36" t="s">
        <v>990</v>
      </c>
      <c r="E2427" s="36" t="s">
        <v>76</v>
      </c>
      <c r="G2427" s="87">
        <v>6424400</v>
      </c>
      <c r="H2427" s="87">
        <v>642440</v>
      </c>
      <c r="I2427" s="87">
        <v>7066840</v>
      </c>
      <c r="K2427" s="85">
        <v>2022</v>
      </c>
      <c r="L2427" s="85">
        <v>10</v>
      </c>
      <c r="N2427" s="1" t="s">
        <v>44</v>
      </c>
    </row>
    <row r="2428" spans="1:14">
      <c r="A2428" s="36" t="s">
        <v>33</v>
      </c>
      <c r="B2428" s="37">
        <v>44865</v>
      </c>
      <c r="C2428" s="36" t="s">
        <v>1037</v>
      </c>
      <c r="D2428" s="36" t="s">
        <v>865</v>
      </c>
      <c r="E2428" s="36" t="s">
        <v>76</v>
      </c>
      <c r="G2428" s="87">
        <v>17595000</v>
      </c>
      <c r="H2428" s="87">
        <v>1759500</v>
      </c>
      <c r="I2428" s="87">
        <v>19354500</v>
      </c>
      <c r="K2428" s="85">
        <v>2022</v>
      </c>
      <c r="L2428" s="85">
        <v>10</v>
      </c>
      <c r="N2428" s="1" t="s">
        <v>44</v>
      </c>
    </row>
    <row r="2429" spans="1:14">
      <c r="A2429" s="36" t="s">
        <v>33</v>
      </c>
      <c r="B2429" s="37">
        <v>44865</v>
      </c>
      <c r="C2429" s="36" t="s">
        <v>1032</v>
      </c>
      <c r="D2429" s="36" t="s">
        <v>1033</v>
      </c>
      <c r="E2429" s="36" t="s">
        <v>148</v>
      </c>
      <c r="J2429" s="87">
        <v>5274500</v>
      </c>
      <c r="K2429" s="85">
        <v>2022</v>
      </c>
      <c r="L2429" s="85">
        <v>10</v>
      </c>
      <c r="N2429" s="1" t="s">
        <v>44</v>
      </c>
    </row>
    <row r="2430" spans="1:14">
      <c r="A2430" s="36" t="s">
        <v>32</v>
      </c>
      <c r="B2430" s="37">
        <v>44865</v>
      </c>
      <c r="C2430" s="36" t="s">
        <v>204</v>
      </c>
      <c r="D2430" s="36" t="s">
        <v>1078</v>
      </c>
      <c r="E2430" s="36" t="s">
        <v>267</v>
      </c>
      <c r="G2430" s="87">
        <v>9279600</v>
      </c>
      <c r="H2430" s="87">
        <v>927960</v>
      </c>
      <c r="I2430" s="87">
        <v>10207560</v>
      </c>
      <c r="K2430" s="85">
        <v>2022</v>
      </c>
      <c r="L2430" s="85">
        <v>10</v>
      </c>
      <c r="N2430" s="1" t="s">
        <v>44</v>
      </c>
    </row>
    <row r="2431" spans="1:14">
      <c r="A2431" s="36" t="s">
        <v>32</v>
      </c>
      <c r="B2431" s="37">
        <v>44865</v>
      </c>
      <c r="C2431" s="36" t="s">
        <v>204</v>
      </c>
      <c r="D2431" s="36" t="s">
        <v>1079</v>
      </c>
      <c r="E2431" s="36" t="s">
        <v>76</v>
      </c>
      <c r="G2431" s="87">
        <v>2666400</v>
      </c>
      <c r="H2431" s="87">
        <v>266640</v>
      </c>
      <c r="I2431" s="87">
        <v>2933040</v>
      </c>
      <c r="K2431" s="85">
        <v>2022</v>
      </c>
      <c r="L2431" s="85">
        <v>10</v>
      </c>
      <c r="N2431" s="1" t="s">
        <v>44</v>
      </c>
    </row>
    <row r="2432" spans="1:14">
      <c r="A2432" s="36" t="s">
        <v>33</v>
      </c>
      <c r="B2432" s="37">
        <v>44865</v>
      </c>
      <c r="C2432" s="36" t="s">
        <v>960</v>
      </c>
      <c r="D2432" s="36" t="s">
        <v>961</v>
      </c>
      <c r="E2432" s="36" t="s">
        <v>962</v>
      </c>
      <c r="G2432" s="87">
        <v>240000</v>
      </c>
      <c r="H2432" s="87">
        <v>24000</v>
      </c>
      <c r="I2432" s="87">
        <v>264000</v>
      </c>
      <c r="K2432" s="85">
        <v>2022</v>
      </c>
      <c r="L2432" s="85">
        <v>10</v>
      </c>
      <c r="N2432" s="1" t="s">
        <v>44</v>
      </c>
    </row>
    <row r="2433" spans="1:14">
      <c r="A2433" s="36" t="s">
        <v>19</v>
      </c>
      <c r="B2433" s="37">
        <v>44865</v>
      </c>
      <c r="C2433" s="36" t="s">
        <v>1038</v>
      </c>
      <c r="D2433" s="36" t="s">
        <v>1039</v>
      </c>
      <c r="E2433" s="36" t="s">
        <v>1040</v>
      </c>
      <c r="G2433" s="87">
        <v>1150000</v>
      </c>
      <c r="H2433" s="87">
        <v>115000</v>
      </c>
      <c r="I2433" s="87">
        <v>1265000</v>
      </c>
      <c r="J2433" s="87"/>
      <c r="K2433" s="85">
        <v>2022</v>
      </c>
      <c r="L2433" s="85">
        <v>10</v>
      </c>
      <c r="N2433" s="1" t="s">
        <v>84</v>
      </c>
    </row>
    <row r="2434" spans="1:14">
      <c r="A2434" s="36" t="s">
        <v>32</v>
      </c>
      <c r="B2434" s="37">
        <v>44865</v>
      </c>
      <c r="C2434" s="36" t="s">
        <v>983</v>
      </c>
      <c r="D2434" s="36" t="s">
        <v>1051</v>
      </c>
      <c r="E2434" s="36" t="s">
        <v>76</v>
      </c>
      <c r="G2434" s="87">
        <v>15660000</v>
      </c>
      <c r="H2434" s="87">
        <v>1566000</v>
      </c>
      <c r="I2434" s="87">
        <v>17226000</v>
      </c>
      <c r="K2434" s="85">
        <v>2022</v>
      </c>
      <c r="L2434" s="85">
        <v>10</v>
      </c>
      <c r="N2434" s="1" t="s">
        <v>44</v>
      </c>
    </row>
    <row r="2435" spans="1:14">
      <c r="A2435" s="36" t="s">
        <v>32</v>
      </c>
      <c r="B2435" s="37">
        <v>44865</v>
      </c>
      <c r="C2435" s="36" t="s">
        <v>1068</v>
      </c>
      <c r="D2435" s="36" t="s">
        <v>1077</v>
      </c>
      <c r="E2435" s="36" t="s">
        <v>267</v>
      </c>
      <c r="G2435" s="87">
        <v>11052300</v>
      </c>
      <c r="H2435" s="87">
        <v>1105230</v>
      </c>
      <c r="I2435" s="87">
        <v>12157530</v>
      </c>
      <c r="K2435" s="85">
        <v>2022</v>
      </c>
      <c r="L2435" s="85">
        <v>10</v>
      </c>
      <c r="N2435" s="1" t="s">
        <v>44</v>
      </c>
    </row>
    <row r="2436" spans="1:14">
      <c r="A2436" s="36" t="s">
        <v>19</v>
      </c>
      <c r="B2436" s="37">
        <v>44865</v>
      </c>
      <c r="C2436" s="36" t="s">
        <v>1044</v>
      </c>
      <c r="D2436" s="36" t="s">
        <v>1045</v>
      </c>
      <c r="E2436" s="36" t="s">
        <v>246</v>
      </c>
      <c r="G2436" s="87">
        <v>12000000</v>
      </c>
      <c r="H2436" s="87">
        <v>1200000</v>
      </c>
      <c r="I2436" s="87">
        <v>13200000</v>
      </c>
      <c r="J2436" s="87"/>
      <c r="K2436" s="85">
        <v>2022</v>
      </c>
      <c r="L2436" s="85">
        <v>10</v>
      </c>
      <c r="N2436" s="1" t="s">
        <v>84</v>
      </c>
    </row>
    <row r="2437" spans="1:14">
      <c r="A2437" s="36" t="s">
        <v>32</v>
      </c>
      <c r="B2437" s="37">
        <v>44865</v>
      </c>
      <c r="C2437" s="36" t="s">
        <v>334</v>
      </c>
      <c r="D2437" s="36" t="s">
        <v>1014</v>
      </c>
      <c r="E2437" s="36" t="s">
        <v>77</v>
      </c>
      <c r="J2437" s="87">
        <v>7260000</v>
      </c>
      <c r="K2437" s="85">
        <v>2022</v>
      </c>
      <c r="L2437" s="85">
        <v>9</v>
      </c>
      <c r="N2437" s="1" t="s">
        <v>44</v>
      </c>
    </row>
    <row r="2438" spans="1:14">
      <c r="A2438" s="36" t="s">
        <v>32</v>
      </c>
      <c r="B2438" s="37">
        <v>44865</v>
      </c>
      <c r="C2438" s="36" t="s">
        <v>334</v>
      </c>
      <c r="D2438" s="36" t="s">
        <v>953</v>
      </c>
      <c r="E2438" s="36" t="s">
        <v>77</v>
      </c>
      <c r="J2438" s="87">
        <v>1650000</v>
      </c>
      <c r="K2438" s="85">
        <v>2022</v>
      </c>
      <c r="L2438" s="85">
        <v>9</v>
      </c>
      <c r="N2438" s="1" t="s">
        <v>44</v>
      </c>
    </row>
    <row r="2439" spans="1:14">
      <c r="A2439" s="36" t="s">
        <v>33</v>
      </c>
      <c r="B2439" s="37">
        <v>44865</v>
      </c>
      <c r="C2439" s="36" t="s">
        <v>771</v>
      </c>
      <c r="D2439" s="36" t="s">
        <v>772</v>
      </c>
      <c r="E2439" s="36" t="s">
        <v>76</v>
      </c>
      <c r="G2439" s="87">
        <v>11344000</v>
      </c>
      <c r="H2439" s="87">
        <v>1134400</v>
      </c>
      <c r="I2439" s="87">
        <v>12478400</v>
      </c>
      <c r="K2439" s="85">
        <v>2022</v>
      </c>
      <c r="L2439" s="85">
        <v>10</v>
      </c>
      <c r="N2439" s="1" t="s">
        <v>44</v>
      </c>
    </row>
    <row r="2440" spans="1:14">
      <c r="A2440" s="36" t="s">
        <v>32</v>
      </c>
      <c r="B2440" s="37">
        <v>44865</v>
      </c>
      <c r="C2440" s="36" t="s">
        <v>498</v>
      </c>
      <c r="D2440" s="36" t="s">
        <v>1072</v>
      </c>
      <c r="E2440" s="36" t="s">
        <v>267</v>
      </c>
      <c r="G2440" s="87">
        <v>30300000</v>
      </c>
      <c r="H2440" s="87">
        <v>3030000</v>
      </c>
      <c r="I2440" s="87">
        <v>33330000</v>
      </c>
      <c r="K2440" s="85">
        <v>2022</v>
      </c>
      <c r="L2440" s="85">
        <v>10</v>
      </c>
      <c r="N2440" s="1" t="s">
        <v>44</v>
      </c>
    </row>
    <row r="2441" spans="1:14">
      <c r="A2441" s="36" t="s">
        <v>1056</v>
      </c>
      <c r="B2441" s="37">
        <v>44865</v>
      </c>
      <c r="C2441" s="36" t="s">
        <v>1129</v>
      </c>
      <c r="D2441" s="36" t="s">
        <v>1064</v>
      </c>
      <c r="E2441" s="36" t="s">
        <v>1057</v>
      </c>
      <c r="G2441" s="87">
        <v>2220000</v>
      </c>
      <c r="H2441" s="87">
        <v>222000</v>
      </c>
      <c r="I2441" s="87">
        <v>2442000</v>
      </c>
      <c r="K2441" s="85">
        <v>2022</v>
      </c>
      <c r="L2441" s="85">
        <v>10</v>
      </c>
      <c r="N2441" s="1" t="s">
        <v>1058</v>
      </c>
    </row>
    <row r="2442" spans="1:14">
      <c r="A2442" s="36" t="s">
        <v>32</v>
      </c>
      <c r="B2442" s="37">
        <v>44865</v>
      </c>
      <c r="C2442" s="36" t="s">
        <v>677</v>
      </c>
      <c r="D2442" s="36" t="s">
        <v>825</v>
      </c>
      <c r="E2442" s="36" t="s">
        <v>76</v>
      </c>
      <c r="G2442" s="87">
        <v>167082500</v>
      </c>
      <c r="H2442" s="87">
        <v>16708250</v>
      </c>
      <c r="I2442" s="87">
        <v>183790750</v>
      </c>
      <c r="K2442" s="85">
        <v>2022</v>
      </c>
      <c r="L2442" s="85">
        <v>10</v>
      </c>
      <c r="N2442" s="1" t="s">
        <v>44</v>
      </c>
    </row>
    <row r="2443" spans="1:14">
      <c r="A2443" s="36" t="s">
        <v>32</v>
      </c>
      <c r="B2443" s="37">
        <v>44865</v>
      </c>
      <c r="C2443" s="36" t="s">
        <v>677</v>
      </c>
      <c r="D2443" s="36" t="s">
        <v>924</v>
      </c>
      <c r="E2443" s="36" t="s">
        <v>76</v>
      </c>
      <c r="G2443" s="87">
        <v>83475000</v>
      </c>
      <c r="H2443" s="87">
        <v>8347500</v>
      </c>
      <c r="I2443" s="87">
        <v>91822500</v>
      </c>
      <c r="K2443" s="85">
        <v>2022</v>
      </c>
      <c r="L2443" s="85">
        <v>10</v>
      </c>
      <c r="N2443" s="1" t="s">
        <v>44</v>
      </c>
    </row>
    <row r="2444" spans="1:14">
      <c r="A2444" s="36" t="s">
        <v>32</v>
      </c>
      <c r="B2444" s="37">
        <v>44865</v>
      </c>
      <c r="C2444" s="36" t="s">
        <v>677</v>
      </c>
      <c r="D2444" s="36" t="s">
        <v>678</v>
      </c>
      <c r="E2444" s="36" t="s">
        <v>76</v>
      </c>
      <c r="G2444" s="87">
        <v>105126840</v>
      </c>
      <c r="H2444" s="87">
        <v>10512684</v>
      </c>
      <c r="I2444" s="87">
        <v>115639524</v>
      </c>
      <c r="K2444" s="85">
        <v>2022</v>
      </c>
      <c r="L2444" s="85">
        <v>10</v>
      </c>
      <c r="N2444" s="1" t="s">
        <v>44</v>
      </c>
    </row>
    <row r="2445" spans="1:14">
      <c r="A2445" s="36" t="s">
        <v>32</v>
      </c>
      <c r="B2445" s="37">
        <v>44865</v>
      </c>
      <c r="C2445" s="36" t="s">
        <v>1067</v>
      </c>
      <c r="D2445" s="36" t="s">
        <v>1076</v>
      </c>
      <c r="E2445" s="36" t="s">
        <v>76</v>
      </c>
      <c r="G2445" s="87">
        <v>7140000</v>
      </c>
      <c r="H2445" s="87">
        <v>714000</v>
      </c>
      <c r="I2445" s="87">
        <v>7854000</v>
      </c>
      <c r="K2445" s="85">
        <v>2022</v>
      </c>
      <c r="L2445" s="85">
        <v>10</v>
      </c>
      <c r="N2445" s="1" t="s">
        <v>44</v>
      </c>
    </row>
    <row r="2446" spans="1:14">
      <c r="A2446" s="36" t="s">
        <v>33</v>
      </c>
      <c r="B2446" s="37">
        <v>44865</v>
      </c>
      <c r="C2446" s="36" t="s">
        <v>119</v>
      </c>
      <c r="D2446" s="36" t="s">
        <v>1048</v>
      </c>
      <c r="E2446" s="36" t="s">
        <v>76</v>
      </c>
      <c r="G2446" s="87">
        <v>23630950</v>
      </c>
      <c r="H2446" s="87">
        <v>2363095</v>
      </c>
      <c r="I2446" s="87">
        <v>25994045</v>
      </c>
      <c r="K2446" s="85">
        <v>2022</v>
      </c>
      <c r="L2446" s="85">
        <v>10</v>
      </c>
      <c r="N2446" s="1" t="s">
        <v>44</v>
      </c>
    </row>
    <row r="2447" spans="1:14">
      <c r="A2447" s="36" t="s">
        <v>33</v>
      </c>
      <c r="B2447" s="37">
        <v>44865</v>
      </c>
      <c r="C2447" s="36" t="s">
        <v>119</v>
      </c>
      <c r="D2447" s="36" t="s">
        <v>1051</v>
      </c>
      <c r="E2447" s="36" t="s">
        <v>76</v>
      </c>
      <c r="G2447" s="87">
        <v>7830000</v>
      </c>
      <c r="H2447" s="87">
        <v>783000</v>
      </c>
      <c r="I2447" s="87">
        <v>8613000</v>
      </c>
      <c r="K2447" s="85">
        <v>2022</v>
      </c>
      <c r="L2447" s="85">
        <v>10</v>
      </c>
      <c r="N2447" s="1" t="s">
        <v>44</v>
      </c>
    </row>
    <row r="2448" spans="1:14">
      <c r="A2448" s="36" t="s">
        <v>33</v>
      </c>
      <c r="B2448" s="37">
        <v>44865</v>
      </c>
      <c r="C2448" s="36" t="s">
        <v>119</v>
      </c>
      <c r="D2448" s="36" t="s">
        <v>877</v>
      </c>
      <c r="E2448" s="36" t="s">
        <v>76</v>
      </c>
      <c r="G2448" s="87">
        <v>1380000</v>
      </c>
      <c r="H2448" s="87">
        <v>138000</v>
      </c>
      <c r="I2448" s="87">
        <v>1518000</v>
      </c>
      <c r="K2448" s="85">
        <v>2022</v>
      </c>
      <c r="L2448" s="85">
        <v>10</v>
      </c>
      <c r="N2448" s="1" t="s">
        <v>44</v>
      </c>
    </row>
    <row r="2449" spans="1:14">
      <c r="A2449" s="36" t="s">
        <v>33</v>
      </c>
      <c r="B2449" s="37">
        <v>44865</v>
      </c>
      <c r="C2449" s="36" t="s">
        <v>119</v>
      </c>
      <c r="D2449" s="36" t="s">
        <v>1083</v>
      </c>
      <c r="E2449" s="36" t="s">
        <v>76</v>
      </c>
      <c r="G2449" s="87">
        <v>4401000</v>
      </c>
      <c r="H2449" s="87">
        <v>440100</v>
      </c>
      <c r="I2449" s="87">
        <v>4841100</v>
      </c>
      <c r="K2449" s="85">
        <v>2022</v>
      </c>
      <c r="L2449" s="85">
        <v>10</v>
      </c>
      <c r="N2449" s="1" t="s">
        <v>44</v>
      </c>
    </row>
    <row r="2450" spans="1:14">
      <c r="A2450" s="36" t="s">
        <v>32</v>
      </c>
      <c r="B2450" s="37">
        <v>44865</v>
      </c>
      <c r="C2450" s="36" t="s">
        <v>264</v>
      </c>
      <c r="D2450" s="36" t="s">
        <v>1074</v>
      </c>
      <c r="E2450" s="36" t="s">
        <v>76</v>
      </c>
      <c r="G2450" s="87">
        <v>10000000</v>
      </c>
      <c r="H2450" s="87">
        <v>1000000</v>
      </c>
      <c r="I2450" s="87">
        <v>11000000</v>
      </c>
      <c r="K2450" s="85">
        <v>2022</v>
      </c>
      <c r="L2450" s="85">
        <v>10</v>
      </c>
      <c r="N2450" s="1" t="s">
        <v>44</v>
      </c>
    </row>
    <row r="2451" spans="1:14">
      <c r="A2451" s="36" t="s">
        <v>32</v>
      </c>
      <c r="B2451" s="37">
        <v>44865</v>
      </c>
      <c r="C2451" s="36" t="s">
        <v>881</v>
      </c>
      <c r="D2451" s="36" t="s">
        <v>877</v>
      </c>
      <c r="E2451" s="36" t="s">
        <v>76</v>
      </c>
      <c r="G2451" s="87">
        <v>166595000</v>
      </c>
      <c r="H2451" s="87">
        <v>16659500</v>
      </c>
      <c r="I2451" s="87">
        <v>183254500</v>
      </c>
      <c r="K2451" s="85">
        <v>2022</v>
      </c>
      <c r="L2451" s="85">
        <v>10</v>
      </c>
      <c r="N2451" s="1" t="s">
        <v>44</v>
      </c>
    </row>
    <row r="2452" spans="1:14">
      <c r="A2452" s="36" t="s">
        <v>32</v>
      </c>
      <c r="B2452" s="37">
        <v>44865</v>
      </c>
      <c r="C2452" s="36" t="s">
        <v>881</v>
      </c>
      <c r="D2452" s="36" t="s">
        <v>877</v>
      </c>
      <c r="E2452" s="36" t="s">
        <v>76</v>
      </c>
      <c r="G2452" s="87">
        <v>144949500</v>
      </c>
      <c r="H2452" s="87">
        <v>14494950</v>
      </c>
      <c r="I2452" s="87">
        <v>159444450</v>
      </c>
      <c r="K2452" s="85">
        <v>2022</v>
      </c>
      <c r="L2452" s="85">
        <v>10</v>
      </c>
      <c r="N2452" s="1" t="s">
        <v>44</v>
      </c>
    </row>
    <row r="2453" spans="1:14">
      <c r="A2453" s="36" t="s">
        <v>32</v>
      </c>
      <c r="B2453" s="37">
        <v>44865</v>
      </c>
      <c r="C2453" s="36" t="s">
        <v>552</v>
      </c>
      <c r="D2453" s="36" t="s">
        <v>1011</v>
      </c>
      <c r="E2453" s="36" t="s">
        <v>76</v>
      </c>
      <c r="G2453" s="87">
        <v>9821455</v>
      </c>
      <c r="H2453" s="87">
        <v>982145.5</v>
      </c>
      <c r="I2453" s="87">
        <v>10803600.5</v>
      </c>
      <c r="K2453" s="85">
        <v>2022</v>
      </c>
      <c r="L2453" s="85">
        <v>10</v>
      </c>
      <c r="N2453" s="1" t="s">
        <v>44</v>
      </c>
    </row>
    <row r="2454" spans="1:14">
      <c r="A2454" s="36" t="s">
        <v>33</v>
      </c>
      <c r="B2454" s="37">
        <v>44865</v>
      </c>
      <c r="C2454" s="36" t="s">
        <v>885</v>
      </c>
      <c r="D2454" s="36" t="s">
        <v>1062</v>
      </c>
      <c r="E2454" s="36" t="s">
        <v>76</v>
      </c>
      <c r="G2454" s="87">
        <v>8855000</v>
      </c>
      <c r="H2454" s="87">
        <v>885500</v>
      </c>
      <c r="I2454" s="87">
        <v>9740500</v>
      </c>
      <c r="K2454" s="85">
        <v>2022</v>
      </c>
      <c r="L2454" s="85">
        <v>10</v>
      </c>
      <c r="N2454" s="1" t="s">
        <v>44</v>
      </c>
    </row>
    <row r="2455" spans="1:14">
      <c r="A2455" s="36" t="s">
        <v>33</v>
      </c>
      <c r="B2455" s="37">
        <v>44865</v>
      </c>
      <c r="C2455" s="36" t="s">
        <v>885</v>
      </c>
      <c r="D2455" s="36" t="s">
        <v>1062</v>
      </c>
      <c r="E2455" s="36" t="s">
        <v>77</v>
      </c>
      <c r="J2455" s="38">
        <v>9740500</v>
      </c>
      <c r="K2455" s="85">
        <v>2022</v>
      </c>
      <c r="L2455" s="85">
        <v>10</v>
      </c>
      <c r="N2455" s="1" t="s">
        <v>44</v>
      </c>
    </row>
    <row r="2456" spans="1:14">
      <c r="A2456" s="36" t="s">
        <v>32</v>
      </c>
      <c r="B2456" s="37">
        <v>44865</v>
      </c>
      <c r="C2456" s="36" t="s">
        <v>1066</v>
      </c>
      <c r="D2456" s="36" t="s">
        <v>1075</v>
      </c>
      <c r="E2456" s="36" t="s">
        <v>76</v>
      </c>
      <c r="G2456" s="87">
        <v>8626000</v>
      </c>
      <c r="H2456" s="87">
        <v>862600</v>
      </c>
      <c r="I2456" s="87">
        <v>9488600</v>
      </c>
      <c r="K2456" s="85">
        <v>2022</v>
      </c>
      <c r="L2456" s="85">
        <v>10</v>
      </c>
      <c r="N2456" s="1" t="s">
        <v>44</v>
      </c>
    </row>
    <row r="2457" spans="1:14">
      <c r="A2457" s="36" t="s">
        <v>32</v>
      </c>
      <c r="B2457" s="37">
        <v>44865</v>
      </c>
      <c r="C2457" s="36" t="s">
        <v>206</v>
      </c>
      <c r="D2457" s="36" t="s">
        <v>152</v>
      </c>
      <c r="E2457" s="36" t="s">
        <v>267</v>
      </c>
      <c r="G2457" s="87">
        <v>3516900</v>
      </c>
      <c r="H2457" s="87">
        <v>351690</v>
      </c>
      <c r="I2457" s="87">
        <v>3868590</v>
      </c>
      <c r="K2457" s="85">
        <v>2022</v>
      </c>
      <c r="L2457" s="85">
        <v>10</v>
      </c>
      <c r="N2457" s="1" t="s">
        <v>44</v>
      </c>
    </row>
    <row r="2458" spans="1:14">
      <c r="A2458" s="36" t="s">
        <v>33</v>
      </c>
      <c r="B2458" s="37">
        <v>44865</v>
      </c>
      <c r="C2458" s="36" t="s">
        <v>966</v>
      </c>
      <c r="D2458" s="36" t="s">
        <v>1010</v>
      </c>
      <c r="E2458" s="36" t="s">
        <v>967</v>
      </c>
      <c r="G2458" s="87">
        <v>18630000</v>
      </c>
      <c r="H2458" s="87">
        <v>1863000</v>
      </c>
      <c r="I2458" s="87">
        <v>20493000</v>
      </c>
      <c r="K2458" s="85">
        <v>2022</v>
      </c>
      <c r="L2458" s="85">
        <v>10</v>
      </c>
      <c r="N2458" s="1" t="s">
        <v>44</v>
      </c>
    </row>
    <row r="2459" spans="1:14">
      <c r="A2459" s="36" t="s">
        <v>32</v>
      </c>
      <c r="B2459" s="37">
        <v>44865</v>
      </c>
      <c r="C2459" s="36" t="s">
        <v>185</v>
      </c>
      <c r="D2459" s="36" t="s">
        <v>1080</v>
      </c>
      <c r="E2459" s="36" t="s">
        <v>76</v>
      </c>
      <c r="G2459" s="87">
        <v>736479</v>
      </c>
      <c r="H2459" s="87">
        <v>73647.900000000009</v>
      </c>
      <c r="I2459" s="87">
        <v>810126.9</v>
      </c>
      <c r="K2459" s="85">
        <v>2022</v>
      </c>
      <c r="L2459" s="85">
        <v>10</v>
      </c>
      <c r="N2459" s="1" t="s">
        <v>44</v>
      </c>
    </row>
    <row r="2460" spans="1:14">
      <c r="A2460" s="36" t="s">
        <v>32</v>
      </c>
      <c r="B2460" s="37">
        <v>44865</v>
      </c>
      <c r="C2460" s="36" t="s">
        <v>185</v>
      </c>
      <c r="D2460" s="36" t="s">
        <v>931</v>
      </c>
      <c r="E2460" s="36" t="s">
        <v>267</v>
      </c>
      <c r="G2460" s="87">
        <v>8165388</v>
      </c>
      <c r="H2460" s="87">
        <v>816538.8</v>
      </c>
      <c r="I2460" s="87">
        <v>8981926.8000000007</v>
      </c>
      <c r="K2460" s="85">
        <v>2022</v>
      </c>
      <c r="L2460" s="85">
        <v>10</v>
      </c>
      <c r="M2460" s="36" t="s">
        <v>570</v>
      </c>
      <c r="N2460" s="1" t="s">
        <v>44</v>
      </c>
    </row>
    <row r="2461" spans="1:14">
      <c r="A2461" s="36" t="s">
        <v>32</v>
      </c>
      <c r="B2461" s="37">
        <v>44865</v>
      </c>
      <c r="C2461" s="36" t="s">
        <v>185</v>
      </c>
      <c r="D2461" s="36" t="s">
        <v>931</v>
      </c>
      <c r="E2461" s="36" t="s">
        <v>267</v>
      </c>
      <c r="G2461" s="87">
        <v>4248455</v>
      </c>
      <c r="H2461" s="87">
        <v>424845.5</v>
      </c>
      <c r="I2461" s="87">
        <v>4673300.5</v>
      </c>
      <c r="K2461" s="85">
        <v>2022</v>
      </c>
      <c r="L2461" s="85">
        <v>10</v>
      </c>
      <c r="M2461" s="36" t="s">
        <v>1084</v>
      </c>
      <c r="N2461" s="1" t="s">
        <v>44</v>
      </c>
    </row>
    <row r="2462" spans="1:14">
      <c r="A2462" s="36" t="s">
        <v>32</v>
      </c>
      <c r="B2462" s="37">
        <v>44865</v>
      </c>
      <c r="C2462" s="36" t="s">
        <v>185</v>
      </c>
      <c r="D2462" s="36" t="s">
        <v>931</v>
      </c>
      <c r="E2462" s="36" t="s">
        <v>267</v>
      </c>
      <c r="G2462" s="87">
        <v>4860000</v>
      </c>
      <c r="H2462" s="87">
        <v>486000</v>
      </c>
      <c r="I2462" s="87">
        <v>5346000</v>
      </c>
      <c r="K2462" s="85">
        <v>2022</v>
      </c>
      <c r="L2462" s="85">
        <v>10</v>
      </c>
      <c r="M2462" s="36" t="s">
        <v>1085</v>
      </c>
      <c r="N2462" s="1" t="s">
        <v>44</v>
      </c>
    </row>
    <row r="2463" spans="1:14">
      <c r="A2463" s="36" t="s">
        <v>32</v>
      </c>
      <c r="B2463" s="37">
        <v>44865</v>
      </c>
      <c r="C2463" s="36" t="s">
        <v>185</v>
      </c>
      <c r="D2463" s="36" t="s">
        <v>931</v>
      </c>
      <c r="E2463" s="36" t="s">
        <v>267</v>
      </c>
      <c r="G2463" s="87">
        <v>8300000</v>
      </c>
      <c r="H2463" s="87">
        <v>830000</v>
      </c>
      <c r="I2463" s="87">
        <v>9130000</v>
      </c>
      <c r="K2463" s="85">
        <v>2022</v>
      </c>
      <c r="L2463" s="85">
        <v>10</v>
      </c>
      <c r="M2463" s="36" t="s">
        <v>1086</v>
      </c>
      <c r="N2463" s="1" t="s">
        <v>44</v>
      </c>
    </row>
    <row r="2464" spans="1:14">
      <c r="A2464" s="36" t="s">
        <v>32</v>
      </c>
      <c r="B2464" s="37">
        <v>44865</v>
      </c>
      <c r="C2464" s="36" t="s">
        <v>185</v>
      </c>
      <c r="D2464" s="36" t="s">
        <v>932</v>
      </c>
      <c r="E2464" s="36" t="s">
        <v>267</v>
      </c>
      <c r="G2464" s="87">
        <v>6865935</v>
      </c>
      <c r="H2464" s="87">
        <v>686593.5</v>
      </c>
      <c r="I2464" s="87">
        <v>7552528.5</v>
      </c>
      <c r="K2464" s="85">
        <v>2022</v>
      </c>
      <c r="L2464" s="85">
        <v>10</v>
      </c>
      <c r="N2464" s="1" t="s">
        <v>44</v>
      </c>
    </row>
    <row r="2465" spans="1:14">
      <c r="A2465" s="36" t="s">
        <v>32</v>
      </c>
      <c r="B2465" s="37">
        <v>44865</v>
      </c>
      <c r="C2465" s="36" t="s">
        <v>268</v>
      </c>
      <c r="D2465" s="36" t="s">
        <v>954</v>
      </c>
      <c r="E2465" s="36" t="s">
        <v>267</v>
      </c>
      <c r="G2465" s="87">
        <v>66457600</v>
      </c>
      <c r="H2465" s="87">
        <v>6645760</v>
      </c>
      <c r="I2465" s="87">
        <v>73103360</v>
      </c>
      <c r="K2465" s="85">
        <v>2022</v>
      </c>
      <c r="L2465" s="85">
        <v>10</v>
      </c>
      <c r="N2465" s="1" t="s">
        <v>44</v>
      </c>
    </row>
    <row r="2466" spans="1:14">
      <c r="A2466" s="36" t="s">
        <v>33</v>
      </c>
      <c r="B2466" s="37">
        <v>44865</v>
      </c>
      <c r="C2466" s="36" t="s">
        <v>590</v>
      </c>
      <c r="D2466" s="36" t="s">
        <v>1012</v>
      </c>
      <c r="E2466" s="36" t="s">
        <v>148</v>
      </c>
      <c r="J2466" s="87">
        <v>1188000</v>
      </c>
      <c r="K2466" s="85">
        <v>2022</v>
      </c>
      <c r="L2466" s="85">
        <v>9</v>
      </c>
      <c r="M2466" s="36" t="s">
        <v>591</v>
      </c>
      <c r="N2466" s="1" t="s">
        <v>44</v>
      </c>
    </row>
    <row r="2467" spans="1:14">
      <c r="A2467" s="36" t="s">
        <v>33</v>
      </c>
      <c r="B2467" s="37">
        <v>44865</v>
      </c>
      <c r="C2467" s="36" t="s">
        <v>590</v>
      </c>
      <c r="D2467" s="36" t="s">
        <v>1011</v>
      </c>
      <c r="E2467" s="36" t="s">
        <v>1063</v>
      </c>
      <c r="G2467" s="87">
        <v>8690700</v>
      </c>
      <c r="H2467" s="87">
        <v>869070</v>
      </c>
      <c r="I2467" s="87">
        <v>9559770</v>
      </c>
      <c r="K2467" s="85">
        <v>2022</v>
      </c>
      <c r="L2467" s="85">
        <v>10</v>
      </c>
      <c r="M2467" s="36" t="s">
        <v>591</v>
      </c>
      <c r="N2467" s="1" t="s">
        <v>44</v>
      </c>
    </row>
    <row r="2468" spans="1:14">
      <c r="A2468" s="36" t="s">
        <v>32</v>
      </c>
      <c r="B2468" s="37">
        <v>44865</v>
      </c>
      <c r="C2468" s="36" t="s">
        <v>188</v>
      </c>
      <c r="D2468" s="36" t="s">
        <v>649</v>
      </c>
      <c r="E2468" s="36" t="s">
        <v>148</v>
      </c>
      <c r="J2468" s="87">
        <v>2190672</v>
      </c>
      <c r="K2468" s="85">
        <v>2022</v>
      </c>
      <c r="L2468" s="85">
        <v>9</v>
      </c>
      <c r="N2468" s="1" t="s">
        <v>44</v>
      </c>
    </row>
    <row r="2469" spans="1:14">
      <c r="A2469" s="36" t="s">
        <v>32</v>
      </c>
      <c r="B2469" s="37">
        <v>44865</v>
      </c>
      <c r="C2469" s="36" t="s">
        <v>188</v>
      </c>
      <c r="D2469" s="36" t="s">
        <v>649</v>
      </c>
      <c r="E2469" s="36" t="s">
        <v>76</v>
      </c>
      <c r="G2469" s="87">
        <v>8464980</v>
      </c>
      <c r="H2469" s="87">
        <v>846498</v>
      </c>
      <c r="I2469" s="87">
        <v>9311478</v>
      </c>
      <c r="K2469" s="85">
        <v>2022</v>
      </c>
      <c r="L2469" s="85">
        <v>10</v>
      </c>
      <c r="N2469" s="1" t="s">
        <v>44</v>
      </c>
    </row>
    <row r="2470" spans="1:14">
      <c r="A2470" s="36" t="s">
        <v>32</v>
      </c>
      <c r="B2470" s="37">
        <v>44865</v>
      </c>
      <c r="C2470" s="36" t="s">
        <v>188</v>
      </c>
      <c r="D2470" s="36" t="s">
        <v>1321</v>
      </c>
      <c r="E2470" s="36" t="s">
        <v>76</v>
      </c>
      <c r="G2470" s="87">
        <v>728500</v>
      </c>
      <c r="H2470" s="87">
        <v>72850</v>
      </c>
      <c r="I2470" s="87">
        <v>801350</v>
      </c>
      <c r="K2470" s="85">
        <v>2022</v>
      </c>
      <c r="L2470" s="85">
        <v>10</v>
      </c>
      <c r="N2470" s="1" t="s">
        <v>44</v>
      </c>
    </row>
    <row r="2471" spans="1:14">
      <c r="A2471" s="36" t="s">
        <v>32</v>
      </c>
      <c r="B2471" s="37">
        <v>44865</v>
      </c>
      <c r="C2471" s="36" t="s">
        <v>991</v>
      </c>
      <c r="D2471" s="36" t="s">
        <v>992</v>
      </c>
      <c r="E2471" s="36" t="s">
        <v>76</v>
      </c>
      <c r="G2471" s="87">
        <v>4558600</v>
      </c>
      <c r="H2471" s="87">
        <v>455860</v>
      </c>
      <c r="I2471" s="87">
        <v>5014460</v>
      </c>
      <c r="K2471" s="85">
        <v>2022</v>
      </c>
      <c r="L2471" s="85">
        <v>10</v>
      </c>
      <c r="N2471" s="1" t="s">
        <v>44</v>
      </c>
    </row>
    <row r="2472" spans="1:14">
      <c r="A2472" s="36" t="s">
        <v>32</v>
      </c>
      <c r="B2472" s="37">
        <v>44865</v>
      </c>
      <c r="C2472" s="36" t="s">
        <v>175</v>
      </c>
      <c r="D2472" s="36" t="s">
        <v>1073</v>
      </c>
      <c r="E2472" s="36" t="s">
        <v>76</v>
      </c>
      <c r="G2472" s="87">
        <v>7209000</v>
      </c>
      <c r="H2472" s="87">
        <v>720900</v>
      </c>
      <c r="I2472" s="87">
        <v>7929900</v>
      </c>
      <c r="K2472" s="85">
        <v>2022</v>
      </c>
      <c r="L2472" s="85">
        <v>10</v>
      </c>
      <c r="N2472" s="1" t="s">
        <v>44</v>
      </c>
    </row>
    <row r="2473" spans="1:14">
      <c r="A2473" s="36" t="s">
        <v>32</v>
      </c>
      <c r="B2473" s="37">
        <v>44865</v>
      </c>
      <c r="C2473" s="36" t="s">
        <v>519</v>
      </c>
      <c r="D2473" s="36" t="s">
        <v>321</v>
      </c>
      <c r="E2473" s="36" t="s">
        <v>267</v>
      </c>
      <c r="G2473" s="87">
        <v>2430000</v>
      </c>
      <c r="H2473" s="87">
        <v>243000</v>
      </c>
      <c r="I2473" s="87">
        <v>2673000</v>
      </c>
      <c r="K2473" s="85">
        <v>2022</v>
      </c>
      <c r="L2473" s="85">
        <v>10</v>
      </c>
      <c r="N2473" s="1" t="s">
        <v>44</v>
      </c>
    </row>
    <row r="2474" spans="1:14">
      <c r="A2474" s="36" t="s">
        <v>33</v>
      </c>
      <c r="B2474" s="37">
        <v>44865</v>
      </c>
      <c r="C2474" s="36" t="s">
        <v>971</v>
      </c>
      <c r="D2474" s="36" t="s">
        <v>987</v>
      </c>
      <c r="E2474" s="36" t="s">
        <v>148</v>
      </c>
      <c r="J2474" s="87">
        <v>1535050</v>
      </c>
      <c r="K2474" s="85">
        <v>2022</v>
      </c>
      <c r="L2474" s="85">
        <v>10</v>
      </c>
      <c r="N2474" s="1" t="s">
        <v>44</v>
      </c>
    </row>
    <row r="2475" spans="1:14">
      <c r="A2475" s="36" t="s">
        <v>33</v>
      </c>
      <c r="B2475" s="37">
        <v>44865</v>
      </c>
      <c r="C2475" s="36" t="s">
        <v>971</v>
      </c>
      <c r="D2475" s="36" t="s">
        <v>987</v>
      </c>
      <c r="E2475" s="36" t="s">
        <v>1031</v>
      </c>
      <c r="G2475" s="87">
        <v>2843950</v>
      </c>
      <c r="H2475" s="87">
        <v>284395</v>
      </c>
      <c r="I2475" s="87">
        <v>3128345</v>
      </c>
      <c r="K2475" s="85">
        <v>2022</v>
      </c>
      <c r="L2475" s="85">
        <v>10</v>
      </c>
      <c r="N2475" s="1" t="s">
        <v>44</v>
      </c>
    </row>
    <row r="2476" spans="1:14">
      <c r="A2476" s="36" t="s">
        <v>33</v>
      </c>
      <c r="B2476" s="37">
        <v>44865</v>
      </c>
      <c r="C2476" s="36" t="s">
        <v>971</v>
      </c>
      <c r="D2476" s="36" t="s">
        <v>987</v>
      </c>
      <c r="E2476" s="36" t="s">
        <v>148</v>
      </c>
      <c r="J2476" s="87">
        <v>3128345</v>
      </c>
      <c r="K2476" s="85">
        <v>2022</v>
      </c>
      <c r="L2476" s="85">
        <v>10</v>
      </c>
      <c r="N2476" s="1" t="s">
        <v>44</v>
      </c>
    </row>
    <row r="2477" spans="1:14">
      <c r="A2477" s="36" t="s">
        <v>32</v>
      </c>
      <c r="B2477" s="37">
        <v>44865</v>
      </c>
      <c r="C2477" s="36" t="s">
        <v>987</v>
      </c>
      <c r="D2477" s="36" t="s">
        <v>1082</v>
      </c>
      <c r="E2477" s="36" t="s">
        <v>973</v>
      </c>
      <c r="G2477" s="87">
        <v>2072000</v>
      </c>
      <c r="H2477" s="87">
        <v>207200</v>
      </c>
      <c r="I2477" s="87">
        <v>2279200</v>
      </c>
      <c r="K2477" s="85">
        <v>2022</v>
      </c>
      <c r="L2477" s="85">
        <v>10</v>
      </c>
      <c r="N2477" s="1" t="s">
        <v>44</v>
      </c>
    </row>
    <row r="2478" spans="1:14">
      <c r="A2478" s="36" t="s">
        <v>32</v>
      </c>
      <c r="B2478" s="37">
        <v>44865</v>
      </c>
      <c r="C2478" s="36" t="s">
        <v>987</v>
      </c>
      <c r="D2478" s="36" t="s">
        <v>1083</v>
      </c>
      <c r="E2478" s="36" t="s">
        <v>973</v>
      </c>
      <c r="G2478" s="87">
        <v>4800000</v>
      </c>
      <c r="H2478" s="87">
        <v>480000</v>
      </c>
      <c r="I2478" s="87">
        <v>5280000</v>
      </c>
      <c r="K2478" s="85">
        <v>2022</v>
      </c>
      <c r="L2478" s="85">
        <v>10</v>
      </c>
      <c r="N2478" s="1" t="s">
        <v>44</v>
      </c>
    </row>
    <row r="2479" spans="1:14">
      <c r="A2479" s="36" t="s">
        <v>32</v>
      </c>
      <c r="B2479" s="37">
        <v>44865</v>
      </c>
      <c r="C2479" s="36" t="s">
        <v>987</v>
      </c>
      <c r="D2479" s="36" t="s">
        <v>1015</v>
      </c>
      <c r="E2479" s="36" t="s">
        <v>267</v>
      </c>
      <c r="G2479" s="87">
        <v>13300000</v>
      </c>
      <c r="H2479" s="87">
        <v>1330000</v>
      </c>
      <c r="I2479" s="87">
        <v>14630000</v>
      </c>
      <c r="K2479" s="85">
        <v>2022</v>
      </c>
      <c r="L2479" s="85">
        <v>10</v>
      </c>
      <c r="N2479" s="1" t="s">
        <v>44</v>
      </c>
    </row>
    <row r="2480" spans="1:14">
      <c r="A2480" s="36" t="s">
        <v>32</v>
      </c>
      <c r="B2480" s="37">
        <v>44865</v>
      </c>
      <c r="C2480" s="36" t="s">
        <v>987</v>
      </c>
      <c r="D2480" s="36" t="s">
        <v>988</v>
      </c>
      <c r="E2480" s="36" t="s">
        <v>76</v>
      </c>
      <c r="G2480" s="87">
        <v>8875000</v>
      </c>
      <c r="H2480" s="87">
        <v>887500</v>
      </c>
      <c r="I2480" s="87">
        <v>9762500</v>
      </c>
      <c r="K2480" s="85">
        <v>2022</v>
      </c>
      <c r="L2480" s="85">
        <v>10</v>
      </c>
      <c r="N2480" s="1" t="s">
        <v>44</v>
      </c>
    </row>
    <row r="2481" spans="1:14">
      <c r="A2481" s="36" t="s">
        <v>32</v>
      </c>
      <c r="B2481" s="37">
        <v>44865</v>
      </c>
      <c r="C2481" s="36" t="s">
        <v>987</v>
      </c>
      <c r="D2481" s="36" t="s">
        <v>1083</v>
      </c>
      <c r="E2481" s="36" t="s">
        <v>76</v>
      </c>
      <c r="G2481" s="87">
        <v>5562000</v>
      </c>
      <c r="H2481" s="87">
        <v>556200</v>
      </c>
      <c r="I2481" s="87">
        <v>6118200</v>
      </c>
      <c r="K2481" s="85">
        <v>2022</v>
      </c>
      <c r="L2481" s="85">
        <v>10</v>
      </c>
      <c r="N2481" s="1" t="s">
        <v>44</v>
      </c>
    </row>
    <row r="2482" spans="1:14">
      <c r="A2482" s="36" t="s">
        <v>32</v>
      </c>
      <c r="B2482" s="37">
        <v>44865</v>
      </c>
      <c r="C2482" s="36" t="s">
        <v>987</v>
      </c>
      <c r="D2482" s="36" t="s">
        <v>1082</v>
      </c>
      <c r="E2482" s="36" t="s">
        <v>77</v>
      </c>
      <c r="J2482" s="38">
        <v>2279200</v>
      </c>
      <c r="K2482" s="85">
        <v>2022</v>
      </c>
      <c r="L2482" s="85">
        <v>10</v>
      </c>
      <c r="N2482" s="1" t="s">
        <v>44</v>
      </c>
    </row>
    <row r="2483" spans="1:14">
      <c r="A2483" s="36" t="s">
        <v>32</v>
      </c>
      <c r="B2483" s="37">
        <v>44865</v>
      </c>
      <c r="C2483" s="36" t="s">
        <v>987</v>
      </c>
      <c r="D2483" s="36" t="s">
        <v>1083</v>
      </c>
      <c r="E2483" s="36" t="s">
        <v>77</v>
      </c>
      <c r="J2483" s="38">
        <v>5280000</v>
      </c>
      <c r="K2483" s="85">
        <v>2022</v>
      </c>
      <c r="L2483" s="85">
        <v>10</v>
      </c>
      <c r="N2483" s="1" t="s">
        <v>44</v>
      </c>
    </row>
    <row r="2484" spans="1:14">
      <c r="A2484" s="36" t="s">
        <v>32</v>
      </c>
      <c r="B2484" s="37">
        <v>44865</v>
      </c>
      <c r="C2484" s="36" t="s">
        <v>466</v>
      </c>
      <c r="D2484" s="36" t="s">
        <v>467</v>
      </c>
      <c r="E2484" s="36" t="s">
        <v>76</v>
      </c>
      <c r="G2484" s="87">
        <v>7555500</v>
      </c>
      <c r="H2484" s="87">
        <v>755550</v>
      </c>
      <c r="I2484" s="87">
        <v>8311050</v>
      </c>
      <c r="K2484" s="85">
        <v>2022</v>
      </c>
      <c r="L2484" s="85">
        <v>10</v>
      </c>
      <c r="N2484" s="1" t="s">
        <v>44</v>
      </c>
    </row>
    <row r="2485" spans="1:14">
      <c r="A2485" s="36" t="s">
        <v>33</v>
      </c>
      <c r="B2485" s="37">
        <v>44865</v>
      </c>
      <c r="C2485" s="36" t="s">
        <v>1049</v>
      </c>
      <c r="D2485" s="36" t="s">
        <v>790</v>
      </c>
      <c r="E2485" s="36" t="s">
        <v>1050</v>
      </c>
      <c r="G2485" s="87">
        <v>17515350</v>
      </c>
      <c r="H2485" s="87">
        <v>1751535</v>
      </c>
      <c r="I2485" s="87">
        <v>19266885</v>
      </c>
      <c r="K2485" s="85">
        <v>2022</v>
      </c>
      <c r="L2485" s="85">
        <v>10</v>
      </c>
      <c r="N2485" s="1" t="s">
        <v>44</v>
      </c>
    </row>
    <row r="2486" spans="1:14">
      <c r="A2486" s="36" t="s">
        <v>32</v>
      </c>
      <c r="B2486" s="37">
        <v>44865</v>
      </c>
      <c r="C2486" s="36" t="s">
        <v>654</v>
      </c>
      <c r="D2486" s="36" t="s">
        <v>835</v>
      </c>
      <c r="E2486" s="36" t="s">
        <v>148</v>
      </c>
      <c r="J2486" s="87">
        <v>6520140</v>
      </c>
      <c r="K2486" s="85">
        <v>2022</v>
      </c>
      <c r="L2486" s="85">
        <v>9</v>
      </c>
      <c r="N2486" s="1" t="s">
        <v>44</v>
      </c>
    </row>
    <row r="2487" spans="1:14">
      <c r="A2487" s="36" t="s">
        <v>32</v>
      </c>
      <c r="B2487" s="37">
        <v>44865</v>
      </c>
      <c r="C2487" s="36" t="s">
        <v>654</v>
      </c>
      <c r="D2487" s="36" t="s">
        <v>835</v>
      </c>
      <c r="E2487" s="36" t="s">
        <v>76</v>
      </c>
      <c r="G2487" s="87">
        <v>2271600</v>
      </c>
      <c r="H2487" s="87">
        <v>227160</v>
      </c>
      <c r="I2487" s="87">
        <v>2498760</v>
      </c>
      <c r="K2487" s="85">
        <v>2022</v>
      </c>
      <c r="L2487" s="85">
        <v>10</v>
      </c>
      <c r="N2487" s="1" t="s">
        <v>44</v>
      </c>
    </row>
    <row r="2488" spans="1:14">
      <c r="A2488" s="36" t="s">
        <v>32</v>
      </c>
      <c r="B2488" s="37">
        <v>44865</v>
      </c>
      <c r="C2488" s="36" t="s">
        <v>654</v>
      </c>
      <c r="D2488" s="36" t="s">
        <v>994</v>
      </c>
      <c r="E2488" s="36" t="s">
        <v>76</v>
      </c>
      <c r="G2488" s="87">
        <v>85674700</v>
      </c>
      <c r="H2488" s="87">
        <v>8567470</v>
      </c>
      <c r="I2488" s="87">
        <v>94242170</v>
      </c>
      <c r="K2488" s="85">
        <v>2022</v>
      </c>
      <c r="L2488" s="85">
        <v>10</v>
      </c>
      <c r="N2488" s="1" t="s">
        <v>44</v>
      </c>
    </row>
    <row r="2489" spans="1:14">
      <c r="A2489" s="36" t="s">
        <v>1056</v>
      </c>
      <c r="B2489" s="37">
        <v>44865</v>
      </c>
      <c r="C2489" s="36" t="s">
        <v>1059</v>
      </c>
      <c r="D2489" s="36" t="s">
        <v>1060</v>
      </c>
      <c r="E2489" s="36" t="s">
        <v>1061</v>
      </c>
      <c r="G2489" s="87">
        <v>33465000</v>
      </c>
      <c r="H2489" s="87">
        <v>3346500</v>
      </c>
      <c r="I2489" s="87">
        <v>36811500</v>
      </c>
      <c r="K2489" s="85">
        <v>2022</v>
      </c>
      <c r="L2489" s="85">
        <v>10</v>
      </c>
      <c r="N2489" s="1" t="s">
        <v>1058</v>
      </c>
    </row>
    <row r="2490" spans="1:14">
      <c r="A2490" s="36" t="s">
        <v>19</v>
      </c>
      <c r="B2490" s="37">
        <v>44866</v>
      </c>
      <c r="C2490" s="36" t="s">
        <v>216</v>
      </c>
      <c r="D2490" s="36" t="s">
        <v>1041</v>
      </c>
      <c r="E2490" s="36" t="s">
        <v>1042</v>
      </c>
      <c r="G2490" s="87">
        <v>1802000</v>
      </c>
      <c r="H2490" s="87">
        <v>180200</v>
      </c>
      <c r="I2490" s="87">
        <v>1982200</v>
      </c>
      <c r="J2490" s="87"/>
      <c r="K2490" s="85">
        <v>2022</v>
      </c>
      <c r="L2490" s="85">
        <v>10</v>
      </c>
      <c r="M2490" s="36" t="s">
        <v>1043</v>
      </c>
      <c r="N2490" s="1" t="s">
        <v>84</v>
      </c>
    </row>
    <row r="2491" spans="1:14">
      <c r="A2491" s="36" t="s">
        <v>19</v>
      </c>
      <c r="B2491" s="37">
        <v>44866</v>
      </c>
      <c r="C2491" s="36" t="s">
        <v>216</v>
      </c>
      <c r="D2491" s="36" t="s">
        <v>1041</v>
      </c>
      <c r="E2491" s="36" t="s">
        <v>148</v>
      </c>
      <c r="J2491" s="87">
        <v>1982200</v>
      </c>
      <c r="K2491" s="85">
        <v>2022</v>
      </c>
      <c r="L2491" s="85">
        <v>10</v>
      </c>
      <c r="N2491" s="1" t="s">
        <v>84</v>
      </c>
    </row>
    <row r="2492" spans="1:14">
      <c r="A2492" s="36" t="s">
        <v>32</v>
      </c>
      <c r="B2492" s="37">
        <v>44866</v>
      </c>
      <c r="C2492" s="36" t="s">
        <v>334</v>
      </c>
      <c r="D2492" s="36" t="s">
        <v>1014</v>
      </c>
      <c r="E2492" s="36" t="s">
        <v>76</v>
      </c>
      <c r="G2492" s="87">
        <v>4400000</v>
      </c>
      <c r="H2492" s="87">
        <v>440000</v>
      </c>
      <c r="I2492" s="87">
        <v>4840000</v>
      </c>
      <c r="K2492" s="85">
        <v>2022</v>
      </c>
      <c r="L2492" s="85">
        <v>11</v>
      </c>
      <c r="N2492" s="1" t="s">
        <v>44</v>
      </c>
    </row>
    <row r="2493" spans="1:14">
      <c r="A2493" s="36" t="s">
        <v>32</v>
      </c>
      <c r="B2493" s="37">
        <v>44866</v>
      </c>
      <c r="C2493" s="36" t="s">
        <v>181</v>
      </c>
      <c r="D2493" s="36" t="s">
        <v>823</v>
      </c>
      <c r="E2493" s="36" t="s">
        <v>148</v>
      </c>
      <c r="J2493" s="87">
        <v>4158000</v>
      </c>
      <c r="K2493" s="85">
        <v>2022</v>
      </c>
      <c r="L2493" s="85">
        <v>8</v>
      </c>
      <c r="N2493" s="1" t="s">
        <v>44</v>
      </c>
    </row>
    <row r="2494" spans="1:14">
      <c r="A2494" s="36" t="s">
        <v>32</v>
      </c>
      <c r="B2494" s="37">
        <v>44866</v>
      </c>
      <c r="C2494" s="36" t="s">
        <v>181</v>
      </c>
      <c r="D2494" s="36" t="s">
        <v>823</v>
      </c>
      <c r="E2494" s="36" t="s">
        <v>148</v>
      </c>
      <c r="J2494" s="87">
        <v>9504000</v>
      </c>
      <c r="K2494" s="85">
        <v>2022</v>
      </c>
      <c r="L2494" s="85">
        <v>9</v>
      </c>
      <c r="N2494" s="1" t="s">
        <v>44</v>
      </c>
    </row>
    <row r="2495" spans="1:14">
      <c r="A2495" s="36" t="s">
        <v>32</v>
      </c>
      <c r="B2495" s="37">
        <v>44866</v>
      </c>
      <c r="C2495" s="36" t="s">
        <v>264</v>
      </c>
      <c r="D2495" s="36" t="s">
        <v>993</v>
      </c>
      <c r="E2495" s="36" t="s">
        <v>148</v>
      </c>
      <c r="J2495" s="87">
        <v>23320000</v>
      </c>
      <c r="K2495" s="85">
        <v>2022</v>
      </c>
      <c r="L2495" s="85">
        <v>9</v>
      </c>
      <c r="N2495" s="1" t="s">
        <v>44</v>
      </c>
    </row>
    <row r="2496" spans="1:14">
      <c r="A2496" s="36" t="s">
        <v>32</v>
      </c>
      <c r="B2496" s="37">
        <v>44866</v>
      </c>
      <c r="C2496" s="36" t="s">
        <v>511</v>
      </c>
      <c r="D2496" s="36" t="s">
        <v>1016</v>
      </c>
      <c r="E2496" s="36" t="s">
        <v>267</v>
      </c>
      <c r="G2496" s="87">
        <v>6000000</v>
      </c>
      <c r="H2496" s="87">
        <v>600000</v>
      </c>
      <c r="I2496" s="87">
        <v>6600000</v>
      </c>
      <c r="K2496" s="85">
        <v>2022</v>
      </c>
      <c r="L2496" s="85">
        <v>11</v>
      </c>
      <c r="N2496" s="1" t="s">
        <v>44</v>
      </c>
    </row>
    <row r="2497" spans="1:14">
      <c r="A2497" s="36" t="s">
        <v>32</v>
      </c>
      <c r="B2497" s="37">
        <v>44866</v>
      </c>
      <c r="C2497" s="36" t="s">
        <v>206</v>
      </c>
      <c r="D2497" s="36" t="s">
        <v>152</v>
      </c>
      <c r="E2497" s="36" t="s">
        <v>148</v>
      </c>
      <c r="J2497" s="87">
        <v>7417410</v>
      </c>
      <c r="K2497" s="85">
        <v>2022</v>
      </c>
      <c r="L2497" s="85">
        <v>9</v>
      </c>
      <c r="N2497" s="1" t="s">
        <v>44</v>
      </c>
    </row>
    <row r="2498" spans="1:14">
      <c r="A2498" s="36" t="s">
        <v>32</v>
      </c>
      <c r="B2498" s="37">
        <v>44866</v>
      </c>
      <c r="C2498" s="36" t="s">
        <v>185</v>
      </c>
      <c r="D2498" s="36" t="s">
        <v>683</v>
      </c>
      <c r="E2498" s="36" t="s">
        <v>76</v>
      </c>
      <c r="G2498" s="87">
        <v>-22759340</v>
      </c>
      <c r="H2498" s="87">
        <v>-2275934</v>
      </c>
      <c r="I2498" s="87">
        <v>-25035274</v>
      </c>
      <c r="K2498" s="85">
        <v>2022</v>
      </c>
      <c r="L2498" s="85">
        <v>7</v>
      </c>
      <c r="N2498" s="1" t="s">
        <v>44</v>
      </c>
    </row>
    <row r="2499" spans="1:14">
      <c r="A2499" s="36" t="s">
        <v>32</v>
      </c>
      <c r="B2499" s="37">
        <v>44866</v>
      </c>
      <c r="C2499" s="36" t="s">
        <v>1164</v>
      </c>
      <c r="D2499" s="36" t="s">
        <v>1117</v>
      </c>
      <c r="E2499" s="36" t="s">
        <v>76</v>
      </c>
      <c r="G2499" s="87">
        <v>3447900</v>
      </c>
      <c r="H2499" s="87">
        <v>344790</v>
      </c>
      <c r="I2499" s="87">
        <v>3792690</v>
      </c>
      <c r="K2499" s="85">
        <v>2022</v>
      </c>
      <c r="L2499" s="85">
        <v>11</v>
      </c>
      <c r="N2499" s="1" t="s">
        <v>44</v>
      </c>
    </row>
    <row r="2500" spans="1:14">
      <c r="A2500" s="36" t="s">
        <v>19</v>
      </c>
      <c r="B2500" s="37">
        <v>44867</v>
      </c>
      <c r="C2500" s="36" t="s">
        <v>1044</v>
      </c>
      <c r="D2500" s="36" t="s">
        <v>1045</v>
      </c>
      <c r="E2500" s="36" t="s">
        <v>148</v>
      </c>
      <c r="J2500" s="87">
        <v>3000000</v>
      </c>
      <c r="K2500" s="85">
        <v>2022</v>
      </c>
      <c r="L2500" s="85">
        <v>10</v>
      </c>
      <c r="N2500" s="1" t="s">
        <v>84</v>
      </c>
    </row>
    <row r="2501" spans="1:14">
      <c r="A2501" s="36" t="s">
        <v>33</v>
      </c>
      <c r="B2501" s="37">
        <v>44867</v>
      </c>
      <c r="C2501" s="36" t="s">
        <v>119</v>
      </c>
      <c r="D2501" s="36" t="s">
        <v>823</v>
      </c>
      <c r="E2501" s="36" t="s">
        <v>148</v>
      </c>
      <c r="J2501" s="87">
        <v>4004000</v>
      </c>
      <c r="K2501" s="85">
        <v>2022</v>
      </c>
      <c r="L2501" s="85">
        <v>8</v>
      </c>
      <c r="N2501" s="1" t="s">
        <v>44</v>
      </c>
    </row>
    <row r="2502" spans="1:14">
      <c r="A2502" s="36" t="s">
        <v>19</v>
      </c>
      <c r="B2502" s="37">
        <v>44867</v>
      </c>
      <c r="C2502" s="36" t="s">
        <v>397</v>
      </c>
      <c r="D2502" s="36" t="s">
        <v>826</v>
      </c>
      <c r="E2502" s="36" t="s">
        <v>148</v>
      </c>
      <c r="J2502" s="87">
        <v>9152000</v>
      </c>
      <c r="K2502" s="85">
        <v>2022</v>
      </c>
      <c r="L2502" s="85">
        <v>9</v>
      </c>
      <c r="N2502" s="1" t="s">
        <v>84</v>
      </c>
    </row>
    <row r="2503" spans="1:14">
      <c r="A2503" s="36" t="s">
        <v>32</v>
      </c>
      <c r="B2503" s="37">
        <v>44867</v>
      </c>
      <c r="C2503" s="36" t="s">
        <v>119</v>
      </c>
      <c r="D2503" s="36" t="s">
        <v>1013</v>
      </c>
      <c r="E2503" s="36" t="s">
        <v>1052</v>
      </c>
      <c r="J2503" s="87">
        <v>8173000</v>
      </c>
      <c r="K2503" s="85">
        <v>2022</v>
      </c>
      <c r="L2503" s="85">
        <v>9</v>
      </c>
      <c r="N2503" s="1" t="s">
        <v>44</v>
      </c>
    </row>
    <row r="2504" spans="1:14">
      <c r="A2504" s="36" t="s">
        <v>33</v>
      </c>
      <c r="B2504" s="37">
        <v>44867</v>
      </c>
      <c r="C2504" s="36" t="s">
        <v>996</v>
      </c>
      <c r="D2504" s="36" t="s">
        <v>928</v>
      </c>
      <c r="E2504" s="36" t="s">
        <v>148</v>
      </c>
      <c r="J2504" s="38">
        <v>1454750</v>
      </c>
      <c r="K2504" s="85">
        <v>2022</v>
      </c>
      <c r="L2504" s="85">
        <v>8</v>
      </c>
      <c r="N2504" s="1" t="s">
        <v>44</v>
      </c>
    </row>
    <row r="2505" spans="1:14">
      <c r="A2505" s="36" t="s">
        <v>19</v>
      </c>
      <c r="B2505" s="37">
        <v>44867</v>
      </c>
      <c r="C2505" s="36" t="s">
        <v>1046</v>
      </c>
      <c r="D2505" s="36" t="s">
        <v>1047</v>
      </c>
      <c r="E2505" s="36" t="s">
        <v>148</v>
      </c>
      <c r="J2505" s="87">
        <v>10059000</v>
      </c>
      <c r="K2505" s="85">
        <v>2022</v>
      </c>
      <c r="L2505" s="85">
        <v>10</v>
      </c>
      <c r="N2505" s="1" t="s">
        <v>84</v>
      </c>
    </row>
    <row r="2506" spans="1:14">
      <c r="A2506" s="36" t="s">
        <v>32</v>
      </c>
      <c r="B2506" s="37">
        <v>44867</v>
      </c>
      <c r="C2506" s="36" t="s">
        <v>987</v>
      </c>
      <c r="D2506" s="36" t="s">
        <v>1015</v>
      </c>
      <c r="E2506" s="36" t="s">
        <v>77</v>
      </c>
      <c r="J2506" s="87">
        <v>8387500</v>
      </c>
      <c r="K2506" s="85">
        <v>2022</v>
      </c>
      <c r="L2506" s="85">
        <v>9</v>
      </c>
      <c r="N2506" s="1" t="s">
        <v>44</v>
      </c>
    </row>
    <row r="2507" spans="1:14">
      <c r="A2507" s="36" t="s">
        <v>32</v>
      </c>
      <c r="B2507" s="37">
        <v>44867</v>
      </c>
      <c r="C2507" s="36" t="s">
        <v>987</v>
      </c>
      <c r="D2507" s="36" t="s">
        <v>988</v>
      </c>
      <c r="E2507" s="36" t="s">
        <v>77</v>
      </c>
      <c r="J2507" s="87">
        <v>825000</v>
      </c>
      <c r="K2507" s="85">
        <v>2022</v>
      </c>
      <c r="L2507" s="85">
        <v>9</v>
      </c>
      <c r="N2507" s="1" t="s">
        <v>44</v>
      </c>
    </row>
    <row r="2508" spans="1:14">
      <c r="A2508" s="36" t="s">
        <v>32</v>
      </c>
      <c r="B2508" s="37">
        <v>44867</v>
      </c>
      <c r="C2508" s="36" t="s">
        <v>654</v>
      </c>
      <c r="D2508" s="36" t="s">
        <v>994</v>
      </c>
      <c r="E2508" s="36" t="s">
        <v>148</v>
      </c>
      <c r="J2508" s="87">
        <v>74823210</v>
      </c>
      <c r="K2508" s="85">
        <v>2022</v>
      </c>
      <c r="L2508" s="85">
        <v>9</v>
      </c>
      <c r="N2508" s="1" t="s">
        <v>44</v>
      </c>
    </row>
    <row r="2509" spans="1:14">
      <c r="A2509" s="36" t="s">
        <v>19</v>
      </c>
      <c r="B2509" s="37">
        <v>44872</v>
      </c>
      <c r="C2509" s="36" t="s">
        <v>1044</v>
      </c>
      <c r="D2509" s="36" t="s">
        <v>1045</v>
      </c>
      <c r="E2509" s="36" t="s">
        <v>148</v>
      </c>
      <c r="J2509" s="87">
        <v>3000000</v>
      </c>
      <c r="K2509" s="85">
        <v>2022</v>
      </c>
      <c r="L2509" s="85">
        <v>10</v>
      </c>
      <c r="N2509" s="1" t="s">
        <v>84</v>
      </c>
    </row>
    <row r="2510" spans="1:14">
      <c r="A2510" s="36" t="s">
        <v>32</v>
      </c>
      <c r="B2510" s="37">
        <v>44873</v>
      </c>
      <c r="C2510" s="36" t="s">
        <v>773</v>
      </c>
      <c r="D2510" s="36" t="s">
        <v>952</v>
      </c>
      <c r="E2510" s="36" t="s">
        <v>1053</v>
      </c>
      <c r="J2510" s="38">
        <v>10000000</v>
      </c>
      <c r="K2510" s="85">
        <v>2022</v>
      </c>
      <c r="L2510" s="85">
        <v>7</v>
      </c>
      <c r="N2510" s="1" t="s">
        <v>44</v>
      </c>
    </row>
    <row r="2511" spans="1:14">
      <c r="A2511" s="36" t="s">
        <v>32</v>
      </c>
      <c r="B2511" s="37">
        <v>44875</v>
      </c>
      <c r="C2511" s="36" t="s">
        <v>209</v>
      </c>
      <c r="D2511" s="36" t="s">
        <v>1048</v>
      </c>
      <c r="E2511" s="36" t="s">
        <v>77</v>
      </c>
      <c r="J2511" s="38">
        <v>28970590</v>
      </c>
      <c r="K2511" s="85">
        <v>2022</v>
      </c>
      <c r="L2511" s="85">
        <v>10</v>
      </c>
      <c r="N2511" s="1" t="s">
        <v>44</v>
      </c>
    </row>
    <row r="2512" spans="1:14">
      <c r="A2512" s="36" t="s">
        <v>32</v>
      </c>
      <c r="B2512" s="37">
        <v>44875</v>
      </c>
      <c r="C2512" s="36" t="s">
        <v>640</v>
      </c>
      <c r="D2512" s="36" t="s">
        <v>763</v>
      </c>
      <c r="E2512" s="36" t="s">
        <v>77</v>
      </c>
      <c r="J2512" s="38">
        <v>23237500</v>
      </c>
      <c r="K2512" s="85">
        <v>2022</v>
      </c>
      <c r="L2512" s="85">
        <v>10</v>
      </c>
      <c r="N2512" s="1" t="s">
        <v>44</v>
      </c>
    </row>
    <row r="2513" spans="1:14">
      <c r="A2513" s="36" t="s">
        <v>32</v>
      </c>
      <c r="B2513" s="37">
        <v>44875</v>
      </c>
      <c r="C2513" s="36" t="s">
        <v>498</v>
      </c>
      <c r="D2513" s="36" t="s">
        <v>1072</v>
      </c>
      <c r="E2513" s="36" t="s">
        <v>77</v>
      </c>
      <c r="J2513" s="38">
        <v>30888000</v>
      </c>
      <c r="K2513" s="85">
        <v>2022</v>
      </c>
      <c r="L2513" s="85">
        <v>10</v>
      </c>
      <c r="N2513" s="1" t="s">
        <v>44</v>
      </c>
    </row>
    <row r="2514" spans="1:14">
      <c r="A2514" s="36" t="s">
        <v>32</v>
      </c>
      <c r="B2514" s="37">
        <v>44875</v>
      </c>
      <c r="C2514" s="36" t="s">
        <v>498</v>
      </c>
      <c r="D2514" s="36" t="s">
        <v>1072</v>
      </c>
      <c r="E2514" s="36" t="s">
        <v>1081</v>
      </c>
      <c r="J2514" s="38">
        <v>2442000</v>
      </c>
      <c r="K2514" s="85">
        <v>2022</v>
      </c>
      <c r="L2514" s="85">
        <v>10</v>
      </c>
      <c r="N2514" s="1" t="s">
        <v>44</v>
      </c>
    </row>
    <row r="2515" spans="1:14">
      <c r="A2515" s="36" t="s">
        <v>19</v>
      </c>
      <c r="B2515" s="37">
        <v>44875</v>
      </c>
      <c r="C2515" s="36" t="s">
        <v>1129</v>
      </c>
      <c r="D2515" s="36" t="s">
        <v>1064</v>
      </c>
      <c r="E2515" s="36" t="s">
        <v>1065</v>
      </c>
      <c r="J2515" s="87">
        <v>2442000</v>
      </c>
      <c r="K2515" s="85">
        <v>2022</v>
      </c>
      <c r="L2515" s="85">
        <v>10</v>
      </c>
      <c r="N2515" s="1" t="s">
        <v>84</v>
      </c>
    </row>
    <row r="2516" spans="1:14">
      <c r="A2516" s="36" t="s">
        <v>32</v>
      </c>
      <c r="B2516" s="37">
        <v>44876</v>
      </c>
      <c r="C2516" s="36" t="s">
        <v>519</v>
      </c>
      <c r="D2516" s="36" t="s">
        <v>1017</v>
      </c>
      <c r="E2516" s="36" t="s">
        <v>1094</v>
      </c>
      <c r="J2516" s="87">
        <v>1188000</v>
      </c>
      <c r="K2516" s="85">
        <v>2022</v>
      </c>
      <c r="L2516" s="85">
        <v>9</v>
      </c>
      <c r="N2516" s="1" t="s">
        <v>44</v>
      </c>
    </row>
    <row r="2517" spans="1:14">
      <c r="A2517" s="36" t="s">
        <v>32</v>
      </c>
      <c r="B2517" s="37">
        <v>44876</v>
      </c>
      <c r="C2517" s="36" t="s">
        <v>1164</v>
      </c>
      <c r="D2517" s="36" t="s">
        <v>1117</v>
      </c>
      <c r="E2517" s="36" t="s">
        <v>77</v>
      </c>
      <c r="J2517" s="38">
        <v>3792690</v>
      </c>
      <c r="K2517" s="85">
        <v>2022</v>
      </c>
      <c r="L2517" s="85">
        <v>11</v>
      </c>
      <c r="N2517" s="1" t="s">
        <v>44</v>
      </c>
    </row>
    <row r="2518" spans="1:14">
      <c r="A2518" s="36" t="s">
        <v>33</v>
      </c>
      <c r="B2518" s="37">
        <v>44879</v>
      </c>
      <c r="C2518" s="36" t="s">
        <v>1007</v>
      </c>
      <c r="D2518" s="36" t="s">
        <v>1025</v>
      </c>
      <c r="E2518" s="36" t="s">
        <v>1009</v>
      </c>
      <c r="G2518" s="87">
        <v>5880500</v>
      </c>
      <c r="H2518" s="87">
        <v>588050</v>
      </c>
      <c r="I2518" s="87">
        <v>6468550</v>
      </c>
      <c r="K2518" s="85">
        <v>2022</v>
      </c>
      <c r="L2518" s="85">
        <v>11</v>
      </c>
      <c r="N2518" s="1" t="s">
        <v>44</v>
      </c>
    </row>
    <row r="2519" spans="1:14">
      <c r="A2519" s="36" t="s">
        <v>32</v>
      </c>
      <c r="B2519" s="37">
        <v>44880</v>
      </c>
      <c r="C2519" s="36" t="s">
        <v>209</v>
      </c>
      <c r="D2519" s="36" t="s">
        <v>812</v>
      </c>
      <c r="E2519" s="36" t="s">
        <v>1093</v>
      </c>
      <c r="J2519" s="87">
        <v>17094000</v>
      </c>
      <c r="K2519" s="85">
        <v>2022</v>
      </c>
      <c r="L2519" s="85">
        <v>10</v>
      </c>
      <c r="N2519" s="1" t="s">
        <v>44</v>
      </c>
    </row>
    <row r="2520" spans="1:14">
      <c r="A2520" s="36" t="s">
        <v>33</v>
      </c>
      <c r="B2520" s="37">
        <v>44880</v>
      </c>
      <c r="C2520" s="36" t="s">
        <v>1037</v>
      </c>
      <c r="D2520" s="36" t="s">
        <v>865</v>
      </c>
      <c r="E2520" s="36" t="s">
        <v>1092</v>
      </c>
      <c r="J2520" s="87">
        <v>19354500</v>
      </c>
      <c r="K2520" s="85">
        <v>2022</v>
      </c>
      <c r="L2520" s="85">
        <v>10</v>
      </c>
      <c r="N2520" s="1" t="s">
        <v>44</v>
      </c>
    </row>
    <row r="2521" spans="1:14">
      <c r="A2521" s="36" t="s">
        <v>19</v>
      </c>
      <c r="B2521" s="37">
        <v>44880</v>
      </c>
      <c r="C2521" s="36" t="s">
        <v>1038</v>
      </c>
      <c r="D2521" s="36" t="s">
        <v>1039</v>
      </c>
      <c r="E2521" s="36" t="s">
        <v>1092</v>
      </c>
      <c r="J2521" s="87">
        <v>1265000</v>
      </c>
      <c r="K2521" s="85">
        <v>2022</v>
      </c>
      <c r="L2521" s="85">
        <v>10</v>
      </c>
      <c r="N2521" s="1" t="s">
        <v>84</v>
      </c>
    </row>
    <row r="2522" spans="1:14">
      <c r="A2522" s="36" t="s">
        <v>33</v>
      </c>
      <c r="B2522" s="37">
        <v>44880</v>
      </c>
      <c r="C2522" s="36" t="s">
        <v>771</v>
      </c>
      <c r="D2522" s="36" t="s">
        <v>772</v>
      </c>
      <c r="E2522" s="36" t="s">
        <v>1092</v>
      </c>
      <c r="J2522" s="87">
        <v>12478400</v>
      </c>
      <c r="K2522" s="85">
        <v>2022</v>
      </c>
      <c r="L2522" s="85">
        <v>10</v>
      </c>
      <c r="N2522" s="1" t="s">
        <v>44</v>
      </c>
    </row>
    <row r="2523" spans="1:14">
      <c r="A2523" s="36" t="s">
        <v>33</v>
      </c>
      <c r="B2523" s="37">
        <v>44880</v>
      </c>
      <c r="C2523" s="36" t="s">
        <v>320</v>
      </c>
      <c r="D2523" s="36" t="s">
        <v>321</v>
      </c>
      <c r="E2523" s="36" t="s">
        <v>1092</v>
      </c>
      <c r="J2523" s="87">
        <v>308000</v>
      </c>
      <c r="K2523" s="85">
        <v>2022</v>
      </c>
      <c r="L2523" s="85">
        <v>9</v>
      </c>
      <c r="N2523" s="1" t="s">
        <v>44</v>
      </c>
    </row>
    <row r="2524" spans="1:14">
      <c r="A2524" s="36" t="s">
        <v>32</v>
      </c>
      <c r="B2524" s="37">
        <v>44880</v>
      </c>
      <c r="C2524" s="36" t="s">
        <v>677</v>
      </c>
      <c r="D2524" s="36" t="s">
        <v>825</v>
      </c>
      <c r="E2524" s="36" t="s">
        <v>1092</v>
      </c>
      <c r="J2524" s="87">
        <v>183790750</v>
      </c>
      <c r="K2524" s="85">
        <v>2022</v>
      </c>
      <c r="L2524" s="85">
        <v>10</v>
      </c>
      <c r="N2524" s="1" t="s">
        <v>44</v>
      </c>
    </row>
    <row r="2525" spans="1:14">
      <c r="A2525" s="36" t="s">
        <v>32</v>
      </c>
      <c r="B2525" s="37">
        <v>44880</v>
      </c>
      <c r="C2525" s="36" t="s">
        <v>268</v>
      </c>
      <c r="D2525" s="36" t="s">
        <v>954</v>
      </c>
      <c r="E2525" s="36" t="s">
        <v>1092</v>
      </c>
      <c r="J2525" s="87">
        <v>73103360</v>
      </c>
      <c r="K2525" s="85">
        <v>2022</v>
      </c>
      <c r="L2525" s="85">
        <v>10</v>
      </c>
      <c r="N2525" s="1" t="s">
        <v>44</v>
      </c>
    </row>
    <row r="2526" spans="1:14">
      <c r="A2526" s="36" t="s">
        <v>33</v>
      </c>
      <c r="B2526" s="37">
        <v>44880</v>
      </c>
      <c r="C2526" s="36" t="s">
        <v>1049</v>
      </c>
      <c r="D2526" s="36" t="s">
        <v>790</v>
      </c>
      <c r="E2526" s="36" t="s">
        <v>1092</v>
      </c>
      <c r="J2526" s="87">
        <v>19266885</v>
      </c>
      <c r="K2526" s="85">
        <v>2022</v>
      </c>
      <c r="L2526" s="85">
        <v>10</v>
      </c>
      <c r="N2526" s="1" t="s">
        <v>44</v>
      </c>
    </row>
    <row r="2527" spans="1:14">
      <c r="A2527" s="36" t="s">
        <v>19</v>
      </c>
      <c r="B2527" s="37">
        <v>44880</v>
      </c>
      <c r="C2527" s="36" t="s">
        <v>1059</v>
      </c>
      <c r="D2527" s="36" t="s">
        <v>1060</v>
      </c>
      <c r="E2527" s="36" t="s">
        <v>1092</v>
      </c>
      <c r="J2527" s="87">
        <v>36811500</v>
      </c>
      <c r="K2527" s="85">
        <v>2022</v>
      </c>
      <c r="L2527" s="85">
        <v>10</v>
      </c>
      <c r="N2527" s="1" t="s">
        <v>84</v>
      </c>
    </row>
    <row r="2528" spans="1:14">
      <c r="A2528" s="36" t="s">
        <v>32</v>
      </c>
      <c r="B2528" s="37">
        <v>44881</v>
      </c>
      <c r="C2528" s="36" t="s">
        <v>677</v>
      </c>
      <c r="D2528" s="36" t="s">
        <v>924</v>
      </c>
      <c r="E2528" s="36" t="s">
        <v>1093</v>
      </c>
      <c r="J2528" s="87">
        <v>91822500</v>
      </c>
      <c r="K2528" s="85">
        <v>2022</v>
      </c>
      <c r="L2528" s="85">
        <v>10</v>
      </c>
      <c r="N2528" s="1" t="s">
        <v>44</v>
      </c>
    </row>
    <row r="2529" spans="1:14">
      <c r="A2529" s="36" t="s">
        <v>32</v>
      </c>
      <c r="B2529" s="37">
        <v>44882</v>
      </c>
      <c r="C2529" s="36" t="s">
        <v>677</v>
      </c>
      <c r="D2529" s="36" t="s">
        <v>678</v>
      </c>
      <c r="E2529" s="36" t="s">
        <v>1095</v>
      </c>
      <c r="J2529" s="87">
        <v>115639524</v>
      </c>
      <c r="K2529" s="85">
        <v>2022</v>
      </c>
      <c r="L2529" s="85">
        <v>10</v>
      </c>
      <c r="N2529" s="1" t="s">
        <v>44</v>
      </c>
    </row>
    <row r="2530" spans="1:14">
      <c r="A2530" s="36" t="s">
        <v>32</v>
      </c>
      <c r="B2530" s="37">
        <v>44883</v>
      </c>
      <c r="C2530" s="36" t="s">
        <v>511</v>
      </c>
      <c r="D2530" s="36" t="s">
        <v>1016</v>
      </c>
      <c r="E2530" s="36" t="s">
        <v>77</v>
      </c>
      <c r="J2530" s="38">
        <v>6600000</v>
      </c>
      <c r="K2530" s="85">
        <v>2022</v>
      </c>
      <c r="L2530" s="85">
        <v>11</v>
      </c>
      <c r="N2530" s="1" t="s">
        <v>44</v>
      </c>
    </row>
    <row r="2531" spans="1:14">
      <c r="A2531" s="36" t="s">
        <v>19</v>
      </c>
      <c r="B2531" s="37">
        <v>44886</v>
      </c>
      <c r="C2531" s="36" t="s">
        <v>1044</v>
      </c>
      <c r="D2531" s="36" t="s">
        <v>1045</v>
      </c>
      <c r="E2531" s="36" t="s">
        <v>148</v>
      </c>
      <c r="J2531" s="38">
        <v>7200000</v>
      </c>
      <c r="K2531" s="85">
        <v>2022</v>
      </c>
      <c r="L2531" s="85">
        <v>10</v>
      </c>
      <c r="N2531" s="1" t="s">
        <v>84</v>
      </c>
    </row>
    <row r="2532" spans="1:14">
      <c r="A2532" s="36" t="s">
        <v>33</v>
      </c>
      <c r="B2532" s="37">
        <v>44886</v>
      </c>
      <c r="C2532" s="36" t="s">
        <v>119</v>
      </c>
      <c r="D2532" s="36" t="s">
        <v>877</v>
      </c>
      <c r="E2532" s="36" t="s">
        <v>1094</v>
      </c>
      <c r="J2532" s="87">
        <v>1518000</v>
      </c>
      <c r="K2532" s="85">
        <v>2022</v>
      </c>
      <c r="L2532" s="85">
        <v>10</v>
      </c>
      <c r="N2532" s="1" t="s">
        <v>44</v>
      </c>
    </row>
    <row r="2533" spans="1:14">
      <c r="A2533" s="36" t="s">
        <v>32</v>
      </c>
      <c r="B2533" s="37">
        <v>44886</v>
      </c>
      <c r="C2533" s="36" t="s">
        <v>881</v>
      </c>
      <c r="D2533" s="36" t="s">
        <v>877</v>
      </c>
      <c r="E2533" s="36" t="s">
        <v>1094</v>
      </c>
      <c r="J2533" s="87">
        <v>183254500</v>
      </c>
      <c r="K2533" s="85">
        <v>2022</v>
      </c>
      <c r="L2533" s="85">
        <v>10</v>
      </c>
      <c r="N2533" s="1" t="s">
        <v>44</v>
      </c>
    </row>
    <row r="2534" spans="1:14">
      <c r="A2534" s="36" t="s">
        <v>32</v>
      </c>
      <c r="B2534" s="37">
        <v>44886</v>
      </c>
      <c r="C2534" s="36" t="s">
        <v>881</v>
      </c>
      <c r="D2534" s="36" t="s">
        <v>877</v>
      </c>
      <c r="E2534" s="36" t="s">
        <v>1094</v>
      </c>
      <c r="J2534" s="87">
        <v>159444450</v>
      </c>
      <c r="K2534" s="85">
        <v>2022</v>
      </c>
      <c r="L2534" s="85">
        <v>10</v>
      </c>
      <c r="N2534" s="1" t="s">
        <v>44</v>
      </c>
    </row>
    <row r="2535" spans="1:14">
      <c r="A2535" s="36" t="s">
        <v>33</v>
      </c>
      <c r="B2535" s="37">
        <v>44886</v>
      </c>
      <c r="C2535" s="36" t="s">
        <v>966</v>
      </c>
      <c r="D2535" s="36" t="s">
        <v>1010</v>
      </c>
      <c r="E2535" s="36" t="s">
        <v>1094</v>
      </c>
      <c r="J2535" s="87">
        <v>20493000</v>
      </c>
      <c r="K2535" s="85">
        <v>2022</v>
      </c>
      <c r="L2535" s="85">
        <v>10</v>
      </c>
      <c r="N2535" s="1" t="s">
        <v>44</v>
      </c>
    </row>
    <row r="2536" spans="1:14">
      <c r="A2536" s="36" t="s">
        <v>32</v>
      </c>
      <c r="B2536" s="37">
        <v>44886</v>
      </c>
      <c r="C2536" s="36" t="s">
        <v>942</v>
      </c>
      <c r="D2536" s="36" t="s">
        <v>943</v>
      </c>
      <c r="E2536" s="36" t="s">
        <v>1094</v>
      </c>
      <c r="J2536" s="87">
        <v>1485000</v>
      </c>
      <c r="K2536" s="85">
        <v>2022</v>
      </c>
      <c r="L2536" s="85">
        <v>9</v>
      </c>
      <c r="N2536" s="1" t="s">
        <v>44</v>
      </c>
    </row>
    <row r="2537" spans="1:14">
      <c r="A2537" s="36" t="s">
        <v>32</v>
      </c>
      <c r="B2537" s="37">
        <v>44887</v>
      </c>
      <c r="C2537" s="36" t="s">
        <v>174</v>
      </c>
      <c r="D2537" s="36" t="s">
        <v>811</v>
      </c>
      <c r="E2537" s="36" t="s">
        <v>1094</v>
      </c>
      <c r="J2537" s="87">
        <v>1713800</v>
      </c>
      <c r="K2537" s="85">
        <v>2022</v>
      </c>
      <c r="L2537" s="85">
        <v>9</v>
      </c>
      <c r="N2537" s="1" t="s">
        <v>44</v>
      </c>
    </row>
    <row r="2538" spans="1:14">
      <c r="A2538" s="36" t="s">
        <v>32</v>
      </c>
      <c r="B2538" s="37">
        <v>44888</v>
      </c>
      <c r="C2538" s="36" t="s">
        <v>1114</v>
      </c>
      <c r="D2538" s="36" t="s">
        <v>1118</v>
      </c>
      <c r="E2538" s="36" t="s">
        <v>267</v>
      </c>
      <c r="G2538" s="87">
        <v>16250000</v>
      </c>
      <c r="H2538" s="87">
        <v>1625000</v>
      </c>
      <c r="I2538" s="87">
        <v>17875000</v>
      </c>
      <c r="K2538" s="85">
        <v>2022</v>
      </c>
      <c r="L2538" s="85">
        <v>11</v>
      </c>
      <c r="N2538" s="1" t="s">
        <v>44</v>
      </c>
    </row>
    <row r="2539" spans="1:14">
      <c r="A2539" s="36" t="s">
        <v>32</v>
      </c>
      <c r="B2539" s="37">
        <v>44889</v>
      </c>
      <c r="C2539" s="36" t="s">
        <v>1114</v>
      </c>
      <c r="D2539" s="36" t="s">
        <v>1118</v>
      </c>
      <c r="E2539" s="36" t="s">
        <v>77</v>
      </c>
      <c r="J2539" s="38">
        <v>17875000</v>
      </c>
      <c r="K2539" s="85">
        <v>2022</v>
      </c>
      <c r="L2539" s="85">
        <v>11</v>
      </c>
      <c r="N2539" s="1" t="s">
        <v>44</v>
      </c>
    </row>
    <row r="2540" spans="1:14">
      <c r="A2540" s="36" t="s">
        <v>32</v>
      </c>
      <c r="B2540" s="37">
        <v>44890</v>
      </c>
      <c r="C2540" s="36" t="s">
        <v>185</v>
      </c>
      <c r="D2540" s="36" t="s">
        <v>1080</v>
      </c>
      <c r="E2540" s="36" t="s">
        <v>1096</v>
      </c>
      <c r="J2540" s="87">
        <v>810126.9</v>
      </c>
      <c r="K2540" s="85">
        <v>2022</v>
      </c>
      <c r="L2540" s="85">
        <v>10</v>
      </c>
      <c r="N2540" s="1" t="s">
        <v>44</v>
      </c>
    </row>
    <row r="2541" spans="1:14">
      <c r="A2541" s="36" t="s">
        <v>33</v>
      </c>
      <c r="B2541" s="37">
        <v>44890</v>
      </c>
      <c r="C2541" s="36" t="s">
        <v>971</v>
      </c>
      <c r="D2541" s="36" t="s">
        <v>987</v>
      </c>
      <c r="E2541" s="36" t="s">
        <v>1031</v>
      </c>
      <c r="G2541" s="87">
        <v>2843950</v>
      </c>
      <c r="H2541" s="87">
        <v>284395</v>
      </c>
      <c r="I2541" s="87">
        <v>3128345</v>
      </c>
      <c r="K2541" s="85">
        <v>2022</v>
      </c>
      <c r="L2541" s="85">
        <v>11</v>
      </c>
      <c r="N2541" s="1" t="s">
        <v>44</v>
      </c>
    </row>
    <row r="2542" spans="1:14">
      <c r="A2542" s="36" t="s">
        <v>32</v>
      </c>
      <c r="B2542" s="37">
        <v>44893</v>
      </c>
      <c r="C2542" s="36" t="s">
        <v>552</v>
      </c>
      <c r="D2542" s="36" t="s">
        <v>1011</v>
      </c>
      <c r="E2542" s="36" t="s">
        <v>1097</v>
      </c>
      <c r="J2542" s="87">
        <v>10803600.5</v>
      </c>
      <c r="K2542" s="85">
        <v>2022</v>
      </c>
      <c r="L2542" s="85">
        <v>10</v>
      </c>
      <c r="N2542" s="1" t="s">
        <v>44</v>
      </c>
    </row>
    <row r="2543" spans="1:14">
      <c r="A2543" s="36" t="s">
        <v>32</v>
      </c>
      <c r="B2543" s="37">
        <v>44893</v>
      </c>
      <c r="C2543" s="36" t="s">
        <v>987</v>
      </c>
      <c r="D2543" s="36" t="s">
        <v>1083</v>
      </c>
      <c r="E2543" s="36" t="s">
        <v>1128</v>
      </c>
      <c r="G2543" s="87">
        <v>4800000</v>
      </c>
      <c r="H2543" s="87">
        <v>480000</v>
      </c>
      <c r="I2543" s="87">
        <v>5280000</v>
      </c>
      <c r="K2543" s="85">
        <v>2022</v>
      </c>
      <c r="L2543" s="85">
        <v>11</v>
      </c>
      <c r="N2543" s="1" t="s">
        <v>44</v>
      </c>
    </row>
    <row r="2544" spans="1:14">
      <c r="A2544" s="36" t="s">
        <v>32</v>
      </c>
      <c r="B2544" s="37">
        <v>44895</v>
      </c>
      <c r="C2544" s="36" t="s">
        <v>760</v>
      </c>
      <c r="D2544" s="36" t="s">
        <v>930</v>
      </c>
      <c r="E2544" s="36" t="s">
        <v>148</v>
      </c>
      <c r="J2544" s="38">
        <v>8855000</v>
      </c>
      <c r="K2544" s="85">
        <v>2022</v>
      </c>
      <c r="L2544" s="85">
        <v>9</v>
      </c>
      <c r="N2544" s="1" t="s">
        <v>44</v>
      </c>
    </row>
    <row r="2545" spans="1:14">
      <c r="A2545" s="36" t="s">
        <v>32</v>
      </c>
      <c r="B2545" s="37">
        <v>44895</v>
      </c>
      <c r="C2545" s="36" t="s">
        <v>664</v>
      </c>
      <c r="D2545" s="36" t="s">
        <v>1126</v>
      </c>
      <c r="E2545" s="36" t="s">
        <v>76</v>
      </c>
      <c r="G2545" s="87">
        <v>12503500</v>
      </c>
      <c r="H2545" s="87">
        <v>1250350</v>
      </c>
      <c r="I2545" s="87">
        <v>13753850</v>
      </c>
      <c r="K2545" s="85">
        <v>2022</v>
      </c>
      <c r="L2545" s="85">
        <v>11</v>
      </c>
      <c r="N2545" s="1" t="s">
        <v>44</v>
      </c>
    </row>
    <row r="2546" spans="1:14">
      <c r="A2546" s="36" t="s">
        <v>32</v>
      </c>
      <c r="B2546" s="37">
        <v>44895</v>
      </c>
      <c r="C2546" s="36" t="s">
        <v>664</v>
      </c>
      <c r="D2546" s="36" t="s">
        <v>629</v>
      </c>
      <c r="E2546" s="36" t="s">
        <v>267</v>
      </c>
      <c r="G2546" s="87">
        <v>1930000</v>
      </c>
      <c r="H2546" s="87">
        <v>193000</v>
      </c>
      <c r="I2546" s="87">
        <v>2123000</v>
      </c>
      <c r="K2546" s="85">
        <v>2022</v>
      </c>
      <c r="L2546" s="85">
        <v>11</v>
      </c>
      <c r="N2546" s="1" t="s">
        <v>44</v>
      </c>
    </row>
    <row r="2547" spans="1:14">
      <c r="A2547" s="36" t="s">
        <v>32</v>
      </c>
      <c r="B2547" s="37">
        <v>44895</v>
      </c>
      <c r="C2547" s="36" t="s">
        <v>209</v>
      </c>
      <c r="D2547" s="36" t="s">
        <v>928</v>
      </c>
      <c r="E2547" s="36" t="s">
        <v>77</v>
      </c>
      <c r="J2547" s="87">
        <v>18744880</v>
      </c>
      <c r="K2547" s="85">
        <v>2022</v>
      </c>
      <c r="L2547" s="85">
        <v>10</v>
      </c>
      <c r="N2547" s="1" t="s">
        <v>44</v>
      </c>
    </row>
    <row r="2548" spans="1:14">
      <c r="A2548" s="36" t="s">
        <v>32</v>
      </c>
      <c r="B2548" s="37">
        <v>44895</v>
      </c>
      <c r="C2548" s="36" t="s">
        <v>209</v>
      </c>
      <c r="D2548" s="36" t="s">
        <v>928</v>
      </c>
      <c r="E2548" s="36" t="s">
        <v>76</v>
      </c>
      <c r="G2548" s="87">
        <v>8975400</v>
      </c>
      <c r="H2548" s="87">
        <v>897540</v>
      </c>
      <c r="I2548" s="87">
        <v>9872940</v>
      </c>
      <c r="K2548" s="85">
        <v>2022</v>
      </c>
      <c r="L2548" s="85">
        <v>11</v>
      </c>
      <c r="N2548" s="1" t="s">
        <v>44</v>
      </c>
    </row>
    <row r="2549" spans="1:14">
      <c r="A2549" s="36" t="s">
        <v>32</v>
      </c>
      <c r="B2549" s="37">
        <v>44895</v>
      </c>
      <c r="C2549" s="36" t="s">
        <v>209</v>
      </c>
      <c r="D2549" s="36" t="s">
        <v>1048</v>
      </c>
      <c r="E2549" s="36" t="s">
        <v>76</v>
      </c>
      <c r="G2549" s="87">
        <v>26750500</v>
      </c>
      <c r="H2549" s="87">
        <v>2675050</v>
      </c>
      <c r="I2549" s="87">
        <v>29425550</v>
      </c>
      <c r="K2549" s="85">
        <v>2022</v>
      </c>
      <c r="L2549" s="85">
        <v>11</v>
      </c>
      <c r="N2549" s="1" t="s">
        <v>44</v>
      </c>
    </row>
    <row r="2550" spans="1:14">
      <c r="A2550" s="36" t="s">
        <v>32</v>
      </c>
      <c r="B2550" s="37">
        <v>44895</v>
      </c>
      <c r="C2550" s="36" t="s">
        <v>209</v>
      </c>
      <c r="D2550" s="36" t="s">
        <v>812</v>
      </c>
      <c r="E2550" s="36" t="s">
        <v>76</v>
      </c>
      <c r="G2550" s="87">
        <v>19880000</v>
      </c>
      <c r="H2550" s="87">
        <v>1988000</v>
      </c>
      <c r="I2550" s="87">
        <v>21868000</v>
      </c>
      <c r="K2550" s="85">
        <v>2022</v>
      </c>
      <c r="L2550" s="85">
        <v>11</v>
      </c>
      <c r="N2550" s="1" t="s">
        <v>44</v>
      </c>
    </row>
    <row r="2551" spans="1:14">
      <c r="A2551" s="36" t="s">
        <v>32</v>
      </c>
      <c r="B2551" s="37">
        <v>44895</v>
      </c>
      <c r="C2551" s="36" t="s">
        <v>209</v>
      </c>
      <c r="D2551" s="36" t="s">
        <v>1048</v>
      </c>
      <c r="E2551" s="36" t="s">
        <v>77</v>
      </c>
      <c r="J2551" s="38">
        <v>29425550</v>
      </c>
      <c r="K2551" s="85">
        <v>2022</v>
      </c>
      <c r="L2551" s="85">
        <v>11</v>
      </c>
      <c r="N2551" s="1" t="s">
        <v>44</v>
      </c>
    </row>
    <row r="2552" spans="1:14">
      <c r="A2552" s="36" t="s">
        <v>32</v>
      </c>
      <c r="B2552" s="37">
        <v>44895</v>
      </c>
      <c r="C2552" s="36" t="s">
        <v>640</v>
      </c>
      <c r="D2552" s="36" t="s">
        <v>763</v>
      </c>
      <c r="E2552" s="36" t="s">
        <v>76</v>
      </c>
      <c r="G2552" s="87">
        <v>400000</v>
      </c>
      <c r="H2552" s="87">
        <v>40000</v>
      </c>
      <c r="I2552" s="87">
        <v>440000</v>
      </c>
      <c r="K2552" s="85">
        <v>2022</v>
      </c>
      <c r="L2552" s="85">
        <v>11</v>
      </c>
      <c r="N2552" s="1" t="s">
        <v>44</v>
      </c>
    </row>
    <row r="2553" spans="1:14">
      <c r="A2553" s="36" t="s">
        <v>32</v>
      </c>
      <c r="B2553" s="37">
        <v>44895</v>
      </c>
      <c r="C2553" s="36" t="s">
        <v>672</v>
      </c>
      <c r="D2553" s="36" t="s">
        <v>1119</v>
      </c>
      <c r="E2553" s="36" t="s">
        <v>267</v>
      </c>
      <c r="G2553" s="87">
        <v>3000000</v>
      </c>
      <c r="H2553" s="87">
        <v>300000</v>
      </c>
      <c r="I2553" s="87">
        <v>3300000</v>
      </c>
      <c r="K2553" s="85">
        <v>2022</v>
      </c>
      <c r="L2553" s="85">
        <v>11</v>
      </c>
      <c r="N2553" s="1" t="s">
        <v>44</v>
      </c>
    </row>
    <row r="2554" spans="1:14">
      <c r="A2554" s="36" t="s">
        <v>32</v>
      </c>
      <c r="B2554" s="37">
        <v>44895</v>
      </c>
      <c r="C2554" s="36" t="s">
        <v>1116</v>
      </c>
      <c r="D2554" s="36" t="s">
        <v>1122</v>
      </c>
      <c r="E2554" s="36" t="s">
        <v>76</v>
      </c>
      <c r="G2554" s="87">
        <v>8218200</v>
      </c>
      <c r="H2554" s="87">
        <v>821820</v>
      </c>
      <c r="I2554" s="87">
        <v>9040020</v>
      </c>
      <c r="K2554" s="85">
        <v>2022</v>
      </c>
      <c r="L2554" s="85">
        <v>11</v>
      </c>
      <c r="N2554" s="1" t="s">
        <v>44</v>
      </c>
    </row>
    <row r="2555" spans="1:14">
      <c r="A2555" s="36" t="s">
        <v>32</v>
      </c>
      <c r="B2555" s="37">
        <v>44895</v>
      </c>
      <c r="C2555" s="36" t="s">
        <v>204</v>
      </c>
      <c r="D2555" s="36" t="s">
        <v>1123</v>
      </c>
      <c r="E2555" s="36" t="s">
        <v>76</v>
      </c>
      <c r="G2555" s="87">
        <v>6597000</v>
      </c>
      <c r="H2555" s="87">
        <v>659700</v>
      </c>
      <c r="I2555" s="87">
        <v>7256700</v>
      </c>
      <c r="K2555" s="85">
        <v>2022</v>
      </c>
      <c r="L2555" s="85">
        <v>11</v>
      </c>
      <c r="N2555" s="1" t="s">
        <v>44</v>
      </c>
    </row>
    <row r="2556" spans="1:14">
      <c r="A2556" s="36" t="s">
        <v>32</v>
      </c>
      <c r="B2556" s="37">
        <v>44895</v>
      </c>
      <c r="C2556" s="36" t="s">
        <v>204</v>
      </c>
      <c r="D2556" s="36" t="s">
        <v>674</v>
      </c>
      <c r="E2556" s="36" t="s">
        <v>267</v>
      </c>
      <c r="G2556" s="87">
        <v>20420500</v>
      </c>
      <c r="H2556" s="87">
        <v>2042050</v>
      </c>
      <c r="I2556" s="87">
        <v>22462550</v>
      </c>
      <c r="K2556" s="85">
        <v>2022</v>
      </c>
      <c r="L2556" s="85">
        <v>11</v>
      </c>
      <c r="N2556" s="1" t="s">
        <v>44</v>
      </c>
    </row>
    <row r="2557" spans="1:14">
      <c r="A2557" s="36" t="s">
        <v>32</v>
      </c>
      <c r="B2557" s="37">
        <v>44895</v>
      </c>
      <c r="C2557" s="36" t="s">
        <v>204</v>
      </c>
      <c r="D2557" s="36" t="s">
        <v>1124</v>
      </c>
      <c r="E2557" s="36" t="s">
        <v>267</v>
      </c>
      <c r="G2557" s="87">
        <v>1250000</v>
      </c>
      <c r="H2557" s="87">
        <v>125000</v>
      </c>
      <c r="I2557" s="87">
        <v>1375000</v>
      </c>
      <c r="K2557" s="85">
        <v>2022</v>
      </c>
      <c r="L2557" s="85">
        <v>11</v>
      </c>
      <c r="N2557" s="1" t="s">
        <v>44</v>
      </c>
    </row>
    <row r="2558" spans="1:14">
      <c r="A2558" s="36" t="s">
        <v>32</v>
      </c>
      <c r="B2558" s="37">
        <v>44895</v>
      </c>
      <c r="C2558" s="36" t="s">
        <v>204</v>
      </c>
      <c r="D2558" s="36" t="s">
        <v>1125</v>
      </c>
      <c r="E2558" s="36" t="s">
        <v>76</v>
      </c>
      <c r="G2558" s="87">
        <v>6954000</v>
      </c>
      <c r="H2558" s="87">
        <v>695400</v>
      </c>
      <c r="I2558" s="87">
        <v>7649400</v>
      </c>
      <c r="K2558" s="85">
        <v>2022</v>
      </c>
      <c r="L2558" s="85">
        <v>11</v>
      </c>
      <c r="N2558" s="1" t="s">
        <v>44</v>
      </c>
    </row>
    <row r="2559" spans="1:14">
      <c r="A2559" s="36" t="s">
        <v>32</v>
      </c>
      <c r="B2559" s="37">
        <v>44895</v>
      </c>
      <c r="C2559" s="36" t="s">
        <v>983</v>
      </c>
      <c r="D2559" s="36" t="s">
        <v>1051</v>
      </c>
      <c r="E2559" s="36" t="s">
        <v>1098</v>
      </c>
      <c r="J2559" s="87">
        <v>17226000</v>
      </c>
      <c r="K2559" s="85">
        <v>2022</v>
      </c>
      <c r="L2559" s="85">
        <v>10</v>
      </c>
      <c r="N2559" s="1" t="s">
        <v>44</v>
      </c>
    </row>
    <row r="2560" spans="1:14">
      <c r="A2560" s="36" t="s">
        <v>32</v>
      </c>
      <c r="B2560" s="37">
        <v>44895</v>
      </c>
      <c r="C2560" s="36" t="s">
        <v>925</v>
      </c>
      <c r="D2560" s="36" t="s">
        <v>926</v>
      </c>
      <c r="E2560" s="36" t="s">
        <v>76</v>
      </c>
      <c r="G2560" s="87">
        <v>2442400</v>
      </c>
      <c r="H2560" s="87">
        <v>244240</v>
      </c>
      <c r="I2560" s="87">
        <v>2686640</v>
      </c>
      <c r="K2560" s="85">
        <v>2022</v>
      </c>
      <c r="L2560" s="85">
        <v>11</v>
      </c>
      <c r="N2560" s="1" t="s">
        <v>44</v>
      </c>
    </row>
    <row r="2561" spans="1:14">
      <c r="A2561" s="36" t="s">
        <v>32</v>
      </c>
      <c r="B2561" s="37">
        <v>44895</v>
      </c>
      <c r="C2561" s="36" t="s">
        <v>1068</v>
      </c>
      <c r="D2561" s="36" t="s">
        <v>1077</v>
      </c>
      <c r="E2561" s="36" t="s">
        <v>267</v>
      </c>
      <c r="G2561" s="87">
        <v>3152100</v>
      </c>
      <c r="H2561" s="87">
        <v>315210</v>
      </c>
      <c r="I2561" s="87">
        <v>3467310</v>
      </c>
      <c r="K2561" s="85">
        <v>2022</v>
      </c>
      <c r="L2561" s="85">
        <v>11</v>
      </c>
      <c r="N2561" s="1" t="s">
        <v>44</v>
      </c>
    </row>
    <row r="2562" spans="1:14">
      <c r="A2562" s="36" t="s">
        <v>32</v>
      </c>
      <c r="B2562" s="37">
        <v>44895</v>
      </c>
      <c r="C2562" s="36" t="s">
        <v>334</v>
      </c>
      <c r="D2562" s="36" t="s">
        <v>1014</v>
      </c>
      <c r="E2562" s="36" t="s">
        <v>77</v>
      </c>
      <c r="J2562" s="38">
        <v>4840000</v>
      </c>
      <c r="K2562" s="85">
        <v>2022</v>
      </c>
      <c r="L2562" s="85">
        <v>11</v>
      </c>
      <c r="N2562" s="1" t="s">
        <v>44</v>
      </c>
    </row>
    <row r="2563" spans="1:14">
      <c r="A2563" s="36" t="s">
        <v>1105</v>
      </c>
      <c r="B2563" s="37">
        <v>44895</v>
      </c>
      <c r="C2563" s="36" t="s">
        <v>1110</v>
      </c>
      <c r="D2563" s="36" t="s">
        <v>1111</v>
      </c>
      <c r="E2563" s="36" t="s">
        <v>1112</v>
      </c>
      <c r="G2563" s="87">
        <v>10384000</v>
      </c>
      <c r="H2563" s="87">
        <v>1038400</v>
      </c>
      <c r="I2563" s="87">
        <v>11422400</v>
      </c>
      <c r="K2563" s="85">
        <v>2022</v>
      </c>
      <c r="L2563" s="85">
        <v>11</v>
      </c>
      <c r="N2563" s="1" t="s">
        <v>1109</v>
      </c>
    </row>
    <row r="2564" spans="1:14">
      <c r="A2564" s="36" t="s">
        <v>32</v>
      </c>
      <c r="B2564" s="37">
        <v>44895</v>
      </c>
      <c r="C2564" s="36" t="s">
        <v>498</v>
      </c>
      <c r="D2564" s="36" t="s">
        <v>1127</v>
      </c>
      <c r="E2564" s="36" t="s">
        <v>76</v>
      </c>
      <c r="G2564" s="87">
        <v>6500000</v>
      </c>
      <c r="H2564" s="87">
        <v>650000</v>
      </c>
      <c r="I2564" s="87">
        <v>7150000</v>
      </c>
      <c r="K2564" s="85">
        <v>2022</v>
      </c>
      <c r="L2564" s="85">
        <v>11</v>
      </c>
      <c r="N2564" s="1" t="s">
        <v>44</v>
      </c>
    </row>
    <row r="2565" spans="1:14">
      <c r="A2565" s="36" t="s">
        <v>32</v>
      </c>
      <c r="B2565" s="37">
        <v>44895</v>
      </c>
      <c r="C2565" s="36" t="s">
        <v>498</v>
      </c>
      <c r="D2565" s="36" t="s">
        <v>1127</v>
      </c>
      <c r="E2565" s="36" t="s">
        <v>1081</v>
      </c>
      <c r="J2565" s="38">
        <v>847000</v>
      </c>
      <c r="K2565" s="85">
        <v>2022</v>
      </c>
      <c r="L2565" s="85">
        <v>11</v>
      </c>
      <c r="N2565" s="1" t="s">
        <v>44</v>
      </c>
    </row>
    <row r="2566" spans="1:14">
      <c r="A2566" s="36" t="s">
        <v>19</v>
      </c>
      <c r="B2566" s="37">
        <v>44895</v>
      </c>
      <c r="C2566" s="36" t="s">
        <v>1129</v>
      </c>
      <c r="D2566" s="36" t="s">
        <v>1064</v>
      </c>
      <c r="E2566" s="36" t="s">
        <v>531</v>
      </c>
      <c r="G2566" s="87">
        <v>770000</v>
      </c>
      <c r="H2566" s="87">
        <v>77000</v>
      </c>
      <c r="I2566" s="87">
        <v>847000</v>
      </c>
      <c r="K2566" s="85">
        <v>2022</v>
      </c>
      <c r="L2566" s="85">
        <v>11</v>
      </c>
      <c r="N2566" s="1" t="s">
        <v>1104</v>
      </c>
    </row>
    <row r="2567" spans="1:14">
      <c r="A2567" s="36" t="s">
        <v>19</v>
      </c>
      <c r="B2567" s="37">
        <v>44895</v>
      </c>
      <c r="C2567" s="36" t="s">
        <v>1129</v>
      </c>
      <c r="D2567" s="36" t="s">
        <v>1064</v>
      </c>
      <c r="E2567" s="36" t="s">
        <v>1065</v>
      </c>
      <c r="J2567" s="87">
        <v>847000</v>
      </c>
      <c r="K2567" s="85">
        <v>2022</v>
      </c>
      <c r="L2567" s="85">
        <v>11</v>
      </c>
      <c r="N2567" s="1" t="s">
        <v>1104</v>
      </c>
    </row>
    <row r="2568" spans="1:14">
      <c r="A2568" s="36" t="s">
        <v>32</v>
      </c>
      <c r="B2568" s="37">
        <v>44895</v>
      </c>
      <c r="C2568" s="36" t="s">
        <v>677</v>
      </c>
      <c r="D2568" s="36" t="s">
        <v>825</v>
      </c>
      <c r="E2568" s="36" t="s">
        <v>76</v>
      </c>
      <c r="G2568" s="87">
        <v>179431500</v>
      </c>
      <c r="H2568" s="87">
        <v>17943150</v>
      </c>
      <c r="I2568" s="87">
        <v>197374650</v>
      </c>
      <c r="K2568" s="85">
        <v>2022</v>
      </c>
      <c r="L2568" s="85">
        <v>11</v>
      </c>
      <c r="N2568" s="1" t="s">
        <v>44</v>
      </c>
    </row>
    <row r="2569" spans="1:14">
      <c r="A2569" s="36" t="s">
        <v>32</v>
      </c>
      <c r="B2569" s="37">
        <v>44895</v>
      </c>
      <c r="C2569" s="36" t="s">
        <v>677</v>
      </c>
      <c r="D2569" s="36" t="s">
        <v>924</v>
      </c>
      <c r="E2569" s="36" t="s">
        <v>76</v>
      </c>
      <c r="G2569" s="87">
        <v>50986000</v>
      </c>
      <c r="H2569" s="87">
        <v>5098600</v>
      </c>
      <c r="I2569" s="87">
        <v>56084600</v>
      </c>
      <c r="K2569" s="85">
        <v>2022</v>
      </c>
      <c r="L2569" s="85">
        <v>11</v>
      </c>
      <c r="N2569" s="1" t="s">
        <v>44</v>
      </c>
    </row>
    <row r="2570" spans="1:14">
      <c r="A2570" s="36" t="s">
        <v>32</v>
      </c>
      <c r="B2570" s="37">
        <v>44895</v>
      </c>
      <c r="C2570" s="36" t="s">
        <v>677</v>
      </c>
      <c r="D2570" s="36" t="s">
        <v>678</v>
      </c>
      <c r="E2570" s="36" t="s">
        <v>76</v>
      </c>
      <c r="G2570" s="87">
        <v>72752020</v>
      </c>
      <c r="H2570" s="87">
        <v>7275202</v>
      </c>
      <c r="I2570" s="87">
        <v>80027222</v>
      </c>
      <c r="K2570" s="85">
        <v>2022</v>
      </c>
      <c r="L2570" s="85">
        <v>11</v>
      </c>
      <c r="N2570" s="1" t="s">
        <v>44</v>
      </c>
    </row>
    <row r="2571" spans="1:14">
      <c r="A2571" s="36" t="s">
        <v>33</v>
      </c>
      <c r="B2571" s="37">
        <v>44895</v>
      </c>
      <c r="C2571" s="36" t="s">
        <v>119</v>
      </c>
      <c r="D2571" s="36" t="s">
        <v>1048</v>
      </c>
      <c r="E2571" s="36" t="s">
        <v>1098</v>
      </c>
      <c r="J2571" s="87">
        <v>25994045</v>
      </c>
      <c r="K2571" s="85">
        <v>2022</v>
      </c>
      <c r="L2571" s="85">
        <v>10</v>
      </c>
      <c r="N2571" s="1" t="s">
        <v>44</v>
      </c>
    </row>
    <row r="2572" spans="1:14">
      <c r="A2572" s="36" t="s">
        <v>33</v>
      </c>
      <c r="B2572" s="37">
        <v>44895</v>
      </c>
      <c r="C2572" s="36" t="s">
        <v>119</v>
      </c>
      <c r="D2572" s="36" t="s">
        <v>1051</v>
      </c>
      <c r="E2572" s="36" t="s">
        <v>1098</v>
      </c>
      <c r="J2572" s="87">
        <v>8613000</v>
      </c>
      <c r="K2572" s="85">
        <v>2022</v>
      </c>
      <c r="L2572" s="85">
        <v>10</v>
      </c>
      <c r="N2572" s="1" t="s">
        <v>44</v>
      </c>
    </row>
    <row r="2573" spans="1:14">
      <c r="A2573" s="36" t="s">
        <v>33</v>
      </c>
      <c r="B2573" s="37">
        <v>44895</v>
      </c>
      <c r="C2573" s="36" t="s">
        <v>119</v>
      </c>
      <c r="D2573" s="36" t="s">
        <v>1048</v>
      </c>
      <c r="E2573" s="36" t="s">
        <v>76</v>
      </c>
      <c r="G2573" s="87">
        <v>26750500</v>
      </c>
      <c r="H2573" s="87">
        <v>2675050</v>
      </c>
      <c r="I2573" s="87">
        <v>29425550</v>
      </c>
      <c r="K2573" s="85">
        <v>2022</v>
      </c>
      <c r="L2573" s="85">
        <v>11</v>
      </c>
      <c r="N2573" s="1" t="s">
        <v>44</v>
      </c>
    </row>
    <row r="2574" spans="1:14">
      <c r="A2574" s="36" t="s">
        <v>32</v>
      </c>
      <c r="B2574" s="37">
        <v>44895</v>
      </c>
      <c r="C2574" s="36" t="s">
        <v>264</v>
      </c>
      <c r="D2574" s="36" t="s">
        <v>1074</v>
      </c>
      <c r="E2574" s="36" t="s">
        <v>1098</v>
      </c>
      <c r="J2574" s="87">
        <v>11000000</v>
      </c>
      <c r="K2574" s="85">
        <v>2022</v>
      </c>
      <c r="L2574" s="85">
        <v>10</v>
      </c>
      <c r="N2574" s="1" t="s">
        <v>44</v>
      </c>
    </row>
    <row r="2575" spans="1:14">
      <c r="A2575" s="36" t="s">
        <v>32</v>
      </c>
      <c r="B2575" s="37">
        <v>44895</v>
      </c>
      <c r="C2575" s="36" t="s">
        <v>264</v>
      </c>
      <c r="D2575" s="36" t="s">
        <v>1074</v>
      </c>
      <c r="E2575" s="36" t="s">
        <v>76</v>
      </c>
      <c r="G2575" s="87">
        <v>15500000</v>
      </c>
      <c r="H2575" s="87">
        <v>1550000</v>
      </c>
      <c r="I2575" s="87">
        <v>17050000</v>
      </c>
      <c r="K2575" s="85">
        <v>2022</v>
      </c>
      <c r="L2575" s="85">
        <v>11</v>
      </c>
      <c r="N2575" s="1" t="s">
        <v>44</v>
      </c>
    </row>
    <row r="2576" spans="1:14">
      <c r="A2576" s="36" t="s">
        <v>32</v>
      </c>
      <c r="B2576" s="37">
        <v>44895</v>
      </c>
      <c r="C2576" s="36" t="s">
        <v>552</v>
      </c>
      <c r="D2576" s="36" t="s">
        <v>1011</v>
      </c>
      <c r="E2576" s="36" t="s">
        <v>267</v>
      </c>
      <c r="G2576" s="87">
        <v>11178715</v>
      </c>
      <c r="H2576" s="87">
        <v>1117871</v>
      </c>
      <c r="I2576" s="87">
        <v>12296586</v>
      </c>
      <c r="K2576" s="85">
        <v>2022</v>
      </c>
      <c r="L2576" s="85">
        <v>11</v>
      </c>
      <c r="N2576" s="1" t="s">
        <v>44</v>
      </c>
    </row>
    <row r="2577" spans="1:14">
      <c r="A2577" s="36" t="s">
        <v>32</v>
      </c>
      <c r="B2577" s="37">
        <v>44895</v>
      </c>
      <c r="C2577" s="36" t="s">
        <v>1066</v>
      </c>
      <c r="D2577" s="36" t="s">
        <v>1075</v>
      </c>
      <c r="E2577" s="36" t="s">
        <v>1099</v>
      </c>
      <c r="J2577" s="87">
        <v>9488600</v>
      </c>
      <c r="K2577" s="85">
        <v>2022</v>
      </c>
      <c r="L2577" s="85">
        <v>10</v>
      </c>
      <c r="N2577" s="1" t="s">
        <v>44</v>
      </c>
    </row>
    <row r="2578" spans="1:14">
      <c r="A2578" s="36" t="s">
        <v>32</v>
      </c>
      <c r="B2578" s="37">
        <v>44895</v>
      </c>
      <c r="C2578" s="36" t="s">
        <v>1066</v>
      </c>
      <c r="D2578" s="36" t="s">
        <v>1075</v>
      </c>
      <c r="E2578" s="36" t="s">
        <v>76</v>
      </c>
      <c r="G2578" s="87">
        <v>17084960</v>
      </c>
      <c r="H2578" s="87">
        <v>1708496</v>
      </c>
      <c r="I2578" s="87">
        <v>18793456</v>
      </c>
      <c r="K2578" s="85">
        <v>2022</v>
      </c>
      <c r="L2578" s="85">
        <v>11</v>
      </c>
      <c r="N2578" s="1" t="s">
        <v>44</v>
      </c>
    </row>
    <row r="2579" spans="1:14">
      <c r="A2579" s="36" t="s">
        <v>32</v>
      </c>
      <c r="B2579" s="37">
        <v>44895</v>
      </c>
      <c r="C2579" s="36" t="s">
        <v>185</v>
      </c>
      <c r="D2579" s="36" t="s">
        <v>931</v>
      </c>
      <c r="E2579" s="36" t="s">
        <v>148</v>
      </c>
      <c r="J2579" s="87">
        <v>4673300.5</v>
      </c>
      <c r="K2579" s="85">
        <v>2022</v>
      </c>
      <c r="L2579" s="85">
        <v>10</v>
      </c>
      <c r="M2579" s="36" t="s">
        <v>1084</v>
      </c>
      <c r="N2579" s="1" t="s">
        <v>44</v>
      </c>
    </row>
    <row r="2580" spans="1:14">
      <c r="A2580" s="36" t="s">
        <v>32</v>
      </c>
      <c r="B2580" s="37">
        <v>44895</v>
      </c>
      <c r="C2580" s="36" t="s">
        <v>185</v>
      </c>
      <c r="D2580" s="36" t="s">
        <v>931</v>
      </c>
      <c r="E2580" s="36" t="s">
        <v>148</v>
      </c>
      <c r="J2580" s="87">
        <v>5346000</v>
      </c>
      <c r="K2580" s="85">
        <v>2022</v>
      </c>
      <c r="L2580" s="85">
        <v>10</v>
      </c>
      <c r="M2580" s="36" t="s">
        <v>1085</v>
      </c>
      <c r="N2580" s="1" t="s">
        <v>44</v>
      </c>
    </row>
    <row r="2581" spans="1:14">
      <c r="A2581" s="36" t="s">
        <v>32</v>
      </c>
      <c r="B2581" s="37">
        <v>44895</v>
      </c>
      <c r="C2581" s="36" t="s">
        <v>185</v>
      </c>
      <c r="D2581" s="36" t="s">
        <v>931</v>
      </c>
      <c r="E2581" s="36" t="s">
        <v>148</v>
      </c>
      <c r="J2581" s="87">
        <v>9130000</v>
      </c>
      <c r="K2581" s="85">
        <v>2022</v>
      </c>
      <c r="L2581" s="85">
        <v>10</v>
      </c>
      <c r="M2581" s="36" t="s">
        <v>1086</v>
      </c>
      <c r="N2581" s="1" t="s">
        <v>44</v>
      </c>
    </row>
    <row r="2582" spans="1:14">
      <c r="A2582" s="36" t="s">
        <v>32</v>
      </c>
      <c r="B2582" s="37">
        <v>44895</v>
      </c>
      <c r="C2582" s="36" t="s">
        <v>185</v>
      </c>
      <c r="D2582" s="36" t="s">
        <v>932</v>
      </c>
      <c r="E2582" s="36" t="s">
        <v>148</v>
      </c>
      <c r="J2582" s="87">
        <v>7552528.5</v>
      </c>
      <c r="K2582" s="85">
        <v>2022</v>
      </c>
      <c r="L2582" s="85">
        <v>10</v>
      </c>
      <c r="N2582" s="1" t="s">
        <v>44</v>
      </c>
    </row>
    <row r="2583" spans="1:14">
      <c r="A2583" s="36" t="s">
        <v>32</v>
      </c>
      <c r="B2583" s="37">
        <v>44895</v>
      </c>
      <c r="C2583" s="36" t="s">
        <v>185</v>
      </c>
      <c r="D2583" s="36" t="s">
        <v>778</v>
      </c>
      <c r="E2583" s="36" t="s">
        <v>267</v>
      </c>
      <c r="G2583" s="87">
        <v>11778252</v>
      </c>
      <c r="H2583" s="87">
        <v>1177825.2</v>
      </c>
      <c r="I2583" s="87">
        <v>12956077.199999999</v>
      </c>
      <c r="K2583" s="85">
        <v>2022</v>
      </c>
      <c r="L2583" s="85">
        <v>11</v>
      </c>
      <c r="N2583" s="1" t="s">
        <v>44</v>
      </c>
    </row>
    <row r="2584" spans="1:14">
      <c r="A2584" s="36" t="s">
        <v>32</v>
      </c>
      <c r="B2584" s="37">
        <v>44895</v>
      </c>
      <c r="C2584" s="36" t="s">
        <v>185</v>
      </c>
      <c r="D2584" s="36" t="s">
        <v>932</v>
      </c>
      <c r="E2584" s="36" t="s">
        <v>76</v>
      </c>
      <c r="G2584" s="87">
        <v>5264000</v>
      </c>
      <c r="H2584" s="87">
        <v>526400</v>
      </c>
      <c r="I2584" s="87">
        <v>5790400</v>
      </c>
      <c r="K2584" s="85">
        <v>2022</v>
      </c>
      <c r="L2584" s="85">
        <v>11</v>
      </c>
      <c r="N2584" s="1" t="s">
        <v>44</v>
      </c>
    </row>
    <row r="2585" spans="1:14">
      <c r="A2585" s="36" t="s">
        <v>32</v>
      </c>
      <c r="B2585" s="37">
        <v>44895</v>
      </c>
      <c r="C2585" s="36" t="s">
        <v>185</v>
      </c>
      <c r="D2585" s="36" t="s">
        <v>931</v>
      </c>
      <c r="E2585" s="36" t="s">
        <v>267</v>
      </c>
      <c r="G2585" s="87">
        <v>2394000</v>
      </c>
      <c r="H2585" s="87">
        <v>239400</v>
      </c>
      <c r="I2585" s="87">
        <v>2633400</v>
      </c>
      <c r="K2585" s="85">
        <v>2022</v>
      </c>
      <c r="L2585" s="85">
        <v>11</v>
      </c>
      <c r="N2585" s="1" t="s">
        <v>44</v>
      </c>
    </row>
    <row r="2586" spans="1:14">
      <c r="A2586" s="36" t="s">
        <v>32</v>
      </c>
      <c r="B2586" s="37">
        <v>44895</v>
      </c>
      <c r="C2586" s="36" t="s">
        <v>268</v>
      </c>
      <c r="D2586" s="36" t="s">
        <v>954</v>
      </c>
      <c r="E2586" s="36" t="s">
        <v>267</v>
      </c>
      <c r="G2586" s="87">
        <v>94898000</v>
      </c>
      <c r="H2586" s="87">
        <v>9489800</v>
      </c>
      <c r="I2586" s="87">
        <v>104387800</v>
      </c>
      <c r="K2586" s="85">
        <v>2022</v>
      </c>
      <c r="L2586" s="85">
        <v>11</v>
      </c>
      <c r="N2586" s="1" t="s">
        <v>44</v>
      </c>
    </row>
    <row r="2587" spans="1:14">
      <c r="A2587" s="36" t="s">
        <v>33</v>
      </c>
      <c r="B2587" s="37">
        <v>44895</v>
      </c>
      <c r="C2587" s="36" t="s">
        <v>590</v>
      </c>
      <c r="D2587" s="36" t="s">
        <v>1011</v>
      </c>
      <c r="E2587" s="36" t="s">
        <v>1098</v>
      </c>
      <c r="J2587" s="87">
        <v>9559770</v>
      </c>
      <c r="K2587" s="85">
        <v>2022</v>
      </c>
      <c r="L2587" s="85">
        <v>10</v>
      </c>
      <c r="M2587" s="36" t="s">
        <v>591</v>
      </c>
      <c r="N2587" s="1" t="s">
        <v>44</v>
      </c>
    </row>
    <row r="2588" spans="1:14">
      <c r="A2588" s="36" t="s">
        <v>33</v>
      </c>
      <c r="B2588" s="37">
        <v>44895</v>
      </c>
      <c r="C2588" s="36" t="s">
        <v>590</v>
      </c>
      <c r="D2588" s="36" t="s">
        <v>1011</v>
      </c>
      <c r="E2588" s="36" t="s">
        <v>1101</v>
      </c>
      <c r="G2588" s="87">
        <v>10719355</v>
      </c>
      <c r="H2588" s="87">
        <v>1071935</v>
      </c>
      <c r="I2588" s="87">
        <v>11791290</v>
      </c>
      <c r="K2588" s="85">
        <v>2022</v>
      </c>
      <c r="L2588" s="85">
        <v>11</v>
      </c>
      <c r="M2588" s="36" t="s">
        <v>591</v>
      </c>
      <c r="N2588" s="1" t="s">
        <v>44</v>
      </c>
    </row>
    <row r="2589" spans="1:14">
      <c r="A2589" s="36" t="s">
        <v>32</v>
      </c>
      <c r="B2589" s="37">
        <v>44895</v>
      </c>
      <c r="C2589" s="36" t="s">
        <v>188</v>
      </c>
      <c r="D2589" s="36" t="s">
        <v>1321</v>
      </c>
      <c r="E2589" s="36" t="s">
        <v>1290</v>
      </c>
      <c r="G2589" s="87">
        <v>705000</v>
      </c>
      <c r="H2589" s="87">
        <v>70500</v>
      </c>
      <c r="I2589" s="87">
        <v>775500</v>
      </c>
      <c r="K2589" s="85">
        <v>2022</v>
      </c>
      <c r="L2589" s="85">
        <v>11</v>
      </c>
      <c r="M2589" s="36" t="s">
        <v>1121</v>
      </c>
      <c r="N2589" s="1" t="s">
        <v>44</v>
      </c>
    </row>
    <row r="2590" spans="1:14">
      <c r="A2590" s="36" t="s">
        <v>32</v>
      </c>
      <c r="B2590" s="37">
        <v>44895</v>
      </c>
      <c r="C2590" s="36" t="s">
        <v>188</v>
      </c>
      <c r="D2590" s="36" t="s">
        <v>981</v>
      </c>
      <c r="E2590" s="36" t="s">
        <v>76</v>
      </c>
      <c r="G2590" s="87">
        <v>2456640</v>
      </c>
      <c r="H2590" s="87">
        <v>245664</v>
      </c>
      <c r="I2590" s="87">
        <v>2702304</v>
      </c>
      <c r="K2590" s="85">
        <v>2022</v>
      </c>
      <c r="L2590" s="85">
        <v>11</v>
      </c>
      <c r="N2590" s="1" t="s">
        <v>44</v>
      </c>
    </row>
    <row r="2591" spans="1:14">
      <c r="A2591" s="36" t="s">
        <v>32</v>
      </c>
      <c r="B2591" s="37">
        <v>44895</v>
      </c>
      <c r="C2591" s="36" t="s">
        <v>175</v>
      </c>
      <c r="D2591" s="36" t="s">
        <v>1073</v>
      </c>
      <c r="E2591" s="36" t="s">
        <v>1098</v>
      </c>
      <c r="J2591" s="87">
        <v>7929900</v>
      </c>
      <c r="K2591" s="85">
        <v>2022</v>
      </c>
      <c r="L2591" s="85">
        <v>10</v>
      </c>
      <c r="N2591" s="1" t="s">
        <v>44</v>
      </c>
    </row>
    <row r="2592" spans="1:14">
      <c r="A2592" s="36" t="s">
        <v>32</v>
      </c>
      <c r="B2592" s="37">
        <v>44895</v>
      </c>
      <c r="C2592" s="36" t="s">
        <v>519</v>
      </c>
      <c r="D2592" s="36" t="s">
        <v>321</v>
      </c>
      <c r="E2592" s="36" t="s">
        <v>267</v>
      </c>
      <c r="G2592" s="87">
        <v>810000</v>
      </c>
      <c r="H2592" s="87">
        <v>81000</v>
      </c>
      <c r="I2592" s="87">
        <v>891000</v>
      </c>
      <c r="K2592" s="85">
        <v>2022</v>
      </c>
      <c r="L2592" s="85">
        <v>11</v>
      </c>
      <c r="N2592" s="1" t="s">
        <v>44</v>
      </c>
    </row>
    <row r="2593" spans="1:14">
      <c r="A2593" s="36" t="s">
        <v>33</v>
      </c>
      <c r="B2593" s="37">
        <v>44895</v>
      </c>
      <c r="C2593" s="36" t="s">
        <v>971</v>
      </c>
      <c r="D2593" s="36" t="s">
        <v>987</v>
      </c>
      <c r="E2593" s="36" t="s">
        <v>1098</v>
      </c>
      <c r="J2593" s="87">
        <v>3128345</v>
      </c>
      <c r="K2593" s="85">
        <v>2022</v>
      </c>
      <c r="L2593" s="85">
        <v>11</v>
      </c>
      <c r="N2593" s="1" t="s">
        <v>44</v>
      </c>
    </row>
    <row r="2594" spans="1:14">
      <c r="A2594" s="36" t="s">
        <v>32</v>
      </c>
      <c r="B2594" s="37">
        <v>44895</v>
      </c>
      <c r="C2594" s="36" t="s">
        <v>987</v>
      </c>
      <c r="D2594" s="36" t="s">
        <v>1015</v>
      </c>
      <c r="E2594" s="36" t="s">
        <v>76</v>
      </c>
      <c r="G2594" s="87">
        <v>6210000</v>
      </c>
      <c r="H2594" s="87">
        <v>621000</v>
      </c>
      <c r="I2594" s="87">
        <v>6831000</v>
      </c>
      <c r="K2594" s="85">
        <v>2022</v>
      </c>
      <c r="L2594" s="85">
        <v>11</v>
      </c>
      <c r="N2594" s="1" t="s">
        <v>44</v>
      </c>
    </row>
    <row r="2595" spans="1:14">
      <c r="A2595" s="36" t="s">
        <v>32</v>
      </c>
      <c r="B2595" s="37">
        <v>44895</v>
      </c>
      <c r="C2595" s="36" t="s">
        <v>987</v>
      </c>
      <c r="D2595" s="36" t="s">
        <v>1083</v>
      </c>
      <c r="E2595" s="36" t="s">
        <v>267</v>
      </c>
      <c r="G2595" s="87">
        <v>18810000</v>
      </c>
      <c r="H2595" s="87">
        <v>1881000</v>
      </c>
      <c r="I2595" s="87">
        <v>20691000</v>
      </c>
      <c r="K2595" s="85">
        <v>2022</v>
      </c>
      <c r="L2595" s="85">
        <v>11</v>
      </c>
      <c r="N2595" s="1" t="s">
        <v>44</v>
      </c>
    </row>
    <row r="2596" spans="1:14">
      <c r="A2596" s="36" t="s">
        <v>32</v>
      </c>
      <c r="B2596" s="37">
        <v>44895</v>
      </c>
      <c r="C2596" s="36" t="s">
        <v>987</v>
      </c>
      <c r="D2596" s="36" t="s">
        <v>1083</v>
      </c>
      <c r="E2596" s="36" t="s">
        <v>77</v>
      </c>
      <c r="J2596" s="38">
        <v>5280000</v>
      </c>
      <c r="K2596" s="85">
        <v>2022</v>
      </c>
      <c r="L2596" s="85">
        <v>11</v>
      </c>
      <c r="N2596" s="1" t="s">
        <v>44</v>
      </c>
    </row>
    <row r="2597" spans="1:14">
      <c r="A2597" s="36" t="s">
        <v>32</v>
      </c>
      <c r="B2597" s="37">
        <v>44895</v>
      </c>
      <c r="C2597" s="36" t="s">
        <v>466</v>
      </c>
      <c r="D2597" s="36" t="s">
        <v>467</v>
      </c>
      <c r="E2597" s="36" t="s">
        <v>76</v>
      </c>
      <c r="G2597" s="87">
        <v>12188300</v>
      </c>
      <c r="H2597" s="87">
        <v>1218830</v>
      </c>
      <c r="I2597" s="87">
        <v>13407130</v>
      </c>
      <c r="K2597" s="85">
        <v>2022</v>
      </c>
      <c r="L2597" s="85">
        <v>11</v>
      </c>
      <c r="N2597" s="1" t="s">
        <v>44</v>
      </c>
    </row>
    <row r="2598" spans="1:14">
      <c r="A2598" s="36" t="s">
        <v>32</v>
      </c>
      <c r="B2598" s="37">
        <v>44895</v>
      </c>
      <c r="C2598" s="36" t="s">
        <v>1115</v>
      </c>
      <c r="D2598" s="36" t="s">
        <v>1120</v>
      </c>
      <c r="E2598" s="36" t="s">
        <v>76</v>
      </c>
      <c r="G2598" s="87">
        <v>13242600</v>
      </c>
      <c r="H2598" s="87">
        <v>1324260</v>
      </c>
      <c r="I2598" s="87">
        <v>14566860</v>
      </c>
      <c r="K2598" s="85">
        <v>2022</v>
      </c>
      <c r="L2598" s="85">
        <v>11</v>
      </c>
      <c r="N2598" s="1" t="s">
        <v>44</v>
      </c>
    </row>
    <row r="2599" spans="1:14">
      <c r="A2599" s="36" t="s">
        <v>32</v>
      </c>
      <c r="B2599" s="37">
        <v>44895</v>
      </c>
      <c r="C2599" s="36" t="s">
        <v>654</v>
      </c>
      <c r="D2599" s="36" t="s">
        <v>835</v>
      </c>
      <c r="E2599" s="36" t="s">
        <v>1099</v>
      </c>
      <c r="J2599" s="87">
        <v>2498760</v>
      </c>
      <c r="K2599" s="85">
        <v>2022</v>
      </c>
      <c r="L2599" s="85">
        <v>10</v>
      </c>
      <c r="N2599" s="1" t="s">
        <v>44</v>
      </c>
    </row>
    <row r="2600" spans="1:14">
      <c r="A2600" s="36" t="s">
        <v>1105</v>
      </c>
      <c r="B2600" s="37">
        <v>44895</v>
      </c>
      <c r="C2600" s="36" t="s">
        <v>1106</v>
      </c>
      <c r="D2600" s="36" t="s">
        <v>1107</v>
      </c>
      <c r="E2600" s="36" t="s">
        <v>1108</v>
      </c>
      <c r="G2600" s="87">
        <v>12190000</v>
      </c>
      <c r="H2600" s="87">
        <v>1219000</v>
      </c>
      <c r="I2600" s="87">
        <v>13409000</v>
      </c>
      <c r="K2600" s="85">
        <v>2022</v>
      </c>
      <c r="L2600" s="85">
        <v>11</v>
      </c>
      <c r="N2600" s="1" t="s">
        <v>1109</v>
      </c>
    </row>
    <row r="2601" spans="1:14">
      <c r="A2601" s="36" t="s">
        <v>33</v>
      </c>
      <c r="B2601" s="37">
        <v>44895</v>
      </c>
      <c r="C2601" s="36" t="s">
        <v>912</v>
      </c>
      <c r="D2601" s="36" t="s">
        <v>663</v>
      </c>
      <c r="E2601" s="36" t="s">
        <v>1100</v>
      </c>
      <c r="G2601" s="87">
        <v>9624350</v>
      </c>
      <c r="H2601" s="87">
        <v>962435</v>
      </c>
      <c r="I2601" s="87">
        <v>10586785</v>
      </c>
      <c r="K2601" s="85">
        <v>2022</v>
      </c>
      <c r="L2601" s="85">
        <v>11</v>
      </c>
      <c r="N2601" s="1" t="s">
        <v>44</v>
      </c>
    </row>
    <row r="2602" spans="1:14">
      <c r="A2602" s="36" t="s">
        <v>32</v>
      </c>
      <c r="B2602" s="37">
        <v>44895</v>
      </c>
      <c r="C2602" s="36" t="s">
        <v>474</v>
      </c>
      <c r="D2602" s="36" t="s">
        <v>804</v>
      </c>
      <c r="E2602" s="36" t="s">
        <v>148</v>
      </c>
      <c r="J2602" s="87">
        <v>8550300</v>
      </c>
      <c r="K2602" s="85">
        <v>2022</v>
      </c>
      <c r="L2602" s="85">
        <v>4</v>
      </c>
      <c r="N2602" s="208" t="s">
        <v>44</v>
      </c>
    </row>
    <row r="2603" spans="1:14">
      <c r="A2603" s="36" t="s">
        <v>32</v>
      </c>
      <c r="B2603" s="37">
        <v>44896</v>
      </c>
      <c r="C2603" s="36" t="s">
        <v>204</v>
      </c>
      <c r="D2603" s="36" t="s">
        <v>1078</v>
      </c>
      <c r="E2603" s="36" t="s">
        <v>1099</v>
      </c>
      <c r="J2603" s="87">
        <v>10207560</v>
      </c>
      <c r="K2603" s="85">
        <v>2022</v>
      </c>
      <c r="L2603" s="85">
        <v>10</v>
      </c>
      <c r="N2603" s="1" t="s">
        <v>44</v>
      </c>
    </row>
    <row r="2604" spans="1:14">
      <c r="A2604" s="36" t="s">
        <v>32</v>
      </c>
      <c r="B2604" s="37">
        <v>44896</v>
      </c>
      <c r="C2604" s="36" t="s">
        <v>204</v>
      </c>
      <c r="D2604" s="36" t="s">
        <v>1079</v>
      </c>
      <c r="E2604" s="36" t="s">
        <v>1099</v>
      </c>
      <c r="J2604" s="87">
        <v>2933040</v>
      </c>
      <c r="K2604" s="85">
        <v>2022</v>
      </c>
      <c r="L2604" s="85">
        <v>10</v>
      </c>
      <c r="N2604" s="1" t="s">
        <v>44</v>
      </c>
    </row>
    <row r="2605" spans="1:14">
      <c r="A2605" s="36" t="s">
        <v>32</v>
      </c>
      <c r="B2605" s="37">
        <v>44896</v>
      </c>
      <c r="C2605" s="36" t="s">
        <v>982</v>
      </c>
      <c r="D2605" s="36" t="s">
        <v>1019</v>
      </c>
      <c r="E2605" s="36" t="s">
        <v>250</v>
      </c>
      <c r="G2605" s="87">
        <v>-560000</v>
      </c>
      <c r="H2605" s="87">
        <v>-56000</v>
      </c>
      <c r="I2605" s="87">
        <v>-616000</v>
      </c>
      <c r="K2605" s="85">
        <v>2022</v>
      </c>
      <c r="L2605" s="85">
        <v>9</v>
      </c>
      <c r="N2605" s="1" t="s">
        <v>44</v>
      </c>
    </row>
    <row r="2606" spans="1:14">
      <c r="A2606" s="36" t="s">
        <v>33</v>
      </c>
      <c r="B2606" s="37">
        <v>44896</v>
      </c>
      <c r="C2606" s="36" t="s">
        <v>1022</v>
      </c>
      <c r="D2606" s="36" t="s">
        <v>1131</v>
      </c>
      <c r="E2606" s="36" t="s">
        <v>76</v>
      </c>
      <c r="G2606" s="87">
        <v>6000000</v>
      </c>
      <c r="H2606" s="87">
        <v>600000</v>
      </c>
      <c r="I2606" s="87">
        <v>6600000</v>
      </c>
      <c r="K2606" s="85">
        <v>2022</v>
      </c>
      <c r="L2606" s="85">
        <v>12</v>
      </c>
      <c r="N2606" s="1" t="s">
        <v>44</v>
      </c>
    </row>
    <row r="2607" spans="1:14">
      <c r="A2607" s="36" t="s">
        <v>33</v>
      </c>
      <c r="B2607" s="37">
        <v>44896</v>
      </c>
      <c r="C2607" s="36" t="s">
        <v>119</v>
      </c>
      <c r="D2607" s="36" t="s">
        <v>1083</v>
      </c>
      <c r="E2607" s="36" t="s">
        <v>76</v>
      </c>
      <c r="G2607" s="87">
        <v>14197500</v>
      </c>
      <c r="H2607" s="87">
        <v>1419750</v>
      </c>
      <c r="I2607" s="87">
        <v>15617250</v>
      </c>
      <c r="K2607" s="85">
        <v>2022</v>
      </c>
      <c r="L2607" s="85">
        <v>12</v>
      </c>
      <c r="N2607" s="1" t="s">
        <v>44</v>
      </c>
    </row>
    <row r="2608" spans="1:14">
      <c r="A2608" s="36" t="s">
        <v>32</v>
      </c>
      <c r="B2608" s="37">
        <v>44896</v>
      </c>
      <c r="C2608" s="36" t="s">
        <v>206</v>
      </c>
      <c r="D2608" s="36" t="s">
        <v>152</v>
      </c>
      <c r="E2608" s="36" t="s">
        <v>1099</v>
      </c>
      <c r="J2608" s="87">
        <v>3868590</v>
      </c>
      <c r="K2608" s="85">
        <v>2022</v>
      </c>
      <c r="L2608" s="85">
        <v>10</v>
      </c>
      <c r="N2608" s="1" t="s">
        <v>44</v>
      </c>
    </row>
    <row r="2609" spans="1:14">
      <c r="A2609" s="36" t="s">
        <v>33</v>
      </c>
      <c r="B2609" s="37">
        <v>44896</v>
      </c>
      <c r="C2609" s="36" t="s">
        <v>1007</v>
      </c>
      <c r="D2609" s="36" t="s">
        <v>1025</v>
      </c>
      <c r="E2609" s="36" t="s">
        <v>1099</v>
      </c>
      <c r="J2609" s="87">
        <v>6468550</v>
      </c>
      <c r="K2609" s="85">
        <v>2022</v>
      </c>
      <c r="L2609" s="85">
        <v>11</v>
      </c>
      <c r="N2609" s="1" t="s">
        <v>44</v>
      </c>
    </row>
    <row r="2610" spans="1:14">
      <c r="A2610" s="36" t="s">
        <v>32</v>
      </c>
      <c r="B2610" s="37">
        <v>44897</v>
      </c>
      <c r="C2610" s="36" t="s">
        <v>605</v>
      </c>
      <c r="D2610" s="36" t="s">
        <v>606</v>
      </c>
      <c r="E2610" s="36" t="s">
        <v>148</v>
      </c>
      <c r="J2610" s="87">
        <v>2310000</v>
      </c>
      <c r="K2610" s="85">
        <v>2022</v>
      </c>
      <c r="L2610" s="85">
        <v>6</v>
      </c>
      <c r="N2610" s="1" t="s">
        <v>44</v>
      </c>
    </row>
    <row r="2611" spans="1:14">
      <c r="A2611" s="36" t="s">
        <v>32</v>
      </c>
      <c r="B2611" s="37">
        <v>44897</v>
      </c>
      <c r="C2611" s="36" t="s">
        <v>654</v>
      </c>
      <c r="D2611" s="36" t="s">
        <v>994</v>
      </c>
      <c r="E2611" s="36" t="s">
        <v>148</v>
      </c>
      <c r="J2611" s="87">
        <v>94242170</v>
      </c>
      <c r="K2611" s="85">
        <v>2022</v>
      </c>
      <c r="L2611" s="85">
        <v>10</v>
      </c>
      <c r="N2611" s="1" t="s">
        <v>44</v>
      </c>
    </row>
    <row r="2612" spans="1:14">
      <c r="A2612" s="36" t="s">
        <v>32</v>
      </c>
      <c r="B2612" s="37">
        <v>44900</v>
      </c>
      <c r="C2612" s="36" t="s">
        <v>989</v>
      </c>
      <c r="D2612" s="36" t="s">
        <v>990</v>
      </c>
      <c r="E2612" s="36" t="s">
        <v>1102</v>
      </c>
      <c r="J2612" s="87">
        <v>7066840</v>
      </c>
      <c r="K2612" s="85">
        <v>2022</v>
      </c>
      <c r="L2612" s="85">
        <v>10</v>
      </c>
      <c r="N2612" s="1" t="s">
        <v>44</v>
      </c>
    </row>
    <row r="2613" spans="1:14">
      <c r="A2613" s="36" t="s">
        <v>32</v>
      </c>
      <c r="B2613" s="37">
        <v>44900</v>
      </c>
      <c r="C2613" s="36" t="s">
        <v>519</v>
      </c>
      <c r="D2613" s="36" t="s">
        <v>321</v>
      </c>
      <c r="E2613" s="36" t="s">
        <v>1102</v>
      </c>
      <c r="J2613" s="87">
        <v>2673000</v>
      </c>
      <c r="K2613" s="85">
        <v>2022</v>
      </c>
      <c r="L2613" s="85">
        <v>10</v>
      </c>
      <c r="N2613" s="1" t="s">
        <v>44</v>
      </c>
    </row>
    <row r="2614" spans="1:14">
      <c r="A2614" s="36" t="s">
        <v>33</v>
      </c>
      <c r="B2614" s="37">
        <v>44900</v>
      </c>
      <c r="C2614" s="36" t="s">
        <v>912</v>
      </c>
      <c r="D2614" s="36" t="s">
        <v>663</v>
      </c>
      <c r="E2614" s="36" t="s">
        <v>77</v>
      </c>
      <c r="J2614" s="38">
        <v>10586785</v>
      </c>
      <c r="K2614" s="85">
        <v>2022</v>
      </c>
      <c r="L2614" s="85">
        <v>11</v>
      </c>
      <c r="N2614" s="1" t="s">
        <v>44</v>
      </c>
    </row>
    <row r="2615" spans="1:14">
      <c r="A2615" s="36" t="s">
        <v>32</v>
      </c>
      <c r="B2615" s="37">
        <v>44901</v>
      </c>
      <c r="C2615" s="36" t="s">
        <v>466</v>
      </c>
      <c r="D2615" s="36" t="s">
        <v>467</v>
      </c>
      <c r="E2615" s="36" t="s">
        <v>1103</v>
      </c>
      <c r="J2615" s="38">
        <v>8243060</v>
      </c>
      <c r="K2615" s="85">
        <v>2022</v>
      </c>
      <c r="L2615" s="85">
        <v>10</v>
      </c>
      <c r="N2615" s="1" t="s">
        <v>44</v>
      </c>
    </row>
    <row r="2616" spans="1:14">
      <c r="A2616" s="36" t="s">
        <v>32</v>
      </c>
      <c r="B2616" s="37">
        <v>44901</v>
      </c>
      <c r="C2616" s="36" t="s">
        <v>466</v>
      </c>
      <c r="D2616" s="36" t="s">
        <v>467</v>
      </c>
      <c r="E2616" s="36" t="s">
        <v>997</v>
      </c>
      <c r="J2616" s="38">
        <v>67990</v>
      </c>
      <c r="K2616" s="85">
        <v>2022</v>
      </c>
      <c r="L2616" s="85">
        <v>10</v>
      </c>
      <c r="N2616" s="1" t="s">
        <v>44</v>
      </c>
    </row>
    <row r="2617" spans="1:14">
      <c r="A2617" s="36" t="s">
        <v>32</v>
      </c>
      <c r="B2617" s="37">
        <v>44903</v>
      </c>
      <c r="C2617" s="36" t="s">
        <v>925</v>
      </c>
      <c r="D2617" s="36" t="s">
        <v>926</v>
      </c>
      <c r="E2617" s="36" t="s">
        <v>77</v>
      </c>
      <c r="J2617" s="38">
        <v>2686640</v>
      </c>
      <c r="K2617" s="85">
        <v>2022</v>
      </c>
      <c r="L2617" s="85">
        <v>11</v>
      </c>
      <c r="N2617" s="1" t="s">
        <v>44</v>
      </c>
    </row>
    <row r="2618" spans="1:14">
      <c r="A2618" s="36" t="s">
        <v>33</v>
      </c>
      <c r="B2618" s="37">
        <v>44904</v>
      </c>
      <c r="C2618" s="36" t="s">
        <v>960</v>
      </c>
      <c r="D2618" s="36" t="s">
        <v>961</v>
      </c>
      <c r="E2618" s="36" t="s">
        <v>77</v>
      </c>
      <c r="J2618" s="38">
        <v>264000</v>
      </c>
      <c r="K2618" s="85">
        <v>2022</v>
      </c>
      <c r="L2618" s="85">
        <v>10</v>
      </c>
      <c r="N2618" s="1" t="s">
        <v>44</v>
      </c>
    </row>
    <row r="2619" spans="1:14">
      <c r="A2619" s="36" t="s">
        <v>32</v>
      </c>
      <c r="B2619" s="37">
        <v>44907</v>
      </c>
      <c r="C2619" s="36" t="s">
        <v>664</v>
      </c>
      <c r="D2619" s="36" t="s">
        <v>629</v>
      </c>
      <c r="E2619" s="36" t="s">
        <v>1113</v>
      </c>
      <c r="J2619" s="87">
        <v>1697520</v>
      </c>
      <c r="K2619" s="85">
        <v>2022</v>
      </c>
      <c r="L2619" s="85">
        <v>7</v>
      </c>
      <c r="N2619" s="1" t="s">
        <v>44</v>
      </c>
    </row>
    <row r="2620" spans="1:14">
      <c r="A2620" s="36" t="s">
        <v>32</v>
      </c>
      <c r="B2620" s="37">
        <v>44907</v>
      </c>
      <c r="C2620" s="36" t="s">
        <v>664</v>
      </c>
      <c r="D2620" s="36" t="s">
        <v>629</v>
      </c>
      <c r="E2620" s="36" t="s">
        <v>1113</v>
      </c>
      <c r="J2620" s="87">
        <v>3663000</v>
      </c>
      <c r="K2620" s="85">
        <v>2022</v>
      </c>
      <c r="L2620" s="85">
        <v>9</v>
      </c>
      <c r="N2620" s="1" t="s">
        <v>44</v>
      </c>
    </row>
    <row r="2621" spans="1:14">
      <c r="A2621" s="36" t="s">
        <v>32</v>
      </c>
      <c r="B2621" s="37">
        <v>44907</v>
      </c>
      <c r="C2621" s="36" t="s">
        <v>664</v>
      </c>
      <c r="D2621" s="36" t="s">
        <v>629</v>
      </c>
      <c r="E2621" s="36" t="s">
        <v>1113</v>
      </c>
      <c r="J2621" s="87">
        <v>587400</v>
      </c>
      <c r="K2621" s="85">
        <v>2022</v>
      </c>
      <c r="L2621" s="85">
        <v>10</v>
      </c>
      <c r="N2621" s="1" t="s">
        <v>44</v>
      </c>
    </row>
    <row r="2622" spans="1:14">
      <c r="A2622" s="36" t="s">
        <v>32</v>
      </c>
      <c r="B2622" s="37">
        <v>44907</v>
      </c>
      <c r="C2622" s="36" t="s">
        <v>640</v>
      </c>
      <c r="D2622" s="36" t="s">
        <v>763</v>
      </c>
      <c r="E2622" s="36" t="s">
        <v>77</v>
      </c>
      <c r="J2622" s="38">
        <v>440000</v>
      </c>
      <c r="K2622" s="85">
        <v>2022</v>
      </c>
      <c r="L2622" s="85">
        <v>11</v>
      </c>
      <c r="N2622" s="1" t="s">
        <v>44</v>
      </c>
    </row>
    <row r="2623" spans="1:14">
      <c r="A2623" s="36" t="s">
        <v>32</v>
      </c>
      <c r="B2623" s="37">
        <v>44907</v>
      </c>
      <c r="C2623" s="36" t="s">
        <v>987</v>
      </c>
      <c r="D2623" s="36" t="s">
        <v>1015</v>
      </c>
      <c r="E2623" s="36" t="s">
        <v>77</v>
      </c>
      <c r="J2623" s="87">
        <v>14630000</v>
      </c>
      <c r="K2623" s="85">
        <v>2022</v>
      </c>
      <c r="L2623" s="85">
        <v>10</v>
      </c>
      <c r="N2623" s="1" t="s">
        <v>44</v>
      </c>
    </row>
    <row r="2624" spans="1:14">
      <c r="A2624" s="36" t="s">
        <v>32</v>
      </c>
      <c r="B2624" s="37">
        <v>44907</v>
      </c>
      <c r="C2624" s="36" t="s">
        <v>987</v>
      </c>
      <c r="D2624" s="36" t="s">
        <v>988</v>
      </c>
      <c r="E2624" s="36" t="s">
        <v>77</v>
      </c>
      <c r="J2624" s="87">
        <v>9762500</v>
      </c>
      <c r="K2624" s="85">
        <v>2022</v>
      </c>
      <c r="L2624" s="85">
        <v>10</v>
      </c>
      <c r="N2624" s="1" t="s">
        <v>44</v>
      </c>
    </row>
    <row r="2625" spans="1:14">
      <c r="A2625" s="36" t="s">
        <v>32</v>
      </c>
      <c r="B2625" s="37">
        <v>44909</v>
      </c>
      <c r="C2625" s="36" t="s">
        <v>174</v>
      </c>
      <c r="D2625" s="36" t="s">
        <v>540</v>
      </c>
      <c r="E2625" s="36" t="s">
        <v>148</v>
      </c>
      <c r="J2625" s="87">
        <v>19849170</v>
      </c>
      <c r="K2625" s="85">
        <v>2022</v>
      </c>
      <c r="L2625" s="85">
        <v>6</v>
      </c>
      <c r="N2625" s="1" t="s">
        <v>44</v>
      </c>
    </row>
    <row r="2626" spans="1:14">
      <c r="A2626" s="36" t="s">
        <v>19</v>
      </c>
      <c r="B2626" s="37">
        <v>44910</v>
      </c>
      <c r="C2626" s="36" t="s">
        <v>1110</v>
      </c>
      <c r="D2626" s="36" t="s">
        <v>1111</v>
      </c>
      <c r="E2626" s="36" t="s">
        <v>1130</v>
      </c>
      <c r="J2626" s="87">
        <v>11422400</v>
      </c>
      <c r="K2626" s="85">
        <v>2022</v>
      </c>
      <c r="L2626" s="85">
        <v>11</v>
      </c>
      <c r="N2626" s="1" t="s">
        <v>84</v>
      </c>
    </row>
    <row r="2627" spans="1:14">
      <c r="A2627" s="36" t="s">
        <v>32</v>
      </c>
      <c r="B2627" s="37">
        <v>44910</v>
      </c>
      <c r="C2627" s="36" t="s">
        <v>677</v>
      </c>
      <c r="D2627" s="36" t="s">
        <v>825</v>
      </c>
      <c r="E2627" s="36" t="s">
        <v>1132</v>
      </c>
      <c r="J2627" s="87">
        <v>197374650</v>
      </c>
      <c r="K2627" s="85">
        <v>2022</v>
      </c>
      <c r="L2627" s="85">
        <v>11</v>
      </c>
      <c r="N2627" s="1" t="s">
        <v>44</v>
      </c>
    </row>
    <row r="2628" spans="1:14">
      <c r="A2628" s="36" t="s">
        <v>32</v>
      </c>
      <c r="B2628" s="37">
        <v>44910</v>
      </c>
      <c r="C2628" s="36" t="s">
        <v>268</v>
      </c>
      <c r="D2628" s="36" t="s">
        <v>954</v>
      </c>
      <c r="E2628" s="36" t="s">
        <v>1130</v>
      </c>
      <c r="J2628" s="87">
        <v>104387800</v>
      </c>
      <c r="K2628" s="85">
        <v>2022</v>
      </c>
      <c r="L2628" s="85">
        <v>11</v>
      </c>
      <c r="N2628" s="1" t="s">
        <v>44</v>
      </c>
    </row>
    <row r="2629" spans="1:14">
      <c r="A2629" s="36" t="s">
        <v>32</v>
      </c>
      <c r="B2629" s="37">
        <v>44911</v>
      </c>
      <c r="C2629" s="36" t="s">
        <v>1151</v>
      </c>
      <c r="D2629" s="36" t="s">
        <v>1153</v>
      </c>
      <c r="E2629" s="36" t="s">
        <v>78</v>
      </c>
      <c r="G2629" s="87">
        <v>1750000</v>
      </c>
      <c r="H2629" s="87">
        <v>175000</v>
      </c>
      <c r="I2629" s="87">
        <v>1925000</v>
      </c>
      <c r="K2629" s="85">
        <v>2022</v>
      </c>
      <c r="L2629" s="85">
        <v>12</v>
      </c>
      <c r="N2629" s="1" t="s">
        <v>44</v>
      </c>
    </row>
    <row r="2630" spans="1:14">
      <c r="A2630" s="36" t="s">
        <v>33</v>
      </c>
      <c r="B2630" s="37">
        <v>44911</v>
      </c>
      <c r="C2630" s="36" t="s">
        <v>1022</v>
      </c>
      <c r="D2630" s="36" t="s">
        <v>1131</v>
      </c>
      <c r="E2630" s="36" t="s">
        <v>77</v>
      </c>
      <c r="J2630" s="38">
        <v>6600000</v>
      </c>
      <c r="K2630" s="85">
        <v>2022</v>
      </c>
      <c r="L2630" s="85">
        <v>12</v>
      </c>
      <c r="N2630" s="1" t="s">
        <v>44</v>
      </c>
    </row>
    <row r="2631" spans="1:14">
      <c r="A2631" s="36" t="s">
        <v>32</v>
      </c>
      <c r="B2631" s="37">
        <v>44911</v>
      </c>
      <c r="C2631" s="36" t="s">
        <v>677</v>
      </c>
      <c r="D2631" s="36" t="s">
        <v>924</v>
      </c>
      <c r="E2631" s="36" t="s">
        <v>1132</v>
      </c>
      <c r="J2631" s="87">
        <v>56084600</v>
      </c>
      <c r="K2631" s="85">
        <v>2022</v>
      </c>
      <c r="L2631" s="85">
        <v>11</v>
      </c>
      <c r="N2631" s="1" t="s">
        <v>44</v>
      </c>
    </row>
    <row r="2632" spans="1:14">
      <c r="A2632" s="36" t="s">
        <v>32</v>
      </c>
      <c r="B2632" s="37">
        <v>44911</v>
      </c>
      <c r="C2632" s="36" t="s">
        <v>677</v>
      </c>
      <c r="D2632" s="36" t="s">
        <v>678</v>
      </c>
      <c r="E2632" s="36" t="s">
        <v>1132</v>
      </c>
      <c r="J2632" s="87">
        <v>80027222</v>
      </c>
      <c r="K2632" s="85">
        <v>2022</v>
      </c>
      <c r="L2632" s="85">
        <v>11</v>
      </c>
      <c r="N2632" s="1" t="s">
        <v>44</v>
      </c>
    </row>
    <row r="2633" spans="1:14">
      <c r="A2633" s="36" t="s">
        <v>19</v>
      </c>
      <c r="B2633" s="37">
        <v>44911</v>
      </c>
      <c r="C2633" s="36" t="s">
        <v>1106</v>
      </c>
      <c r="D2633" s="36" t="s">
        <v>1060</v>
      </c>
      <c r="E2633" s="36" t="s">
        <v>1132</v>
      </c>
      <c r="J2633" s="87">
        <v>13409000</v>
      </c>
      <c r="K2633" s="85">
        <v>2022</v>
      </c>
      <c r="L2633" s="85">
        <v>11</v>
      </c>
      <c r="N2633" s="1" t="s">
        <v>84</v>
      </c>
    </row>
    <row r="2634" spans="1:14">
      <c r="A2634" s="36" t="s">
        <v>33</v>
      </c>
      <c r="B2634" s="37">
        <v>44914</v>
      </c>
      <c r="C2634" s="36" t="s">
        <v>119</v>
      </c>
      <c r="D2634" s="36" t="s">
        <v>1048</v>
      </c>
      <c r="E2634" s="36" t="s">
        <v>1133</v>
      </c>
      <c r="J2634" s="87">
        <v>29425550</v>
      </c>
      <c r="K2634" s="85">
        <v>2022</v>
      </c>
      <c r="L2634" s="85">
        <v>11</v>
      </c>
      <c r="N2634" s="1" t="s">
        <v>44</v>
      </c>
    </row>
    <row r="2635" spans="1:14">
      <c r="A2635" s="36" t="s">
        <v>32</v>
      </c>
      <c r="B2635" s="37">
        <v>44914</v>
      </c>
      <c r="C2635" s="36" t="s">
        <v>987</v>
      </c>
      <c r="D2635" s="36" t="s">
        <v>1083</v>
      </c>
      <c r="E2635" s="36" t="s">
        <v>77</v>
      </c>
      <c r="J2635" s="87">
        <v>6118200</v>
      </c>
      <c r="K2635" s="85">
        <v>2022</v>
      </c>
      <c r="L2635" s="85">
        <v>10</v>
      </c>
      <c r="N2635" s="1" t="s">
        <v>44</v>
      </c>
    </row>
    <row r="2636" spans="1:14">
      <c r="A2636" s="36" t="s">
        <v>32</v>
      </c>
      <c r="B2636" s="37">
        <v>44915</v>
      </c>
      <c r="C2636" s="36" t="s">
        <v>664</v>
      </c>
      <c r="D2636" s="36" t="s">
        <v>1126</v>
      </c>
      <c r="E2636" s="36" t="s">
        <v>1135</v>
      </c>
      <c r="J2636" s="87">
        <v>13753850</v>
      </c>
      <c r="K2636" s="85">
        <v>2022</v>
      </c>
      <c r="L2636" s="85">
        <v>11</v>
      </c>
      <c r="N2636" s="1" t="s">
        <v>44</v>
      </c>
    </row>
    <row r="2637" spans="1:14">
      <c r="A2637" s="36" t="s">
        <v>32</v>
      </c>
      <c r="B2637" s="37">
        <v>44915</v>
      </c>
      <c r="C2637" s="36" t="s">
        <v>209</v>
      </c>
      <c r="D2637" s="36" t="s">
        <v>812</v>
      </c>
      <c r="E2637" s="36" t="s">
        <v>77</v>
      </c>
      <c r="J2637" s="38">
        <v>17094000</v>
      </c>
      <c r="K2637" s="85">
        <v>2022</v>
      </c>
      <c r="L2637" s="85">
        <v>11</v>
      </c>
      <c r="N2637" s="1" t="s">
        <v>44</v>
      </c>
    </row>
    <row r="2638" spans="1:14">
      <c r="A2638" s="36" t="s">
        <v>33</v>
      </c>
      <c r="B2638" s="37">
        <v>44915</v>
      </c>
      <c r="C2638" s="36" t="s">
        <v>131</v>
      </c>
      <c r="D2638" s="36" t="s">
        <v>439</v>
      </c>
      <c r="E2638" s="36" t="s">
        <v>1138</v>
      </c>
      <c r="G2638" s="87">
        <v>380000</v>
      </c>
      <c r="H2638" s="87">
        <v>38000</v>
      </c>
      <c r="I2638" s="87">
        <v>418000</v>
      </c>
      <c r="K2638" s="85">
        <v>2022</v>
      </c>
      <c r="L2638" s="85">
        <v>12</v>
      </c>
      <c r="N2638" s="1" t="s">
        <v>44</v>
      </c>
    </row>
    <row r="2639" spans="1:14">
      <c r="A2639" s="36" t="s">
        <v>33</v>
      </c>
      <c r="B2639" s="37">
        <v>44915</v>
      </c>
      <c r="C2639" s="36" t="s">
        <v>119</v>
      </c>
      <c r="D2639" s="36" t="s">
        <v>1083</v>
      </c>
      <c r="E2639" s="36" t="s">
        <v>1134</v>
      </c>
      <c r="J2639" s="87">
        <v>4841100</v>
      </c>
      <c r="K2639" s="85">
        <v>2022</v>
      </c>
      <c r="L2639" s="85">
        <v>10</v>
      </c>
      <c r="N2639" s="1" t="s">
        <v>44</v>
      </c>
    </row>
    <row r="2640" spans="1:14">
      <c r="A2640" s="36" t="s">
        <v>32</v>
      </c>
      <c r="B2640" s="37">
        <v>44915</v>
      </c>
      <c r="C2640" s="36" t="s">
        <v>307</v>
      </c>
      <c r="D2640" s="36" t="s">
        <v>980</v>
      </c>
      <c r="E2640" s="36" t="s">
        <v>78</v>
      </c>
      <c r="G2640" s="87">
        <v>1120000</v>
      </c>
      <c r="H2640" s="87">
        <v>112000</v>
      </c>
      <c r="I2640" s="87">
        <v>1232000</v>
      </c>
      <c r="K2640" s="85">
        <v>2022</v>
      </c>
      <c r="L2640" s="85">
        <v>12</v>
      </c>
      <c r="N2640" s="1" t="s">
        <v>44</v>
      </c>
    </row>
    <row r="2641" spans="1:14">
      <c r="A2641" s="36" t="s">
        <v>32</v>
      </c>
      <c r="B2641" s="37">
        <v>44916</v>
      </c>
      <c r="C2641" s="36" t="s">
        <v>209</v>
      </c>
      <c r="D2641" s="36" t="s">
        <v>812</v>
      </c>
      <c r="E2641" s="36" t="s">
        <v>77</v>
      </c>
      <c r="J2641" s="38">
        <v>4774000</v>
      </c>
      <c r="K2641" s="85">
        <v>2022</v>
      </c>
      <c r="L2641" s="85">
        <v>11</v>
      </c>
      <c r="N2641" s="1" t="s">
        <v>44</v>
      </c>
    </row>
    <row r="2642" spans="1:14">
      <c r="A2642" s="36" t="s">
        <v>33</v>
      </c>
      <c r="B2642" s="37">
        <v>44916</v>
      </c>
      <c r="C2642" s="36" t="s">
        <v>131</v>
      </c>
      <c r="D2642" s="36" t="s">
        <v>439</v>
      </c>
      <c r="E2642" s="36" t="s">
        <v>77</v>
      </c>
      <c r="J2642" s="38">
        <v>418000</v>
      </c>
      <c r="K2642" s="85">
        <v>2022</v>
      </c>
      <c r="L2642" s="85">
        <v>12</v>
      </c>
      <c r="N2642" s="1" t="s">
        <v>44</v>
      </c>
    </row>
    <row r="2643" spans="1:14">
      <c r="A2643" s="36" t="s">
        <v>32</v>
      </c>
      <c r="B2643" s="37">
        <v>44916</v>
      </c>
      <c r="C2643" s="36" t="s">
        <v>498</v>
      </c>
      <c r="D2643" s="36" t="s">
        <v>1127</v>
      </c>
      <c r="E2643" s="36" t="s">
        <v>1136</v>
      </c>
      <c r="J2643" s="38">
        <v>6303000</v>
      </c>
      <c r="K2643" s="85">
        <v>2022</v>
      </c>
      <c r="L2643" s="85">
        <v>11</v>
      </c>
      <c r="N2643" s="1" t="s">
        <v>44</v>
      </c>
    </row>
    <row r="2644" spans="1:14">
      <c r="A2644" s="36" t="s">
        <v>32</v>
      </c>
      <c r="B2644" s="37">
        <v>44916</v>
      </c>
      <c r="C2644" s="36" t="s">
        <v>1067</v>
      </c>
      <c r="D2644" s="36" t="s">
        <v>1076</v>
      </c>
      <c r="E2644" s="36" t="s">
        <v>1137</v>
      </c>
      <c r="J2644" s="87">
        <v>7854000</v>
      </c>
      <c r="K2644" s="85">
        <v>2022</v>
      </c>
      <c r="L2644" s="85">
        <v>10</v>
      </c>
      <c r="N2644" s="1" t="s">
        <v>44</v>
      </c>
    </row>
    <row r="2645" spans="1:14">
      <c r="A2645" s="36" t="s">
        <v>33</v>
      </c>
      <c r="B2645" s="37">
        <v>44917</v>
      </c>
      <c r="C2645" s="36" t="s">
        <v>971</v>
      </c>
      <c r="D2645" s="36" t="s">
        <v>987</v>
      </c>
      <c r="E2645" s="36" t="s">
        <v>1031</v>
      </c>
      <c r="G2645" s="87">
        <v>438500</v>
      </c>
      <c r="H2645" s="87">
        <v>43850</v>
      </c>
      <c r="I2645" s="87">
        <v>482350</v>
      </c>
      <c r="K2645" s="85">
        <v>2022</v>
      </c>
      <c r="L2645" s="85">
        <v>12</v>
      </c>
      <c r="N2645" s="1" t="s">
        <v>44</v>
      </c>
    </row>
    <row r="2646" spans="1:14">
      <c r="A2646" s="36" t="s">
        <v>33</v>
      </c>
      <c r="B2646" s="37">
        <v>44918</v>
      </c>
      <c r="C2646" s="36" t="s">
        <v>1139</v>
      </c>
      <c r="D2646" s="36" t="s">
        <v>1140</v>
      </c>
      <c r="E2646" s="36" t="s">
        <v>1141</v>
      </c>
      <c r="G2646" s="87">
        <v>702000</v>
      </c>
      <c r="H2646" s="87">
        <v>70200</v>
      </c>
      <c r="I2646" s="87">
        <v>772200</v>
      </c>
      <c r="K2646" s="85">
        <v>2022</v>
      </c>
      <c r="L2646" s="85">
        <v>12</v>
      </c>
      <c r="N2646" s="1" t="s">
        <v>44</v>
      </c>
    </row>
    <row r="2647" spans="1:14">
      <c r="A2647" s="36" t="s">
        <v>33</v>
      </c>
      <c r="B2647" s="37">
        <v>44918</v>
      </c>
      <c r="C2647" s="36" t="s">
        <v>1139</v>
      </c>
      <c r="D2647" s="36" t="s">
        <v>1140</v>
      </c>
      <c r="E2647" s="36" t="s">
        <v>77</v>
      </c>
      <c r="J2647" s="38">
        <v>772200</v>
      </c>
      <c r="K2647" s="85">
        <v>2022</v>
      </c>
      <c r="L2647" s="85">
        <v>12</v>
      </c>
      <c r="N2647" s="1" t="s">
        <v>44</v>
      </c>
    </row>
    <row r="2648" spans="1:14">
      <c r="A2648" s="36" t="s">
        <v>32</v>
      </c>
      <c r="B2648" s="37">
        <v>44921</v>
      </c>
      <c r="C2648" s="36" t="s">
        <v>209</v>
      </c>
      <c r="D2648" s="36" t="s">
        <v>928</v>
      </c>
      <c r="E2648" s="36" t="s">
        <v>76</v>
      </c>
      <c r="G2648" s="87">
        <v>3170400</v>
      </c>
      <c r="H2648" s="87">
        <v>317040</v>
      </c>
      <c r="I2648" s="87">
        <v>3487440</v>
      </c>
      <c r="K2648" s="85">
        <v>2022</v>
      </c>
      <c r="L2648" s="85">
        <v>12</v>
      </c>
      <c r="N2648" s="1" t="s">
        <v>44</v>
      </c>
    </row>
    <row r="2649" spans="1:14">
      <c r="A2649" s="36" t="s">
        <v>32</v>
      </c>
      <c r="B2649" s="37">
        <v>44921</v>
      </c>
      <c r="C2649" s="36" t="s">
        <v>204</v>
      </c>
      <c r="D2649" s="36" t="s">
        <v>1125</v>
      </c>
      <c r="E2649" s="36" t="s">
        <v>1142</v>
      </c>
      <c r="J2649" s="87">
        <v>7649400</v>
      </c>
      <c r="K2649" s="85">
        <v>2022</v>
      </c>
      <c r="L2649" s="85">
        <v>11</v>
      </c>
      <c r="N2649" s="1" t="s">
        <v>44</v>
      </c>
    </row>
    <row r="2650" spans="1:14">
      <c r="A2650" s="36" t="s">
        <v>32</v>
      </c>
      <c r="B2650" s="37">
        <v>44921</v>
      </c>
      <c r="C2650" s="36" t="s">
        <v>987</v>
      </c>
      <c r="D2650" s="36" t="s">
        <v>1082</v>
      </c>
      <c r="E2650" s="36" t="s">
        <v>973</v>
      </c>
      <c r="G2650" s="87">
        <v>938000</v>
      </c>
      <c r="H2650" s="87">
        <v>93800</v>
      </c>
      <c r="I2650" s="87">
        <v>1031800</v>
      </c>
      <c r="K2650" s="85">
        <v>2022</v>
      </c>
      <c r="L2650" s="85">
        <v>12</v>
      </c>
      <c r="N2650" s="1" t="s">
        <v>44</v>
      </c>
    </row>
    <row r="2651" spans="1:14">
      <c r="A2651" s="36" t="s">
        <v>32</v>
      </c>
      <c r="B2651" s="37">
        <v>44922</v>
      </c>
      <c r="C2651" s="36" t="s">
        <v>552</v>
      </c>
      <c r="D2651" s="36" t="s">
        <v>1011</v>
      </c>
      <c r="E2651" s="36" t="s">
        <v>1143</v>
      </c>
      <c r="J2651" s="87">
        <v>12296586</v>
      </c>
      <c r="K2651" s="85">
        <v>2022</v>
      </c>
      <c r="L2651" s="85">
        <v>11</v>
      </c>
      <c r="N2651" s="1" t="s">
        <v>44</v>
      </c>
    </row>
    <row r="2652" spans="1:14">
      <c r="A2652" s="36" t="s">
        <v>33</v>
      </c>
      <c r="B2652" s="37">
        <v>44923</v>
      </c>
      <c r="C2652" s="36" t="s">
        <v>590</v>
      </c>
      <c r="D2652" s="36" t="s">
        <v>1011</v>
      </c>
      <c r="E2652" s="36" t="s">
        <v>1144</v>
      </c>
      <c r="J2652" s="87">
        <v>11791290</v>
      </c>
      <c r="K2652" s="85">
        <v>2022</v>
      </c>
      <c r="L2652" s="85">
        <v>11</v>
      </c>
      <c r="M2652" s="36" t="s">
        <v>591</v>
      </c>
      <c r="N2652" s="1" t="s">
        <v>44</v>
      </c>
    </row>
    <row r="2653" spans="1:14">
      <c r="A2653" s="36" t="s">
        <v>32</v>
      </c>
      <c r="B2653" s="37">
        <v>44925</v>
      </c>
      <c r="C2653" s="36" t="s">
        <v>209</v>
      </c>
      <c r="D2653" s="36" t="s">
        <v>928</v>
      </c>
      <c r="E2653" s="36" t="s">
        <v>1145</v>
      </c>
      <c r="J2653" s="87">
        <v>9872940</v>
      </c>
      <c r="K2653" s="85">
        <v>2022</v>
      </c>
      <c r="L2653" s="85">
        <v>11</v>
      </c>
      <c r="N2653" s="1" t="s">
        <v>44</v>
      </c>
    </row>
    <row r="2654" spans="1:14">
      <c r="A2654" s="36" t="s">
        <v>32</v>
      </c>
      <c r="B2654" s="37">
        <v>44925</v>
      </c>
      <c r="C2654" s="36" t="s">
        <v>672</v>
      </c>
      <c r="D2654" s="36" t="s">
        <v>1119</v>
      </c>
      <c r="E2654" s="36" t="s">
        <v>1145</v>
      </c>
      <c r="J2654" s="87">
        <v>3300000</v>
      </c>
      <c r="K2654" s="85">
        <v>2022</v>
      </c>
      <c r="L2654" s="85">
        <v>11</v>
      </c>
      <c r="N2654" s="1" t="s">
        <v>44</v>
      </c>
    </row>
    <row r="2655" spans="1:14">
      <c r="A2655" s="36" t="s">
        <v>32</v>
      </c>
      <c r="B2655" s="37">
        <v>44925</v>
      </c>
      <c r="C2655" s="36" t="s">
        <v>204</v>
      </c>
      <c r="D2655" s="36" t="s">
        <v>674</v>
      </c>
      <c r="E2655" s="36" t="s">
        <v>1145</v>
      </c>
      <c r="J2655" s="87">
        <v>22462550</v>
      </c>
      <c r="K2655" s="85">
        <v>2022</v>
      </c>
      <c r="L2655" s="85">
        <v>11</v>
      </c>
      <c r="N2655" s="1" t="s">
        <v>44</v>
      </c>
    </row>
    <row r="2656" spans="1:14">
      <c r="A2656" s="36" t="s">
        <v>32</v>
      </c>
      <c r="B2656" s="37">
        <v>44925</v>
      </c>
      <c r="C2656" s="36" t="s">
        <v>264</v>
      </c>
      <c r="D2656" s="36" t="s">
        <v>1074</v>
      </c>
      <c r="E2656" s="36" t="s">
        <v>1145</v>
      </c>
      <c r="J2656" s="87">
        <v>17050000</v>
      </c>
      <c r="K2656" s="85">
        <v>2022</v>
      </c>
      <c r="L2656" s="85">
        <v>11</v>
      </c>
      <c r="N2656" s="1" t="s">
        <v>44</v>
      </c>
    </row>
    <row r="2657" spans="1:14">
      <c r="A2657" s="36" t="s">
        <v>32</v>
      </c>
      <c r="B2657" s="37">
        <v>44925</v>
      </c>
      <c r="C2657" s="36" t="s">
        <v>1066</v>
      </c>
      <c r="D2657" s="36" t="s">
        <v>1075</v>
      </c>
      <c r="E2657" s="36" t="s">
        <v>1146</v>
      </c>
      <c r="J2657" s="87">
        <v>18793456</v>
      </c>
      <c r="K2657" s="85">
        <v>2022</v>
      </c>
      <c r="L2657" s="85">
        <v>11</v>
      </c>
      <c r="N2657" s="1" t="s">
        <v>44</v>
      </c>
    </row>
    <row r="2658" spans="1:14">
      <c r="A2658" s="36" t="s">
        <v>32</v>
      </c>
      <c r="B2658" s="37">
        <v>44925</v>
      </c>
      <c r="C2658" s="36" t="s">
        <v>185</v>
      </c>
      <c r="D2658" s="36" t="s">
        <v>931</v>
      </c>
      <c r="E2658" s="36" t="s">
        <v>148</v>
      </c>
      <c r="J2658" s="87">
        <v>8981926.8000000007</v>
      </c>
      <c r="K2658" s="85">
        <v>2022</v>
      </c>
      <c r="L2658" s="85">
        <v>10</v>
      </c>
      <c r="M2658" s="36" t="s">
        <v>1147</v>
      </c>
      <c r="N2658" s="1" t="s">
        <v>44</v>
      </c>
    </row>
    <row r="2659" spans="1:14">
      <c r="A2659" s="36" t="s">
        <v>32</v>
      </c>
      <c r="B2659" s="37">
        <v>44925</v>
      </c>
      <c r="C2659" s="36" t="s">
        <v>185</v>
      </c>
      <c r="D2659" s="36" t="s">
        <v>778</v>
      </c>
      <c r="E2659" s="36" t="s">
        <v>1146</v>
      </c>
      <c r="J2659" s="87">
        <v>12956077.199999999</v>
      </c>
      <c r="K2659" s="85">
        <v>2022</v>
      </c>
      <c r="L2659" s="85">
        <v>11</v>
      </c>
      <c r="N2659" s="1" t="s">
        <v>44</v>
      </c>
    </row>
    <row r="2660" spans="1:14">
      <c r="A2660" s="36" t="s">
        <v>32</v>
      </c>
      <c r="B2660" s="37">
        <v>44925</v>
      </c>
      <c r="C2660" s="36" t="s">
        <v>185</v>
      </c>
      <c r="D2660" s="36" t="s">
        <v>932</v>
      </c>
      <c r="E2660" s="36" t="s">
        <v>1146</v>
      </c>
      <c r="J2660" s="87">
        <v>5790400</v>
      </c>
      <c r="K2660" s="85">
        <v>2022</v>
      </c>
      <c r="L2660" s="85">
        <v>11</v>
      </c>
      <c r="N2660" s="1" t="s">
        <v>44</v>
      </c>
    </row>
    <row r="2661" spans="1:14">
      <c r="A2661" s="36" t="s">
        <v>32</v>
      </c>
      <c r="B2661" s="37">
        <v>44925</v>
      </c>
      <c r="C2661" s="36" t="s">
        <v>185</v>
      </c>
      <c r="D2661" s="36" t="s">
        <v>931</v>
      </c>
      <c r="E2661" s="36" t="s">
        <v>148</v>
      </c>
      <c r="J2661" s="87">
        <v>2633400</v>
      </c>
      <c r="K2661" s="85">
        <v>2022</v>
      </c>
      <c r="L2661" s="85">
        <v>11</v>
      </c>
      <c r="M2661" s="36" t="s">
        <v>1147</v>
      </c>
      <c r="N2661" s="1" t="s">
        <v>44</v>
      </c>
    </row>
    <row r="2662" spans="1:14">
      <c r="A2662" s="36" t="s">
        <v>32</v>
      </c>
      <c r="B2662" s="37">
        <v>44925</v>
      </c>
      <c r="C2662" s="36" t="s">
        <v>307</v>
      </c>
      <c r="D2662" s="36" t="s">
        <v>980</v>
      </c>
      <c r="E2662" s="36" t="s">
        <v>77</v>
      </c>
      <c r="J2662" s="38">
        <v>1232000</v>
      </c>
      <c r="K2662" s="85">
        <v>2022</v>
      </c>
      <c r="L2662" s="85">
        <v>12</v>
      </c>
      <c r="N2662" s="1" t="s">
        <v>44</v>
      </c>
    </row>
    <row r="2663" spans="1:14">
      <c r="A2663" s="36" t="s">
        <v>32</v>
      </c>
      <c r="B2663" s="37">
        <v>44925</v>
      </c>
      <c r="C2663" s="36" t="s">
        <v>1115</v>
      </c>
      <c r="D2663" s="36" t="s">
        <v>1120</v>
      </c>
      <c r="E2663" s="36" t="s">
        <v>1146</v>
      </c>
      <c r="J2663" s="87">
        <v>14566860</v>
      </c>
      <c r="K2663" s="85">
        <v>2022</v>
      </c>
      <c r="L2663" s="85">
        <v>11</v>
      </c>
      <c r="N2663" s="1" t="s">
        <v>44</v>
      </c>
    </row>
    <row r="2664" spans="1:14">
      <c r="A2664" s="36" t="s">
        <v>32</v>
      </c>
      <c r="B2664" s="37">
        <v>44926</v>
      </c>
      <c r="C2664" s="36" t="s">
        <v>174</v>
      </c>
      <c r="D2664" s="36" t="s">
        <v>1155</v>
      </c>
      <c r="E2664" s="36" t="s">
        <v>76</v>
      </c>
      <c r="G2664" s="87">
        <v>7900700</v>
      </c>
      <c r="H2664" s="87">
        <v>790070</v>
      </c>
      <c r="I2664" s="87">
        <v>8690770</v>
      </c>
      <c r="K2664" s="85">
        <v>2022</v>
      </c>
      <c r="L2664" s="85">
        <v>12</v>
      </c>
      <c r="N2664" s="1" t="s">
        <v>44</v>
      </c>
    </row>
    <row r="2665" spans="1:14">
      <c r="A2665" s="36" t="s">
        <v>32</v>
      </c>
      <c r="B2665" s="37">
        <v>44926</v>
      </c>
      <c r="C2665" s="36" t="s">
        <v>209</v>
      </c>
      <c r="D2665" s="36" t="s">
        <v>812</v>
      </c>
      <c r="E2665" s="36" t="s">
        <v>76</v>
      </c>
      <c r="G2665" s="87">
        <v>8400000</v>
      </c>
      <c r="H2665" s="87">
        <v>840000</v>
      </c>
      <c r="I2665" s="87">
        <v>9240000</v>
      </c>
      <c r="K2665" s="85">
        <v>2022</v>
      </c>
      <c r="L2665" s="85">
        <v>12</v>
      </c>
      <c r="N2665" s="1" t="s">
        <v>44</v>
      </c>
    </row>
    <row r="2666" spans="1:14">
      <c r="A2666" s="36" t="s">
        <v>32</v>
      </c>
      <c r="B2666" s="37">
        <v>44926</v>
      </c>
      <c r="C2666" s="36" t="s">
        <v>209</v>
      </c>
      <c r="D2666" s="36" t="s">
        <v>1048</v>
      </c>
      <c r="E2666" s="36" t="s">
        <v>76</v>
      </c>
      <c r="G2666" s="87">
        <v>16042000</v>
      </c>
      <c r="H2666" s="87">
        <v>1604200</v>
      </c>
      <c r="I2666" s="87">
        <v>17646200</v>
      </c>
      <c r="K2666" s="85">
        <v>2022</v>
      </c>
      <c r="L2666" s="85">
        <v>12</v>
      </c>
      <c r="N2666" s="1" t="s">
        <v>44</v>
      </c>
    </row>
    <row r="2667" spans="1:14">
      <c r="A2667" s="36" t="s">
        <v>33</v>
      </c>
      <c r="B2667" s="37">
        <v>44926</v>
      </c>
      <c r="C2667" s="36" t="s">
        <v>1037</v>
      </c>
      <c r="D2667" s="36" t="s">
        <v>865</v>
      </c>
      <c r="E2667" s="36" t="s">
        <v>76</v>
      </c>
      <c r="G2667" s="87">
        <v>690000</v>
      </c>
      <c r="H2667" s="87">
        <v>69000</v>
      </c>
      <c r="I2667" s="87">
        <v>759000</v>
      </c>
      <c r="K2667" s="85">
        <v>2022</v>
      </c>
      <c r="L2667" s="85">
        <v>12</v>
      </c>
      <c r="N2667" s="1" t="s">
        <v>44</v>
      </c>
    </row>
    <row r="2668" spans="1:14">
      <c r="A2668" s="36" t="s">
        <v>32</v>
      </c>
      <c r="B2668" s="37">
        <v>44926</v>
      </c>
      <c r="C2668" s="36" t="s">
        <v>672</v>
      </c>
      <c r="D2668" s="36" t="s">
        <v>1154</v>
      </c>
      <c r="E2668" s="36" t="s">
        <v>78</v>
      </c>
      <c r="G2668" s="87">
        <v>2500000</v>
      </c>
      <c r="H2668" s="87">
        <v>250000</v>
      </c>
      <c r="I2668" s="87">
        <v>2750000</v>
      </c>
      <c r="K2668" s="85">
        <v>2022</v>
      </c>
      <c r="L2668" s="85">
        <v>12</v>
      </c>
      <c r="N2668" s="1" t="s">
        <v>44</v>
      </c>
    </row>
    <row r="2669" spans="1:14">
      <c r="A2669" s="36" t="s">
        <v>32</v>
      </c>
      <c r="B2669" s="37">
        <v>44926</v>
      </c>
      <c r="C2669" s="36" t="s">
        <v>1152</v>
      </c>
      <c r="D2669" s="36" t="s">
        <v>1014</v>
      </c>
      <c r="E2669" s="36" t="s">
        <v>76</v>
      </c>
      <c r="G2669" s="87">
        <v>6600000</v>
      </c>
      <c r="H2669" s="87">
        <v>660000</v>
      </c>
      <c r="I2669" s="87">
        <v>7260000</v>
      </c>
      <c r="K2669" s="85">
        <v>2022</v>
      </c>
      <c r="L2669" s="85">
        <v>12</v>
      </c>
      <c r="N2669" s="1" t="s">
        <v>44</v>
      </c>
    </row>
    <row r="2670" spans="1:14">
      <c r="A2670" s="36" t="s">
        <v>32</v>
      </c>
      <c r="B2670" s="37">
        <v>44926</v>
      </c>
      <c r="C2670" s="36" t="s">
        <v>925</v>
      </c>
      <c r="D2670" s="36" t="s">
        <v>926</v>
      </c>
      <c r="E2670" s="36" t="s">
        <v>76</v>
      </c>
      <c r="G2670" s="87">
        <v>2844500</v>
      </c>
      <c r="H2670" s="87">
        <v>284450</v>
      </c>
      <c r="I2670" s="87">
        <v>3128950</v>
      </c>
      <c r="K2670" s="85">
        <v>2022</v>
      </c>
      <c r="L2670" s="85">
        <v>12</v>
      </c>
      <c r="N2670" s="1" t="s">
        <v>44</v>
      </c>
    </row>
    <row r="2671" spans="1:14">
      <c r="A2671" s="36" t="s">
        <v>32</v>
      </c>
      <c r="B2671" s="37">
        <v>44926</v>
      </c>
      <c r="C2671" s="36" t="s">
        <v>677</v>
      </c>
      <c r="D2671" s="36" t="s">
        <v>825</v>
      </c>
      <c r="E2671" s="36" t="s">
        <v>76</v>
      </c>
      <c r="G2671" s="87">
        <v>182265000</v>
      </c>
      <c r="H2671" s="87">
        <v>18226500</v>
      </c>
      <c r="I2671" s="87">
        <v>200491500</v>
      </c>
      <c r="K2671" s="85">
        <v>2022</v>
      </c>
      <c r="L2671" s="85">
        <v>12</v>
      </c>
      <c r="N2671" s="1" t="s">
        <v>44</v>
      </c>
    </row>
    <row r="2672" spans="1:14">
      <c r="A2672" s="36" t="s">
        <v>32</v>
      </c>
      <c r="B2672" s="37">
        <v>44926</v>
      </c>
      <c r="C2672" s="36" t="s">
        <v>677</v>
      </c>
      <c r="D2672" s="36" t="s">
        <v>924</v>
      </c>
      <c r="E2672" s="36" t="s">
        <v>76</v>
      </c>
      <c r="G2672" s="87">
        <v>65057500</v>
      </c>
      <c r="H2672" s="87">
        <v>6505750</v>
      </c>
      <c r="I2672" s="87">
        <v>71563250</v>
      </c>
      <c r="K2672" s="85">
        <v>2022</v>
      </c>
      <c r="L2672" s="85">
        <v>12</v>
      </c>
      <c r="N2672" s="1" t="s">
        <v>44</v>
      </c>
    </row>
    <row r="2673" spans="1:14">
      <c r="A2673" s="36" t="s">
        <v>32</v>
      </c>
      <c r="B2673" s="37">
        <v>44926</v>
      </c>
      <c r="C2673" s="36" t="s">
        <v>677</v>
      </c>
      <c r="D2673" s="36" t="s">
        <v>678</v>
      </c>
      <c r="E2673" s="36" t="s">
        <v>76</v>
      </c>
      <c r="G2673" s="87">
        <v>61625000</v>
      </c>
      <c r="H2673" s="87">
        <v>6162500</v>
      </c>
      <c r="I2673" s="87">
        <v>67787500</v>
      </c>
      <c r="K2673" s="85">
        <v>2022</v>
      </c>
      <c r="L2673" s="85">
        <v>12</v>
      </c>
      <c r="N2673" s="1" t="s">
        <v>44</v>
      </c>
    </row>
    <row r="2674" spans="1:14">
      <c r="A2674" s="36" t="s">
        <v>33</v>
      </c>
      <c r="B2674" s="37">
        <v>44926</v>
      </c>
      <c r="C2674" s="36" t="s">
        <v>119</v>
      </c>
      <c r="D2674" s="36" t="s">
        <v>1048</v>
      </c>
      <c r="E2674" s="36" t="s">
        <v>76</v>
      </c>
      <c r="G2674" s="87">
        <v>16042000</v>
      </c>
      <c r="H2674" s="87">
        <v>1604200</v>
      </c>
      <c r="I2674" s="87">
        <v>17646200</v>
      </c>
      <c r="K2674" s="85">
        <v>2022</v>
      </c>
      <c r="L2674" s="85">
        <v>12</v>
      </c>
      <c r="N2674" s="1" t="s">
        <v>44</v>
      </c>
    </row>
    <row r="2675" spans="1:14">
      <c r="A2675" s="36" t="s">
        <v>32</v>
      </c>
      <c r="B2675" s="37">
        <v>44926</v>
      </c>
      <c r="C2675" s="36" t="s">
        <v>264</v>
      </c>
      <c r="D2675" s="36" t="s">
        <v>1074</v>
      </c>
      <c r="E2675" s="36" t="s">
        <v>76</v>
      </c>
      <c r="G2675" s="87">
        <v>10300000</v>
      </c>
      <c r="H2675" s="87">
        <v>1030000</v>
      </c>
      <c r="I2675" s="87">
        <v>11330000</v>
      </c>
      <c r="K2675" s="85">
        <v>2022</v>
      </c>
      <c r="L2675" s="85">
        <v>12</v>
      </c>
      <c r="N2675" s="1" t="s">
        <v>44</v>
      </c>
    </row>
    <row r="2676" spans="1:14">
      <c r="A2676" s="36" t="s">
        <v>33</v>
      </c>
      <c r="B2676" s="37">
        <v>44926</v>
      </c>
      <c r="C2676" s="36" t="s">
        <v>1150</v>
      </c>
      <c r="D2676" s="36" t="s">
        <v>928</v>
      </c>
      <c r="E2676" s="36" t="s">
        <v>973</v>
      </c>
      <c r="G2676" s="87">
        <v>6475000</v>
      </c>
      <c r="H2676" s="87">
        <v>647500</v>
      </c>
      <c r="I2676" s="87">
        <v>7122500</v>
      </c>
      <c r="K2676" s="85">
        <v>2022</v>
      </c>
      <c r="L2676" s="85">
        <v>12</v>
      </c>
      <c r="N2676" s="1" t="s">
        <v>44</v>
      </c>
    </row>
    <row r="2677" spans="1:14">
      <c r="A2677" s="36" t="s">
        <v>32</v>
      </c>
      <c r="B2677" s="37">
        <v>44926</v>
      </c>
      <c r="C2677" s="36" t="s">
        <v>881</v>
      </c>
      <c r="D2677" s="36" t="s">
        <v>877</v>
      </c>
      <c r="E2677" s="36" t="s">
        <v>76</v>
      </c>
      <c r="G2677" s="87">
        <v>169825000</v>
      </c>
      <c r="H2677" s="87">
        <v>16982500</v>
      </c>
      <c r="I2677" s="87">
        <v>186807500</v>
      </c>
      <c r="K2677" s="85">
        <v>2022</v>
      </c>
      <c r="L2677" s="85">
        <v>12</v>
      </c>
      <c r="N2677" s="1" t="s">
        <v>44</v>
      </c>
    </row>
    <row r="2678" spans="1:14">
      <c r="A2678" s="36" t="s">
        <v>32</v>
      </c>
      <c r="B2678" s="37">
        <v>44926</v>
      </c>
      <c r="C2678" s="36" t="s">
        <v>552</v>
      </c>
      <c r="D2678" s="36" t="s">
        <v>1011</v>
      </c>
      <c r="E2678" s="36" t="s">
        <v>76</v>
      </c>
      <c r="G2678" s="87">
        <v>23935455</v>
      </c>
      <c r="H2678" s="87">
        <v>2393545.5</v>
      </c>
      <c r="I2678" s="87">
        <v>26329000.5</v>
      </c>
      <c r="K2678" s="85">
        <v>2022</v>
      </c>
      <c r="L2678" s="85">
        <v>12</v>
      </c>
      <c r="N2678" s="1" t="s">
        <v>44</v>
      </c>
    </row>
    <row r="2679" spans="1:14">
      <c r="A2679" s="36" t="s">
        <v>32</v>
      </c>
      <c r="B2679" s="37">
        <v>44926</v>
      </c>
      <c r="C2679" s="36" t="s">
        <v>1066</v>
      </c>
      <c r="D2679" s="36" t="s">
        <v>1075</v>
      </c>
      <c r="E2679" s="36" t="s">
        <v>76</v>
      </c>
      <c r="G2679" s="87">
        <v>4715840</v>
      </c>
      <c r="H2679" s="87">
        <v>471584</v>
      </c>
      <c r="I2679" s="87">
        <v>5187424</v>
      </c>
      <c r="K2679" s="85">
        <v>2022</v>
      </c>
      <c r="L2679" s="85">
        <v>12</v>
      </c>
      <c r="N2679" s="1" t="s">
        <v>44</v>
      </c>
    </row>
    <row r="2680" spans="1:14">
      <c r="A2680" s="36" t="s">
        <v>32</v>
      </c>
      <c r="B2680" s="37">
        <v>44926</v>
      </c>
      <c r="C2680" s="36" t="s">
        <v>206</v>
      </c>
      <c r="D2680" s="36" t="s">
        <v>1157</v>
      </c>
      <c r="E2680" s="36" t="s">
        <v>78</v>
      </c>
      <c r="G2680" s="87">
        <v>5300100</v>
      </c>
      <c r="H2680" s="87">
        <v>530010</v>
      </c>
      <c r="I2680" s="87">
        <v>5830110</v>
      </c>
      <c r="K2680" s="85">
        <v>2022</v>
      </c>
      <c r="L2680" s="85">
        <v>12</v>
      </c>
      <c r="N2680" s="1" t="s">
        <v>44</v>
      </c>
    </row>
    <row r="2681" spans="1:14">
      <c r="A2681" s="36" t="s">
        <v>32</v>
      </c>
      <c r="B2681" s="37">
        <v>44926</v>
      </c>
      <c r="C2681" s="36" t="s">
        <v>185</v>
      </c>
      <c r="D2681" s="36" t="s">
        <v>932</v>
      </c>
      <c r="E2681" s="36" t="s">
        <v>76</v>
      </c>
      <c r="G2681" s="87">
        <v>9596736</v>
      </c>
      <c r="H2681" s="87">
        <v>959673.60000000009</v>
      </c>
      <c r="I2681" s="87">
        <v>10556409.6</v>
      </c>
      <c r="K2681" s="85">
        <v>2022</v>
      </c>
      <c r="L2681" s="85">
        <v>12</v>
      </c>
      <c r="N2681" s="1" t="s">
        <v>44</v>
      </c>
    </row>
    <row r="2682" spans="1:14">
      <c r="A2682" s="36" t="s">
        <v>32</v>
      </c>
      <c r="B2682" s="37">
        <v>44926</v>
      </c>
      <c r="C2682" s="36" t="s">
        <v>268</v>
      </c>
      <c r="D2682" s="36" t="s">
        <v>954</v>
      </c>
      <c r="E2682" s="36" t="s">
        <v>78</v>
      </c>
      <c r="G2682" s="87">
        <v>68065800</v>
      </c>
      <c r="H2682" s="87">
        <v>6806580</v>
      </c>
      <c r="I2682" s="87">
        <v>74872380</v>
      </c>
      <c r="K2682" s="85">
        <v>2022</v>
      </c>
      <c r="L2682" s="85">
        <v>12</v>
      </c>
      <c r="N2682" s="1" t="s">
        <v>44</v>
      </c>
    </row>
    <row r="2683" spans="1:14">
      <c r="A2683" s="36" t="s">
        <v>33</v>
      </c>
      <c r="B2683" s="37">
        <v>44926</v>
      </c>
      <c r="C2683" s="36" t="s">
        <v>590</v>
      </c>
      <c r="D2683" s="36" t="s">
        <v>1011</v>
      </c>
      <c r="E2683" s="36" t="s">
        <v>1149</v>
      </c>
      <c r="G2683" s="87">
        <v>21350227</v>
      </c>
      <c r="H2683" s="87">
        <v>2135022.7000000002</v>
      </c>
      <c r="I2683" s="87">
        <v>23485249.699999999</v>
      </c>
      <c r="K2683" s="85">
        <v>2022</v>
      </c>
      <c r="L2683" s="85">
        <v>12</v>
      </c>
      <c r="M2683" s="36" t="s">
        <v>591</v>
      </c>
      <c r="N2683" s="1" t="s">
        <v>44</v>
      </c>
    </row>
    <row r="2684" spans="1:14">
      <c r="A2684" s="36" t="s">
        <v>32</v>
      </c>
      <c r="B2684" s="37">
        <v>44926</v>
      </c>
      <c r="C2684" s="36" t="s">
        <v>188</v>
      </c>
      <c r="D2684" s="36" t="s">
        <v>1321</v>
      </c>
      <c r="E2684" s="36" t="s">
        <v>1290</v>
      </c>
      <c r="G2684" s="87">
        <v>728500</v>
      </c>
      <c r="H2684" s="87">
        <v>72850</v>
      </c>
      <c r="I2684" s="87">
        <v>801350</v>
      </c>
      <c r="K2684" s="85">
        <v>2022</v>
      </c>
      <c r="L2684" s="85">
        <v>12</v>
      </c>
      <c r="N2684" s="1" t="s">
        <v>44</v>
      </c>
    </row>
    <row r="2685" spans="1:14">
      <c r="A2685" s="36" t="s">
        <v>32</v>
      </c>
      <c r="B2685" s="37">
        <v>44926</v>
      </c>
      <c r="C2685" s="36" t="s">
        <v>519</v>
      </c>
      <c r="D2685" s="36" t="s">
        <v>321</v>
      </c>
      <c r="E2685" s="36" t="s">
        <v>76</v>
      </c>
      <c r="G2685" s="87">
        <v>5130000</v>
      </c>
      <c r="H2685" s="87">
        <v>513000</v>
      </c>
      <c r="I2685" s="87">
        <v>5643000</v>
      </c>
      <c r="K2685" s="85">
        <v>2022</v>
      </c>
      <c r="L2685" s="85">
        <v>12</v>
      </c>
      <c r="N2685" s="1" t="s">
        <v>44</v>
      </c>
    </row>
    <row r="2686" spans="1:14">
      <c r="A2686" s="36" t="s">
        <v>32</v>
      </c>
      <c r="B2686" s="37">
        <v>44926</v>
      </c>
      <c r="C2686" s="36" t="s">
        <v>466</v>
      </c>
      <c r="D2686" s="36" t="s">
        <v>467</v>
      </c>
      <c r="E2686" s="36" t="s">
        <v>76</v>
      </c>
      <c r="G2686" s="87">
        <v>9249000</v>
      </c>
      <c r="H2686" s="87">
        <v>924900</v>
      </c>
      <c r="I2686" s="87">
        <v>10173900</v>
      </c>
      <c r="K2686" s="85">
        <v>2022</v>
      </c>
      <c r="L2686" s="85">
        <v>12</v>
      </c>
      <c r="N2686" s="1" t="s">
        <v>44</v>
      </c>
    </row>
    <row r="2687" spans="1:14">
      <c r="A2687" s="36" t="s">
        <v>32</v>
      </c>
      <c r="B2687" s="37">
        <v>44926</v>
      </c>
      <c r="C2687" s="36" t="s">
        <v>1115</v>
      </c>
      <c r="D2687" s="36" t="s">
        <v>1120</v>
      </c>
      <c r="E2687" s="36" t="s">
        <v>76</v>
      </c>
      <c r="G2687" s="87">
        <v>7314400</v>
      </c>
      <c r="H2687" s="87">
        <v>731440</v>
      </c>
      <c r="I2687" s="87">
        <v>8045840</v>
      </c>
      <c r="K2687" s="85">
        <v>2022</v>
      </c>
      <c r="L2687" s="85">
        <v>12</v>
      </c>
      <c r="N2687" s="1" t="s">
        <v>44</v>
      </c>
    </row>
    <row r="2688" spans="1:14">
      <c r="A2688" s="36" t="s">
        <v>32</v>
      </c>
      <c r="B2688" s="37">
        <v>44926</v>
      </c>
      <c r="C2688" s="36" t="s">
        <v>654</v>
      </c>
      <c r="D2688" s="36" t="s">
        <v>1156</v>
      </c>
      <c r="E2688" s="36" t="s">
        <v>76</v>
      </c>
      <c r="G2688" s="87">
        <v>858600</v>
      </c>
      <c r="H2688" s="87">
        <v>85860</v>
      </c>
      <c r="I2688" s="87">
        <v>944460</v>
      </c>
      <c r="K2688" s="85">
        <v>2022</v>
      </c>
      <c r="L2688" s="85">
        <v>12</v>
      </c>
      <c r="N2688" s="1" t="s">
        <v>44</v>
      </c>
    </row>
    <row r="2689" spans="1:14">
      <c r="A2689" s="36" t="s">
        <v>32</v>
      </c>
      <c r="B2689" s="37">
        <v>44926</v>
      </c>
      <c r="C2689" s="36" t="s">
        <v>654</v>
      </c>
      <c r="D2689" s="36" t="s">
        <v>994</v>
      </c>
      <c r="E2689" s="36" t="s">
        <v>76</v>
      </c>
      <c r="G2689" s="87">
        <v>64373600</v>
      </c>
      <c r="H2689" s="87">
        <v>6437360</v>
      </c>
      <c r="I2689" s="87">
        <v>70810960</v>
      </c>
      <c r="K2689" s="85">
        <v>2022</v>
      </c>
      <c r="L2689" s="85">
        <v>12</v>
      </c>
      <c r="N2689" s="1" t="s">
        <v>44</v>
      </c>
    </row>
    <row r="2690" spans="1:14">
      <c r="A2690" s="36" t="s">
        <v>32</v>
      </c>
      <c r="B2690" s="37">
        <v>44926</v>
      </c>
      <c r="C2690" s="36" t="s">
        <v>654</v>
      </c>
      <c r="D2690" s="36" t="s">
        <v>994</v>
      </c>
      <c r="E2690" s="36" t="s">
        <v>76</v>
      </c>
      <c r="G2690" s="87">
        <v>56435600</v>
      </c>
      <c r="H2690" s="87">
        <v>5643560</v>
      </c>
      <c r="I2690" s="87">
        <v>62079160</v>
      </c>
      <c r="K2690" s="85">
        <v>2022</v>
      </c>
      <c r="L2690" s="85">
        <v>12</v>
      </c>
      <c r="N2690" s="1" t="s">
        <v>44</v>
      </c>
    </row>
    <row r="2691" spans="1:14">
      <c r="A2691" s="36" t="s">
        <v>32</v>
      </c>
      <c r="B2691" s="37">
        <v>44928</v>
      </c>
      <c r="C2691" s="36" t="s">
        <v>466</v>
      </c>
      <c r="D2691" s="36" t="s">
        <v>467</v>
      </c>
      <c r="E2691" s="36" t="s">
        <v>76</v>
      </c>
      <c r="G2691" s="87">
        <v>-1269000</v>
      </c>
      <c r="H2691" s="87">
        <v>-126900</v>
      </c>
      <c r="I2691" s="87">
        <v>-1395900</v>
      </c>
      <c r="K2691" s="85">
        <v>2022</v>
      </c>
      <c r="L2691" s="85">
        <v>12</v>
      </c>
      <c r="N2691" s="1" t="s">
        <v>44</v>
      </c>
    </row>
    <row r="2692" spans="1:14">
      <c r="A2692" s="36" t="s">
        <v>32</v>
      </c>
      <c r="B2692" s="37">
        <v>44930</v>
      </c>
      <c r="C2692" s="36" t="s">
        <v>204</v>
      </c>
      <c r="D2692" s="36" t="s">
        <v>1123</v>
      </c>
      <c r="E2692" s="36" t="s">
        <v>148</v>
      </c>
      <c r="J2692" s="87">
        <v>7256700</v>
      </c>
      <c r="K2692" s="85">
        <v>2022</v>
      </c>
      <c r="L2692" s="85">
        <v>11</v>
      </c>
      <c r="N2692" s="1" t="s">
        <v>44</v>
      </c>
    </row>
    <row r="2693" spans="1:14">
      <c r="A2693" s="36" t="s">
        <v>32</v>
      </c>
      <c r="B2693" s="37">
        <v>44930</v>
      </c>
      <c r="C2693" s="36" t="s">
        <v>204</v>
      </c>
      <c r="D2693" s="36" t="s">
        <v>1124</v>
      </c>
      <c r="E2693" s="36" t="s">
        <v>148</v>
      </c>
      <c r="J2693" s="87">
        <v>1375000</v>
      </c>
      <c r="K2693" s="85">
        <v>2022</v>
      </c>
      <c r="L2693" s="85">
        <v>11</v>
      </c>
      <c r="N2693" s="1" t="s">
        <v>44</v>
      </c>
    </row>
    <row r="2694" spans="1:14">
      <c r="A2694" s="36" t="s">
        <v>32</v>
      </c>
      <c r="B2694" s="37">
        <v>44930</v>
      </c>
      <c r="C2694" s="36" t="s">
        <v>987</v>
      </c>
      <c r="D2694" s="36" t="s">
        <v>1082</v>
      </c>
      <c r="E2694" s="36" t="s">
        <v>1158</v>
      </c>
      <c r="J2694" s="87">
        <v>1031800</v>
      </c>
      <c r="K2694" s="85">
        <v>2022</v>
      </c>
      <c r="L2694" s="85">
        <v>12</v>
      </c>
      <c r="N2694" s="1" t="s">
        <v>44</v>
      </c>
    </row>
    <row r="2695" spans="1:14">
      <c r="A2695" s="36" t="s">
        <v>32</v>
      </c>
      <c r="B2695" s="37">
        <v>44930</v>
      </c>
      <c r="C2695" s="36" t="s">
        <v>466</v>
      </c>
      <c r="D2695" s="36" t="s">
        <v>467</v>
      </c>
      <c r="E2695" s="36" t="s">
        <v>1148</v>
      </c>
      <c r="J2695" s="38">
        <v>13297450</v>
      </c>
      <c r="K2695" s="85">
        <v>2022</v>
      </c>
      <c r="L2695" s="85">
        <v>11</v>
      </c>
      <c r="N2695" s="1" t="s">
        <v>44</v>
      </c>
    </row>
    <row r="2696" spans="1:14">
      <c r="A2696" s="36" t="s">
        <v>32</v>
      </c>
      <c r="B2696" s="37">
        <v>44930</v>
      </c>
      <c r="C2696" s="36" t="s">
        <v>466</v>
      </c>
      <c r="D2696" s="36" t="s">
        <v>467</v>
      </c>
      <c r="E2696" s="36" t="s">
        <v>997</v>
      </c>
      <c r="J2696" s="38">
        <v>109680</v>
      </c>
      <c r="K2696" s="85">
        <v>2022</v>
      </c>
      <c r="L2696" s="85">
        <v>11</v>
      </c>
      <c r="N2696" s="1" t="s">
        <v>44</v>
      </c>
    </row>
    <row r="2697" spans="1:14">
      <c r="A2697" s="36" t="s">
        <v>32</v>
      </c>
      <c r="B2697" s="37">
        <v>44931</v>
      </c>
      <c r="C2697" s="36" t="s">
        <v>204</v>
      </c>
      <c r="D2697" s="36" t="s">
        <v>1078</v>
      </c>
      <c r="E2697" s="36" t="s">
        <v>78</v>
      </c>
      <c r="G2697" s="87">
        <v>2690400</v>
      </c>
      <c r="H2697" s="87">
        <v>269040</v>
      </c>
      <c r="I2697" s="87">
        <v>2959440</v>
      </c>
      <c r="K2697" s="85">
        <v>2023</v>
      </c>
      <c r="L2697" s="85">
        <v>1</v>
      </c>
      <c r="N2697" s="1" t="s">
        <v>44</v>
      </c>
    </row>
    <row r="2698" spans="1:14">
      <c r="A2698" s="36" t="s">
        <v>32</v>
      </c>
      <c r="B2698" s="37">
        <v>44931</v>
      </c>
      <c r="C2698" s="36" t="s">
        <v>204</v>
      </c>
      <c r="D2698" s="36" t="s">
        <v>1165</v>
      </c>
      <c r="E2698" s="36" t="s">
        <v>78</v>
      </c>
      <c r="G2698" s="87">
        <v>9449800</v>
      </c>
      <c r="H2698" s="87">
        <v>944980</v>
      </c>
      <c r="I2698" s="87">
        <v>10394780</v>
      </c>
      <c r="K2698" s="85">
        <v>2023</v>
      </c>
      <c r="L2698" s="85">
        <v>1</v>
      </c>
      <c r="N2698" s="1" t="s">
        <v>44</v>
      </c>
    </row>
    <row r="2699" spans="1:14">
      <c r="A2699" s="36" t="s">
        <v>32</v>
      </c>
      <c r="B2699" s="37">
        <v>44931</v>
      </c>
      <c r="C2699" s="36" t="s">
        <v>519</v>
      </c>
      <c r="D2699" s="36" t="s">
        <v>321</v>
      </c>
      <c r="E2699" s="36" t="s">
        <v>148</v>
      </c>
      <c r="J2699" s="87">
        <v>891000</v>
      </c>
      <c r="K2699" s="85">
        <v>2022</v>
      </c>
      <c r="L2699" s="85">
        <v>11</v>
      </c>
      <c r="N2699" s="1" t="s">
        <v>44</v>
      </c>
    </row>
    <row r="2700" spans="1:14">
      <c r="A2700" s="36" t="s">
        <v>32</v>
      </c>
      <c r="B2700" s="37">
        <v>44932</v>
      </c>
      <c r="C2700" s="36" t="s">
        <v>654</v>
      </c>
      <c r="D2700" s="36" t="s">
        <v>994</v>
      </c>
      <c r="E2700" s="36" t="s">
        <v>1158</v>
      </c>
      <c r="J2700" s="87">
        <v>70810960</v>
      </c>
      <c r="K2700" s="85">
        <v>2022</v>
      </c>
      <c r="L2700" s="85">
        <v>12</v>
      </c>
      <c r="N2700" s="1" t="s">
        <v>44</v>
      </c>
    </row>
    <row r="2701" spans="1:14">
      <c r="A2701" s="36" t="s">
        <v>32</v>
      </c>
      <c r="B2701" s="37">
        <v>44936</v>
      </c>
      <c r="C2701" s="36" t="s">
        <v>664</v>
      </c>
      <c r="D2701" s="36" t="s">
        <v>629</v>
      </c>
      <c r="E2701" s="36" t="s">
        <v>148</v>
      </c>
      <c r="J2701" s="87">
        <v>2123000</v>
      </c>
      <c r="K2701" s="85">
        <v>2022</v>
      </c>
      <c r="L2701" s="85">
        <v>11</v>
      </c>
      <c r="N2701" s="1" t="s">
        <v>44</v>
      </c>
    </row>
    <row r="2702" spans="1:14">
      <c r="A2702" s="36" t="s">
        <v>32</v>
      </c>
      <c r="B2702" s="37">
        <v>44936</v>
      </c>
      <c r="C2702" s="36" t="s">
        <v>920</v>
      </c>
      <c r="D2702" s="36" t="s">
        <v>1071</v>
      </c>
      <c r="E2702" s="36" t="s">
        <v>77</v>
      </c>
      <c r="J2702" s="87">
        <v>9448156.3000000007</v>
      </c>
      <c r="K2702" s="85">
        <v>2022</v>
      </c>
      <c r="L2702" s="85">
        <v>10</v>
      </c>
      <c r="N2702" s="1" t="s">
        <v>44</v>
      </c>
    </row>
    <row r="2703" spans="1:14">
      <c r="A2703" s="36" t="s">
        <v>32</v>
      </c>
      <c r="B2703" s="37">
        <v>44938</v>
      </c>
      <c r="C2703" s="36" t="s">
        <v>209</v>
      </c>
      <c r="D2703" s="36" t="s">
        <v>1048</v>
      </c>
      <c r="E2703" s="36" t="s">
        <v>1159</v>
      </c>
      <c r="J2703" s="87">
        <v>17646200</v>
      </c>
      <c r="K2703" s="85">
        <v>2022</v>
      </c>
      <c r="L2703" s="85">
        <v>12</v>
      </c>
      <c r="N2703" s="1" t="s">
        <v>44</v>
      </c>
    </row>
    <row r="2704" spans="1:14">
      <c r="A2704" s="36" t="s">
        <v>32</v>
      </c>
      <c r="B2704" s="37">
        <v>44938</v>
      </c>
      <c r="C2704" s="36" t="s">
        <v>991</v>
      </c>
      <c r="D2704" s="36" t="s">
        <v>992</v>
      </c>
      <c r="E2704" s="36" t="s">
        <v>76</v>
      </c>
      <c r="G2704" s="87">
        <v>10345700</v>
      </c>
      <c r="H2704" s="87">
        <v>1034570</v>
      </c>
      <c r="I2704" s="87">
        <v>11380270</v>
      </c>
      <c r="K2704" s="85">
        <v>2023</v>
      </c>
      <c r="L2704" s="85">
        <v>1</v>
      </c>
      <c r="N2704" s="1" t="s">
        <v>44</v>
      </c>
    </row>
    <row r="2705" spans="1:14">
      <c r="A2705" s="36" t="s">
        <v>32</v>
      </c>
      <c r="B2705" s="37">
        <v>44938</v>
      </c>
      <c r="C2705" s="36" t="s">
        <v>991</v>
      </c>
      <c r="D2705" s="36" t="s">
        <v>992</v>
      </c>
      <c r="E2705" s="36" t="s">
        <v>1160</v>
      </c>
      <c r="J2705" s="87">
        <v>5014460</v>
      </c>
      <c r="K2705" s="85">
        <v>2022</v>
      </c>
      <c r="L2705" s="85">
        <v>10</v>
      </c>
      <c r="N2705" s="1" t="s">
        <v>44</v>
      </c>
    </row>
    <row r="2706" spans="1:14">
      <c r="A2706" s="36" t="s">
        <v>32</v>
      </c>
      <c r="B2706" s="37">
        <v>44939</v>
      </c>
      <c r="C2706" s="36" t="s">
        <v>268</v>
      </c>
      <c r="D2706" s="36" t="s">
        <v>954</v>
      </c>
      <c r="E2706" s="36" t="s">
        <v>1161</v>
      </c>
      <c r="J2706" s="87">
        <v>74872380</v>
      </c>
      <c r="K2706" s="85">
        <v>2022</v>
      </c>
      <c r="L2706" s="85">
        <v>12</v>
      </c>
      <c r="N2706" s="1" t="s">
        <v>44</v>
      </c>
    </row>
    <row r="2707" spans="1:14">
      <c r="A2707" s="36" t="s">
        <v>32</v>
      </c>
      <c r="B2707" s="37">
        <v>44942</v>
      </c>
      <c r="C2707" s="36" t="s">
        <v>677</v>
      </c>
      <c r="D2707" s="36" t="s">
        <v>825</v>
      </c>
      <c r="E2707" s="36" t="s">
        <v>1162</v>
      </c>
      <c r="J2707" s="87">
        <v>200491500</v>
      </c>
      <c r="K2707" s="85">
        <v>2022</v>
      </c>
      <c r="L2707" s="85">
        <v>12</v>
      </c>
      <c r="N2707" s="1" t="s">
        <v>44</v>
      </c>
    </row>
    <row r="2708" spans="1:14">
      <c r="A2708" s="36" t="s">
        <v>33</v>
      </c>
      <c r="B2708" s="37">
        <v>44942</v>
      </c>
      <c r="C2708" s="36" t="s">
        <v>119</v>
      </c>
      <c r="D2708" s="36" t="s">
        <v>1083</v>
      </c>
      <c r="E2708" s="36" t="s">
        <v>1162</v>
      </c>
      <c r="J2708" s="87">
        <v>15617250</v>
      </c>
      <c r="K2708" s="85">
        <v>2022</v>
      </c>
      <c r="L2708" s="85">
        <v>12</v>
      </c>
      <c r="N2708" s="1" t="s">
        <v>44</v>
      </c>
    </row>
    <row r="2709" spans="1:14">
      <c r="A2709" s="36" t="s">
        <v>32</v>
      </c>
      <c r="B2709" s="37">
        <v>44942</v>
      </c>
      <c r="C2709" s="36" t="s">
        <v>987</v>
      </c>
      <c r="D2709" s="36" t="s">
        <v>1083</v>
      </c>
      <c r="E2709" s="36" t="s">
        <v>77</v>
      </c>
      <c r="J2709" s="87">
        <v>20691000</v>
      </c>
      <c r="K2709" s="85">
        <v>2022</v>
      </c>
      <c r="L2709" s="85">
        <v>11</v>
      </c>
      <c r="N2709" s="1" t="s">
        <v>44</v>
      </c>
    </row>
    <row r="2710" spans="1:14">
      <c r="A2710" s="36" t="s">
        <v>32</v>
      </c>
      <c r="B2710" s="37">
        <v>44943</v>
      </c>
      <c r="C2710" s="36" t="s">
        <v>1152</v>
      </c>
      <c r="D2710" s="36" t="s">
        <v>1014</v>
      </c>
      <c r="E2710" s="36" t="s">
        <v>1163</v>
      </c>
      <c r="J2710" s="87">
        <v>7260000</v>
      </c>
      <c r="K2710" s="85">
        <v>2022</v>
      </c>
      <c r="L2710" s="85">
        <v>12</v>
      </c>
      <c r="N2710" s="1" t="s">
        <v>44</v>
      </c>
    </row>
    <row r="2711" spans="1:14">
      <c r="A2711" s="36" t="s">
        <v>32</v>
      </c>
      <c r="B2711" s="37">
        <v>44943</v>
      </c>
      <c r="C2711" s="36" t="s">
        <v>677</v>
      </c>
      <c r="D2711" s="36" t="s">
        <v>678</v>
      </c>
      <c r="E2711" s="36" t="s">
        <v>1163</v>
      </c>
      <c r="J2711" s="87">
        <v>67787500</v>
      </c>
      <c r="K2711" s="85">
        <v>2022</v>
      </c>
      <c r="L2711" s="85">
        <v>12</v>
      </c>
      <c r="N2711" s="1" t="s">
        <v>44</v>
      </c>
    </row>
    <row r="2712" spans="1:14">
      <c r="A2712" s="36" t="s">
        <v>33</v>
      </c>
      <c r="B2712" s="37">
        <v>44943</v>
      </c>
      <c r="C2712" s="36" t="s">
        <v>590</v>
      </c>
      <c r="D2712" s="36" t="s">
        <v>1011</v>
      </c>
      <c r="E2712" s="36" t="s">
        <v>1163</v>
      </c>
      <c r="J2712" s="38">
        <v>11485249</v>
      </c>
      <c r="K2712" s="85">
        <v>2022</v>
      </c>
      <c r="L2712" s="85">
        <v>12</v>
      </c>
      <c r="M2712" s="36" t="s">
        <v>591</v>
      </c>
      <c r="N2712" s="1" t="s">
        <v>44</v>
      </c>
    </row>
    <row r="2713" spans="1:14">
      <c r="A2713" s="36" t="s">
        <v>32</v>
      </c>
      <c r="B2713" s="37">
        <v>44943</v>
      </c>
      <c r="C2713" s="36" t="s">
        <v>1164</v>
      </c>
      <c r="D2713" s="36" t="s">
        <v>1117</v>
      </c>
      <c r="E2713" s="36" t="s">
        <v>76</v>
      </c>
      <c r="G2713" s="87">
        <v>2568600</v>
      </c>
      <c r="H2713" s="87">
        <v>256860</v>
      </c>
      <c r="I2713" s="87">
        <v>2825460</v>
      </c>
      <c r="K2713" s="85">
        <v>2023</v>
      </c>
      <c r="L2713" s="85">
        <v>1</v>
      </c>
      <c r="N2713" s="1" t="s">
        <v>44</v>
      </c>
    </row>
    <row r="2714" spans="1:14">
      <c r="A2714" s="36" t="s">
        <v>32</v>
      </c>
      <c r="B2714" s="37">
        <v>44943</v>
      </c>
      <c r="C2714" s="36" t="s">
        <v>1164</v>
      </c>
      <c r="D2714" s="36" t="s">
        <v>1117</v>
      </c>
      <c r="E2714" s="36" t="s">
        <v>1192</v>
      </c>
      <c r="J2714" s="38">
        <v>2825460</v>
      </c>
      <c r="K2714" s="85">
        <v>2023</v>
      </c>
      <c r="L2714" s="85">
        <v>1</v>
      </c>
      <c r="N2714" s="1" t="s">
        <v>44</v>
      </c>
    </row>
    <row r="2715" spans="1:14">
      <c r="A2715" s="36" t="s">
        <v>32</v>
      </c>
      <c r="B2715" s="37">
        <v>44944</v>
      </c>
      <c r="C2715" s="36" t="s">
        <v>677</v>
      </c>
      <c r="D2715" s="36" t="s">
        <v>924</v>
      </c>
      <c r="E2715" s="36" t="s">
        <v>1167</v>
      </c>
      <c r="J2715" s="87">
        <v>71563250</v>
      </c>
      <c r="K2715" s="85">
        <v>2022</v>
      </c>
      <c r="L2715" s="85">
        <v>12</v>
      </c>
      <c r="N2715" s="1" t="s">
        <v>44</v>
      </c>
    </row>
    <row r="2716" spans="1:14">
      <c r="A2716" s="36" t="s">
        <v>33</v>
      </c>
      <c r="B2716" s="37">
        <v>44944</v>
      </c>
      <c r="C2716" s="36" t="s">
        <v>971</v>
      </c>
      <c r="D2716" s="36" t="s">
        <v>987</v>
      </c>
      <c r="E2716" s="36" t="s">
        <v>1166</v>
      </c>
      <c r="J2716" s="87">
        <v>482350</v>
      </c>
      <c r="K2716" s="85">
        <v>2022</v>
      </c>
      <c r="L2716" s="85">
        <v>12</v>
      </c>
      <c r="N2716" s="1" t="s">
        <v>44</v>
      </c>
    </row>
    <row r="2717" spans="1:14">
      <c r="A2717" s="36" t="s">
        <v>32</v>
      </c>
      <c r="B2717" s="37">
        <v>44945</v>
      </c>
      <c r="C2717" s="36" t="s">
        <v>209</v>
      </c>
      <c r="D2717" s="36" t="s">
        <v>812</v>
      </c>
      <c r="E2717" s="36" t="s">
        <v>1167</v>
      </c>
      <c r="J2717" s="87">
        <v>9240000</v>
      </c>
      <c r="K2717" s="85">
        <v>2022</v>
      </c>
      <c r="L2717" s="85">
        <v>12</v>
      </c>
      <c r="N2717" s="1" t="s">
        <v>44</v>
      </c>
    </row>
    <row r="2718" spans="1:14">
      <c r="A2718" s="36" t="s">
        <v>32</v>
      </c>
      <c r="B2718" s="37">
        <v>44945</v>
      </c>
      <c r="C2718" s="36" t="s">
        <v>881</v>
      </c>
      <c r="D2718" s="36" t="s">
        <v>877</v>
      </c>
      <c r="E2718" s="36" t="s">
        <v>1167</v>
      </c>
      <c r="J2718" s="87">
        <v>186807500</v>
      </c>
      <c r="K2718" s="85">
        <v>2022</v>
      </c>
      <c r="L2718" s="85">
        <v>12</v>
      </c>
      <c r="N2718" s="1" t="s">
        <v>44</v>
      </c>
    </row>
    <row r="2719" spans="1:14">
      <c r="A2719" s="36" t="s">
        <v>32</v>
      </c>
      <c r="B2719" s="37">
        <v>44945</v>
      </c>
      <c r="C2719" s="36" t="s">
        <v>1178</v>
      </c>
      <c r="D2719" s="36" t="s">
        <v>1180</v>
      </c>
      <c r="E2719" s="36" t="s">
        <v>76</v>
      </c>
      <c r="G2719" s="87">
        <v>14524000</v>
      </c>
      <c r="H2719" s="87">
        <v>1452400</v>
      </c>
      <c r="I2719" s="87">
        <v>15976400</v>
      </c>
      <c r="K2719" s="85">
        <v>2023</v>
      </c>
      <c r="L2719" s="85">
        <v>1</v>
      </c>
      <c r="N2719" s="1" t="s">
        <v>44</v>
      </c>
    </row>
    <row r="2720" spans="1:14">
      <c r="A2720" s="36" t="s">
        <v>32</v>
      </c>
      <c r="B2720" s="37">
        <v>44946</v>
      </c>
      <c r="C2720" s="36" t="s">
        <v>1151</v>
      </c>
      <c r="D2720" s="36" t="s">
        <v>1153</v>
      </c>
      <c r="E2720" s="36" t="s">
        <v>1168</v>
      </c>
      <c r="J2720" s="87">
        <v>1925000</v>
      </c>
      <c r="K2720" s="85">
        <v>2022</v>
      </c>
      <c r="L2720" s="85">
        <v>12</v>
      </c>
      <c r="N2720" s="1" t="s">
        <v>44</v>
      </c>
    </row>
    <row r="2721" spans="1:14">
      <c r="A2721" s="36" t="s">
        <v>32</v>
      </c>
      <c r="B2721" s="37">
        <v>44946</v>
      </c>
      <c r="C2721" s="36" t="s">
        <v>991</v>
      </c>
      <c r="D2721" s="36" t="s">
        <v>992</v>
      </c>
      <c r="E2721" s="36" t="s">
        <v>1192</v>
      </c>
      <c r="J2721" s="38">
        <v>7000000</v>
      </c>
      <c r="K2721" s="85">
        <v>2023</v>
      </c>
      <c r="L2721" s="85">
        <v>1</v>
      </c>
      <c r="N2721" s="1" t="s">
        <v>44</v>
      </c>
    </row>
    <row r="2722" spans="1:14">
      <c r="A2722" s="36" t="s">
        <v>32</v>
      </c>
      <c r="B2722" s="37">
        <v>44946</v>
      </c>
      <c r="C2722" s="36" t="s">
        <v>1178</v>
      </c>
      <c r="D2722" s="36" t="s">
        <v>1180</v>
      </c>
      <c r="E2722" s="36" t="s">
        <v>1192</v>
      </c>
      <c r="J2722" s="87">
        <v>15976400</v>
      </c>
      <c r="K2722" s="85">
        <v>2023</v>
      </c>
      <c r="L2722" s="85">
        <v>1</v>
      </c>
      <c r="N2722" s="1" t="s">
        <v>44</v>
      </c>
    </row>
    <row r="2723" spans="1:14">
      <c r="A2723" s="36" t="s">
        <v>32</v>
      </c>
      <c r="B2723" s="37">
        <v>44952</v>
      </c>
      <c r="C2723" s="36" t="s">
        <v>552</v>
      </c>
      <c r="D2723" s="36" t="s">
        <v>1011</v>
      </c>
      <c r="E2723" s="36" t="s">
        <v>1169</v>
      </c>
      <c r="J2723" s="87">
        <v>26329000.5</v>
      </c>
      <c r="K2723" s="85">
        <v>2022</v>
      </c>
      <c r="L2723" s="85">
        <v>12</v>
      </c>
      <c r="N2723" s="1" t="s">
        <v>44</v>
      </c>
    </row>
    <row r="2724" spans="1:14">
      <c r="A2724" s="36" t="s">
        <v>32</v>
      </c>
      <c r="B2724" s="37">
        <v>44953</v>
      </c>
      <c r="C2724" s="36" t="s">
        <v>209</v>
      </c>
      <c r="D2724" s="36" t="s">
        <v>928</v>
      </c>
      <c r="E2724" s="36" t="s">
        <v>148</v>
      </c>
      <c r="J2724" s="87">
        <v>3487440</v>
      </c>
      <c r="K2724" s="85">
        <v>2022</v>
      </c>
      <c r="L2724" s="85">
        <v>12</v>
      </c>
      <c r="N2724" s="1" t="s">
        <v>44</v>
      </c>
    </row>
    <row r="2725" spans="1:14">
      <c r="A2725" s="36" t="s">
        <v>33</v>
      </c>
      <c r="B2725" s="37">
        <v>44953</v>
      </c>
      <c r="C2725" s="36" t="s">
        <v>1037</v>
      </c>
      <c r="D2725" s="36" t="s">
        <v>865</v>
      </c>
      <c r="E2725" s="36" t="s">
        <v>1170</v>
      </c>
      <c r="J2725" s="87">
        <v>759000</v>
      </c>
      <c r="K2725" s="85">
        <v>2022</v>
      </c>
      <c r="L2725" s="85">
        <v>12</v>
      </c>
      <c r="N2725" s="1" t="s">
        <v>44</v>
      </c>
    </row>
    <row r="2726" spans="1:14">
      <c r="A2726" s="36" t="s">
        <v>32</v>
      </c>
      <c r="B2726" s="37">
        <v>44953</v>
      </c>
      <c r="C2726" s="36" t="s">
        <v>987</v>
      </c>
      <c r="D2726" s="36" t="s">
        <v>1015</v>
      </c>
      <c r="E2726" s="36" t="s">
        <v>77</v>
      </c>
      <c r="J2726" s="87">
        <v>6831000</v>
      </c>
      <c r="K2726" s="85">
        <v>2022</v>
      </c>
      <c r="L2726" s="85">
        <v>11</v>
      </c>
      <c r="N2726" s="1" t="s">
        <v>44</v>
      </c>
    </row>
    <row r="2727" spans="1:14">
      <c r="A2727" s="36" t="s">
        <v>32</v>
      </c>
      <c r="B2727" s="37">
        <v>44956</v>
      </c>
      <c r="C2727" s="36" t="s">
        <v>209</v>
      </c>
      <c r="D2727" s="36" t="s">
        <v>928</v>
      </c>
      <c r="E2727" s="36" t="s">
        <v>76</v>
      </c>
      <c r="G2727" s="87">
        <v>18704000</v>
      </c>
      <c r="H2727" s="87">
        <v>1870400</v>
      </c>
      <c r="I2727" s="87">
        <v>20574400</v>
      </c>
      <c r="K2727" s="85">
        <v>2023</v>
      </c>
      <c r="L2727" s="85">
        <v>1</v>
      </c>
      <c r="N2727" s="1" t="s">
        <v>44</v>
      </c>
    </row>
    <row r="2728" spans="1:14">
      <c r="A2728" s="36" t="s">
        <v>32</v>
      </c>
      <c r="B2728" s="37">
        <v>44956</v>
      </c>
      <c r="C2728" s="36" t="s">
        <v>552</v>
      </c>
      <c r="D2728" s="36" t="s">
        <v>1181</v>
      </c>
      <c r="E2728" s="36" t="s">
        <v>76</v>
      </c>
      <c r="G2728" s="87">
        <v>22136400</v>
      </c>
      <c r="H2728" s="87">
        <v>2213640</v>
      </c>
      <c r="I2728" s="87">
        <v>24350040</v>
      </c>
      <c r="K2728" s="85">
        <v>2023</v>
      </c>
      <c r="L2728" s="85">
        <v>1</v>
      </c>
      <c r="N2728" s="1" t="s">
        <v>44</v>
      </c>
    </row>
    <row r="2729" spans="1:14">
      <c r="A2729" s="36" t="s">
        <v>32</v>
      </c>
      <c r="B2729" s="37">
        <v>44957</v>
      </c>
      <c r="C2729" s="36" t="s">
        <v>664</v>
      </c>
      <c r="D2729" s="36" t="s">
        <v>629</v>
      </c>
      <c r="E2729" s="36" t="s">
        <v>76</v>
      </c>
      <c r="G2729" s="87">
        <v>1930000</v>
      </c>
      <c r="H2729" s="87">
        <v>193000</v>
      </c>
      <c r="I2729" s="87">
        <v>2123000</v>
      </c>
      <c r="K2729" s="85">
        <v>2023</v>
      </c>
      <c r="L2729" s="85">
        <v>1</v>
      </c>
      <c r="N2729" s="1" t="s">
        <v>44</v>
      </c>
    </row>
    <row r="2730" spans="1:14">
      <c r="A2730" s="36" t="s">
        <v>32</v>
      </c>
      <c r="B2730" s="37">
        <v>44957</v>
      </c>
      <c r="C2730" s="36" t="s">
        <v>664</v>
      </c>
      <c r="D2730" s="36" t="s">
        <v>629</v>
      </c>
      <c r="E2730" s="36" t="s">
        <v>148</v>
      </c>
      <c r="J2730" s="87">
        <v>2123000</v>
      </c>
      <c r="K2730" s="85">
        <v>2023</v>
      </c>
      <c r="L2730" s="85">
        <v>1</v>
      </c>
      <c r="N2730" s="1" t="s">
        <v>44</v>
      </c>
    </row>
    <row r="2731" spans="1:14">
      <c r="A2731" s="36" t="s">
        <v>32</v>
      </c>
      <c r="B2731" s="37">
        <v>44957</v>
      </c>
      <c r="C2731" s="36" t="s">
        <v>174</v>
      </c>
      <c r="D2731" s="36" t="s">
        <v>811</v>
      </c>
      <c r="E2731" s="36" t="s">
        <v>76</v>
      </c>
      <c r="G2731" s="87">
        <v>2240000</v>
      </c>
      <c r="H2731" s="87">
        <v>224000</v>
      </c>
      <c r="I2731" s="87">
        <v>2464000</v>
      </c>
      <c r="K2731" s="85">
        <v>2023</v>
      </c>
      <c r="L2731" s="85">
        <v>1</v>
      </c>
      <c r="N2731" s="1" t="s">
        <v>44</v>
      </c>
    </row>
    <row r="2732" spans="1:14">
      <c r="A2732" s="36" t="s">
        <v>32</v>
      </c>
      <c r="B2732" s="37">
        <v>44957</v>
      </c>
      <c r="C2732" s="36" t="s">
        <v>209</v>
      </c>
      <c r="D2732" s="36" t="s">
        <v>858</v>
      </c>
      <c r="E2732" s="36" t="s">
        <v>76</v>
      </c>
      <c r="G2732" s="87">
        <v>6160000</v>
      </c>
      <c r="H2732" s="87">
        <v>616000</v>
      </c>
      <c r="I2732" s="87">
        <v>6776000</v>
      </c>
      <c r="K2732" s="85">
        <v>2023</v>
      </c>
      <c r="L2732" s="85">
        <v>1</v>
      </c>
      <c r="N2732" s="1" t="s">
        <v>44</v>
      </c>
    </row>
    <row r="2733" spans="1:14">
      <c r="A2733" s="36" t="s">
        <v>32</v>
      </c>
      <c r="B2733" s="37">
        <v>44957</v>
      </c>
      <c r="C2733" s="36" t="s">
        <v>209</v>
      </c>
      <c r="D2733" s="36" t="s">
        <v>1048</v>
      </c>
      <c r="E2733" s="36" t="s">
        <v>76</v>
      </c>
      <c r="G2733" s="87">
        <v>41166600</v>
      </c>
      <c r="H2733" s="87">
        <v>4116660</v>
      </c>
      <c r="I2733" s="87">
        <v>45283260</v>
      </c>
      <c r="K2733" s="85">
        <v>2023</v>
      </c>
      <c r="L2733" s="85">
        <v>1</v>
      </c>
      <c r="N2733" s="1" t="s">
        <v>44</v>
      </c>
    </row>
    <row r="2734" spans="1:14">
      <c r="A2734" s="36" t="s">
        <v>32</v>
      </c>
      <c r="B2734" s="37">
        <v>44957</v>
      </c>
      <c r="C2734" s="36" t="s">
        <v>672</v>
      </c>
      <c r="D2734" s="36" t="s">
        <v>1184</v>
      </c>
      <c r="E2734" s="36" t="s">
        <v>76</v>
      </c>
      <c r="G2734" s="87">
        <v>500000</v>
      </c>
      <c r="H2734" s="87">
        <v>50000</v>
      </c>
      <c r="I2734" s="87">
        <v>550000</v>
      </c>
      <c r="K2734" s="85">
        <v>2023</v>
      </c>
      <c r="L2734" s="85">
        <v>1</v>
      </c>
      <c r="N2734" s="1" t="s">
        <v>44</v>
      </c>
    </row>
    <row r="2735" spans="1:14">
      <c r="A2735" s="36" t="s">
        <v>32</v>
      </c>
      <c r="B2735" s="37">
        <v>44957</v>
      </c>
      <c r="C2735" s="36" t="s">
        <v>672</v>
      </c>
      <c r="D2735" s="36" t="s">
        <v>1185</v>
      </c>
      <c r="E2735" s="36" t="s">
        <v>76</v>
      </c>
      <c r="G2735" s="87">
        <v>5000000</v>
      </c>
      <c r="H2735" s="87">
        <v>500000</v>
      </c>
      <c r="I2735" s="87">
        <v>5500000</v>
      </c>
      <c r="K2735" s="85">
        <v>2023</v>
      </c>
      <c r="L2735" s="85">
        <v>1</v>
      </c>
      <c r="N2735" s="1" t="s">
        <v>44</v>
      </c>
    </row>
    <row r="2736" spans="1:14">
      <c r="A2736" s="36" t="s">
        <v>32</v>
      </c>
      <c r="B2736" s="37">
        <v>44957</v>
      </c>
      <c r="C2736" s="36" t="s">
        <v>1152</v>
      </c>
      <c r="D2736" s="36" t="s">
        <v>1014</v>
      </c>
      <c r="E2736" s="36" t="s">
        <v>76</v>
      </c>
      <c r="G2736" s="87">
        <v>4400000</v>
      </c>
      <c r="H2736" s="87">
        <v>440000</v>
      </c>
      <c r="I2736" s="87">
        <v>4840000</v>
      </c>
      <c r="K2736" s="85">
        <v>2023</v>
      </c>
      <c r="L2736" s="85">
        <v>1</v>
      </c>
      <c r="N2736" s="1" t="s">
        <v>44</v>
      </c>
    </row>
    <row r="2737" spans="1:14">
      <c r="A2737" s="36" t="s">
        <v>32</v>
      </c>
      <c r="B2737" s="37">
        <v>44957</v>
      </c>
      <c r="C2737" s="36" t="s">
        <v>1179</v>
      </c>
      <c r="D2737" s="36" t="s">
        <v>1073</v>
      </c>
      <c r="E2737" s="36" t="s">
        <v>76</v>
      </c>
      <c r="G2737" s="87">
        <v>7209000</v>
      </c>
      <c r="H2737" s="87">
        <v>720900</v>
      </c>
      <c r="I2737" s="87">
        <v>7929900</v>
      </c>
      <c r="K2737" s="85">
        <v>2023</v>
      </c>
      <c r="L2737" s="85">
        <v>1</v>
      </c>
      <c r="N2737" s="1" t="s">
        <v>44</v>
      </c>
    </row>
    <row r="2738" spans="1:14">
      <c r="A2738" s="36" t="s">
        <v>1209</v>
      </c>
      <c r="B2738" s="37">
        <v>44957</v>
      </c>
      <c r="C2738" s="36" t="s">
        <v>1210</v>
      </c>
      <c r="D2738" s="36" t="s">
        <v>1211</v>
      </c>
      <c r="E2738" s="36" t="s">
        <v>1212</v>
      </c>
      <c r="G2738" s="87">
        <v>-7209000</v>
      </c>
      <c r="H2738" s="87">
        <v>-720900</v>
      </c>
      <c r="I2738" s="87">
        <v>-7929900</v>
      </c>
      <c r="K2738" s="85">
        <v>2023</v>
      </c>
      <c r="L2738" s="85">
        <v>1</v>
      </c>
      <c r="N2738" s="1" t="s">
        <v>1213</v>
      </c>
    </row>
    <row r="2739" spans="1:14">
      <c r="A2739" s="36" t="s">
        <v>32</v>
      </c>
      <c r="B2739" s="37">
        <v>44957</v>
      </c>
      <c r="C2739" s="36" t="s">
        <v>81</v>
      </c>
      <c r="D2739" s="36" t="s">
        <v>298</v>
      </c>
      <c r="E2739" s="36" t="s">
        <v>76</v>
      </c>
      <c r="G2739" s="87">
        <v>1620000</v>
      </c>
      <c r="H2739" s="87">
        <v>162000</v>
      </c>
      <c r="I2739" s="87">
        <v>1782000</v>
      </c>
      <c r="K2739" s="85">
        <v>2023</v>
      </c>
      <c r="L2739" s="85">
        <v>1</v>
      </c>
      <c r="N2739" s="1" t="s">
        <v>44</v>
      </c>
    </row>
    <row r="2740" spans="1:14">
      <c r="A2740" s="36" t="s">
        <v>32</v>
      </c>
      <c r="B2740" s="37">
        <v>44957</v>
      </c>
      <c r="C2740" s="36" t="s">
        <v>1032</v>
      </c>
      <c r="D2740" s="36" t="s">
        <v>1182</v>
      </c>
      <c r="E2740" s="36" t="s">
        <v>76</v>
      </c>
      <c r="G2740" s="87">
        <v>4370000</v>
      </c>
      <c r="H2740" s="87">
        <v>437000</v>
      </c>
      <c r="I2740" s="87">
        <v>4807000</v>
      </c>
      <c r="K2740" s="85">
        <v>2023</v>
      </c>
      <c r="L2740" s="85">
        <v>1</v>
      </c>
      <c r="N2740" s="1" t="s">
        <v>44</v>
      </c>
    </row>
    <row r="2741" spans="1:14">
      <c r="A2741" s="36" t="s">
        <v>32</v>
      </c>
      <c r="B2741" s="37">
        <v>44957</v>
      </c>
      <c r="C2741" s="36" t="s">
        <v>1032</v>
      </c>
      <c r="D2741" s="36" t="s">
        <v>1182</v>
      </c>
      <c r="E2741" s="36" t="s">
        <v>77</v>
      </c>
      <c r="J2741" s="38">
        <v>4807000</v>
      </c>
      <c r="K2741" s="85">
        <v>2023</v>
      </c>
      <c r="L2741" s="85">
        <v>1</v>
      </c>
      <c r="N2741" s="1" t="s">
        <v>44</v>
      </c>
    </row>
    <row r="2742" spans="1:14">
      <c r="A2742" s="36" t="s">
        <v>32</v>
      </c>
      <c r="B2742" s="37">
        <v>44957</v>
      </c>
      <c r="C2742" s="36" t="s">
        <v>204</v>
      </c>
      <c r="D2742" s="36" t="s">
        <v>1187</v>
      </c>
      <c r="E2742" s="36" t="s">
        <v>76</v>
      </c>
      <c r="G2742" s="87">
        <v>5038800</v>
      </c>
      <c r="H2742" s="87">
        <v>503880</v>
      </c>
      <c r="I2742" s="87">
        <v>5542680</v>
      </c>
      <c r="K2742" s="85">
        <v>2023</v>
      </c>
      <c r="L2742" s="85">
        <v>1</v>
      </c>
      <c r="N2742" s="1" t="s">
        <v>44</v>
      </c>
    </row>
    <row r="2743" spans="1:14">
      <c r="A2743" s="36" t="s">
        <v>32</v>
      </c>
      <c r="B2743" s="37">
        <v>44957</v>
      </c>
      <c r="C2743" s="36" t="s">
        <v>204</v>
      </c>
      <c r="D2743" s="36" t="s">
        <v>1078</v>
      </c>
      <c r="E2743" s="36" t="s">
        <v>1192</v>
      </c>
      <c r="J2743" s="87">
        <v>2959440</v>
      </c>
      <c r="K2743" s="85">
        <v>2023</v>
      </c>
      <c r="L2743" s="85">
        <v>1</v>
      </c>
      <c r="N2743" s="1" t="s">
        <v>44</v>
      </c>
    </row>
    <row r="2744" spans="1:14">
      <c r="A2744" s="36" t="s">
        <v>33</v>
      </c>
      <c r="B2744" s="37">
        <v>44957</v>
      </c>
      <c r="C2744" s="36" t="s">
        <v>1299</v>
      </c>
      <c r="D2744" s="36" t="s">
        <v>816</v>
      </c>
      <c r="E2744" s="36" t="s">
        <v>165</v>
      </c>
      <c r="G2744" s="87">
        <v>4300000</v>
      </c>
      <c r="H2744" s="87">
        <v>430000</v>
      </c>
      <c r="I2744" s="87">
        <v>4730000</v>
      </c>
      <c r="K2744" s="85">
        <v>2023</v>
      </c>
      <c r="L2744" s="85">
        <v>1</v>
      </c>
      <c r="N2744" s="1" t="s">
        <v>44</v>
      </c>
    </row>
    <row r="2745" spans="1:14">
      <c r="A2745" s="36" t="s">
        <v>32</v>
      </c>
      <c r="B2745" s="37">
        <v>44957</v>
      </c>
      <c r="C2745" s="36" t="s">
        <v>1068</v>
      </c>
      <c r="D2745" s="36" t="s">
        <v>1077</v>
      </c>
      <c r="E2745" s="36" t="s">
        <v>76</v>
      </c>
      <c r="G2745" s="87">
        <v>3152100</v>
      </c>
      <c r="H2745" s="87">
        <v>315210</v>
      </c>
      <c r="I2745" s="87">
        <v>3467310</v>
      </c>
      <c r="K2745" s="85">
        <v>2023</v>
      </c>
      <c r="L2745" s="85">
        <v>1</v>
      </c>
      <c r="N2745" s="1" t="s">
        <v>44</v>
      </c>
    </row>
    <row r="2746" spans="1:14">
      <c r="A2746" s="36" t="s">
        <v>32</v>
      </c>
      <c r="B2746" s="37">
        <v>44957</v>
      </c>
      <c r="C2746" s="36" t="s">
        <v>771</v>
      </c>
      <c r="D2746" s="36" t="s">
        <v>1111</v>
      </c>
      <c r="E2746" s="36" t="s">
        <v>76</v>
      </c>
      <c r="G2746" s="87">
        <v>920000</v>
      </c>
      <c r="H2746" s="87">
        <v>92000</v>
      </c>
      <c r="I2746" s="87">
        <v>1012000</v>
      </c>
      <c r="K2746" s="85">
        <v>2023</v>
      </c>
      <c r="L2746" s="85">
        <v>1</v>
      </c>
      <c r="N2746" s="1" t="s">
        <v>44</v>
      </c>
    </row>
    <row r="2747" spans="1:14">
      <c r="A2747" s="36" t="s">
        <v>32</v>
      </c>
      <c r="B2747" s="37">
        <v>44957</v>
      </c>
      <c r="C2747" s="36" t="s">
        <v>498</v>
      </c>
      <c r="D2747" s="36" t="s">
        <v>1127</v>
      </c>
      <c r="E2747" s="36" t="s">
        <v>76</v>
      </c>
      <c r="G2747" s="87">
        <v>14980000</v>
      </c>
      <c r="H2747" s="87">
        <v>1498000</v>
      </c>
      <c r="I2747" s="87">
        <v>16478000</v>
      </c>
      <c r="K2747" s="85">
        <v>2023</v>
      </c>
      <c r="L2747" s="85">
        <v>1</v>
      </c>
      <c r="N2747" s="1" t="s">
        <v>44</v>
      </c>
    </row>
    <row r="2748" spans="1:14">
      <c r="A2748" s="36" t="s">
        <v>32</v>
      </c>
      <c r="B2748" s="37">
        <v>44957</v>
      </c>
      <c r="C2748" s="36" t="s">
        <v>498</v>
      </c>
      <c r="D2748" s="36" t="s">
        <v>1127</v>
      </c>
      <c r="E2748" s="36" t="s">
        <v>1081</v>
      </c>
      <c r="J2748" s="38">
        <v>308000</v>
      </c>
      <c r="K2748" s="85">
        <v>2023</v>
      </c>
      <c r="L2748" s="85">
        <v>1</v>
      </c>
      <c r="N2748" s="1" t="s">
        <v>44</v>
      </c>
    </row>
    <row r="2749" spans="1:14">
      <c r="A2749" s="36" t="s">
        <v>32</v>
      </c>
      <c r="B2749" s="37">
        <v>44957</v>
      </c>
      <c r="C2749" s="36" t="s">
        <v>498</v>
      </c>
      <c r="D2749" s="36" t="s">
        <v>1127</v>
      </c>
      <c r="E2749" s="36" t="s">
        <v>1200</v>
      </c>
      <c r="J2749" s="38">
        <v>16170000</v>
      </c>
      <c r="K2749" s="85">
        <v>2023</v>
      </c>
      <c r="L2749" s="85">
        <v>1</v>
      </c>
      <c r="N2749" s="1" t="s">
        <v>44</v>
      </c>
    </row>
    <row r="2750" spans="1:14">
      <c r="A2750" s="36" t="s">
        <v>33</v>
      </c>
      <c r="B2750" s="37">
        <v>44957</v>
      </c>
      <c r="C2750" s="36" t="s">
        <v>1129</v>
      </c>
      <c r="D2750" s="36" t="s">
        <v>1127</v>
      </c>
      <c r="E2750" s="36" t="s">
        <v>1193</v>
      </c>
      <c r="G2750" s="87">
        <v>280000</v>
      </c>
      <c r="H2750" s="87">
        <v>28000</v>
      </c>
      <c r="I2750" s="87">
        <v>308000</v>
      </c>
      <c r="K2750" s="85">
        <v>2023</v>
      </c>
      <c r="L2750" s="85">
        <v>1</v>
      </c>
      <c r="N2750" s="1" t="s">
        <v>44</v>
      </c>
    </row>
    <row r="2751" spans="1:14">
      <c r="A2751" s="36" t="s">
        <v>33</v>
      </c>
      <c r="B2751" s="37">
        <v>44957</v>
      </c>
      <c r="C2751" s="36" t="s">
        <v>1129</v>
      </c>
      <c r="D2751" s="36" t="s">
        <v>1127</v>
      </c>
      <c r="E2751" s="36" t="s">
        <v>1194</v>
      </c>
      <c r="J2751" s="38">
        <v>308000</v>
      </c>
      <c r="K2751" s="85">
        <v>2023</v>
      </c>
      <c r="L2751" s="85">
        <v>1</v>
      </c>
      <c r="N2751" s="1" t="s">
        <v>44</v>
      </c>
    </row>
    <row r="2752" spans="1:14">
      <c r="A2752" s="36" t="s">
        <v>32</v>
      </c>
      <c r="B2752" s="37">
        <v>44957</v>
      </c>
      <c r="C2752" s="36" t="s">
        <v>773</v>
      </c>
      <c r="D2752" s="36" t="s">
        <v>816</v>
      </c>
      <c r="E2752" s="36" t="s">
        <v>76</v>
      </c>
      <c r="G2752" s="87">
        <v>19150000</v>
      </c>
      <c r="H2752" s="87">
        <v>1915000</v>
      </c>
      <c r="I2752" s="87">
        <v>21065000</v>
      </c>
      <c r="K2752" s="85">
        <v>2023</v>
      </c>
      <c r="L2752" s="85">
        <v>1</v>
      </c>
      <c r="N2752" s="1" t="s">
        <v>44</v>
      </c>
    </row>
    <row r="2753" spans="1:14">
      <c r="A2753" s="36" t="s">
        <v>32</v>
      </c>
      <c r="B2753" s="37">
        <v>44957</v>
      </c>
      <c r="C2753" s="36" t="s">
        <v>677</v>
      </c>
      <c r="D2753" s="36" t="s">
        <v>825</v>
      </c>
      <c r="E2753" s="36" t="s">
        <v>76</v>
      </c>
      <c r="G2753" s="87">
        <v>97752500</v>
      </c>
      <c r="H2753" s="87">
        <v>9775250</v>
      </c>
      <c r="I2753" s="87">
        <v>107527750</v>
      </c>
      <c r="K2753" s="85">
        <v>2023</v>
      </c>
      <c r="L2753" s="85">
        <v>1</v>
      </c>
      <c r="N2753" s="1" t="s">
        <v>44</v>
      </c>
    </row>
    <row r="2754" spans="1:14">
      <c r="A2754" s="36" t="s">
        <v>32</v>
      </c>
      <c r="B2754" s="37">
        <v>44957</v>
      </c>
      <c r="C2754" s="36" t="s">
        <v>677</v>
      </c>
      <c r="D2754" s="36" t="s">
        <v>678</v>
      </c>
      <c r="E2754" s="36" t="s">
        <v>76</v>
      </c>
      <c r="G2754" s="87">
        <v>33375000</v>
      </c>
      <c r="H2754" s="87">
        <v>3337500</v>
      </c>
      <c r="I2754" s="87">
        <v>36712500</v>
      </c>
      <c r="K2754" s="85">
        <v>2023</v>
      </c>
      <c r="L2754" s="85">
        <v>1</v>
      </c>
      <c r="N2754" s="1" t="s">
        <v>44</v>
      </c>
    </row>
    <row r="2755" spans="1:14">
      <c r="A2755" s="36" t="s">
        <v>32</v>
      </c>
      <c r="B2755" s="37">
        <v>44957</v>
      </c>
      <c r="C2755" s="36" t="s">
        <v>677</v>
      </c>
      <c r="D2755" s="36" t="s">
        <v>924</v>
      </c>
      <c r="E2755" s="36" t="s">
        <v>76</v>
      </c>
      <c r="G2755" s="87">
        <v>98951000</v>
      </c>
      <c r="H2755" s="87">
        <v>9895100</v>
      </c>
      <c r="I2755" s="87">
        <v>108846100</v>
      </c>
      <c r="K2755" s="85">
        <v>2023</v>
      </c>
      <c r="L2755" s="85">
        <v>1</v>
      </c>
      <c r="N2755" s="1" t="s">
        <v>44</v>
      </c>
    </row>
    <row r="2756" spans="1:14">
      <c r="A2756" s="36" t="s">
        <v>32</v>
      </c>
      <c r="B2756" s="37">
        <v>44957</v>
      </c>
      <c r="C2756" s="36" t="s">
        <v>1067</v>
      </c>
      <c r="D2756" s="36" t="s">
        <v>1188</v>
      </c>
      <c r="E2756" s="36" t="s">
        <v>76</v>
      </c>
      <c r="G2756" s="87">
        <v>11200000</v>
      </c>
      <c r="H2756" s="87">
        <v>1120000</v>
      </c>
      <c r="I2756" s="87">
        <v>12320000</v>
      </c>
      <c r="K2756" s="85">
        <v>2023</v>
      </c>
      <c r="L2756" s="85">
        <v>1</v>
      </c>
      <c r="N2756" s="1" t="s">
        <v>44</v>
      </c>
    </row>
    <row r="2757" spans="1:14">
      <c r="A2757" s="36" t="s">
        <v>33</v>
      </c>
      <c r="B2757" s="37">
        <v>44957</v>
      </c>
      <c r="C2757" s="36" t="s">
        <v>119</v>
      </c>
      <c r="D2757" s="36" t="s">
        <v>1048</v>
      </c>
      <c r="E2757" s="36" t="s">
        <v>76</v>
      </c>
      <c r="G2757" s="87">
        <v>36379522</v>
      </c>
      <c r="H2757" s="87">
        <v>3637952.2</v>
      </c>
      <c r="I2757" s="87">
        <v>40017474.200000003</v>
      </c>
      <c r="K2757" s="85">
        <v>2023</v>
      </c>
      <c r="L2757" s="85">
        <v>1</v>
      </c>
      <c r="N2757" s="1" t="s">
        <v>44</v>
      </c>
    </row>
    <row r="2758" spans="1:14">
      <c r="A2758" s="36" t="s">
        <v>33</v>
      </c>
      <c r="B2758" s="37">
        <v>44957</v>
      </c>
      <c r="C2758" s="36" t="s">
        <v>119</v>
      </c>
      <c r="D2758" s="36" t="s">
        <v>1048</v>
      </c>
      <c r="E2758" s="36" t="s">
        <v>1171</v>
      </c>
      <c r="J2758" s="87">
        <v>17646200</v>
      </c>
      <c r="K2758" s="85">
        <v>2022</v>
      </c>
      <c r="L2758" s="85">
        <v>12</v>
      </c>
      <c r="N2758" s="1" t="s">
        <v>44</v>
      </c>
    </row>
    <row r="2759" spans="1:14">
      <c r="A2759" s="36" t="s">
        <v>32</v>
      </c>
      <c r="B2759" s="37">
        <v>44957</v>
      </c>
      <c r="C2759" s="36" t="s">
        <v>264</v>
      </c>
      <c r="D2759" s="36" t="s">
        <v>1074</v>
      </c>
      <c r="E2759" s="36" t="s">
        <v>76</v>
      </c>
      <c r="G2759" s="87">
        <v>11000000</v>
      </c>
      <c r="H2759" s="87">
        <v>1100000</v>
      </c>
      <c r="I2759" s="87">
        <v>12100000</v>
      </c>
      <c r="K2759" s="85">
        <v>2023</v>
      </c>
      <c r="L2759" s="85">
        <v>1</v>
      </c>
      <c r="N2759" s="1" t="s">
        <v>44</v>
      </c>
    </row>
    <row r="2760" spans="1:14">
      <c r="A2760" s="36" t="s">
        <v>32</v>
      </c>
      <c r="B2760" s="37">
        <v>44957</v>
      </c>
      <c r="C2760" s="36" t="s">
        <v>264</v>
      </c>
      <c r="D2760" s="36" t="s">
        <v>1074</v>
      </c>
      <c r="E2760" s="36" t="s">
        <v>1171</v>
      </c>
      <c r="J2760" s="87">
        <v>11330000</v>
      </c>
      <c r="K2760" s="85">
        <v>2022</v>
      </c>
      <c r="L2760" s="85">
        <v>12</v>
      </c>
      <c r="N2760" s="1" t="s">
        <v>44</v>
      </c>
    </row>
    <row r="2761" spans="1:14">
      <c r="A2761" s="36" t="s">
        <v>33</v>
      </c>
      <c r="B2761" s="37">
        <v>44957</v>
      </c>
      <c r="C2761" s="36" t="s">
        <v>507</v>
      </c>
      <c r="D2761" s="36" t="s">
        <v>1176</v>
      </c>
      <c r="E2761" s="36" t="s">
        <v>967</v>
      </c>
      <c r="G2761" s="87">
        <v>9430000</v>
      </c>
      <c r="H2761" s="87">
        <v>943000</v>
      </c>
      <c r="I2761" s="87">
        <v>10373000</v>
      </c>
      <c r="K2761" s="85">
        <v>2023</v>
      </c>
      <c r="L2761" s="85">
        <v>1</v>
      </c>
      <c r="N2761" s="1" t="s">
        <v>44</v>
      </c>
    </row>
    <row r="2762" spans="1:14">
      <c r="A2762" s="36" t="s">
        <v>32</v>
      </c>
      <c r="B2762" s="37">
        <v>44957</v>
      </c>
      <c r="C2762" s="36" t="s">
        <v>881</v>
      </c>
      <c r="D2762" s="36" t="s">
        <v>877</v>
      </c>
      <c r="E2762" s="36" t="s">
        <v>76</v>
      </c>
      <c r="G2762" s="87">
        <v>177035000</v>
      </c>
      <c r="H2762" s="87">
        <v>17703500</v>
      </c>
      <c r="I2762" s="87">
        <v>194738500</v>
      </c>
      <c r="K2762" s="85">
        <v>2023</v>
      </c>
      <c r="L2762" s="85">
        <v>1</v>
      </c>
      <c r="N2762" s="1" t="s">
        <v>44</v>
      </c>
    </row>
    <row r="2763" spans="1:14">
      <c r="A2763" s="36" t="s">
        <v>32</v>
      </c>
      <c r="B2763" s="37">
        <v>44957</v>
      </c>
      <c r="C2763" s="36" t="s">
        <v>552</v>
      </c>
      <c r="D2763" s="36" t="s">
        <v>1011</v>
      </c>
      <c r="E2763" s="36" t="s">
        <v>76</v>
      </c>
      <c r="G2763" s="87">
        <v>37885523</v>
      </c>
      <c r="H2763" s="87">
        <v>3788552.3000000003</v>
      </c>
      <c r="I2763" s="87">
        <v>41674075.299999997</v>
      </c>
      <c r="K2763" s="85">
        <v>2023</v>
      </c>
      <c r="L2763" s="85">
        <v>1</v>
      </c>
      <c r="N2763" s="1" t="s">
        <v>44</v>
      </c>
    </row>
    <row r="2764" spans="1:14">
      <c r="A2764" s="36" t="s">
        <v>32</v>
      </c>
      <c r="B2764" s="37">
        <v>44957</v>
      </c>
      <c r="C2764" s="36" t="s">
        <v>206</v>
      </c>
      <c r="D2764" s="36" t="s">
        <v>1157</v>
      </c>
      <c r="E2764" s="36" t="s">
        <v>76</v>
      </c>
      <c r="G2764" s="87">
        <v>2554200</v>
      </c>
      <c r="H2764" s="87">
        <v>255420</v>
      </c>
      <c r="I2764" s="87">
        <v>2809620</v>
      </c>
      <c r="K2764" s="85">
        <v>2023</v>
      </c>
      <c r="L2764" s="85">
        <v>1</v>
      </c>
      <c r="N2764" s="1" t="s">
        <v>44</v>
      </c>
    </row>
    <row r="2765" spans="1:14">
      <c r="A2765" s="36" t="s">
        <v>32</v>
      </c>
      <c r="B2765" s="37">
        <v>44957</v>
      </c>
      <c r="C2765" s="36" t="s">
        <v>206</v>
      </c>
      <c r="D2765" s="36" t="s">
        <v>1186</v>
      </c>
      <c r="E2765" s="36" t="s">
        <v>76</v>
      </c>
      <c r="G2765" s="87">
        <v>7108200</v>
      </c>
      <c r="H2765" s="87">
        <v>710820</v>
      </c>
      <c r="I2765" s="87">
        <v>7819020</v>
      </c>
      <c r="K2765" s="85">
        <v>2023</v>
      </c>
      <c r="L2765" s="85">
        <v>1</v>
      </c>
      <c r="N2765" s="1" t="s">
        <v>44</v>
      </c>
    </row>
    <row r="2766" spans="1:14">
      <c r="A2766" s="36" t="s">
        <v>32</v>
      </c>
      <c r="B2766" s="37">
        <v>44957</v>
      </c>
      <c r="C2766" s="36" t="s">
        <v>185</v>
      </c>
      <c r="D2766" s="36" t="s">
        <v>1080</v>
      </c>
      <c r="E2766" s="36" t="s">
        <v>76</v>
      </c>
      <c r="G2766" s="87">
        <v>4246209</v>
      </c>
      <c r="H2766" s="87">
        <v>424620.9</v>
      </c>
      <c r="I2766" s="87">
        <v>4670829.9000000004</v>
      </c>
      <c r="K2766" s="85">
        <v>2023</v>
      </c>
      <c r="L2766" s="85">
        <v>1</v>
      </c>
      <c r="N2766" s="1" t="s">
        <v>44</v>
      </c>
    </row>
    <row r="2767" spans="1:14">
      <c r="A2767" s="36" t="s">
        <v>32</v>
      </c>
      <c r="B2767" s="37">
        <v>44957</v>
      </c>
      <c r="C2767" s="36" t="s">
        <v>268</v>
      </c>
      <c r="D2767" s="36" t="s">
        <v>1189</v>
      </c>
      <c r="E2767" s="36" t="s">
        <v>76</v>
      </c>
      <c r="G2767" s="87">
        <v>20800000</v>
      </c>
      <c r="H2767" s="87">
        <v>2080000</v>
      </c>
      <c r="I2767" s="87">
        <v>22880000</v>
      </c>
      <c r="K2767" s="85">
        <v>2023</v>
      </c>
      <c r="L2767" s="85">
        <v>1</v>
      </c>
      <c r="N2767" s="1" t="s">
        <v>44</v>
      </c>
    </row>
    <row r="2768" spans="1:14">
      <c r="A2768" s="36" t="s">
        <v>32</v>
      </c>
      <c r="B2768" s="37">
        <v>44957</v>
      </c>
      <c r="C2768" s="36" t="s">
        <v>268</v>
      </c>
      <c r="D2768" s="36" t="s">
        <v>954</v>
      </c>
      <c r="E2768" s="36" t="s">
        <v>76</v>
      </c>
      <c r="G2768" s="87">
        <v>107624100</v>
      </c>
      <c r="H2768" s="87">
        <v>10762410</v>
      </c>
      <c r="I2768" s="87">
        <v>118386510</v>
      </c>
      <c r="K2768" s="85">
        <v>2023</v>
      </c>
      <c r="L2768" s="85">
        <v>1</v>
      </c>
      <c r="N2768" s="1" t="s">
        <v>44</v>
      </c>
    </row>
    <row r="2769" spans="1:14">
      <c r="A2769" s="36" t="s">
        <v>33</v>
      </c>
      <c r="B2769" s="37">
        <v>44957</v>
      </c>
      <c r="C2769" s="36" t="s">
        <v>590</v>
      </c>
      <c r="D2769" s="36" t="s">
        <v>1011</v>
      </c>
      <c r="E2769" s="36" t="s">
        <v>1177</v>
      </c>
      <c r="G2769" s="87">
        <v>34467762</v>
      </c>
      <c r="H2769" s="87">
        <v>3446776.2</v>
      </c>
      <c r="I2769" s="87">
        <v>37914538.200000003</v>
      </c>
      <c r="K2769" s="85">
        <v>2023</v>
      </c>
      <c r="L2769" s="85">
        <v>1</v>
      </c>
      <c r="N2769" s="1" t="s">
        <v>44</v>
      </c>
    </row>
    <row r="2770" spans="1:14">
      <c r="A2770" s="36" t="s">
        <v>33</v>
      </c>
      <c r="B2770" s="37">
        <v>44957</v>
      </c>
      <c r="C2770" s="36" t="s">
        <v>590</v>
      </c>
      <c r="D2770" s="36" t="s">
        <v>1011</v>
      </c>
      <c r="E2770" s="36" t="s">
        <v>148</v>
      </c>
      <c r="J2770" s="38">
        <v>12000000</v>
      </c>
      <c r="K2770" s="85">
        <v>2022</v>
      </c>
      <c r="L2770" s="85">
        <v>12</v>
      </c>
      <c r="M2770" s="36" t="s">
        <v>591</v>
      </c>
      <c r="N2770" s="1" t="s">
        <v>44</v>
      </c>
    </row>
    <row r="2771" spans="1:14">
      <c r="A2771" s="36" t="s">
        <v>32</v>
      </c>
      <c r="B2771" s="37">
        <v>44957</v>
      </c>
      <c r="C2771" s="36" t="s">
        <v>188</v>
      </c>
      <c r="D2771" s="36" t="s">
        <v>1321</v>
      </c>
      <c r="E2771" s="36" t="s">
        <v>76</v>
      </c>
      <c r="G2771" s="87">
        <v>728500</v>
      </c>
      <c r="H2771" s="87">
        <v>72850</v>
      </c>
      <c r="I2771" s="87">
        <v>801350</v>
      </c>
      <c r="K2771" s="85">
        <v>2023</v>
      </c>
      <c r="L2771" s="85">
        <v>1</v>
      </c>
      <c r="N2771" s="1" t="s">
        <v>44</v>
      </c>
    </row>
    <row r="2772" spans="1:14">
      <c r="A2772" s="36" t="s">
        <v>32</v>
      </c>
      <c r="B2772" s="37">
        <v>44957</v>
      </c>
      <c r="C2772" s="36" t="s">
        <v>519</v>
      </c>
      <c r="D2772" s="36" t="s">
        <v>321</v>
      </c>
      <c r="E2772" s="36" t="s">
        <v>76</v>
      </c>
      <c r="G2772" s="87">
        <v>1620000</v>
      </c>
      <c r="H2772" s="87">
        <v>162000</v>
      </c>
      <c r="I2772" s="87">
        <v>1782000</v>
      </c>
      <c r="K2772" s="85">
        <v>2023</v>
      </c>
      <c r="L2772" s="85">
        <v>1</v>
      </c>
      <c r="N2772" s="1" t="s">
        <v>44</v>
      </c>
    </row>
    <row r="2773" spans="1:14">
      <c r="A2773" s="36" t="s">
        <v>32</v>
      </c>
      <c r="B2773" s="37">
        <v>44957</v>
      </c>
      <c r="C2773" s="36" t="s">
        <v>667</v>
      </c>
      <c r="D2773" s="36" t="s">
        <v>1183</v>
      </c>
      <c r="E2773" s="36" t="s">
        <v>76</v>
      </c>
      <c r="G2773" s="87">
        <v>1915500</v>
      </c>
      <c r="H2773" s="87">
        <v>191550</v>
      </c>
      <c r="I2773" s="87">
        <v>2107050</v>
      </c>
      <c r="K2773" s="85">
        <v>2023</v>
      </c>
      <c r="L2773" s="85">
        <v>1</v>
      </c>
      <c r="N2773" s="1" t="s">
        <v>44</v>
      </c>
    </row>
    <row r="2774" spans="1:14">
      <c r="A2774" s="36" t="s">
        <v>32</v>
      </c>
      <c r="B2774" s="37">
        <v>44957</v>
      </c>
      <c r="C2774" s="36" t="s">
        <v>1115</v>
      </c>
      <c r="D2774" s="36" t="s">
        <v>1120</v>
      </c>
      <c r="E2774" s="36" t="s">
        <v>76</v>
      </c>
      <c r="G2774" s="87">
        <v>14474800</v>
      </c>
      <c r="H2774" s="87">
        <v>1447480</v>
      </c>
      <c r="I2774" s="87">
        <v>15922280</v>
      </c>
      <c r="K2774" s="85">
        <v>2023</v>
      </c>
      <c r="L2774" s="85">
        <v>1</v>
      </c>
      <c r="N2774" s="1" t="s">
        <v>44</v>
      </c>
    </row>
    <row r="2775" spans="1:14">
      <c r="A2775" s="36" t="s">
        <v>33</v>
      </c>
      <c r="B2775" s="37">
        <v>44957</v>
      </c>
      <c r="C2775" s="36" t="s">
        <v>1049</v>
      </c>
      <c r="D2775" s="36" t="s">
        <v>1175</v>
      </c>
      <c r="E2775" s="36" t="s">
        <v>967</v>
      </c>
      <c r="G2775" s="87">
        <v>5290000</v>
      </c>
      <c r="H2775" s="87">
        <v>529000</v>
      </c>
      <c r="I2775" s="87">
        <v>5819000</v>
      </c>
      <c r="K2775" s="85">
        <v>2023</v>
      </c>
      <c r="L2775" s="85">
        <v>1</v>
      </c>
      <c r="N2775" s="1" t="s">
        <v>44</v>
      </c>
    </row>
    <row r="2776" spans="1:14">
      <c r="A2776" s="36" t="s">
        <v>33</v>
      </c>
      <c r="B2776" s="37">
        <v>44957</v>
      </c>
      <c r="C2776" s="36" t="s">
        <v>1049</v>
      </c>
      <c r="D2776" s="36" t="s">
        <v>1175</v>
      </c>
      <c r="E2776" s="36" t="s">
        <v>1201</v>
      </c>
      <c r="J2776" s="87">
        <v>5819000</v>
      </c>
      <c r="K2776" s="85">
        <v>2023</v>
      </c>
      <c r="L2776" s="85">
        <v>1</v>
      </c>
      <c r="N2776" s="1" t="s">
        <v>44</v>
      </c>
    </row>
    <row r="2777" spans="1:14">
      <c r="A2777" s="36" t="s">
        <v>32</v>
      </c>
      <c r="B2777" s="37">
        <v>44958</v>
      </c>
      <c r="C2777" s="36" t="s">
        <v>672</v>
      </c>
      <c r="D2777" s="36" t="s">
        <v>1154</v>
      </c>
      <c r="E2777" s="36" t="s">
        <v>1172</v>
      </c>
      <c r="J2777" s="87">
        <v>2750000</v>
      </c>
      <c r="K2777" s="85">
        <v>2022</v>
      </c>
      <c r="L2777" s="85">
        <v>12</v>
      </c>
      <c r="N2777" s="1" t="s">
        <v>44</v>
      </c>
    </row>
    <row r="2778" spans="1:14">
      <c r="A2778" s="36" t="s">
        <v>32</v>
      </c>
      <c r="B2778" s="37">
        <v>44958</v>
      </c>
      <c r="C2778" s="36" t="s">
        <v>1066</v>
      </c>
      <c r="D2778" s="36" t="s">
        <v>1075</v>
      </c>
      <c r="E2778" s="36" t="s">
        <v>1172</v>
      </c>
      <c r="J2778" s="87">
        <v>5187424</v>
      </c>
      <c r="K2778" s="85">
        <v>2022</v>
      </c>
      <c r="L2778" s="85">
        <v>12</v>
      </c>
      <c r="N2778" s="1" t="s">
        <v>44</v>
      </c>
    </row>
    <row r="2779" spans="1:14">
      <c r="A2779" s="36" t="s">
        <v>32</v>
      </c>
      <c r="B2779" s="37">
        <v>44958</v>
      </c>
      <c r="C2779" s="36" t="s">
        <v>206</v>
      </c>
      <c r="D2779" s="36" t="s">
        <v>1157</v>
      </c>
      <c r="E2779" s="36" t="s">
        <v>1172</v>
      </c>
      <c r="J2779" s="87">
        <v>5830110</v>
      </c>
      <c r="K2779" s="85">
        <v>2022</v>
      </c>
      <c r="L2779" s="85">
        <v>12</v>
      </c>
      <c r="N2779" s="1" t="s">
        <v>44</v>
      </c>
    </row>
    <row r="2780" spans="1:14">
      <c r="A2780" s="36" t="s">
        <v>33</v>
      </c>
      <c r="B2780" s="37">
        <v>44958</v>
      </c>
      <c r="C2780" s="36" t="s">
        <v>966</v>
      </c>
      <c r="D2780" s="36" t="s">
        <v>877</v>
      </c>
      <c r="E2780" s="36" t="s">
        <v>76</v>
      </c>
      <c r="G2780" s="87">
        <v>26220000</v>
      </c>
      <c r="H2780" s="87">
        <v>2622000</v>
      </c>
      <c r="I2780" s="87">
        <v>28842000</v>
      </c>
      <c r="K2780" s="85">
        <v>2023</v>
      </c>
      <c r="L2780" s="85">
        <v>2</v>
      </c>
      <c r="N2780" s="1" t="s">
        <v>44</v>
      </c>
    </row>
    <row r="2781" spans="1:14">
      <c r="A2781" s="36" t="s">
        <v>33</v>
      </c>
      <c r="B2781" s="37">
        <v>44958</v>
      </c>
      <c r="C2781" s="36" t="s">
        <v>966</v>
      </c>
      <c r="D2781" s="36" t="s">
        <v>877</v>
      </c>
      <c r="E2781" s="36" t="s">
        <v>1200</v>
      </c>
      <c r="J2781" s="87">
        <v>28842000</v>
      </c>
      <c r="K2781" s="85">
        <v>2023</v>
      </c>
      <c r="L2781" s="85">
        <v>2</v>
      </c>
      <c r="N2781" s="1" t="s">
        <v>44</v>
      </c>
    </row>
    <row r="2782" spans="1:14">
      <c r="A2782" s="36" t="s">
        <v>32</v>
      </c>
      <c r="B2782" s="37">
        <v>44958</v>
      </c>
      <c r="C2782" s="36" t="s">
        <v>175</v>
      </c>
      <c r="D2782" s="36" t="s">
        <v>1073</v>
      </c>
      <c r="E2782" s="36" t="s">
        <v>76</v>
      </c>
      <c r="G2782" s="87">
        <v>4806000</v>
      </c>
      <c r="H2782" s="87">
        <v>480600</v>
      </c>
      <c r="I2782" s="87">
        <v>5286600</v>
      </c>
      <c r="K2782" s="85">
        <v>2023</v>
      </c>
      <c r="L2782" s="85">
        <v>2</v>
      </c>
      <c r="N2782" s="1" t="s">
        <v>44</v>
      </c>
    </row>
    <row r="2783" spans="1:14">
      <c r="A2783" s="36" t="s">
        <v>32</v>
      </c>
      <c r="B2783" s="37">
        <v>44958</v>
      </c>
      <c r="C2783" s="36" t="s">
        <v>466</v>
      </c>
      <c r="D2783" s="36" t="s">
        <v>1216</v>
      </c>
      <c r="E2783" s="36" t="s">
        <v>76</v>
      </c>
      <c r="G2783" s="87">
        <v>26001000</v>
      </c>
      <c r="H2783" s="87">
        <v>2600100</v>
      </c>
      <c r="I2783" s="87">
        <v>28601100</v>
      </c>
      <c r="K2783" s="85">
        <v>2023</v>
      </c>
      <c r="L2783" s="85">
        <v>2</v>
      </c>
      <c r="N2783" s="1" t="s">
        <v>44</v>
      </c>
    </row>
    <row r="2784" spans="1:14">
      <c r="A2784" s="36" t="s">
        <v>32</v>
      </c>
      <c r="B2784" s="37">
        <v>44959</v>
      </c>
      <c r="C2784" s="36" t="s">
        <v>925</v>
      </c>
      <c r="D2784" s="36" t="s">
        <v>926</v>
      </c>
      <c r="E2784" s="36" t="s">
        <v>1173</v>
      </c>
      <c r="J2784" s="87">
        <v>3128950</v>
      </c>
      <c r="K2784" s="85">
        <v>2022</v>
      </c>
      <c r="L2784" s="85">
        <v>12</v>
      </c>
      <c r="N2784" s="1" t="s">
        <v>44</v>
      </c>
    </row>
    <row r="2785" spans="1:14">
      <c r="A2785" s="36" t="s">
        <v>32</v>
      </c>
      <c r="B2785" s="37">
        <v>44960</v>
      </c>
      <c r="C2785" s="36" t="s">
        <v>188</v>
      </c>
      <c r="D2785" s="36" t="s">
        <v>895</v>
      </c>
      <c r="E2785" s="36" t="s">
        <v>1173</v>
      </c>
      <c r="J2785" s="87">
        <v>1029248</v>
      </c>
      <c r="K2785" s="85">
        <v>2022</v>
      </c>
      <c r="L2785" s="85">
        <v>6</v>
      </c>
      <c r="N2785" s="1" t="s">
        <v>44</v>
      </c>
    </row>
    <row r="2786" spans="1:14">
      <c r="A2786" s="36" t="s">
        <v>32</v>
      </c>
      <c r="B2786" s="37">
        <v>44960</v>
      </c>
      <c r="C2786" s="36" t="s">
        <v>654</v>
      </c>
      <c r="D2786" s="36" t="s">
        <v>994</v>
      </c>
      <c r="E2786" s="36" t="s">
        <v>148</v>
      </c>
      <c r="J2786" s="87">
        <v>62079160</v>
      </c>
      <c r="K2786" s="85">
        <v>2022</v>
      </c>
      <c r="L2786" s="85">
        <v>12</v>
      </c>
      <c r="N2786" s="1" t="s">
        <v>44</v>
      </c>
    </row>
    <row r="2787" spans="1:14">
      <c r="A2787" s="36" t="s">
        <v>32</v>
      </c>
      <c r="B2787" s="37">
        <v>44963</v>
      </c>
      <c r="C2787" s="36" t="s">
        <v>466</v>
      </c>
      <c r="D2787" s="36" t="s">
        <v>467</v>
      </c>
      <c r="E2787" s="36" t="s">
        <v>1174</v>
      </c>
      <c r="J2787" s="38">
        <v>8706190</v>
      </c>
      <c r="K2787" s="85">
        <v>2022</v>
      </c>
      <c r="L2787" s="85">
        <v>12</v>
      </c>
      <c r="N2787" s="1" t="s">
        <v>44</v>
      </c>
    </row>
    <row r="2788" spans="1:14">
      <c r="A2788" s="36" t="s">
        <v>32</v>
      </c>
      <c r="B2788" s="37">
        <v>44963</v>
      </c>
      <c r="C2788" s="36" t="s">
        <v>466</v>
      </c>
      <c r="D2788" s="36" t="s">
        <v>467</v>
      </c>
      <c r="E2788" s="36" t="s">
        <v>997</v>
      </c>
      <c r="J2788" s="38">
        <v>71810</v>
      </c>
      <c r="K2788" s="85">
        <v>2022</v>
      </c>
      <c r="L2788" s="85">
        <v>12</v>
      </c>
      <c r="M2788" s="36" t="s">
        <v>1191</v>
      </c>
      <c r="N2788" s="1" t="s">
        <v>44</v>
      </c>
    </row>
    <row r="2789" spans="1:14">
      <c r="A2789" s="36" t="s">
        <v>32</v>
      </c>
      <c r="B2789" s="37">
        <v>44963</v>
      </c>
      <c r="C2789" s="36" t="s">
        <v>1115</v>
      </c>
      <c r="D2789" s="36" t="s">
        <v>1120</v>
      </c>
      <c r="E2789" s="36" t="s">
        <v>1174</v>
      </c>
      <c r="J2789" s="87">
        <v>8045840</v>
      </c>
      <c r="K2789" s="85">
        <v>2022</v>
      </c>
      <c r="L2789" s="85">
        <v>12</v>
      </c>
      <c r="N2789" s="1" t="s">
        <v>44</v>
      </c>
    </row>
    <row r="2790" spans="1:14">
      <c r="A2790" s="36" t="s">
        <v>32</v>
      </c>
      <c r="B2790" s="37">
        <v>44964</v>
      </c>
      <c r="C2790" s="36" t="s">
        <v>1198</v>
      </c>
      <c r="D2790" s="36" t="s">
        <v>1199</v>
      </c>
      <c r="E2790" s="36" t="s">
        <v>76</v>
      </c>
      <c r="G2790" s="87">
        <v>4523200</v>
      </c>
      <c r="H2790" s="87">
        <v>452320</v>
      </c>
      <c r="I2790" s="87">
        <v>4975520</v>
      </c>
      <c r="K2790" s="85">
        <v>2023</v>
      </c>
      <c r="L2790" s="85">
        <v>2</v>
      </c>
      <c r="N2790" s="1" t="s">
        <v>44</v>
      </c>
    </row>
    <row r="2791" spans="1:14">
      <c r="A2791" s="36" t="s">
        <v>32</v>
      </c>
      <c r="B2791" s="37">
        <v>44967</v>
      </c>
      <c r="C2791" s="36" t="s">
        <v>209</v>
      </c>
      <c r="D2791" s="36" t="s">
        <v>1048</v>
      </c>
      <c r="E2791" s="36" t="s">
        <v>1192</v>
      </c>
      <c r="J2791" s="87">
        <v>24207810</v>
      </c>
      <c r="K2791" s="85">
        <v>2023</v>
      </c>
      <c r="L2791" s="85">
        <v>1</v>
      </c>
      <c r="N2791" s="1" t="s">
        <v>44</v>
      </c>
    </row>
    <row r="2792" spans="1:14">
      <c r="A2792" s="36" t="s">
        <v>32</v>
      </c>
      <c r="B2792" s="37">
        <v>44967</v>
      </c>
      <c r="C2792" s="36" t="s">
        <v>1152</v>
      </c>
      <c r="D2792" s="36" t="s">
        <v>1014</v>
      </c>
      <c r="E2792" s="36" t="s">
        <v>1192</v>
      </c>
      <c r="J2792" s="87">
        <v>4840000</v>
      </c>
      <c r="K2792" s="85">
        <v>2023</v>
      </c>
      <c r="L2792" s="85">
        <v>1</v>
      </c>
      <c r="N2792" s="1" t="s">
        <v>44</v>
      </c>
    </row>
    <row r="2793" spans="1:14">
      <c r="A2793" s="36" t="s">
        <v>32</v>
      </c>
      <c r="B2793" s="37">
        <v>44967</v>
      </c>
      <c r="C2793" s="36" t="s">
        <v>81</v>
      </c>
      <c r="D2793" s="36" t="s">
        <v>298</v>
      </c>
      <c r="E2793" s="36" t="s">
        <v>1192</v>
      </c>
      <c r="J2793" s="87">
        <v>1782000</v>
      </c>
      <c r="K2793" s="85">
        <v>2023</v>
      </c>
      <c r="L2793" s="85">
        <v>1</v>
      </c>
      <c r="N2793" s="1" t="s">
        <v>44</v>
      </c>
    </row>
    <row r="2794" spans="1:14">
      <c r="A2794" s="36" t="s">
        <v>32</v>
      </c>
      <c r="B2794" s="37">
        <v>44967</v>
      </c>
      <c r="C2794" s="36" t="s">
        <v>307</v>
      </c>
      <c r="D2794" s="36" t="s">
        <v>980</v>
      </c>
      <c r="E2794" s="36" t="s">
        <v>76</v>
      </c>
      <c r="G2794" s="87">
        <v>840000</v>
      </c>
      <c r="H2794" s="87">
        <v>84000</v>
      </c>
      <c r="I2794" s="87">
        <v>924000</v>
      </c>
      <c r="K2794" s="85">
        <v>2023</v>
      </c>
      <c r="L2794" s="85">
        <v>2</v>
      </c>
      <c r="N2794" s="1" t="s">
        <v>44</v>
      </c>
    </row>
    <row r="2795" spans="1:14">
      <c r="A2795" s="36" t="s">
        <v>32</v>
      </c>
      <c r="B2795" s="37">
        <v>44972</v>
      </c>
      <c r="C2795" s="36" t="s">
        <v>677</v>
      </c>
      <c r="D2795" s="36" t="s">
        <v>825</v>
      </c>
      <c r="E2795" s="36" t="s">
        <v>1196</v>
      </c>
      <c r="J2795" s="87">
        <v>107527750</v>
      </c>
      <c r="K2795" s="85">
        <v>2023</v>
      </c>
      <c r="L2795" s="85">
        <v>1</v>
      </c>
      <c r="N2795" s="1" t="s">
        <v>44</v>
      </c>
    </row>
    <row r="2796" spans="1:14">
      <c r="A2796" s="36" t="s">
        <v>32</v>
      </c>
      <c r="B2796" s="37">
        <v>44972</v>
      </c>
      <c r="C2796" s="36" t="s">
        <v>268</v>
      </c>
      <c r="D2796" s="36" t="s">
        <v>1189</v>
      </c>
      <c r="E2796" s="36" t="s">
        <v>1195</v>
      </c>
      <c r="J2796" s="87">
        <v>22880000</v>
      </c>
      <c r="K2796" s="85">
        <v>2023</v>
      </c>
      <c r="L2796" s="85">
        <v>1</v>
      </c>
      <c r="N2796" s="1" t="s">
        <v>44</v>
      </c>
    </row>
    <row r="2797" spans="1:14">
      <c r="A2797" s="36" t="s">
        <v>32</v>
      </c>
      <c r="B2797" s="37">
        <v>44972</v>
      </c>
      <c r="C2797" s="36" t="s">
        <v>268</v>
      </c>
      <c r="D2797" s="36" t="s">
        <v>954</v>
      </c>
      <c r="E2797" s="36" t="s">
        <v>1195</v>
      </c>
      <c r="J2797" s="38">
        <v>104216510</v>
      </c>
      <c r="K2797" s="85">
        <v>2023</v>
      </c>
      <c r="L2797" s="85">
        <v>1</v>
      </c>
      <c r="N2797" s="1" t="s">
        <v>44</v>
      </c>
    </row>
    <row r="2798" spans="1:14">
      <c r="A2798" s="36" t="s">
        <v>32</v>
      </c>
      <c r="B2798" s="37">
        <v>44973</v>
      </c>
      <c r="C2798" s="36" t="s">
        <v>209</v>
      </c>
      <c r="D2798" s="36" t="s">
        <v>858</v>
      </c>
      <c r="E2798" s="36" t="s">
        <v>1192</v>
      </c>
      <c r="J2798" s="87">
        <v>6776000</v>
      </c>
      <c r="K2798" s="85">
        <v>2023</v>
      </c>
      <c r="L2798" s="85">
        <v>1</v>
      </c>
      <c r="N2798" s="1" t="s">
        <v>44</v>
      </c>
    </row>
    <row r="2799" spans="1:14">
      <c r="A2799" s="36" t="s">
        <v>32</v>
      </c>
      <c r="B2799" s="37">
        <v>44973</v>
      </c>
      <c r="C2799" s="36" t="s">
        <v>677</v>
      </c>
      <c r="D2799" s="36" t="s">
        <v>924</v>
      </c>
      <c r="E2799" s="36" t="s">
        <v>148</v>
      </c>
      <c r="J2799" s="87">
        <v>108846100</v>
      </c>
      <c r="K2799" s="85">
        <v>2023</v>
      </c>
      <c r="L2799" s="85">
        <v>1</v>
      </c>
      <c r="N2799" s="1" t="s">
        <v>44</v>
      </c>
    </row>
    <row r="2800" spans="1:14">
      <c r="A2800" s="36" t="s">
        <v>32</v>
      </c>
      <c r="B2800" s="37">
        <v>44973</v>
      </c>
      <c r="C2800" s="36" t="s">
        <v>519</v>
      </c>
      <c r="D2800" s="36" t="s">
        <v>321</v>
      </c>
      <c r="E2800" s="36" t="s">
        <v>1197</v>
      </c>
      <c r="J2800" s="87">
        <v>5643000</v>
      </c>
      <c r="K2800" s="85">
        <v>2022</v>
      </c>
      <c r="L2800" s="85">
        <v>12</v>
      </c>
      <c r="N2800" s="1" t="s">
        <v>44</v>
      </c>
    </row>
    <row r="2801" spans="1:14">
      <c r="A2801" s="36" t="s">
        <v>32</v>
      </c>
      <c r="B2801" s="37">
        <v>44974</v>
      </c>
      <c r="C2801" s="36" t="s">
        <v>677</v>
      </c>
      <c r="D2801" s="36" t="s">
        <v>678</v>
      </c>
      <c r="E2801" s="36" t="s">
        <v>148</v>
      </c>
      <c r="J2801" s="87">
        <v>36712500</v>
      </c>
      <c r="K2801" s="85">
        <v>2023</v>
      </c>
      <c r="L2801" s="85">
        <v>1</v>
      </c>
      <c r="N2801" s="1" t="s">
        <v>44</v>
      </c>
    </row>
    <row r="2802" spans="1:14">
      <c r="A2802" s="36" t="s">
        <v>32</v>
      </c>
      <c r="B2802" s="37">
        <v>44979</v>
      </c>
      <c r="C2802" s="36" t="s">
        <v>654</v>
      </c>
      <c r="D2802" s="36" t="s">
        <v>1156</v>
      </c>
      <c r="E2802" s="36" t="s">
        <v>148</v>
      </c>
      <c r="J2802" s="87">
        <v>944460</v>
      </c>
      <c r="K2802" s="85">
        <v>2022</v>
      </c>
      <c r="L2802" s="85">
        <v>12</v>
      </c>
      <c r="N2802" s="1" t="s">
        <v>44</v>
      </c>
    </row>
    <row r="2803" spans="1:14">
      <c r="A2803" s="36" t="s">
        <v>33</v>
      </c>
      <c r="B2803" s="37">
        <v>44980</v>
      </c>
      <c r="C2803" s="36" t="s">
        <v>507</v>
      </c>
      <c r="D2803" s="36" t="s">
        <v>1176</v>
      </c>
      <c r="E2803" s="36" t="s">
        <v>1200</v>
      </c>
      <c r="J2803" s="87">
        <v>10373000</v>
      </c>
      <c r="K2803" s="85">
        <v>2023</v>
      </c>
      <c r="L2803" s="85">
        <v>1</v>
      </c>
      <c r="N2803" s="1" t="s">
        <v>44</v>
      </c>
    </row>
    <row r="2804" spans="1:14">
      <c r="A2804" s="36" t="s">
        <v>32</v>
      </c>
      <c r="B2804" s="37">
        <v>44980</v>
      </c>
      <c r="C2804" s="36" t="s">
        <v>881</v>
      </c>
      <c r="D2804" s="36" t="s">
        <v>877</v>
      </c>
      <c r="E2804" s="36" t="s">
        <v>1200</v>
      </c>
      <c r="J2804" s="87">
        <v>194738500</v>
      </c>
      <c r="K2804" s="85">
        <v>2023</v>
      </c>
      <c r="L2804" s="85">
        <v>1</v>
      </c>
      <c r="N2804" s="1" t="s">
        <v>44</v>
      </c>
    </row>
    <row r="2805" spans="1:14">
      <c r="A2805" s="36" t="s">
        <v>32</v>
      </c>
      <c r="B2805" s="37">
        <v>44981</v>
      </c>
      <c r="C2805" s="36" t="s">
        <v>552</v>
      </c>
      <c r="D2805" s="36" t="s">
        <v>1181</v>
      </c>
      <c r="E2805" s="36" t="s">
        <v>1202</v>
      </c>
      <c r="J2805" s="87">
        <v>24350040</v>
      </c>
      <c r="K2805" s="85">
        <v>2023</v>
      </c>
      <c r="L2805" s="85">
        <v>1</v>
      </c>
      <c r="N2805" s="1" t="s">
        <v>44</v>
      </c>
    </row>
    <row r="2806" spans="1:14">
      <c r="A2806" s="36" t="s">
        <v>32</v>
      </c>
      <c r="B2806" s="37">
        <v>44981</v>
      </c>
      <c r="C2806" s="36" t="s">
        <v>552</v>
      </c>
      <c r="D2806" s="36" t="s">
        <v>1011</v>
      </c>
      <c r="E2806" s="36" t="s">
        <v>1202</v>
      </c>
      <c r="J2806" s="87">
        <v>41674075.299999997</v>
      </c>
      <c r="K2806" s="85">
        <v>2023</v>
      </c>
      <c r="L2806" s="85">
        <v>1</v>
      </c>
      <c r="N2806" s="1" t="s">
        <v>44</v>
      </c>
    </row>
    <row r="2807" spans="1:14">
      <c r="A2807" s="36" t="s">
        <v>32</v>
      </c>
      <c r="B2807" s="37">
        <v>44984</v>
      </c>
      <c r="C2807" s="36" t="s">
        <v>209</v>
      </c>
      <c r="D2807" s="36" t="s">
        <v>928</v>
      </c>
      <c r="E2807" s="36" t="s">
        <v>148</v>
      </c>
      <c r="J2807" s="87">
        <v>20574400</v>
      </c>
      <c r="K2807" s="85">
        <v>2023</v>
      </c>
      <c r="L2807" s="85">
        <v>1</v>
      </c>
      <c r="N2807" s="1" t="s">
        <v>44</v>
      </c>
    </row>
    <row r="2808" spans="1:14">
      <c r="A2808" s="36" t="s">
        <v>33</v>
      </c>
      <c r="B2808" s="37">
        <v>44984</v>
      </c>
      <c r="C2808" s="36" t="s">
        <v>1150</v>
      </c>
      <c r="D2808" s="36" t="s">
        <v>928</v>
      </c>
      <c r="E2808" s="36" t="s">
        <v>1203</v>
      </c>
      <c r="J2808" s="87">
        <v>7122500</v>
      </c>
      <c r="K2808" s="85">
        <v>2022</v>
      </c>
      <c r="L2808" s="85">
        <v>12</v>
      </c>
      <c r="N2808" s="1" t="s">
        <v>44</v>
      </c>
    </row>
    <row r="2809" spans="1:14">
      <c r="A2809" s="36" t="s">
        <v>32</v>
      </c>
      <c r="B2809" s="37">
        <v>44984</v>
      </c>
      <c r="C2809" s="36" t="s">
        <v>1198</v>
      </c>
      <c r="D2809" s="36" t="s">
        <v>1199</v>
      </c>
      <c r="E2809" s="36" t="s">
        <v>76</v>
      </c>
      <c r="G2809" s="87">
        <v>3405200</v>
      </c>
      <c r="H2809" s="87">
        <v>340520</v>
      </c>
      <c r="I2809" s="87">
        <v>3745720</v>
      </c>
      <c r="K2809" s="85">
        <v>2023</v>
      </c>
      <c r="L2809" s="85">
        <v>2</v>
      </c>
      <c r="N2809" s="1" t="s">
        <v>44</v>
      </c>
    </row>
    <row r="2810" spans="1:14">
      <c r="A2810" s="36" t="s">
        <v>33</v>
      </c>
      <c r="B2810" s="37">
        <v>44984</v>
      </c>
      <c r="C2810" s="36" t="s">
        <v>590</v>
      </c>
      <c r="D2810" s="36" t="s">
        <v>1011</v>
      </c>
      <c r="E2810" s="36" t="s">
        <v>1203</v>
      </c>
      <c r="J2810" s="87">
        <v>37914538.200000003</v>
      </c>
      <c r="K2810" s="85">
        <v>2023</v>
      </c>
      <c r="L2810" s="85">
        <v>1</v>
      </c>
      <c r="N2810" s="1" t="s">
        <v>44</v>
      </c>
    </row>
    <row r="2811" spans="1:14">
      <c r="A2811" s="36" t="s">
        <v>32</v>
      </c>
      <c r="B2811" s="37">
        <v>44984</v>
      </c>
      <c r="C2811" s="36" t="s">
        <v>654</v>
      </c>
      <c r="D2811" s="36" t="s">
        <v>1215</v>
      </c>
      <c r="E2811" s="36" t="s">
        <v>76</v>
      </c>
      <c r="G2811" s="87">
        <v>16386510</v>
      </c>
      <c r="H2811" s="87">
        <v>1638651</v>
      </c>
      <c r="I2811" s="87">
        <v>18025161</v>
      </c>
      <c r="K2811" s="85">
        <v>2023</v>
      </c>
      <c r="L2811" s="85">
        <v>2</v>
      </c>
      <c r="N2811" s="1" t="s">
        <v>44</v>
      </c>
    </row>
    <row r="2812" spans="1:14">
      <c r="A2812" s="36" t="s">
        <v>32</v>
      </c>
      <c r="B2812" s="37">
        <v>44985</v>
      </c>
      <c r="C2812" s="36" t="s">
        <v>760</v>
      </c>
      <c r="D2812" s="36" t="s">
        <v>930</v>
      </c>
      <c r="E2812" s="36" t="s">
        <v>76</v>
      </c>
      <c r="G2812" s="87">
        <v>2420100</v>
      </c>
      <c r="H2812" s="87">
        <v>242010</v>
      </c>
      <c r="I2812" s="87">
        <v>2662110</v>
      </c>
      <c r="K2812" s="85">
        <v>2023</v>
      </c>
      <c r="L2812" s="85">
        <v>2</v>
      </c>
      <c r="N2812" s="1" t="s">
        <v>44</v>
      </c>
    </row>
    <row r="2813" spans="1:14">
      <c r="A2813" s="36" t="s">
        <v>32</v>
      </c>
      <c r="B2813" s="37">
        <v>44985</v>
      </c>
      <c r="C2813" s="36" t="s">
        <v>664</v>
      </c>
      <c r="D2813" s="36" t="s">
        <v>629</v>
      </c>
      <c r="E2813" s="36" t="s">
        <v>267</v>
      </c>
      <c r="G2813" s="87">
        <v>414600</v>
      </c>
      <c r="H2813" s="87">
        <v>41460</v>
      </c>
      <c r="I2813" s="87">
        <v>456060</v>
      </c>
      <c r="K2813" s="85">
        <v>2023</v>
      </c>
      <c r="L2813" s="85">
        <v>2</v>
      </c>
      <c r="N2813" s="1" t="s">
        <v>44</v>
      </c>
    </row>
    <row r="2814" spans="1:14">
      <c r="A2814" s="36" t="s">
        <v>32</v>
      </c>
      <c r="B2814" s="37">
        <v>44985</v>
      </c>
      <c r="C2814" s="36" t="s">
        <v>174</v>
      </c>
      <c r="D2814" s="36" t="s">
        <v>1155</v>
      </c>
      <c r="E2814" s="36" t="s">
        <v>76</v>
      </c>
      <c r="G2814" s="87">
        <v>7785600</v>
      </c>
      <c r="H2814" s="87">
        <v>778560</v>
      </c>
      <c r="I2814" s="87">
        <v>8564160</v>
      </c>
      <c r="K2814" s="85">
        <v>2023</v>
      </c>
      <c r="L2814" s="85">
        <v>2</v>
      </c>
      <c r="N2814" s="1" t="s">
        <v>44</v>
      </c>
    </row>
    <row r="2815" spans="1:14">
      <c r="A2815" s="36" t="s">
        <v>32</v>
      </c>
      <c r="B2815" s="37">
        <v>44985</v>
      </c>
      <c r="C2815" s="36" t="s">
        <v>174</v>
      </c>
      <c r="D2815" s="36" t="s">
        <v>811</v>
      </c>
      <c r="E2815" s="36" t="s">
        <v>76</v>
      </c>
      <c r="G2815" s="87">
        <v>38761900</v>
      </c>
      <c r="H2815" s="87">
        <v>3876190</v>
      </c>
      <c r="I2815" s="87">
        <v>42638090</v>
      </c>
      <c r="K2815" s="85">
        <v>2023</v>
      </c>
      <c r="L2815" s="85">
        <v>2</v>
      </c>
      <c r="N2815" s="1" t="s">
        <v>44</v>
      </c>
    </row>
    <row r="2816" spans="1:14">
      <c r="A2816" s="36" t="s">
        <v>32</v>
      </c>
      <c r="B2816" s="37">
        <v>44985</v>
      </c>
      <c r="C2816" s="36" t="s">
        <v>209</v>
      </c>
      <c r="D2816" s="36" t="s">
        <v>812</v>
      </c>
      <c r="E2816" s="36" t="s">
        <v>76</v>
      </c>
      <c r="G2816" s="87">
        <v>1400000</v>
      </c>
      <c r="H2816" s="87">
        <v>140000</v>
      </c>
      <c r="I2816" s="87">
        <v>1540000</v>
      </c>
      <c r="K2816" s="85">
        <v>2023</v>
      </c>
      <c r="L2816" s="85">
        <v>2</v>
      </c>
      <c r="N2816" s="1" t="s">
        <v>44</v>
      </c>
    </row>
    <row r="2817" spans="1:14">
      <c r="A2817" s="36" t="s">
        <v>32</v>
      </c>
      <c r="B2817" s="37">
        <v>44985</v>
      </c>
      <c r="C2817" s="36" t="s">
        <v>209</v>
      </c>
      <c r="D2817" s="36" t="s">
        <v>1048</v>
      </c>
      <c r="E2817" s="36" t="s">
        <v>76</v>
      </c>
      <c r="G2817" s="87">
        <v>11841400</v>
      </c>
      <c r="H2817" s="87">
        <v>1184140</v>
      </c>
      <c r="I2817" s="87">
        <v>13025540</v>
      </c>
      <c r="K2817" s="85">
        <v>2023</v>
      </c>
      <c r="L2817" s="85">
        <v>2</v>
      </c>
      <c r="N2817" s="1" t="s">
        <v>44</v>
      </c>
    </row>
    <row r="2818" spans="1:14">
      <c r="A2818" s="36" t="s">
        <v>32</v>
      </c>
      <c r="B2818" s="37">
        <v>44985</v>
      </c>
      <c r="C2818" s="36" t="s">
        <v>209</v>
      </c>
      <c r="D2818" s="36" t="s">
        <v>1699</v>
      </c>
      <c r="E2818" s="36" t="s">
        <v>76</v>
      </c>
      <c r="G2818" s="87">
        <v>6517800</v>
      </c>
      <c r="H2818" s="87">
        <v>651780</v>
      </c>
      <c r="I2818" s="87">
        <v>7169580</v>
      </c>
      <c r="K2818" s="85">
        <v>2023</v>
      </c>
      <c r="L2818" s="85">
        <v>2</v>
      </c>
      <c r="N2818" s="1" t="s">
        <v>44</v>
      </c>
    </row>
    <row r="2819" spans="1:14">
      <c r="A2819" s="36" t="s">
        <v>32</v>
      </c>
      <c r="B2819" s="37">
        <v>44985</v>
      </c>
      <c r="C2819" s="36" t="s">
        <v>209</v>
      </c>
      <c r="D2819" s="36" t="s">
        <v>928</v>
      </c>
      <c r="E2819" s="36" t="s">
        <v>76</v>
      </c>
      <c r="G2819" s="87">
        <v>24508000</v>
      </c>
      <c r="H2819" s="87">
        <v>2450800</v>
      </c>
      <c r="I2819" s="87">
        <v>26958800</v>
      </c>
      <c r="K2819" s="85">
        <v>2023</v>
      </c>
      <c r="L2819" s="85">
        <v>2</v>
      </c>
      <c r="N2819" s="1" t="s">
        <v>44</v>
      </c>
    </row>
    <row r="2820" spans="1:14">
      <c r="A2820" s="36" t="s">
        <v>32</v>
      </c>
      <c r="B2820" s="37">
        <v>44985</v>
      </c>
      <c r="C2820" s="36" t="s">
        <v>672</v>
      </c>
      <c r="D2820" s="36" t="s">
        <v>1185</v>
      </c>
      <c r="E2820" s="36" t="s">
        <v>1205</v>
      </c>
      <c r="J2820" s="87">
        <v>5500000</v>
      </c>
      <c r="K2820" s="85">
        <v>2023</v>
      </c>
      <c r="L2820" s="85">
        <v>1</v>
      </c>
      <c r="N2820" s="1" t="s">
        <v>44</v>
      </c>
    </row>
    <row r="2821" spans="1:14">
      <c r="A2821" s="36" t="s">
        <v>32</v>
      </c>
      <c r="B2821" s="37">
        <v>44985</v>
      </c>
      <c r="C2821" s="36" t="s">
        <v>672</v>
      </c>
      <c r="D2821" s="36" t="s">
        <v>1184</v>
      </c>
      <c r="E2821" s="36" t="s">
        <v>76</v>
      </c>
      <c r="G2821" s="87">
        <v>3660000</v>
      </c>
      <c r="H2821" s="87">
        <v>366000</v>
      </c>
      <c r="I2821" s="87">
        <v>4026000</v>
      </c>
      <c r="K2821" s="85">
        <v>2023</v>
      </c>
      <c r="L2821" s="85">
        <v>2</v>
      </c>
      <c r="N2821" s="1" t="s">
        <v>44</v>
      </c>
    </row>
    <row r="2822" spans="1:14">
      <c r="A2822" s="36" t="s">
        <v>32</v>
      </c>
      <c r="B2822" s="37">
        <v>44985</v>
      </c>
      <c r="C2822" s="36" t="s">
        <v>672</v>
      </c>
      <c r="D2822" s="36" t="s">
        <v>1185</v>
      </c>
      <c r="E2822" s="36" t="s">
        <v>76</v>
      </c>
      <c r="G2822" s="87">
        <v>5400000</v>
      </c>
      <c r="H2822" s="87">
        <v>540000</v>
      </c>
      <c r="I2822" s="87">
        <v>5940000</v>
      </c>
      <c r="K2822" s="85">
        <v>2023</v>
      </c>
      <c r="L2822" s="85">
        <v>2</v>
      </c>
      <c r="N2822" s="1" t="s">
        <v>44</v>
      </c>
    </row>
    <row r="2823" spans="1:14">
      <c r="A2823" s="36" t="s">
        <v>32</v>
      </c>
      <c r="B2823" s="37">
        <v>44985</v>
      </c>
      <c r="C2823" s="36" t="s">
        <v>204</v>
      </c>
      <c r="D2823" s="36" t="s">
        <v>1165</v>
      </c>
      <c r="E2823" s="36" t="s">
        <v>148</v>
      </c>
      <c r="J2823" s="87">
        <v>10394780</v>
      </c>
      <c r="K2823" s="85">
        <v>2023</v>
      </c>
      <c r="L2823" s="85">
        <v>1</v>
      </c>
      <c r="M2823" s="36" t="s">
        <v>1204</v>
      </c>
      <c r="N2823" s="1" t="s">
        <v>44</v>
      </c>
    </row>
    <row r="2824" spans="1:14">
      <c r="A2824" s="36" t="s">
        <v>32</v>
      </c>
      <c r="B2824" s="37">
        <v>44985</v>
      </c>
      <c r="C2824" s="36" t="s">
        <v>204</v>
      </c>
      <c r="D2824" s="36" t="s">
        <v>1229</v>
      </c>
      <c r="E2824" s="36" t="s">
        <v>267</v>
      </c>
      <c r="G2824" s="87">
        <v>7119300</v>
      </c>
      <c r="H2824" s="87">
        <v>711930</v>
      </c>
      <c r="I2824" s="87">
        <v>7831230</v>
      </c>
      <c r="K2824" s="85">
        <v>2023</v>
      </c>
      <c r="L2824" s="85">
        <v>2</v>
      </c>
      <c r="N2824" s="1" t="s">
        <v>44</v>
      </c>
    </row>
    <row r="2825" spans="1:14">
      <c r="A2825" s="36" t="s">
        <v>32</v>
      </c>
      <c r="B2825" s="37">
        <v>44985</v>
      </c>
      <c r="C2825" s="36" t="s">
        <v>1068</v>
      </c>
      <c r="D2825" s="36" t="s">
        <v>1077</v>
      </c>
      <c r="E2825" s="36" t="s">
        <v>267</v>
      </c>
      <c r="G2825" s="87">
        <v>6092700</v>
      </c>
      <c r="H2825" s="87">
        <v>609270</v>
      </c>
      <c r="I2825" s="87">
        <v>6701970</v>
      </c>
      <c r="K2825" s="85">
        <v>2023</v>
      </c>
      <c r="L2825" s="85">
        <v>2</v>
      </c>
      <c r="N2825" s="1" t="s">
        <v>44</v>
      </c>
    </row>
    <row r="2826" spans="1:14">
      <c r="A2826" s="36" t="s">
        <v>32</v>
      </c>
      <c r="B2826" s="37">
        <v>44985</v>
      </c>
      <c r="C2826" s="36" t="s">
        <v>334</v>
      </c>
      <c r="D2826" s="36" t="s">
        <v>1228</v>
      </c>
      <c r="E2826" s="36" t="s">
        <v>76</v>
      </c>
      <c r="G2826" s="87">
        <v>1620000</v>
      </c>
      <c r="H2826" s="87">
        <v>162000</v>
      </c>
      <c r="I2826" s="87">
        <v>1782000</v>
      </c>
      <c r="K2826" s="85">
        <v>2023</v>
      </c>
      <c r="L2826" s="85">
        <v>2</v>
      </c>
      <c r="N2826" s="1" t="s">
        <v>44</v>
      </c>
    </row>
    <row r="2827" spans="1:14">
      <c r="A2827" s="36" t="s">
        <v>32</v>
      </c>
      <c r="B2827" s="37">
        <v>44985</v>
      </c>
      <c r="C2827" s="36" t="s">
        <v>771</v>
      </c>
      <c r="D2827" s="36" t="s">
        <v>1111</v>
      </c>
      <c r="E2827" s="36" t="s">
        <v>76</v>
      </c>
      <c r="G2827" s="87">
        <v>1150000</v>
      </c>
      <c r="H2827" s="87">
        <v>115000</v>
      </c>
      <c r="I2827" s="87">
        <v>1265000</v>
      </c>
      <c r="K2827" s="85">
        <v>2023</v>
      </c>
      <c r="L2827" s="85">
        <v>2</v>
      </c>
      <c r="N2827" s="1" t="s">
        <v>44</v>
      </c>
    </row>
    <row r="2828" spans="1:14">
      <c r="A2828" s="36" t="s">
        <v>32</v>
      </c>
      <c r="B2828" s="37">
        <v>44985</v>
      </c>
      <c r="C2828" s="36" t="s">
        <v>498</v>
      </c>
      <c r="D2828" s="36" t="s">
        <v>1127</v>
      </c>
      <c r="E2828" s="36" t="s">
        <v>267</v>
      </c>
      <c r="G2828" s="87">
        <v>26850000</v>
      </c>
      <c r="H2828" s="87">
        <v>2685000</v>
      </c>
      <c r="I2828" s="87">
        <v>29535000</v>
      </c>
      <c r="K2828" s="85">
        <v>2023</v>
      </c>
      <c r="L2828" s="85">
        <v>2</v>
      </c>
      <c r="N2828" s="1" t="s">
        <v>44</v>
      </c>
    </row>
    <row r="2829" spans="1:14">
      <c r="A2829" s="36" t="s">
        <v>32</v>
      </c>
      <c r="B2829" s="37">
        <v>44985</v>
      </c>
      <c r="C2829" s="36" t="s">
        <v>950</v>
      </c>
      <c r="D2829" s="36" t="s">
        <v>979</v>
      </c>
      <c r="E2829" s="36" t="s">
        <v>267</v>
      </c>
      <c r="G2829" s="87">
        <v>19930000</v>
      </c>
      <c r="H2829" s="87">
        <v>1993000</v>
      </c>
      <c r="I2829" s="87">
        <v>21923000</v>
      </c>
      <c r="K2829" s="85">
        <v>2023</v>
      </c>
      <c r="L2829" s="85">
        <v>2</v>
      </c>
      <c r="N2829" s="1" t="s">
        <v>44</v>
      </c>
    </row>
    <row r="2830" spans="1:14">
      <c r="A2830" s="36" t="s">
        <v>32</v>
      </c>
      <c r="B2830" s="37">
        <v>44985</v>
      </c>
      <c r="C2830" s="36" t="s">
        <v>677</v>
      </c>
      <c r="D2830" s="36" t="s">
        <v>825</v>
      </c>
      <c r="E2830" s="36" t="s">
        <v>76</v>
      </c>
      <c r="G2830" s="87">
        <v>40800000</v>
      </c>
      <c r="H2830" s="87">
        <v>4080000</v>
      </c>
      <c r="I2830" s="87">
        <v>44880000</v>
      </c>
      <c r="K2830" s="85">
        <v>2023</v>
      </c>
      <c r="L2830" s="85">
        <v>2</v>
      </c>
      <c r="N2830" s="1" t="s">
        <v>44</v>
      </c>
    </row>
    <row r="2831" spans="1:14">
      <c r="A2831" s="36" t="s">
        <v>32</v>
      </c>
      <c r="B2831" s="37">
        <v>44985</v>
      </c>
      <c r="C2831" s="36" t="s">
        <v>677</v>
      </c>
      <c r="D2831" s="36" t="s">
        <v>678</v>
      </c>
      <c r="E2831" s="36" t="s">
        <v>76</v>
      </c>
      <c r="G2831" s="87">
        <v>23750000</v>
      </c>
      <c r="H2831" s="87">
        <v>2375000</v>
      </c>
      <c r="I2831" s="87">
        <v>26125000</v>
      </c>
      <c r="K2831" s="85">
        <v>2023</v>
      </c>
      <c r="L2831" s="85">
        <v>2</v>
      </c>
      <c r="N2831" s="1" t="s">
        <v>44</v>
      </c>
    </row>
    <row r="2832" spans="1:14">
      <c r="A2832" s="36" t="s">
        <v>32</v>
      </c>
      <c r="B2832" s="37">
        <v>44985</v>
      </c>
      <c r="C2832" s="36" t="s">
        <v>677</v>
      </c>
      <c r="D2832" s="36" t="s">
        <v>924</v>
      </c>
      <c r="E2832" s="36" t="s">
        <v>76</v>
      </c>
      <c r="G2832" s="87">
        <v>105178500</v>
      </c>
      <c r="H2832" s="87">
        <v>10517850</v>
      </c>
      <c r="I2832" s="87">
        <v>115696350</v>
      </c>
      <c r="K2832" s="85">
        <v>2023</v>
      </c>
      <c r="L2832" s="85">
        <v>2</v>
      </c>
      <c r="N2832" s="1" t="s">
        <v>44</v>
      </c>
    </row>
    <row r="2833" spans="1:14">
      <c r="A2833" s="36" t="s">
        <v>33</v>
      </c>
      <c r="B2833" s="37">
        <v>44985</v>
      </c>
      <c r="C2833" s="36" t="s">
        <v>119</v>
      </c>
      <c r="D2833" s="36" t="s">
        <v>374</v>
      </c>
      <c r="E2833" s="36" t="s">
        <v>76</v>
      </c>
      <c r="G2833" s="87">
        <v>4255000</v>
      </c>
      <c r="H2833" s="87">
        <v>425500</v>
      </c>
      <c r="I2833" s="87">
        <v>4680500</v>
      </c>
      <c r="K2833" s="85">
        <v>2023</v>
      </c>
      <c r="L2833" s="85">
        <v>2</v>
      </c>
      <c r="N2833" s="1" t="s">
        <v>44</v>
      </c>
    </row>
    <row r="2834" spans="1:14">
      <c r="A2834" s="36" t="s">
        <v>33</v>
      </c>
      <c r="B2834" s="37">
        <v>44985</v>
      </c>
      <c r="C2834" s="36" t="s">
        <v>119</v>
      </c>
      <c r="D2834" s="36" t="s">
        <v>1048</v>
      </c>
      <c r="E2834" s="36" t="s">
        <v>76</v>
      </c>
      <c r="G2834" s="87">
        <v>11841400</v>
      </c>
      <c r="H2834" s="87">
        <v>1184140</v>
      </c>
      <c r="I2834" s="87">
        <v>13025540</v>
      </c>
      <c r="K2834" s="85">
        <v>2023</v>
      </c>
      <c r="L2834" s="85">
        <v>2</v>
      </c>
      <c r="N2834" s="1" t="s">
        <v>44</v>
      </c>
    </row>
    <row r="2835" spans="1:14">
      <c r="A2835" s="36" t="s">
        <v>33</v>
      </c>
      <c r="B2835" s="37">
        <v>44985</v>
      </c>
      <c r="C2835" s="36" t="s">
        <v>119</v>
      </c>
      <c r="D2835" s="36" t="s">
        <v>877</v>
      </c>
      <c r="E2835" s="36" t="s">
        <v>1224</v>
      </c>
      <c r="G2835" s="87">
        <v>4370000</v>
      </c>
      <c r="H2835" s="87">
        <v>437000</v>
      </c>
      <c r="I2835" s="87">
        <v>4807000</v>
      </c>
      <c r="K2835" s="85">
        <v>2023</v>
      </c>
      <c r="L2835" s="85">
        <v>2</v>
      </c>
      <c r="N2835" s="1" t="s">
        <v>44</v>
      </c>
    </row>
    <row r="2836" spans="1:14">
      <c r="A2836" s="36" t="s">
        <v>32</v>
      </c>
      <c r="B2836" s="37">
        <v>44985</v>
      </c>
      <c r="C2836" s="36" t="s">
        <v>264</v>
      </c>
      <c r="D2836" s="36" t="s">
        <v>1074</v>
      </c>
      <c r="E2836" s="36" t="s">
        <v>1205</v>
      </c>
      <c r="J2836" s="87">
        <v>12100000</v>
      </c>
      <c r="K2836" s="85">
        <v>2023</v>
      </c>
      <c r="L2836" s="85">
        <v>1</v>
      </c>
      <c r="N2836" s="1" t="s">
        <v>44</v>
      </c>
    </row>
    <row r="2837" spans="1:14">
      <c r="A2837" s="36" t="s">
        <v>33</v>
      </c>
      <c r="B2837" s="37">
        <v>44985</v>
      </c>
      <c r="C2837" s="36" t="s">
        <v>1150</v>
      </c>
      <c r="D2837" s="36" t="s">
        <v>928</v>
      </c>
      <c r="E2837" s="36" t="s">
        <v>973</v>
      </c>
      <c r="G2837" s="87">
        <v>5920000</v>
      </c>
      <c r="H2837" s="87">
        <v>592000</v>
      </c>
      <c r="I2837" s="87">
        <v>6512000</v>
      </c>
      <c r="K2837" s="85">
        <v>2023</v>
      </c>
      <c r="L2837" s="85">
        <v>2</v>
      </c>
      <c r="N2837" s="1" t="s">
        <v>44</v>
      </c>
    </row>
    <row r="2838" spans="1:14">
      <c r="A2838" s="36" t="s">
        <v>32</v>
      </c>
      <c r="B2838" s="37">
        <v>44985</v>
      </c>
      <c r="C2838" s="36" t="s">
        <v>881</v>
      </c>
      <c r="D2838" s="36" t="s">
        <v>877</v>
      </c>
      <c r="E2838" s="36" t="s">
        <v>76</v>
      </c>
      <c r="G2838" s="87">
        <v>183120000</v>
      </c>
      <c r="H2838" s="87">
        <v>18312000</v>
      </c>
      <c r="I2838" s="87">
        <v>201432000</v>
      </c>
      <c r="K2838" s="85">
        <v>2023</v>
      </c>
      <c r="L2838" s="85">
        <v>2</v>
      </c>
      <c r="N2838" s="1" t="s">
        <v>44</v>
      </c>
    </row>
    <row r="2839" spans="1:14">
      <c r="A2839" s="36" t="s">
        <v>32</v>
      </c>
      <c r="B2839" s="37">
        <v>44985</v>
      </c>
      <c r="C2839" s="36" t="s">
        <v>552</v>
      </c>
      <c r="D2839" s="36" t="s">
        <v>1011</v>
      </c>
      <c r="E2839" s="36" t="s">
        <v>76</v>
      </c>
      <c r="G2839" s="87">
        <v>12290270</v>
      </c>
      <c r="H2839" s="87">
        <v>1229027</v>
      </c>
      <c r="I2839" s="87">
        <v>13519297</v>
      </c>
      <c r="K2839" s="85">
        <v>2023</v>
      </c>
      <c r="L2839" s="85">
        <v>2</v>
      </c>
      <c r="N2839" s="1" t="s">
        <v>44</v>
      </c>
    </row>
    <row r="2840" spans="1:14">
      <c r="A2840" s="36" t="s">
        <v>32</v>
      </c>
      <c r="B2840" s="37">
        <v>44985</v>
      </c>
      <c r="C2840" s="36" t="s">
        <v>552</v>
      </c>
      <c r="D2840" s="36" t="s">
        <v>1181</v>
      </c>
      <c r="E2840" s="36" t="s">
        <v>76</v>
      </c>
      <c r="G2840" s="87">
        <v>46215400</v>
      </c>
      <c r="H2840" s="87">
        <v>4621540</v>
      </c>
      <c r="I2840" s="87">
        <v>50836940</v>
      </c>
      <c r="K2840" s="85">
        <v>2023</v>
      </c>
      <c r="L2840" s="85">
        <v>2</v>
      </c>
      <c r="N2840" s="1" t="s">
        <v>44</v>
      </c>
    </row>
    <row r="2841" spans="1:14">
      <c r="A2841" s="36" t="s">
        <v>32</v>
      </c>
      <c r="B2841" s="37">
        <v>44985</v>
      </c>
      <c r="C2841" s="36" t="s">
        <v>552</v>
      </c>
      <c r="D2841" s="36" t="s">
        <v>1181</v>
      </c>
      <c r="E2841" s="36" t="s">
        <v>1247</v>
      </c>
      <c r="J2841" s="87">
        <v>50836940</v>
      </c>
      <c r="K2841" s="85">
        <v>2023</v>
      </c>
      <c r="L2841" s="85">
        <v>2</v>
      </c>
      <c r="N2841" s="1" t="s">
        <v>44</v>
      </c>
    </row>
    <row r="2842" spans="1:14">
      <c r="A2842" s="36" t="s">
        <v>33</v>
      </c>
      <c r="B2842" s="37">
        <v>44985</v>
      </c>
      <c r="C2842" s="36" t="s">
        <v>1218</v>
      </c>
      <c r="D2842" s="36" t="s">
        <v>1219</v>
      </c>
      <c r="E2842" s="36" t="s">
        <v>1220</v>
      </c>
      <c r="G2842" s="87">
        <v>27769500</v>
      </c>
      <c r="H2842" s="87">
        <v>2776950</v>
      </c>
      <c r="I2842" s="87">
        <v>30546450</v>
      </c>
      <c r="K2842" s="85">
        <v>2023</v>
      </c>
      <c r="L2842" s="85">
        <v>2</v>
      </c>
      <c r="N2842" s="1" t="s">
        <v>44</v>
      </c>
    </row>
    <row r="2843" spans="1:14">
      <c r="A2843" s="36" t="s">
        <v>32</v>
      </c>
      <c r="B2843" s="37">
        <v>44985</v>
      </c>
      <c r="C2843" s="36" t="s">
        <v>206</v>
      </c>
      <c r="D2843" s="36" t="s">
        <v>1157</v>
      </c>
      <c r="E2843" s="36" t="s">
        <v>1206</v>
      </c>
      <c r="J2843" s="87">
        <v>2809620</v>
      </c>
      <c r="K2843" s="85">
        <v>2023</v>
      </c>
      <c r="L2843" s="85">
        <v>1</v>
      </c>
      <c r="N2843" s="1" t="s">
        <v>44</v>
      </c>
    </row>
    <row r="2844" spans="1:14">
      <c r="A2844" s="36" t="s">
        <v>32</v>
      </c>
      <c r="B2844" s="37">
        <v>44985</v>
      </c>
      <c r="C2844" s="36" t="s">
        <v>206</v>
      </c>
      <c r="D2844" s="36" t="s">
        <v>1186</v>
      </c>
      <c r="E2844" s="36" t="s">
        <v>1206</v>
      </c>
      <c r="J2844" s="87">
        <v>7819020</v>
      </c>
      <c r="K2844" s="85">
        <v>2023</v>
      </c>
      <c r="L2844" s="85">
        <v>1</v>
      </c>
      <c r="N2844" s="1" t="s">
        <v>44</v>
      </c>
    </row>
    <row r="2845" spans="1:14">
      <c r="A2845" s="36" t="s">
        <v>32</v>
      </c>
      <c r="B2845" s="37">
        <v>44985</v>
      </c>
      <c r="C2845" s="36" t="s">
        <v>206</v>
      </c>
      <c r="D2845" s="36" t="s">
        <v>1157</v>
      </c>
      <c r="E2845" s="36" t="s">
        <v>76</v>
      </c>
      <c r="G2845" s="87">
        <v>5108400</v>
      </c>
      <c r="H2845" s="87">
        <v>510840</v>
      </c>
      <c r="I2845" s="87">
        <v>5619240</v>
      </c>
      <c r="K2845" s="85">
        <v>2023</v>
      </c>
      <c r="L2845" s="85">
        <v>2</v>
      </c>
      <c r="N2845" s="1" t="s">
        <v>44</v>
      </c>
    </row>
    <row r="2846" spans="1:14">
      <c r="A2846" s="36" t="s">
        <v>32</v>
      </c>
      <c r="B2846" s="37">
        <v>44985</v>
      </c>
      <c r="C2846" s="36" t="s">
        <v>206</v>
      </c>
      <c r="D2846" s="36" t="s">
        <v>1186</v>
      </c>
      <c r="E2846" s="36" t="s">
        <v>267</v>
      </c>
      <c r="G2846" s="87">
        <v>3312400</v>
      </c>
      <c r="H2846" s="87">
        <v>331240</v>
      </c>
      <c r="I2846" s="87">
        <v>3643640</v>
      </c>
      <c r="K2846" s="85">
        <v>2023</v>
      </c>
      <c r="L2846" s="85">
        <v>2</v>
      </c>
      <c r="N2846" s="1" t="s">
        <v>44</v>
      </c>
    </row>
    <row r="2847" spans="1:14">
      <c r="A2847" s="36" t="s">
        <v>32</v>
      </c>
      <c r="B2847" s="37">
        <v>44985</v>
      </c>
      <c r="C2847" s="36" t="s">
        <v>1198</v>
      </c>
      <c r="D2847" s="36" t="s">
        <v>1199</v>
      </c>
      <c r="E2847" s="36" t="s">
        <v>77</v>
      </c>
      <c r="J2847" s="38">
        <v>3745720</v>
      </c>
      <c r="K2847" s="85">
        <v>2023</v>
      </c>
      <c r="L2847" s="85">
        <v>2</v>
      </c>
      <c r="N2847" s="1" t="s">
        <v>44</v>
      </c>
    </row>
    <row r="2848" spans="1:14">
      <c r="A2848" s="36" t="s">
        <v>32</v>
      </c>
      <c r="B2848" s="37">
        <v>44985</v>
      </c>
      <c r="C2848" s="36" t="s">
        <v>1198</v>
      </c>
      <c r="D2848" s="36" t="s">
        <v>1199</v>
      </c>
      <c r="E2848" s="36" t="s">
        <v>1214</v>
      </c>
      <c r="J2848" s="87">
        <v>4975520</v>
      </c>
      <c r="K2848" s="85">
        <v>2023</v>
      </c>
      <c r="L2848" s="85">
        <v>2</v>
      </c>
      <c r="N2848" s="1" t="s">
        <v>44</v>
      </c>
    </row>
    <row r="2849" spans="1:14">
      <c r="A2849" s="36" t="s">
        <v>33</v>
      </c>
      <c r="B2849" s="37">
        <v>44985</v>
      </c>
      <c r="C2849" s="36" t="s">
        <v>966</v>
      </c>
      <c r="D2849" s="36" t="s">
        <v>877</v>
      </c>
      <c r="E2849" s="36" t="s">
        <v>1223</v>
      </c>
      <c r="G2849" s="87">
        <v>7820000</v>
      </c>
      <c r="H2849" s="87">
        <v>782000</v>
      </c>
      <c r="I2849" s="87">
        <v>8602000</v>
      </c>
      <c r="K2849" s="85">
        <v>2023</v>
      </c>
      <c r="L2849" s="85">
        <v>2</v>
      </c>
      <c r="N2849" s="1" t="s">
        <v>44</v>
      </c>
    </row>
    <row r="2850" spans="1:14">
      <c r="A2850" s="36" t="s">
        <v>32</v>
      </c>
      <c r="B2850" s="37">
        <v>44985</v>
      </c>
      <c r="C2850" s="36" t="s">
        <v>185</v>
      </c>
      <c r="D2850" s="36" t="s">
        <v>1080</v>
      </c>
      <c r="E2850" s="36" t="s">
        <v>1206</v>
      </c>
      <c r="J2850" s="87">
        <v>4670829.9000000004</v>
      </c>
      <c r="K2850" s="85">
        <v>2023</v>
      </c>
      <c r="L2850" s="85">
        <v>1</v>
      </c>
      <c r="N2850" s="1" t="s">
        <v>44</v>
      </c>
    </row>
    <row r="2851" spans="1:14">
      <c r="A2851" s="36" t="s">
        <v>32</v>
      </c>
      <c r="B2851" s="37">
        <v>44985</v>
      </c>
      <c r="C2851" s="36" t="s">
        <v>185</v>
      </c>
      <c r="D2851" s="36" t="s">
        <v>1080</v>
      </c>
      <c r="E2851" s="36" t="s">
        <v>76</v>
      </c>
      <c r="G2851" s="87">
        <v>2830806</v>
      </c>
      <c r="H2851" s="87">
        <v>283080</v>
      </c>
      <c r="I2851" s="87">
        <v>3113886</v>
      </c>
      <c r="K2851" s="85">
        <v>2023</v>
      </c>
      <c r="L2851" s="85">
        <v>2</v>
      </c>
      <c r="N2851" s="1" t="s">
        <v>44</v>
      </c>
    </row>
    <row r="2852" spans="1:14">
      <c r="A2852" s="36" t="s">
        <v>32</v>
      </c>
      <c r="B2852" s="37">
        <v>44985</v>
      </c>
      <c r="C2852" s="36" t="s">
        <v>185</v>
      </c>
      <c r="D2852" s="36" t="s">
        <v>932</v>
      </c>
      <c r="E2852" s="36" t="s">
        <v>1206</v>
      </c>
      <c r="J2852" s="87">
        <v>10556409.6</v>
      </c>
      <c r="K2852" s="85">
        <v>2022</v>
      </c>
      <c r="L2852" s="85">
        <v>12</v>
      </c>
      <c r="N2852" s="1" t="s">
        <v>44</v>
      </c>
    </row>
    <row r="2853" spans="1:14">
      <c r="A2853" s="36" t="s">
        <v>32</v>
      </c>
      <c r="B2853" s="37">
        <v>44985</v>
      </c>
      <c r="C2853" s="36" t="s">
        <v>268</v>
      </c>
      <c r="D2853" s="36" t="s">
        <v>1189</v>
      </c>
      <c r="E2853" s="36" t="s">
        <v>267</v>
      </c>
      <c r="G2853" s="87">
        <v>15990000</v>
      </c>
      <c r="H2853" s="87">
        <v>1599000</v>
      </c>
      <c r="I2853" s="87">
        <v>17589000</v>
      </c>
      <c r="K2853" s="85">
        <v>2023</v>
      </c>
      <c r="L2853" s="85">
        <v>2</v>
      </c>
      <c r="N2853" s="1" t="s">
        <v>44</v>
      </c>
    </row>
    <row r="2854" spans="1:14">
      <c r="A2854" s="36" t="s">
        <v>32</v>
      </c>
      <c r="B2854" s="37">
        <v>44985</v>
      </c>
      <c r="C2854" s="36" t="s">
        <v>268</v>
      </c>
      <c r="D2854" s="36" t="s">
        <v>954</v>
      </c>
      <c r="E2854" s="36" t="s">
        <v>267</v>
      </c>
      <c r="G2854" s="87">
        <v>232508400</v>
      </c>
      <c r="H2854" s="87">
        <v>23250840</v>
      </c>
      <c r="I2854" s="87">
        <v>255759240</v>
      </c>
      <c r="K2854" s="85">
        <v>2023</v>
      </c>
      <c r="L2854" s="85">
        <v>2</v>
      </c>
      <c r="N2854" s="1" t="s">
        <v>44</v>
      </c>
    </row>
    <row r="2855" spans="1:14">
      <c r="A2855" s="36" t="s">
        <v>33</v>
      </c>
      <c r="B2855" s="37">
        <v>44985</v>
      </c>
      <c r="C2855" s="36" t="s">
        <v>590</v>
      </c>
      <c r="D2855" s="36" t="s">
        <v>1011</v>
      </c>
      <c r="E2855" s="36" t="s">
        <v>1253</v>
      </c>
      <c r="G2855" s="87">
        <v>12290270</v>
      </c>
      <c r="H2855" s="87">
        <v>1229027</v>
      </c>
      <c r="I2855" s="87">
        <v>13519297</v>
      </c>
      <c r="K2855" s="85">
        <v>2023</v>
      </c>
      <c r="L2855" s="85">
        <v>2</v>
      </c>
      <c r="N2855" s="1" t="s">
        <v>44</v>
      </c>
    </row>
    <row r="2856" spans="1:14">
      <c r="A2856" s="36" t="s">
        <v>33</v>
      </c>
      <c r="B2856" s="37">
        <v>44985</v>
      </c>
      <c r="C2856" s="36" t="s">
        <v>590</v>
      </c>
      <c r="D2856" s="36" t="s">
        <v>1011</v>
      </c>
      <c r="E2856" s="36" t="s">
        <v>77</v>
      </c>
      <c r="J2856" s="38">
        <v>13519297</v>
      </c>
      <c r="K2856" s="85">
        <v>2023</v>
      </c>
      <c r="L2856" s="85">
        <v>2</v>
      </c>
      <c r="N2856" s="1" t="s">
        <v>44</v>
      </c>
    </row>
    <row r="2857" spans="1:14">
      <c r="A2857" s="36" t="s">
        <v>32</v>
      </c>
      <c r="B2857" s="37">
        <v>44985</v>
      </c>
      <c r="C2857" s="36" t="s">
        <v>1226</v>
      </c>
      <c r="D2857" s="36" t="s">
        <v>1230</v>
      </c>
      <c r="E2857" s="36" t="s">
        <v>76</v>
      </c>
      <c r="G2857" s="87">
        <v>10000000</v>
      </c>
      <c r="H2857" s="87">
        <v>1000000</v>
      </c>
      <c r="I2857" s="87">
        <v>11000000</v>
      </c>
      <c r="K2857" s="85">
        <v>2023</v>
      </c>
      <c r="L2857" s="85">
        <v>2</v>
      </c>
      <c r="N2857" s="1" t="s">
        <v>44</v>
      </c>
    </row>
    <row r="2858" spans="1:14">
      <c r="A2858" s="36" t="s">
        <v>32</v>
      </c>
      <c r="B2858" s="37">
        <v>44985</v>
      </c>
      <c r="C2858" s="36" t="s">
        <v>188</v>
      </c>
      <c r="D2858" s="36" t="s">
        <v>2099</v>
      </c>
      <c r="E2858" s="36" t="s">
        <v>1232</v>
      </c>
      <c r="G2858" s="87">
        <v>32818500</v>
      </c>
      <c r="H2858" s="87">
        <v>3281850</v>
      </c>
      <c r="I2858" s="87">
        <v>36100350</v>
      </c>
      <c r="K2858" s="85">
        <v>2023</v>
      </c>
      <c r="L2858" s="85">
        <v>2</v>
      </c>
      <c r="N2858" s="1" t="s">
        <v>44</v>
      </c>
    </row>
    <row r="2859" spans="1:14">
      <c r="A2859" s="36" t="s">
        <v>32</v>
      </c>
      <c r="B2859" s="37">
        <v>44985</v>
      </c>
      <c r="C2859" s="36" t="s">
        <v>307</v>
      </c>
      <c r="D2859" s="36" t="s">
        <v>980</v>
      </c>
      <c r="E2859" s="36" t="s">
        <v>77</v>
      </c>
      <c r="J2859" s="38">
        <v>924000</v>
      </c>
      <c r="K2859" s="85">
        <v>2023</v>
      </c>
      <c r="L2859" s="85">
        <v>2</v>
      </c>
      <c r="N2859" s="1" t="s">
        <v>44</v>
      </c>
    </row>
    <row r="2860" spans="1:14">
      <c r="A2860" s="36" t="s">
        <v>32</v>
      </c>
      <c r="B2860" s="37">
        <v>44985</v>
      </c>
      <c r="C2860" s="36" t="s">
        <v>667</v>
      </c>
      <c r="D2860" s="36" t="s">
        <v>1183</v>
      </c>
      <c r="E2860" s="36" t="s">
        <v>1206</v>
      </c>
      <c r="J2860" s="87">
        <v>2107050</v>
      </c>
      <c r="K2860" s="85">
        <v>2023</v>
      </c>
      <c r="L2860" s="85">
        <v>1</v>
      </c>
      <c r="N2860" s="1" t="s">
        <v>44</v>
      </c>
    </row>
    <row r="2861" spans="1:14">
      <c r="A2861" s="36" t="s">
        <v>32</v>
      </c>
      <c r="B2861" s="37">
        <v>44985</v>
      </c>
      <c r="C2861" s="36" t="s">
        <v>667</v>
      </c>
      <c r="D2861" s="36" t="s">
        <v>1183</v>
      </c>
      <c r="E2861" s="36" t="s">
        <v>76</v>
      </c>
      <c r="G2861" s="87">
        <v>12821000</v>
      </c>
      <c r="H2861" s="87">
        <v>1282100</v>
      </c>
      <c r="I2861" s="87">
        <v>14103100</v>
      </c>
      <c r="K2861" s="85">
        <v>2023</v>
      </c>
      <c r="L2861" s="85">
        <v>2</v>
      </c>
      <c r="N2861" s="1" t="s">
        <v>44</v>
      </c>
    </row>
    <row r="2862" spans="1:14">
      <c r="A2862" s="36" t="s">
        <v>32</v>
      </c>
      <c r="B2862" s="37">
        <v>44985</v>
      </c>
      <c r="C2862" s="36" t="s">
        <v>1115</v>
      </c>
      <c r="D2862" s="36" t="s">
        <v>1120</v>
      </c>
      <c r="E2862" s="36" t="s">
        <v>1206</v>
      </c>
      <c r="J2862" s="38">
        <v>15921400</v>
      </c>
      <c r="K2862" s="85">
        <v>2023</v>
      </c>
      <c r="L2862" s="85">
        <v>1</v>
      </c>
      <c r="M2862" s="36" t="s">
        <v>1208</v>
      </c>
      <c r="N2862" s="1" t="s">
        <v>44</v>
      </c>
    </row>
    <row r="2863" spans="1:14">
      <c r="A2863" s="36" t="s">
        <v>32</v>
      </c>
      <c r="B2863" s="37">
        <v>44985</v>
      </c>
      <c r="C2863" s="36" t="s">
        <v>1115</v>
      </c>
      <c r="D2863" s="36" t="s">
        <v>1120</v>
      </c>
      <c r="E2863" s="36" t="s">
        <v>1207</v>
      </c>
      <c r="J2863" s="38">
        <v>880</v>
      </c>
      <c r="K2863" s="85">
        <v>2023</v>
      </c>
      <c r="L2863" s="85">
        <v>1</v>
      </c>
      <c r="N2863" s="1" t="s">
        <v>44</v>
      </c>
    </row>
    <row r="2864" spans="1:14">
      <c r="A2864" s="36" t="s">
        <v>32</v>
      </c>
      <c r="B2864" s="37">
        <v>44985</v>
      </c>
      <c r="C2864" s="36" t="s">
        <v>1115</v>
      </c>
      <c r="D2864" s="36" t="s">
        <v>1120</v>
      </c>
      <c r="E2864" s="36" t="s">
        <v>76</v>
      </c>
      <c r="G2864" s="87">
        <v>3899200</v>
      </c>
      <c r="H2864" s="87">
        <v>389920</v>
      </c>
      <c r="I2864" s="87">
        <v>4289120</v>
      </c>
      <c r="K2864" s="85">
        <v>2023</v>
      </c>
      <c r="L2864" s="85">
        <v>2</v>
      </c>
      <c r="N2864" s="1" t="s">
        <v>44</v>
      </c>
    </row>
    <row r="2865" spans="1:14">
      <c r="A2865" s="36" t="s">
        <v>33</v>
      </c>
      <c r="B2865" s="37">
        <v>44985</v>
      </c>
      <c r="C2865" s="36" t="s">
        <v>1049</v>
      </c>
      <c r="D2865" s="36" t="s">
        <v>877</v>
      </c>
      <c r="E2865" s="36" t="s">
        <v>1222</v>
      </c>
      <c r="G2865" s="87">
        <v>5060000</v>
      </c>
      <c r="H2865" s="87">
        <v>506000</v>
      </c>
      <c r="I2865" s="87">
        <v>5566000</v>
      </c>
      <c r="K2865" s="85">
        <v>2023</v>
      </c>
      <c r="L2865" s="85">
        <v>2</v>
      </c>
      <c r="N2865" s="1" t="s">
        <v>44</v>
      </c>
    </row>
    <row r="2866" spans="1:14">
      <c r="A2866" s="36" t="s">
        <v>32</v>
      </c>
      <c r="B2866" s="37">
        <v>44985</v>
      </c>
      <c r="C2866" s="36" t="s">
        <v>654</v>
      </c>
      <c r="D2866" s="36" t="s">
        <v>1156</v>
      </c>
      <c r="E2866" s="36" t="s">
        <v>76</v>
      </c>
      <c r="G2866" s="87">
        <v>3907550</v>
      </c>
      <c r="H2866" s="87">
        <v>390755</v>
      </c>
      <c r="I2866" s="87">
        <v>4298305</v>
      </c>
      <c r="K2866" s="85">
        <v>2023</v>
      </c>
      <c r="L2866" s="85">
        <v>2</v>
      </c>
      <c r="N2866" s="1" t="s">
        <v>44</v>
      </c>
    </row>
    <row r="2867" spans="1:14">
      <c r="A2867" s="36" t="s">
        <v>32</v>
      </c>
      <c r="B2867" s="37">
        <v>44985</v>
      </c>
      <c r="C2867" s="36" t="s">
        <v>654</v>
      </c>
      <c r="D2867" s="36" t="s">
        <v>994</v>
      </c>
      <c r="E2867" s="36" t="s">
        <v>76</v>
      </c>
      <c r="G2867" s="87">
        <v>9660000</v>
      </c>
      <c r="H2867" s="87">
        <v>966000</v>
      </c>
      <c r="I2867" s="87">
        <v>10626000</v>
      </c>
      <c r="K2867" s="85">
        <v>2023</v>
      </c>
      <c r="L2867" s="85">
        <v>2</v>
      </c>
      <c r="N2867" s="1" t="s">
        <v>44</v>
      </c>
    </row>
    <row r="2868" spans="1:14">
      <c r="A2868" s="36" t="s">
        <v>32</v>
      </c>
      <c r="B2868" s="37">
        <v>44985</v>
      </c>
      <c r="C2868" s="36" t="s">
        <v>654</v>
      </c>
      <c r="D2868" s="36" t="s">
        <v>1219</v>
      </c>
      <c r="E2868" s="36" t="s">
        <v>76</v>
      </c>
      <c r="G2868" s="87">
        <v>44931600</v>
      </c>
      <c r="H2868" s="87">
        <v>4493160</v>
      </c>
      <c r="I2868" s="87">
        <v>49424760</v>
      </c>
      <c r="K2868" s="85">
        <v>2023</v>
      </c>
      <c r="L2868" s="85">
        <v>2</v>
      </c>
      <c r="N2868" s="1" t="s">
        <v>44</v>
      </c>
    </row>
    <row r="2869" spans="1:14">
      <c r="A2869" s="36" t="s">
        <v>32</v>
      </c>
      <c r="B2869" s="37">
        <v>44985</v>
      </c>
      <c r="C2869" s="36" t="s">
        <v>1225</v>
      </c>
      <c r="D2869" s="36" t="s">
        <v>1234</v>
      </c>
      <c r="E2869" s="36" t="s">
        <v>1233</v>
      </c>
      <c r="G2869" s="87">
        <v>1350000</v>
      </c>
      <c r="H2869" s="87">
        <v>135000</v>
      </c>
      <c r="I2869" s="87">
        <v>1485000</v>
      </c>
      <c r="K2869" s="85">
        <v>2023</v>
      </c>
      <c r="L2869" s="85">
        <v>2</v>
      </c>
      <c r="N2869" s="1" t="s">
        <v>44</v>
      </c>
    </row>
    <row r="2870" spans="1:14">
      <c r="A2870" s="36" t="s">
        <v>1236</v>
      </c>
      <c r="B2870" s="37">
        <v>44986</v>
      </c>
      <c r="C2870" s="36" t="s">
        <v>1237</v>
      </c>
      <c r="D2870" s="36" t="s">
        <v>1238</v>
      </c>
      <c r="E2870" s="36" t="s">
        <v>1239</v>
      </c>
      <c r="G2870" s="87">
        <v>-3780000</v>
      </c>
      <c r="H2870" s="87">
        <v>-378000</v>
      </c>
      <c r="I2870" s="87">
        <v>-4158000</v>
      </c>
      <c r="J2870" s="87"/>
      <c r="K2870" s="85">
        <v>2022</v>
      </c>
      <c r="L2870" s="85">
        <v>8</v>
      </c>
      <c r="N2870" s="1" t="s">
        <v>44</v>
      </c>
    </row>
    <row r="2871" spans="1:14">
      <c r="A2871" s="36" t="s">
        <v>32</v>
      </c>
      <c r="B2871" s="37">
        <v>44986</v>
      </c>
      <c r="C2871" s="36" t="s">
        <v>466</v>
      </c>
      <c r="D2871" s="36" t="s">
        <v>467</v>
      </c>
      <c r="E2871" s="36" t="s">
        <v>76</v>
      </c>
      <c r="G2871" s="87">
        <v>20717000</v>
      </c>
      <c r="H2871" s="87">
        <v>2071700</v>
      </c>
      <c r="I2871" s="87">
        <v>22788700</v>
      </c>
      <c r="K2871" s="85">
        <v>2023</v>
      </c>
      <c r="L2871" s="85">
        <v>3</v>
      </c>
      <c r="N2871" s="1" t="s">
        <v>44</v>
      </c>
    </row>
    <row r="2872" spans="1:14">
      <c r="A2872" s="36" t="s">
        <v>32</v>
      </c>
      <c r="B2872" s="37">
        <v>44987</v>
      </c>
      <c r="C2872" s="36" t="s">
        <v>498</v>
      </c>
      <c r="D2872" s="36" t="s">
        <v>1127</v>
      </c>
      <c r="E2872" s="36" t="s">
        <v>1243</v>
      </c>
      <c r="G2872" s="87">
        <v>-1620000</v>
      </c>
      <c r="H2872" s="87">
        <v>-162000</v>
      </c>
      <c r="I2872" s="87">
        <v>-1782000</v>
      </c>
      <c r="K2872" s="85">
        <v>2023</v>
      </c>
      <c r="L2872" s="85">
        <v>2</v>
      </c>
      <c r="N2872" s="1" t="s">
        <v>44</v>
      </c>
    </row>
    <row r="2873" spans="1:14">
      <c r="A2873" s="36" t="s">
        <v>32</v>
      </c>
      <c r="B2873" s="37">
        <v>44988</v>
      </c>
      <c r="C2873" s="36" t="s">
        <v>466</v>
      </c>
      <c r="D2873" s="36" t="s">
        <v>1216</v>
      </c>
      <c r="E2873" s="36" t="s">
        <v>77</v>
      </c>
      <c r="J2873" s="38">
        <v>24454770</v>
      </c>
      <c r="K2873" s="85">
        <v>2023</v>
      </c>
      <c r="L2873" s="85">
        <v>2</v>
      </c>
      <c r="N2873" s="1" t="s">
        <v>44</v>
      </c>
    </row>
    <row r="2874" spans="1:14">
      <c r="A2874" s="36" t="s">
        <v>32</v>
      </c>
      <c r="B2874" s="37">
        <v>44988</v>
      </c>
      <c r="C2874" s="36" t="s">
        <v>466</v>
      </c>
      <c r="D2874" s="36" t="s">
        <v>1216</v>
      </c>
      <c r="E2874" s="36" t="s">
        <v>77</v>
      </c>
      <c r="J2874" s="38">
        <v>3912330</v>
      </c>
      <c r="K2874" s="85">
        <v>2023</v>
      </c>
      <c r="L2874" s="85">
        <v>2</v>
      </c>
      <c r="N2874" s="1" t="s">
        <v>44</v>
      </c>
    </row>
    <row r="2875" spans="1:14">
      <c r="A2875" s="36" t="s">
        <v>32</v>
      </c>
      <c r="B2875" s="37">
        <v>44988</v>
      </c>
      <c r="C2875" s="36" t="s">
        <v>466</v>
      </c>
      <c r="D2875" s="36" t="s">
        <v>1216</v>
      </c>
      <c r="E2875" s="36" t="s">
        <v>1217</v>
      </c>
      <c r="J2875" s="38">
        <v>234000</v>
      </c>
      <c r="K2875" s="85">
        <v>2023</v>
      </c>
      <c r="L2875" s="85">
        <v>2</v>
      </c>
      <c r="N2875" s="1" t="s">
        <v>44</v>
      </c>
    </row>
    <row r="2876" spans="1:14">
      <c r="A2876" s="36" t="s">
        <v>32</v>
      </c>
      <c r="B2876" s="37">
        <v>44992</v>
      </c>
      <c r="C2876" s="36" t="s">
        <v>204</v>
      </c>
      <c r="D2876" s="36" t="s">
        <v>1187</v>
      </c>
      <c r="E2876" s="36" t="s">
        <v>1221</v>
      </c>
      <c r="J2876" s="87">
        <v>5542680</v>
      </c>
      <c r="K2876" s="85">
        <v>2023</v>
      </c>
      <c r="L2876" s="85">
        <v>1</v>
      </c>
      <c r="N2876" s="1" t="s">
        <v>44</v>
      </c>
    </row>
    <row r="2877" spans="1:14">
      <c r="A2877" s="36" t="s">
        <v>32</v>
      </c>
      <c r="B2877" s="37">
        <v>44994</v>
      </c>
      <c r="C2877" s="36" t="s">
        <v>1067</v>
      </c>
      <c r="D2877" s="36" t="s">
        <v>1188</v>
      </c>
      <c r="E2877" s="36" t="s">
        <v>1221</v>
      </c>
      <c r="J2877" s="87">
        <v>12320000</v>
      </c>
      <c r="K2877" s="85">
        <v>2023</v>
      </c>
      <c r="L2877" s="85">
        <v>1</v>
      </c>
      <c r="N2877" s="1" t="s">
        <v>44</v>
      </c>
    </row>
    <row r="2878" spans="1:14">
      <c r="A2878" s="36" t="s">
        <v>32</v>
      </c>
      <c r="B2878" s="37">
        <v>44998</v>
      </c>
      <c r="C2878" s="36" t="s">
        <v>519</v>
      </c>
      <c r="D2878" s="36" t="s">
        <v>321</v>
      </c>
      <c r="E2878" s="36" t="s">
        <v>148</v>
      </c>
      <c r="J2878" s="87">
        <v>1782000</v>
      </c>
      <c r="K2878" s="85">
        <v>2023</v>
      </c>
      <c r="L2878" s="85">
        <v>1</v>
      </c>
      <c r="N2878" s="1" t="s">
        <v>44</v>
      </c>
    </row>
    <row r="2879" spans="1:14">
      <c r="A2879" s="36" t="s">
        <v>32</v>
      </c>
      <c r="B2879" s="37">
        <v>45000</v>
      </c>
      <c r="C2879" s="36" t="s">
        <v>677</v>
      </c>
      <c r="D2879" s="36" t="s">
        <v>825</v>
      </c>
      <c r="E2879" s="36" t="s">
        <v>1235</v>
      </c>
      <c r="J2879" s="87">
        <v>44880000</v>
      </c>
      <c r="K2879" s="85">
        <v>2023</v>
      </c>
      <c r="L2879" s="85">
        <v>2</v>
      </c>
      <c r="N2879" s="1" t="s">
        <v>44</v>
      </c>
    </row>
    <row r="2880" spans="1:14">
      <c r="A2880" s="36" t="s">
        <v>32</v>
      </c>
      <c r="B2880" s="37">
        <v>45000</v>
      </c>
      <c r="C2880" s="36" t="s">
        <v>677</v>
      </c>
      <c r="D2880" s="36" t="s">
        <v>924</v>
      </c>
      <c r="E2880" s="36" t="s">
        <v>1235</v>
      </c>
      <c r="J2880" s="38">
        <v>116696350</v>
      </c>
      <c r="K2880" s="85">
        <v>2023</v>
      </c>
      <c r="L2880" s="85">
        <v>2</v>
      </c>
      <c r="N2880" s="1" t="s">
        <v>44</v>
      </c>
    </row>
    <row r="2881" spans="1:14">
      <c r="A2881" s="36" t="s">
        <v>32</v>
      </c>
      <c r="B2881" s="37">
        <v>45000</v>
      </c>
      <c r="C2881" s="36" t="s">
        <v>268</v>
      </c>
      <c r="D2881" s="36" t="s">
        <v>1189</v>
      </c>
      <c r="E2881" s="36" t="s">
        <v>148</v>
      </c>
      <c r="J2881" s="87">
        <v>17589000</v>
      </c>
      <c r="K2881" s="85">
        <v>2023</v>
      </c>
      <c r="L2881" s="85">
        <v>2</v>
      </c>
      <c r="N2881" s="1" t="s">
        <v>44</v>
      </c>
    </row>
    <row r="2882" spans="1:14">
      <c r="A2882" s="36" t="s">
        <v>32</v>
      </c>
      <c r="B2882" s="37">
        <v>45000</v>
      </c>
      <c r="C2882" s="36" t="s">
        <v>268</v>
      </c>
      <c r="D2882" s="36" t="s">
        <v>954</v>
      </c>
      <c r="E2882" s="36" t="s">
        <v>148</v>
      </c>
      <c r="J2882" s="38">
        <v>229759240</v>
      </c>
      <c r="K2882" s="85">
        <v>2023</v>
      </c>
      <c r="L2882" s="85">
        <v>2</v>
      </c>
      <c r="N2882" s="1" t="s">
        <v>44</v>
      </c>
    </row>
    <row r="2883" spans="1:14">
      <c r="A2883" s="36" t="s">
        <v>32</v>
      </c>
      <c r="B2883" s="37">
        <v>45001</v>
      </c>
      <c r="C2883" s="36" t="s">
        <v>771</v>
      </c>
      <c r="D2883" s="36" t="s">
        <v>1111</v>
      </c>
      <c r="E2883" s="36" t="s">
        <v>1240</v>
      </c>
      <c r="J2883" s="87">
        <v>1012000</v>
      </c>
      <c r="K2883" s="85">
        <v>2023</v>
      </c>
      <c r="L2883" s="85">
        <v>1</v>
      </c>
      <c r="N2883" s="1" t="s">
        <v>44</v>
      </c>
    </row>
    <row r="2884" spans="1:14">
      <c r="A2884" s="36" t="s">
        <v>32</v>
      </c>
      <c r="B2884" s="37">
        <v>45002</v>
      </c>
      <c r="C2884" s="36" t="s">
        <v>498</v>
      </c>
      <c r="D2884" s="36" t="s">
        <v>1127</v>
      </c>
      <c r="E2884" s="36" t="s">
        <v>1241</v>
      </c>
      <c r="J2884" s="38">
        <v>27753000</v>
      </c>
      <c r="K2884" s="85">
        <v>2023</v>
      </c>
      <c r="L2884" s="85">
        <v>2</v>
      </c>
      <c r="N2884" s="1" t="s">
        <v>44</v>
      </c>
    </row>
    <row r="2885" spans="1:14">
      <c r="A2885" s="36" t="s">
        <v>32</v>
      </c>
      <c r="B2885" s="37">
        <v>45002</v>
      </c>
      <c r="C2885" s="36" t="s">
        <v>677</v>
      </c>
      <c r="D2885" s="36" t="s">
        <v>678</v>
      </c>
      <c r="E2885" s="36" t="s">
        <v>148</v>
      </c>
      <c r="J2885" s="87">
        <v>26125000</v>
      </c>
      <c r="K2885" s="85">
        <v>2023</v>
      </c>
      <c r="L2885" s="85">
        <v>2</v>
      </c>
      <c r="N2885" s="1" t="s">
        <v>44</v>
      </c>
    </row>
    <row r="2886" spans="1:14">
      <c r="A2886" s="36" t="s">
        <v>33</v>
      </c>
      <c r="B2886" s="37">
        <v>45005</v>
      </c>
      <c r="C2886" s="36" t="s">
        <v>119</v>
      </c>
      <c r="D2886" s="36" t="s">
        <v>1048</v>
      </c>
      <c r="E2886" s="36" t="s">
        <v>1242</v>
      </c>
      <c r="J2886" s="38">
        <v>24207810</v>
      </c>
      <c r="K2886" s="85">
        <v>2023</v>
      </c>
      <c r="L2886" s="85">
        <v>1</v>
      </c>
      <c r="N2886" s="1" t="s">
        <v>44</v>
      </c>
    </row>
    <row r="2887" spans="1:14">
      <c r="A2887" s="36" t="s">
        <v>32</v>
      </c>
      <c r="B2887" s="37">
        <v>45006</v>
      </c>
      <c r="C2887" s="36" t="s">
        <v>174</v>
      </c>
      <c r="D2887" s="36" t="s">
        <v>1155</v>
      </c>
      <c r="E2887" s="36" t="s">
        <v>1244</v>
      </c>
      <c r="J2887" s="87">
        <v>8564160</v>
      </c>
      <c r="K2887" s="85">
        <v>2023</v>
      </c>
      <c r="L2887" s="85">
        <v>2</v>
      </c>
      <c r="N2887" s="1" t="s">
        <v>44</v>
      </c>
    </row>
    <row r="2888" spans="1:14">
      <c r="A2888" s="36" t="s">
        <v>32</v>
      </c>
      <c r="B2888" s="37">
        <v>45006</v>
      </c>
      <c r="C2888" s="36" t="s">
        <v>174</v>
      </c>
      <c r="D2888" s="36" t="s">
        <v>1155</v>
      </c>
      <c r="E2888" s="36" t="s">
        <v>1244</v>
      </c>
      <c r="J2888" s="87">
        <v>8690770</v>
      </c>
      <c r="K2888" s="85">
        <v>2022</v>
      </c>
      <c r="L2888" s="85">
        <v>12</v>
      </c>
      <c r="N2888" s="1" t="s">
        <v>44</v>
      </c>
    </row>
    <row r="2889" spans="1:14">
      <c r="A2889" s="36" t="s">
        <v>32</v>
      </c>
      <c r="B2889" s="37">
        <v>45006</v>
      </c>
      <c r="C2889" s="36" t="s">
        <v>950</v>
      </c>
      <c r="D2889" s="36" t="s">
        <v>979</v>
      </c>
      <c r="E2889" s="36" t="s">
        <v>1245</v>
      </c>
      <c r="J2889" s="38">
        <v>10000000</v>
      </c>
      <c r="K2889" s="85">
        <v>2023</v>
      </c>
      <c r="L2889" s="85">
        <v>2</v>
      </c>
      <c r="N2889" s="1" t="s">
        <v>44</v>
      </c>
    </row>
    <row r="2890" spans="1:14">
      <c r="A2890" s="36" t="s">
        <v>32</v>
      </c>
      <c r="B2890" s="37">
        <v>45006</v>
      </c>
      <c r="C2890" s="36" t="s">
        <v>1226</v>
      </c>
      <c r="D2890" s="36" t="s">
        <v>1230</v>
      </c>
      <c r="E2890" s="36" t="s">
        <v>1244</v>
      </c>
      <c r="J2890" s="87">
        <v>11000000</v>
      </c>
      <c r="K2890" s="85">
        <v>2023</v>
      </c>
      <c r="L2890" s="85">
        <v>2</v>
      </c>
      <c r="N2890" s="1" t="s">
        <v>44</v>
      </c>
    </row>
    <row r="2891" spans="1:14">
      <c r="A2891" s="36" t="s">
        <v>33</v>
      </c>
      <c r="B2891" s="37">
        <v>45008</v>
      </c>
      <c r="C2891" s="36" t="s">
        <v>1249</v>
      </c>
      <c r="D2891" s="36" t="s">
        <v>1127</v>
      </c>
      <c r="E2891" s="36" t="s">
        <v>165</v>
      </c>
      <c r="G2891" s="87">
        <v>700000</v>
      </c>
      <c r="H2891" s="87">
        <v>70000</v>
      </c>
      <c r="I2891" s="87">
        <v>770000</v>
      </c>
      <c r="K2891" s="85">
        <v>2023</v>
      </c>
      <c r="L2891" s="85">
        <v>3</v>
      </c>
      <c r="N2891" s="1" t="s">
        <v>44</v>
      </c>
    </row>
    <row r="2892" spans="1:14">
      <c r="A2892" s="36" t="s">
        <v>32</v>
      </c>
      <c r="B2892" s="37">
        <v>45009</v>
      </c>
      <c r="C2892" s="36" t="s">
        <v>209</v>
      </c>
      <c r="D2892" s="36" t="s">
        <v>1048</v>
      </c>
      <c r="E2892" s="36" t="s">
        <v>1246</v>
      </c>
      <c r="J2892" s="38">
        <v>21075450</v>
      </c>
      <c r="K2892" s="85">
        <v>2023</v>
      </c>
      <c r="L2892" s="85">
        <v>1</v>
      </c>
      <c r="N2892" s="1" t="s">
        <v>44</v>
      </c>
    </row>
    <row r="2893" spans="1:14">
      <c r="A2893" s="36" t="s">
        <v>32</v>
      </c>
      <c r="B2893" s="37">
        <v>45009</v>
      </c>
      <c r="C2893" s="36" t="s">
        <v>209</v>
      </c>
      <c r="D2893" s="36" t="s">
        <v>812</v>
      </c>
      <c r="E2893" s="36" t="s">
        <v>1246</v>
      </c>
      <c r="J2893" s="87">
        <v>1540000</v>
      </c>
      <c r="K2893" s="85">
        <v>2023</v>
      </c>
      <c r="L2893" s="85">
        <v>2</v>
      </c>
      <c r="N2893" s="1" t="s">
        <v>44</v>
      </c>
    </row>
    <row r="2894" spans="1:14">
      <c r="A2894" s="36" t="s">
        <v>32</v>
      </c>
      <c r="B2894" s="37">
        <v>45012</v>
      </c>
      <c r="C2894" s="36" t="s">
        <v>209</v>
      </c>
      <c r="D2894" s="36" t="s">
        <v>1699</v>
      </c>
      <c r="E2894" s="36" t="s">
        <v>148</v>
      </c>
      <c r="J2894" s="87">
        <v>7169580</v>
      </c>
      <c r="K2894" s="85">
        <v>2023</v>
      </c>
      <c r="L2894" s="85">
        <v>2</v>
      </c>
      <c r="N2894" s="1" t="s">
        <v>44</v>
      </c>
    </row>
    <row r="2895" spans="1:14">
      <c r="A2895" s="36" t="s">
        <v>32</v>
      </c>
      <c r="B2895" s="37">
        <v>45012</v>
      </c>
      <c r="C2895" s="36" t="s">
        <v>950</v>
      </c>
      <c r="D2895" s="36" t="s">
        <v>979</v>
      </c>
      <c r="E2895" s="36" t="s">
        <v>148</v>
      </c>
      <c r="J2895" s="38">
        <v>10000000</v>
      </c>
      <c r="K2895" s="85">
        <v>2023</v>
      </c>
      <c r="L2895" s="85">
        <v>2</v>
      </c>
      <c r="N2895" s="1" t="s">
        <v>44</v>
      </c>
    </row>
    <row r="2896" spans="1:14">
      <c r="A2896" s="36" t="s">
        <v>32</v>
      </c>
      <c r="B2896" s="37">
        <v>45012</v>
      </c>
      <c r="C2896" s="36" t="s">
        <v>950</v>
      </c>
      <c r="D2896" s="36" t="s">
        <v>979</v>
      </c>
      <c r="E2896" s="36" t="s">
        <v>148</v>
      </c>
      <c r="J2896" s="38">
        <v>1923000</v>
      </c>
      <c r="K2896" s="85">
        <v>2023</v>
      </c>
      <c r="L2896" s="85">
        <v>2</v>
      </c>
      <c r="N2896" s="1" t="s">
        <v>44</v>
      </c>
    </row>
    <row r="2897" spans="1:14">
      <c r="A2897" s="36" t="s">
        <v>33</v>
      </c>
      <c r="B2897" s="37">
        <v>45012</v>
      </c>
      <c r="C2897" s="36" t="s">
        <v>1250</v>
      </c>
      <c r="D2897" s="36" t="s">
        <v>1251</v>
      </c>
      <c r="E2897" s="36" t="s">
        <v>99</v>
      </c>
      <c r="G2897" s="87">
        <v>70000</v>
      </c>
      <c r="H2897" s="87">
        <v>7000</v>
      </c>
      <c r="I2897" s="87">
        <v>77000</v>
      </c>
      <c r="K2897" s="85">
        <v>2023</v>
      </c>
      <c r="L2897" s="85">
        <v>3</v>
      </c>
      <c r="N2897" s="1" t="s">
        <v>44</v>
      </c>
    </row>
    <row r="2898" spans="1:14">
      <c r="A2898" s="36" t="s">
        <v>32</v>
      </c>
      <c r="B2898" s="37">
        <v>45013</v>
      </c>
      <c r="C2898" s="36" t="s">
        <v>552</v>
      </c>
      <c r="D2898" s="36" t="s">
        <v>1011</v>
      </c>
      <c r="E2898" s="36" t="s">
        <v>1247</v>
      </c>
      <c r="J2898" s="87">
        <v>13519297</v>
      </c>
      <c r="K2898" s="85">
        <v>2023</v>
      </c>
      <c r="L2898" s="85">
        <v>2</v>
      </c>
      <c r="N2898" s="1" t="s">
        <v>44</v>
      </c>
    </row>
    <row r="2899" spans="1:14">
      <c r="A2899" s="36" t="s">
        <v>32</v>
      </c>
      <c r="B2899" s="37">
        <v>45014</v>
      </c>
      <c r="C2899" s="36" t="s">
        <v>654</v>
      </c>
      <c r="D2899" s="36" t="s">
        <v>1156</v>
      </c>
      <c r="E2899" s="36" t="s">
        <v>1247</v>
      </c>
      <c r="J2899" s="87">
        <v>4298305</v>
      </c>
      <c r="K2899" s="85">
        <v>2023</v>
      </c>
      <c r="L2899" s="85">
        <v>2</v>
      </c>
      <c r="N2899" s="1" t="s">
        <v>44</v>
      </c>
    </row>
    <row r="2900" spans="1:14">
      <c r="A2900" s="36" t="s">
        <v>32</v>
      </c>
      <c r="B2900" s="37">
        <v>45015</v>
      </c>
      <c r="C2900" s="36" t="s">
        <v>209</v>
      </c>
      <c r="D2900" s="36" t="s">
        <v>928</v>
      </c>
      <c r="E2900" s="36" t="s">
        <v>1248</v>
      </c>
      <c r="J2900" s="87">
        <v>26958800</v>
      </c>
      <c r="K2900" s="85">
        <v>2023</v>
      </c>
      <c r="L2900" s="85">
        <v>2</v>
      </c>
      <c r="N2900" s="1" t="s">
        <v>44</v>
      </c>
    </row>
    <row r="2901" spans="1:14">
      <c r="A2901" s="36" t="s">
        <v>32</v>
      </c>
      <c r="B2901" s="37">
        <v>45015</v>
      </c>
      <c r="C2901" s="36" t="s">
        <v>209</v>
      </c>
      <c r="D2901" s="36" t="s">
        <v>1048</v>
      </c>
      <c r="E2901" s="36" t="s">
        <v>148</v>
      </c>
      <c r="J2901" s="87">
        <v>13025540</v>
      </c>
      <c r="K2901" s="85">
        <v>2023</v>
      </c>
      <c r="L2901" s="85">
        <v>2</v>
      </c>
      <c r="N2901" s="1" t="s">
        <v>44</v>
      </c>
    </row>
    <row r="2902" spans="1:14">
      <c r="A2902" s="36" t="s">
        <v>32</v>
      </c>
      <c r="B2902" s="37">
        <v>45015</v>
      </c>
      <c r="C2902" s="36" t="s">
        <v>654</v>
      </c>
      <c r="D2902" s="36" t="s">
        <v>1215</v>
      </c>
      <c r="E2902" s="36" t="s">
        <v>76</v>
      </c>
      <c r="G2902" s="87">
        <v>38644070</v>
      </c>
      <c r="H2902" s="87">
        <v>3864407</v>
      </c>
      <c r="I2902" s="87">
        <v>42508477</v>
      </c>
      <c r="K2902" s="85">
        <v>2023</v>
      </c>
      <c r="L2902" s="85">
        <v>3</v>
      </c>
      <c r="N2902" s="1" t="s">
        <v>44</v>
      </c>
    </row>
    <row r="2903" spans="1:14">
      <c r="A2903" s="36" t="s">
        <v>32</v>
      </c>
      <c r="B2903" s="37">
        <v>45016</v>
      </c>
      <c r="C2903" s="36" t="s">
        <v>760</v>
      </c>
      <c r="D2903" s="36" t="s">
        <v>930</v>
      </c>
      <c r="E2903" s="36" t="s">
        <v>1252</v>
      </c>
      <c r="J2903" s="87">
        <v>2662110</v>
      </c>
      <c r="K2903" s="85">
        <v>2023</v>
      </c>
      <c r="L2903" s="85">
        <v>2</v>
      </c>
      <c r="N2903" s="1" t="s">
        <v>44</v>
      </c>
    </row>
    <row r="2904" spans="1:14">
      <c r="A2904" s="36" t="s">
        <v>32</v>
      </c>
      <c r="B2904" s="37">
        <v>45016</v>
      </c>
      <c r="C2904" s="36" t="s">
        <v>174</v>
      </c>
      <c r="D2904" s="36" t="s">
        <v>1155</v>
      </c>
      <c r="E2904" s="36" t="s">
        <v>76</v>
      </c>
      <c r="G2904" s="87">
        <v>4330800</v>
      </c>
      <c r="H2904" s="87">
        <v>433080</v>
      </c>
      <c r="I2904" s="87">
        <v>4763880</v>
      </c>
      <c r="K2904" s="85">
        <v>2023</v>
      </c>
      <c r="L2904" s="85">
        <v>3</v>
      </c>
      <c r="N2904" s="1" t="s">
        <v>44</v>
      </c>
    </row>
    <row r="2905" spans="1:14">
      <c r="A2905" s="36" t="s">
        <v>32</v>
      </c>
      <c r="B2905" s="37">
        <v>45016</v>
      </c>
      <c r="C2905" s="36" t="s">
        <v>209</v>
      </c>
      <c r="D2905" s="36" t="s">
        <v>1699</v>
      </c>
      <c r="E2905" s="36" t="s">
        <v>76</v>
      </c>
      <c r="G2905" s="87">
        <v>3349600</v>
      </c>
      <c r="H2905" s="87">
        <v>334960</v>
      </c>
      <c r="I2905" s="87">
        <v>3684560</v>
      </c>
      <c r="K2905" s="85">
        <v>2023</v>
      </c>
      <c r="L2905" s="85">
        <v>3</v>
      </c>
      <c r="N2905" s="1" t="s">
        <v>44</v>
      </c>
    </row>
    <row r="2906" spans="1:14">
      <c r="A2906" s="36" t="s">
        <v>32</v>
      </c>
      <c r="B2906" s="37">
        <v>45016</v>
      </c>
      <c r="C2906" s="36" t="s">
        <v>209</v>
      </c>
      <c r="D2906" s="36" t="s">
        <v>812</v>
      </c>
      <c r="E2906" s="36" t="s">
        <v>76</v>
      </c>
      <c r="G2906" s="87">
        <v>1120000</v>
      </c>
      <c r="H2906" s="87">
        <v>112000</v>
      </c>
      <c r="I2906" s="87">
        <v>1232000</v>
      </c>
      <c r="K2906" s="85">
        <v>2023</v>
      </c>
      <c r="L2906" s="85">
        <v>3</v>
      </c>
      <c r="N2906" s="1" t="s">
        <v>44</v>
      </c>
    </row>
    <row r="2907" spans="1:14">
      <c r="A2907" s="36" t="s">
        <v>32</v>
      </c>
      <c r="B2907" s="37">
        <v>45016</v>
      </c>
      <c r="C2907" s="36" t="s">
        <v>209</v>
      </c>
      <c r="D2907" s="36" t="s">
        <v>928</v>
      </c>
      <c r="E2907" s="36" t="s">
        <v>76</v>
      </c>
      <c r="G2907" s="87">
        <v>12756000</v>
      </c>
      <c r="H2907" s="87">
        <v>1275600</v>
      </c>
      <c r="I2907" s="87">
        <v>14031600</v>
      </c>
      <c r="K2907" s="85">
        <v>2023</v>
      </c>
      <c r="L2907" s="85">
        <v>3</v>
      </c>
      <c r="N2907" s="1" t="s">
        <v>44</v>
      </c>
    </row>
    <row r="2908" spans="1:14">
      <c r="A2908" s="36" t="s">
        <v>32</v>
      </c>
      <c r="B2908" s="37">
        <v>45016</v>
      </c>
      <c r="C2908" s="36" t="s">
        <v>209</v>
      </c>
      <c r="D2908" s="36" t="s">
        <v>1048</v>
      </c>
      <c r="E2908" s="36" t="s">
        <v>76</v>
      </c>
      <c r="G2908" s="87">
        <v>6836500</v>
      </c>
      <c r="H2908" s="87">
        <v>683650</v>
      </c>
      <c r="I2908" s="87">
        <v>7520150</v>
      </c>
      <c r="K2908" s="85">
        <v>2023</v>
      </c>
      <c r="L2908" s="85">
        <v>3</v>
      </c>
      <c r="N2908" s="1" t="s">
        <v>44</v>
      </c>
    </row>
    <row r="2909" spans="1:14">
      <c r="A2909" s="36" t="s">
        <v>32</v>
      </c>
      <c r="B2909" s="37">
        <v>45016</v>
      </c>
      <c r="C2909" s="36" t="s">
        <v>1266</v>
      </c>
      <c r="D2909" s="36" t="s">
        <v>1277</v>
      </c>
      <c r="E2909" s="36" t="s">
        <v>76</v>
      </c>
      <c r="G2909" s="87">
        <v>9545000</v>
      </c>
      <c r="H2909" s="87">
        <v>954500</v>
      </c>
      <c r="I2909" s="87">
        <v>10499500</v>
      </c>
      <c r="K2909" s="85">
        <v>2023</v>
      </c>
      <c r="L2909" s="85">
        <v>3</v>
      </c>
      <c r="N2909" s="1" t="s">
        <v>44</v>
      </c>
    </row>
    <row r="2910" spans="1:14">
      <c r="A2910" s="36" t="s">
        <v>33</v>
      </c>
      <c r="B2910" s="37">
        <v>45016</v>
      </c>
      <c r="C2910" s="36" t="s">
        <v>864</v>
      </c>
      <c r="D2910" s="36" t="s">
        <v>865</v>
      </c>
      <c r="E2910" s="36" t="s">
        <v>76</v>
      </c>
      <c r="G2910" s="87">
        <v>7360000</v>
      </c>
      <c r="H2910" s="87">
        <v>736000</v>
      </c>
      <c r="I2910" s="87">
        <v>8096000</v>
      </c>
      <c r="K2910" s="85">
        <v>2023</v>
      </c>
      <c r="L2910" s="85">
        <v>3</v>
      </c>
      <c r="N2910" s="1" t="s">
        <v>44</v>
      </c>
    </row>
    <row r="2911" spans="1:14">
      <c r="A2911" s="36" t="s">
        <v>32</v>
      </c>
      <c r="B2911" s="37">
        <v>45016</v>
      </c>
      <c r="C2911" s="36" t="s">
        <v>672</v>
      </c>
      <c r="D2911" s="36" t="s">
        <v>1185</v>
      </c>
      <c r="E2911" s="36" t="s">
        <v>1252</v>
      </c>
      <c r="J2911" s="87">
        <v>5940000</v>
      </c>
      <c r="K2911" s="85">
        <v>2023</v>
      </c>
      <c r="L2911" s="85">
        <v>2</v>
      </c>
      <c r="N2911" s="1" t="s">
        <v>44</v>
      </c>
    </row>
    <row r="2912" spans="1:14">
      <c r="A2912" s="36" t="s">
        <v>32</v>
      </c>
      <c r="B2912" s="37">
        <v>45016</v>
      </c>
      <c r="C2912" s="36" t="s">
        <v>672</v>
      </c>
      <c r="D2912" s="36" t="s">
        <v>1267</v>
      </c>
      <c r="E2912" s="36" t="s">
        <v>76</v>
      </c>
      <c r="G2912" s="87">
        <v>7900000</v>
      </c>
      <c r="H2912" s="87">
        <v>790000</v>
      </c>
      <c r="I2912" s="87">
        <v>8690000</v>
      </c>
      <c r="K2912" s="85">
        <v>2023</v>
      </c>
      <c r="L2912" s="85">
        <v>3</v>
      </c>
      <c r="N2912" s="1" t="s">
        <v>44</v>
      </c>
    </row>
    <row r="2913" spans="1:14">
      <c r="A2913" s="36" t="s">
        <v>33</v>
      </c>
      <c r="B2913" s="37">
        <v>45016</v>
      </c>
      <c r="C2913" s="36" t="s">
        <v>974</v>
      </c>
      <c r="D2913" s="36" t="s">
        <v>975</v>
      </c>
      <c r="E2913" s="36" t="s">
        <v>76</v>
      </c>
      <c r="G2913" s="87">
        <v>2300000</v>
      </c>
      <c r="H2913" s="87">
        <v>230000</v>
      </c>
      <c r="I2913" s="87">
        <v>2530000</v>
      </c>
      <c r="K2913" s="85">
        <v>2023</v>
      </c>
      <c r="L2913" s="85">
        <v>3</v>
      </c>
      <c r="N2913" s="1" t="s">
        <v>44</v>
      </c>
    </row>
    <row r="2914" spans="1:14">
      <c r="A2914" s="36" t="s">
        <v>32</v>
      </c>
      <c r="B2914" s="37">
        <v>45016</v>
      </c>
      <c r="C2914" s="36" t="s">
        <v>204</v>
      </c>
      <c r="D2914" s="36" t="s">
        <v>1271</v>
      </c>
      <c r="E2914" s="36" t="s">
        <v>76</v>
      </c>
      <c r="G2914" s="87">
        <v>12426000</v>
      </c>
      <c r="H2914" s="87">
        <v>1242600</v>
      </c>
      <c r="I2914" s="87">
        <v>13668600</v>
      </c>
      <c r="K2914" s="85">
        <v>2023</v>
      </c>
      <c r="L2914" s="85">
        <v>3</v>
      </c>
      <c r="N2914" s="1" t="s">
        <v>44</v>
      </c>
    </row>
    <row r="2915" spans="1:14">
      <c r="A2915" s="36" t="s">
        <v>32</v>
      </c>
      <c r="B2915" s="37">
        <v>45016</v>
      </c>
      <c r="C2915" s="36" t="s">
        <v>204</v>
      </c>
      <c r="D2915" s="36" t="s">
        <v>1272</v>
      </c>
      <c r="E2915" s="36" t="s">
        <v>76</v>
      </c>
      <c r="G2915" s="87">
        <v>1000000</v>
      </c>
      <c r="H2915" s="87">
        <v>100000</v>
      </c>
      <c r="I2915" s="87">
        <v>1100000</v>
      </c>
      <c r="K2915" s="85">
        <v>2023</v>
      </c>
      <c r="L2915" s="85">
        <v>3</v>
      </c>
      <c r="N2915" s="1" t="s">
        <v>44</v>
      </c>
    </row>
    <row r="2916" spans="1:14">
      <c r="A2916" s="36" t="s">
        <v>32</v>
      </c>
      <c r="B2916" s="37">
        <v>45016</v>
      </c>
      <c r="C2916" s="36" t="s">
        <v>204</v>
      </c>
      <c r="D2916" s="36" t="s">
        <v>1273</v>
      </c>
      <c r="E2916" s="36" t="s">
        <v>76</v>
      </c>
      <c r="G2916" s="87">
        <v>6538800</v>
      </c>
      <c r="H2916" s="87">
        <v>653880</v>
      </c>
      <c r="I2916" s="87">
        <v>7192680</v>
      </c>
      <c r="K2916" s="85">
        <v>2023</v>
      </c>
      <c r="L2916" s="85">
        <v>3</v>
      </c>
      <c r="N2916" s="1" t="s">
        <v>44</v>
      </c>
    </row>
    <row r="2917" spans="1:14">
      <c r="A2917" s="36" t="s">
        <v>32</v>
      </c>
      <c r="B2917" s="37">
        <v>45016</v>
      </c>
      <c r="C2917" s="36" t="s">
        <v>204</v>
      </c>
      <c r="D2917" s="36" t="s">
        <v>1229</v>
      </c>
      <c r="E2917" s="36" t="s">
        <v>76</v>
      </c>
      <c r="G2917" s="87">
        <v>2500000</v>
      </c>
      <c r="H2917" s="87">
        <v>250000</v>
      </c>
      <c r="I2917" s="87">
        <v>2750000</v>
      </c>
      <c r="K2917" s="85">
        <v>2023</v>
      </c>
      <c r="L2917" s="85">
        <v>3</v>
      </c>
      <c r="N2917" s="1" t="s">
        <v>44</v>
      </c>
    </row>
    <row r="2918" spans="1:14">
      <c r="A2918" s="36" t="s">
        <v>32</v>
      </c>
      <c r="B2918" s="37">
        <v>45016</v>
      </c>
      <c r="C2918" s="36" t="s">
        <v>1068</v>
      </c>
      <c r="D2918" s="36" t="s">
        <v>1077</v>
      </c>
      <c r="E2918" s="36" t="s">
        <v>78</v>
      </c>
      <c r="G2918" s="87">
        <v>4217400</v>
      </c>
      <c r="H2918" s="87">
        <v>421740</v>
      </c>
      <c r="I2918" s="87">
        <v>4639140</v>
      </c>
      <c r="K2918" s="85">
        <v>2023</v>
      </c>
      <c r="L2918" s="85">
        <v>3</v>
      </c>
      <c r="N2918" s="1" t="s">
        <v>44</v>
      </c>
    </row>
    <row r="2919" spans="1:14">
      <c r="A2919" s="36" t="s">
        <v>32</v>
      </c>
      <c r="B2919" s="37">
        <v>45016</v>
      </c>
      <c r="C2919" s="36" t="s">
        <v>334</v>
      </c>
      <c r="D2919" s="36" t="s">
        <v>1274</v>
      </c>
      <c r="E2919" s="36" t="s">
        <v>78</v>
      </c>
      <c r="G2919" s="87">
        <v>1080000</v>
      </c>
      <c r="H2919" s="87">
        <v>108000</v>
      </c>
      <c r="I2919" s="87">
        <v>1188000</v>
      </c>
      <c r="K2919" s="85">
        <v>2023</v>
      </c>
      <c r="L2919" s="85">
        <v>3</v>
      </c>
      <c r="N2919" s="1" t="s">
        <v>44</v>
      </c>
    </row>
    <row r="2920" spans="1:14">
      <c r="A2920" s="36" t="s">
        <v>33</v>
      </c>
      <c r="B2920" s="37">
        <v>45016</v>
      </c>
      <c r="C2920" s="36" t="s">
        <v>1262</v>
      </c>
      <c r="D2920" s="36" t="s">
        <v>1353</v>
      </c>
      <c r="E2920" s="36" t="s">
        <v>76</v>
      </c>
      <c r="G2920" s="87">
        <v>2760000</v>
      </c>
      <c r="H2920" s="87">
        <v>276000</v>
      </c>
      <c r="I2920" s="87">
        <v>3036000</v>
      </c>
      <c r="K2920" s="85">
        <v>2023</v>
      </c>
      <c r="L2920" s="85">
        <v>3</v>
      </c>
      <c r="N2920" s="1" t="s">
        <v>44</v>
      </c>
    </row>
    <row r="2921" spans="1:14">
      <c r="A2921" s="36" t="s">
        <v>32</v>
      </c>
      <c r="B2921" s="37">
        <v>45016</v>
      </c>
      <c r="C2921" s="36" t="s">
        <v>498</v>
      </c>
      <c r="D2921" s="36" t="s">
        <v>1127</v>
      </c>
      <c r="E2921" s="36" t="s">
        <v>78</v>
      </c>
      <c r="G2921" s="87">
        <v>22370000</v>
      </c>
      <c r="H2921" s="87">
        <v>2237000</v>
      </c>
      <c r="I2921" s="87">
        <v>24607000</v>
      </c>
      <c r="K2921" s="85">
        <v>2023</v>
      </c>
      <c r="L2921" s="85">
        <v>3</v>
      </c>
      <c r="N2921" s="1" t="s">
        <v>44</v>
      </c>
    </row>
    <row r="2922" spans="1:14">
      <c r="A2922" s="36" t="s">
        <v>32</v>
      </c>
      <c r="B2922" s="37">
        <v>45016</v>
      </c>
      <c r="C2922" s="36" t="s">
        <v>677</v>
      </c>
      <c r="D2922" s="36" t="s">
        <v>825</v>
      </c>
      <c r="E2922" s="36" t="s">
        <v>76</v>
      </c>
      <c r="G2922" s="87">
        <v>62653500</v>
      </c>
      <c r="H2922" s="87">
        <v>6265350</v>
      </c>
      <c r="I2922" s="87">
        <v>68918850</v>
      </c>
      <c r="K2922" s="85">
        <v>2023</v>
      </c>
      <c r="L2922" s="85">
        <v>3</v>
      </c>
      <c r="N2922" s="1" t="s">
        <v>44</v>
      </c>
    </row>
    <row r="2923" spans="1:14">
      <c r="A2923" s="36" t="s">
        <v>32</v>
      </c>
      <c r="B2923" s="37">
        <v>45016</v>
      </c>
      <c r="C2923" s="36" t="s">
        <v>677</v>
      </c>
      <c r="D2923" s="36" t="s">
        <v>678</v>
      </c>
      <c r="E2923" s="36" t="s">
        <v>76</v>
      </c>
      <c r="G2923" s="87">
        <v>22500000</v>
      </c>
      <c r="H2923" s="87">
        <v>2250000</v>
      </c>
      <c r="I2923" s="87">
        <v>24750000</v>
      </c>
      <c r="K2923" s="85">
        <v>2023</v>
      </c>
      <c r="L2923" s="85">
        <v>3</v>
      </c>
      <c r="N2923" s="1" t="s">
        <v>44</v>
      </c>
    </row>
    <row r="2924" spans="1:14">
      <c r="A2924" s="36" t="s">
        <v>32</v>
      </c>
      <c r="B2924" s="37">
        <v>45016</v>
      </c>
      <c r="C2924" s="36" t="s">
        <v>677</v>
      </c>
      <c r="D2924" s="36" t="s">
        <v>924</v>
      </c>
      <c r="E2924" s="36" t="s">
        <v>76</v>
      </c>
      <c r="G2924" s="87">
        <v>109191000</v>
      </c>
      <c r="H2924" s="87">
        <v>10919100</v>
      </c>
      <c r="I2924" s="87">
        <v>120110100</v>
      </c>
      <c r="K2924" s="85">
        <v>2023</v>
      </c>
      <c r="L2924" s="85">
        <v>3</v>
      </c>
      <c r="N2924" s="1" t="s">
        <v>44</v>
      </c>
    </row>
    <row r="2925" spans="1:14">
      <c r="A2925" s="36" t="s">
        <v>33</v>
      </c>
      <c r="B2925" s="37">
        <v>45016</v>
      </c>
      <c r="C2925" s="36" t="s">
        <v>119</v>
      </c>
      <c r="D2925" s="36" t="s">
        <v>374</v>
      </c>
      <c r="E2925" s="36" t="s">
        <v>1252</v>
      </c>
      <c r="J2925" s="87">
        <v>4680500</v>
      </c>
      <c r="K2925" s="85">
        <v>2023</v>
      </c>
      <c r="L2925" s="85">
        <v>2</v>
      </c>
      <c r="N2925" s="1" t="s">
        <v>44</v>
      </c>
    </row>
    <row r="2926" spans="1:14">
      <c r="A2926" s="36" t="s">
        <v>33</v>
      </c>
      <c r="B2926" s="37">
        <v>45016</v>
      </c>
      <c r="C2926" s="36" t="s">
        <v>119</v>
      </c>
      <c r="D2926" s="36" t="s">
        <v>374</v>
      </c>
      <c r="E2926" s="36" t="s">
        <v>76</v>
      </c>
      <c r="G2926" s="87">
        <v>8280000</v>
      </c>
      <c r="H2926" s="87">
        <v>828000</v>
      </c>
      <c r="I2926" s="87">
        <v>9108000</v>
      </c>
      <c r="K2926" s="85">
        <v>2023</v>
      </c>
      <c r="L2926" s="85">
        <v>3</v>
      </c>
      <c r="N2926" s="1" t="s">
        <v>44</v>
      </c>
    </row>
    <row r="2927" spans="1:14">
      <c r="A2927" s="36" t="s">
        <v>33</v>
      </c>
      <c r="B2927" s="37">
        <v>45016</v>
      </c>
      <c r="C2927" s="36" t="s">
        <v>119</v>
      </c>
      <c r="D2927" s="36" t="s">
        <v>1048</v>
      </c>
      <c r="E2927" s="36" t="s">
        <v>76</v>
      </c>
      <c r="G2927" s="87">
        <v>6836500</v>
      </c>
      <c r="H2927" s="87">
        <v>683650</v>
      </c>
      <c r="I2927" s="87">
        <v>7520150</v>
      </c>
      <c r="K2927" s="85">
        <v>2023</v>
      </c>
      <c r="L2927" s="85">
        <v>3</v>
      </c>
      <c r="N2927" s="1" t="s">
        <v>44</v>
      </c>
    </row>
    <row r="2928" spans="1:14">
      <c r="A2928" s="36" t="s">
        <v>32</v>
      </c>
      <c r="B2928" s="37">
        <v>45016</v>
      </c>
      <c r="C2928" s="36" t="s">
        <v>264</v>
      </c>
      <c r="D2928" s="36" t="s">
        <v>1270</v>
      </c>
      <c r="E2928" s="36" t="s">
        <v>76</v>
      </c>
      <c r="G2928" s="87">
        <v>10000000</v>
      </c>
      <c r="H2928" s="87">
        <v>1000000</v>
      </c>
      <c r="I2928" s="87">
        <v>11000000</v>
      </c>
      <c r="K2928" s="85">
        <v>2023</v>
      </c>
      <c r="L2928" s="85">
        <v>3</v>
      </c>
      <c r="N2928" s="1" t="s">
        <v>44</v>
      </c>
    </row>
    <row r="2929" spans="1:14">
      <c r="A2929" s="36" t="s">
        <v>33</v>
      </c>
      <c r="B2929" s="37">
        <v>45016</v>
      </c>
      <c r="C2929" s="36" t="s">
        <v>1150</v>
      </c>
      <c r="D2929" s="36" t="s">
        <v>928</v>
      </c>
      <c r="E2929" s="36" t="s">
        <v>1252</v>
      </c>
      <c r="J2929" s="87">
        <v>6512000</v>
      </c>
      <c r="K2929" s="85">
        <v>2023</v>
      </c>
      <c r="L2929" s="85">
        <v>2</v>
      </c>
      <c r="N2929" s="1" t="s">
        <v>44</v>
      </c>
    </row>
    <row r="2930" spans="1:14">
      <c r="A2930" s="36" t="s">
        <v>32</v>
      </c>
      <c r="B2930" s="37">
        <v>45016</v>
      </c>
      <c r="C2930" s="36" t="s">
        <v>552</v>
      </c>
      <c r="D2930" s="36" t="s">
        <v>1181</v>
      </c>
      <c r="E2930" s="36" t="s">
        <v>76</v>
      </c>
      <c r="G2930" s="87">
        <v>52506100</v>
      </c>
      <c r="H2930" s="87">
        <v>5250610</v>
      </c>
      <c r="I2930" s="87">
        <v>57756710</v>
      </c>
      <c r="K2930" s="85">
        <v>2023</v>
      </c>
      <c r="L2930" s="85">
        <v>3</v>
      </c>
      <c r="N2930" s="1" t="s">
        <v>44</v>
      </c>
    </row>
    <row r="2931" spans="1:14">
      <c r="A2931" s="36" t="s">
        <v>32</v>
      </c>
      <c r="B2931" s="37">
        <v>45016</v>
      </c>
      <c r="C2931" s="36" t="s">
        <v>552</v>
      </c>
      <c r="D2931" s="36" t="s">
        <v>1011</v>
      </c>
      <c r="E2931" s="36" t="s">
        <v>76</v>
      </c>
      <c r="G2931" s="87">
        <v>71861365</v>
      </c>
      <c r="H2931" s="87">
        <v>7186136.5</v>
      </c>
      <c r="I2931" s="87">
        <v>79047501.5</v>
      </c>
      <c r="K2931" s="85">
        <v>2023</v>
      </c>
      <c r="L2931" s="85">
        <v>3</v>
      </c>
      <c r="N2931" s="1" t="s">
        <v>44</v>
      </c>
    </row>
    <row r="2932" spans="1:14">
      <c r="A2932" s="36" t="s">
        <v>33</v>
      </c>
      <c r="B2932" s="37">
        <v>45016</v>
      </c>
      <c r="C2932" s="36" t="s">
        <v>1218</v>
      </c>
      <c r="D2932" s="36" t="s">
        <v>1219</v>
      </c>
      <c r="E2932" s="36" t="s">
        <v>1259</v>
      </c>
      <c r="G2932" s="87">
        <v>27769500</v>
      </c>
      <c r="H2932" s="87">
        <v>2776950</v>
      </c>
      <c r="I2932" s="87">
        <v>30546450</v>
      </c>
      <c r="K2932" s="85">
        <v>2023</v>
      </c>
      <c r="L2932" s="85">
        <v>3</v>
      </c>
      <c r="N2932" s="1" t="s">
        <v>44</v>
      </c>
    </row>
    <row r="2933" spans="1:14">
      <c r="A2933" s="36" t="s">
        <v>32</v>
      </c>
      <c r="B2933" s="37">
        <v>45016</v>
      </c>
      <c r="C2933" s="36" t="s">
        <v>206</v>
      </c>
      <c r="D2933" s="36" t="s">
        <v>1157</v>
      </c>
      <c r="E2933" s="36" t="s">
        <v>78</v>
      </c>
      <c r="G2933" s="87">
        <v>5108400</v>
      </c>
      <c r="H2933" s="87">
        <v>510840</v>
      </c>
      <c r="I2933" s="87">
        <v>5619240</v>
      </c>
      <c r="K2933" s="85">
        <v>2023</v>
      </c>
      <c r="L2933" s="85">
        <v>3</v>
      </c>
      <c r="N2933" s="1" t="s">
        <v>44</v>
      </c>
    </row>
    <row r="2934" spans="1:14">
      <c r="A2934" s="36" t="s">
        <v>32</v>
      </c>
      <c r="B2934" s="37">
        <v>45016</v>
      </c>
      <c r="C2934" s="36" t="s">
        <v>1265</v>
      </c>
      <c r="D2934" s="36" t="s">
        <v>1276</v>
      </c>
      <c r="E2934" s="36" t="s">
        <v>76</v>
      </c>
      <c r="G2934" s="87">
        <v>1725000</v>
      </c>
      <c r="H2934" s="87">
        <v>172500</v>
      </c>
      <c r="I2934" s="87">
        <v>1897500</v>
      </c>
      <c r="K2934" s="85">
        <v>2023</v>
      </c>
      <c r="L2934" s="85">
        <v>3</v>
      </c>
      <c r="N2934" s="1" t="s">
        <v>44</v>
      </c>
    </row>
    <row r="2935" spans="1:14">
      <c r="A2935" s="36" t="s">
        <v>32</v>
      </c>
      <c r="B2935" s="37">
        <v>45016</v>
      </c>
      <c r="C2935" s="36" t="s">
        <v>1198</v>
      </c>
      <c r="D2935" s="36" t="s">
        <v>1268</v>
      </c>
      <c r="E2935" s="36" t="s">
        <v>78</v>
      </c>
      <c r="G2935" s="87">
        <v>2726000</v>
      </c>
      <c r="H2935" s="87">
        <v>272600</v>
      </c>
      <c r="I2935" s="87">
        <v>2998600</v>
      </c>
      <c r="K2935" s="85">
        <v>2023</v>
      </c>
      <c r="L2935" s="85">
        <v>3</v>
      </c>
      <c r="N2935" s="1" t="s">
        <v>44</v>
      </c>
    </row>
    <row r="2936" spans="1:14">
      <c r="A2936" s="36" t="s">
        <v>32</v>
      </c>
      <c r="B2936" s="37">
        <v>45016</v>
      </c>
      <c r="C2936" s="36" t="s">
        <v>1198</v>
      </c>
      <c r="D2936" s="36" t="s">
        <v>1275</v>
      </c>
      <c r="E2936" s="36" t="s">
        <v>78</v>
      </c>
      <c r="G2936" s="87">
        <v>5247000</v>
      </c>
      <c r="H2936" s="87">
        <v>524700</v>
      </c>
      <c r="I2936" s="87">
        <v>5771700</v>
      </c>
      <c r="K2936" s="85">
        <v>2023</v>
      </c>
      <c r="L2936" s="85">
        <v>3</v>
      </c>
      <c r="N2936" s="1" t="s">
        <v>44</v>
      </c>
    </row>
    <row r="2937" spans="1:14">
      <c r="A2937" s="36" t="s">
        <v>32</v>
      </c>
      <c r="B2937" s="37">
        <v>45016</v>
      </c>
      <c r="C2937" s="36" t="s">
        <v>185</v>
      </c>
      <c r="D2937" s="36" t="s">
        <v>932</v>
      </c>
      <c r="E2937" s="36" t="s">
        <v>76</v>
      </c>
      <c r="G2937" s="87">
        <v>15286072</v>
      </c>
      <c r="H2937" s="87">
        <v>1528607.2000000002</v>
      </c>
      <c r="I2937" s="87">
        <v>16814679.199999999</v>
      </c>
      <c r="K2937" s="85">
        <v>2023</v>
      </c>
      <c r="L2937" s="85">
        <v>3</v>
      </c>
      <c r="N2937" s="1" t="s">
        <v>44</v>
      </c>
    </row>
    <row r="2938" spans="1:14">
      <c r="A2938" s="36" t="s">
        <v>32</v>
      </c>
      <c r="B2938" s="37">
        <v>45016</v>
      </c>
      <c r="C2938" s="36" t="s">
        <v>268</v>
      </c>
      <c r="D2938" s="36" t="s">
        <v>954</v>
      </c>
      <c r="E2938" s="36" t="s">
        <v>76</v>
      </c>
      <c r="G2938" s="87">
        <v>162289400</v>
      </c>
      <c r="H2938" s="87">
        <v>16228940</v>
      </c>
      <c r="I2938" s="87">
        <v>178518340</v>
      </c>
      <c r="K2938" s="85">
        <v>2023</v>
      </c>
      <c r="L2938" s="85">
        <v>3</v>
      </c>
      <c r="N2938" s="1" t="s">
        <v>44</v>
      </c>
    </row>
    <row r="2939" spans="1:14">
      <c r="A2939" s="36" t="s">
        <v>33</v>
      </c>
      <c r="B2939" s="37">
        <v>45016</v>
      </c>
      <c r="C2939" s="36" t="s">
        <v>590</v>
      </c>
      <c r="D2939" s="36" t="s">
        <v>591</v>
      </c>
      <c r="E2939" s="36" t="s">
        <v>1263</v>
      </c>
      <c r="G2939" s="87">
        <v>2070000</v>
      </c>
      <c r="H2939" s="87">
        <v>207000</v>
      </c>
      <c r="I2939" s="87">
        <v>2277000</v>
      </c>
      <c r="K2939" s="85">
        <v>2023</v>
      </c>
      <c r="L2939" s="85">
        <v>3</v>
      </c>
      <c r="N2939" s="1" t="s">
        <v>44</v>
      </c>
    </row>
    <row r="2940" spans="1:14">
      <c r="A2940" s="36" t="s">
        <v>33</v>
      </c>
      <c r="B2940" s="37">
        <v>45016</v>
      </c>
      <c r="C2940" s="36" t="s">
        <v>590</v>
      </c>
      <c r="D2940" s="36" t="s">
        <v>1011</v>
      </c>
      <c r="E2940" s="36" t="s">
        <v>1253</v>
      </c>
      <c r="G2940" s="87">
        <v>71361365</v>
      </c>
      <c r="H2940" s="87">
        <v>7136136</v>
      </c>
      <c r="I2940" s="87">
        <v>78497501</v>
      </c>
      <c r="K2940" s="85">
        <v>2023</v>
      </c>
      <c r="L2940" s="85">
        <v>3</v>
      </c>
      <c r="N2940" s="1" t="s">
        <v>44</v>
      </c>
    </row>
    <row r="2941" spans="1:14">
      <c r="A2941" s="36" t="s">
        <v>32</v>
      </c>
      <c r="B2941" s="37">
        <v>45016</v>
      </c>
      <c r="C2941" s="36" t="s">
        <v>175</v>
      </c>
      <c r="D2941" s="36" t="s">
        <v>1073</v>
      </c>
      <c r="E2941" s="36" t="s">
        <v>1252</v>
      </c>
      <c r="J2941" s="87">
        <v>5286600</v>
      </c>
      <c r="K2941" s="85">
        <v>2023</v>
      </c>
      <c r="L2941" s="85">
        <v>2</v>
      </c>
      <c r="N2941" s="1" t="s">
        <v>44</v>
      </c>
    </row>
    <row r="2942" spans="1:14">
      <c r="A2942" s="36" t="s">
        <v>32</v>
      </c>
      <c r="B2942" s="37">
        <v>45016</v>
      </c>
      <c r="C2942" s="36" t="s">
        <v>175</v>
      </c>
      <c r="D2942" s="36" t="s">
        <v>786</v>
      </c>
      <c r="E2942" s="36" t="s">
        <v>1252</v>
      </c>
      <c r="J2942" s="87">
        <v>4643100</v>
      </c>
      <c r="K2942" s="85">
        <v>2022</v>
      </c>
      <c r="L2942" s="85">
        <v>7</v>
      </c>
      <c r="N2942" s="1" t="s">
        <v>44</v>
      </c>
    </row>
    <row r="2943" spans="1:14">
      <c r="A2943" s="36" t="s">
        <v>33</v>
      </c>
      <c r="B2943" s="37">
        <v>45016</v>
      </c>
      <c r="C2943" s="36" t="s">
        <v>971</v>
      </c>
      <c r="D2943" s="36" t="s">
        <v>1254</v>
      </c>
      <c r="E2943" s="36" t="s">
        <v>1031</v>
      </c>
      <c r="G2943" s="87">
        <v>2640560</v>
      </c>
      <c r="H2943" s="87">
        <v>264056</v>
      </c>
      <c r="I2943" s="87">
        <v>2904616</v>
      </c>
      <c r="K2943" s="85">
        <v>2023</v>
      </c>
      <c r="L2943" s="85">
        <v>3</v>
      </c>
      <c r="N2943" s="1" t="s">
        <v>44</v>
      </c>
    </row>
    <row r="2944" spans="1:14">
      <c r="A2944" s="36" t="s">
        <v>32</v>
      </c>
      <c r="B2944" s="37">
        <v>45016</v>
      </c>
      <c r="C2944" s="36" t="s">
        <v>667</v>
      </c>
      <c r="D2944" s="36" t="s">
        <v>1183</v>
      </c>
      <c r="E2944" s="36" t="s">
        <v>76</v>
      </c>
      <c r="G2944" s="87">
        <v>16291200</v>
      </c>
      <c r="H2944" s="87">
        <v>1629120</v>
      </c>
      <c r="I2944" s="87">
        <v>17920320</v>
      </c>
      <c r="K2944" s="85">
        <v>2023</v>
      </c>
      <c r="L2944" s="85">
        <v>3</v>
      </c>
      <c r="N2944" s="1" t="s">
        <v>44</v>
      </c>
    </row>
    <row r="2945" spans="1:14">
      <c r="A2945" s="36" t="s">
        <v>33</v>
      </c>
      <c r="B2945" s="37">
        <v>45016</v>
      </c>
      <c r="C2945" s="36" t="s">
        <v>1257</v>
      </c>
      <c r="D2945" s="36" t="s">
        <v>1258</v>
      </c>
      <c r="E2945" s="36" t="s">
        <v>76</v>
      </c>
      <c r="G2945" s="87">
        <v>2300000</v>
      </c>
      <c r="H2945" s="87">
        <v>230000</v>
      </c>
      <c r="I2945" s="87">
        <v>2530000</v>
      </c>
      <c r="K2945" s="85">
        <v>2023</v>
      </c>
      <c r="L2945" s="85">
        <v>3</v>
      </c>
      <c r="N2945" s="1" t="s">
        <v>44</v>
      </c>
    </row>
    <row r="2946" spans="1:14">
      <c r="A2946" s="36" t="s">
        <v>32</v>
      </c>
      <c r="B2946" s="37">
        <v>45016</v>
      </c>
      <c r="C2946" s="36" t="s">
        <v>987</v>
      </c>
      <c r="D2946" s="36" t="s">
        <v>1269</v>
      </c>
      <c r="E2946" s="36" t="s">
        <v>1278</v>
      </c>
      <c r="G2946" s="87">
        <v>4200980</v>
      </c>
      <c r="H2946" s="87">
        <v>420098</v>
      </c>
      <c r="I2946" s="87">
        <v>4621078</v>
      </c>
      <c r="K2946" s="85">
        <v>2023</v>
      </c>
      <c r="L2946" s="85">
        <v>3</v>
      </c>
      <c r="N2946" s="1" t="s">
        <v>44</v>
      </c>
    </row>
    <row r="2947" spans="1:14">
      <c r="A2947" s="36" t="s">
        <v>32</v>
      </c>
      <c r="B2947" s="37">
        <v>45016</v>
      </c>
      <c r="C2947" s="36" t="s">
        <v>1115</v>
      </c>
      <c r="D2947" s="36" t="s">
        <v>1120</v>
      </c>
      <c r="E2947" s="36" t="s">
        <v>1255</v>
      </c>
      <c r="J2947" s="87">
        <v>4289120</v>
      </c>
      <c r="K2947" s="85">
        <v>2023</v>
      </c>
      <c r="L2947" s="85">
        <v>2</v>
      </c>
      <c r="M2947" s="36" t="s">
        <v>1256</v>
      </c>
      <c r="N2947" s="1" t="s">
        <v>44</v>
      </c>
    </row>
    <row r="2948" spans="1:14">
      <c r="A2948" s="36" t="s">
        <v>33</v>
      </c>
      <c r="B2948" s="37">
        <v>45016</v>
      </c>
      <c r="C2948" s="36" t="s">
        <v>1249</v>
      </c>
      <c r="D2948" s="36" t="s">
        <v>1127</v>
      </c>
      <c r="E2948" s="36" t="s">
        <v>1252</v>
      </c>
      <c r="J2948" s="87">
        <v>770000</v>
      </c>
      <c r="K2948" s="85">
        <v>2023</v>
      </c>
      <c r="L2948" s="85">
        <v>3</v>
      </c>
      <c r="N2948" s="1" t="s">
        <v>44</v>
      </c>
    </row>
    <row r="2949" spans="1:14">
      <c r="A2949" s="36" t="s">
        <v>32</v>
      </c>
      <c r="B2949" s="37">
        <v>45016</v>
      </c>
      <c r="C2949" s="36" t="s">
        <v>654</v>
      </c>
      <c r="D2949" s="36" t="s">
        <v>1156</v>
      </c>
      <c r="E2949" s="36" t="s">
        <v>76</v>
      </c>
      <c r="G2949" s="87">
        <v>16957250</v>
      </c>
      <c r="H2949" s="87">
        <v>1695725</v>
      </c>
      <c r="I2949" s="87">
        <v>18652975</v>
      </c>
      <c r="K2949" s="85">
        <v>2023</v>
      </c>
      <c r="L2949" s="85">
        <v>3</v>
      </c>
      <c r="N2949" s="1" t="s">
        <v>44</v>
      </c>
    </row>
    <row r="2950" spans="1:14">
      <c r="A2950" s="36" t="s">
        <v>32</v>
      </c>
      <c r="B2950" s="37">
        <v>45016</v>
      </c>
      <c r="C2950" s="36" t="s">
        <v>654</v>
      </c>
      <c r="D2950" s="36" t="s">
        <v>994</v>
      </c>
      <c r="E2950" s="36" t="s">
        <v>76</v>
      </c>
      <c r="G2950" s="87">
        <v>8400000</v>
      </c>
      <c r="H2950" s="87">
        <v>840000</v>
      </c>
      <c r="I2950" s="87">
        <v>9240000</v>
      </c>
      <c r="K2950" s="85">
        <v>2023</v>
      </c>
      <c r="L2950" s="85">
        <v>3</v>
      </c>
      <c r="N2950" s="1" t="s">
        <v>44</v>
      </c>
    </row>
    <row r="2951" spans="1:14">
      <c r="A2951" s="36" t="s">
        <v>32</v>
      </c>
      <c r="B2951" s="37">
        <v>45016</v>
      </c>
      <c r="C2951" s="36" t="s">
        <v>654</v>
      </c>
      <c r="D2951" s="36" t="s">
        <v>1219</v>
      </c>
      <c r="E2951" s="36" t="s">
        <v>76</v>
      </c>
      <c r="G2951" s="87">
        <v>107411540</v>
      </c>
      <c r="H2951" s="87">
        <v>10741154</v>
      </c>
      <c r="I2951" s="87">
        <v>118152694</v>
      </c>
      <c r="K2951" s="85">
        <v>2023</v>
      </c>
      <c r="L2951" s="85">
        <v>3</v>
      </c>
      <c r="N2951" s="1" t="s">
        <v>44</v>
      </c>
    </row>
    <row r="2952" spans="1:14">
      <c r="A2952" s="36" t="s">
        <v>32</v>
      </c>
      <c r="B2952" s="37">
        <v>45017</v>
      </c>
      <c r="C2952" s="36" t="s">
        <v>1286</v>
      </c>
      <c r="D2952" s="36" t="s">
        <v>1287</v>
      </c>
      <c r="E2952" s="36" t="s">
        <v>76</v>
      </c>
      <c r="G2952" s="87">
        <v>3500000</v>
      </c>
      <c r="H2952" s="87">
        <v>350000</v>
      </c>
      <c r="I2952" s="87">
        <v>3850000</v>
      </c>
      <c r="K2952" s="85">
        <v>2023</v>
      </c>
      <c r="L2952" s="85">
        <v>4</v>
      </c>
      <c r="N2952" s="1" t="s">
        <v>44</v>
      </c>
    </row>
    <row r="2953" spans="1:14">
      <c r="A2953" s="36" t="s">
        <v>33</v>
      </c>
      <c r="B2953" s="37">
        <v>45017</v>
      </c>
      <c r="C2953" s="36" t="s">
        <v>1218</v>
      </c>
      <c r="D2953" s="36" t="s">
        <v>1281</v>
      </c>
      <c r="E2953" s="36" t="s">
        <v>1282</v>
      </c>
      <c r="G2953" s="87">
        <v>2849000</v>
      </c>
      <c r="H2953" s="87">
        <v>284900</v>
      </c>
      <c r="I2953" s="87">
        <v>3133900</v>
      </c>
      <c r="K2953" s="85">
        <v>2023</v>
      </c>
      <c r="L2953" s="85">
        <v>4</v>
      </c>
      <c r="N2953" s="1" t="s">
        <v>44</v>
      </c>
    </row>
    <row r="2954" spans="1:14">
      <c r="A2954" s="36" t="s">
        <v>32</v>
      </c>
      <c r="B2954" s="37">
        <v>45017</v>
      </c>
      <c r="C2954" s="36" t="s">
        <v>188</v>
      </c>
      <c r="D2954" s="36" t="s">
        <v>1351</v>
      </c>
      <c r="E2954" s="36" t="s">
        <v>1232</v>
      </c>
      <c r="G2954" s="87">
        <v>32818500</v>
      </c>
      <c r="H2954" s="87">
        <v>3281850</v>
      </c>
      <c r="I2954" s="87">
        <v>36100350</v>
      </c>
      <c r="K2954" s="85">
        <v>2023</v>
      </c>
      <c r="L2954" s="85">
        <v>4</v>
      </c>
      <c r="M2954" s="36" t="s">
        <v>1319</v>
      </c>
      <c r="N2954" s="1" t="s">
        <v>44</v>
      </c>
    </row>
    <row r="2955" spans="1:14">
      <c r="A2955" s="36" t="s">
        <v>32</v>
      </c>
      <c r="B2955" s="37">
        <v>45017</v>
      </c>
      <c r="C2955" s="36" t="s">
        <v>188</v>
      </c>
      <c r="D2955" s="36" t="s">
        <v>1288</v>
      </c>
      <c r="E2955" s="36" t="s">
        <v>1291</v>
      </c>
      <c r="G2955" s="87">
        <v>658000</v>
      </c>
      <c r="H2955" s="87">
        <v>65800</v>
      </c>
      <c r="I2955" s="87">
        <v>723800</v>
      </c>
      <c r="K2955" s="85">
        <v>2023</v>
      </c>
      <c r="L2955" s="85">
        <v>4</v>
      </c>
      <c r="N2955" s="1" t="s">
        <v>44</v>
      </c>
    </row>
    <row r="2956" spans="1:14">
      <c r="A2956" s="36" t="s">
        <v>32</v>
      </c>
      <c r="B2956" s="37">
        <v>45017</v>
      </c>
      <c r="C2956" s="36" t="s">
        <v>188</v>
      </c>
      <c r="D2956" s="36" t="s">
        <v>1289</v>
      </c>
      <c r="E2956" s="36" t="s">
        <v>1290</v>
      </c>
      <c r="G2956" s="87">
        <v>728500</v>
      </c>
      <c r="H2956" s="87">
        <v>72850</v>
      </c>
      <c r="I2956" s="87">
        <v>801350</v>
      </c>
      <c r="K2956" s="85">
        <v>2023</v>
      </c>
      <c r="L2956" s="85">
        <v>4</v>
      </c>
      <c r="N2956" s="1" t="s">
        <v>44</v>
      </c>
    </row>
    <row r="2957" spans="1:14">
      <c r="A2957" s="36" t="s">
        <v>32</v>
      </c>
      <c r="B2957" s="37">
        <v>45017</v>
      </c>
      <c r="C2957" s="36" t="s">
        <v>188</v>
      </c>
      <c r="D2957" s="36" t="s">
        <v>649</v>
      </c>
      <c r="E2957" s="36" t="s">
        <v>76</v>
      </c>
      <c r="G2957" s="87">
        <v>-3882460</v>
      </c>
      <c r="H2957" s="87">
        <v>-388246</v>
      </c>
      <c r="I2957" s="87">
        <v>-4270706</v>
      </c>
      <c r="K2957" s="85">
        <v>2022</v>
      </c>
      <c r="L2957" s="85">
        <v>10</v>
      </c>
      <c r="N2957" s="1" t="s">
        <v>44</v>
      </c>
    </row>
    <row r="2958" spans="1:14">
      <c r="A2958" s="36" t="s">
        <v>32</v>
      </c>
      <c r="B2958" s="37">
        <v>45017</v>
      </c>
      <c r="C2958" s="36" t="s">
        <v>1115</v>
      </c>
      <c r="D2958" s="36" t="s">
        <v>1120</v>
      </c>
      <c r="E2958" s="36" t="s">
        <v>76</v>
      </c>
      <c r="G2958" s="87">
        <v>560000</v>
      </c>
      <c r="H2958" s="87">
        <v>56000</v>
      </c>
      <c r="I2958" s="87">
        <v>616000</v>
      </c>
      <c r="K2958" s="85">
        <v>2023</v>
      </c>
      <c r="L2958" s="85">
        <v>4</v>
      </c>
      <c r="N2958" s="1" t="s">
        <v>44</v>
      </c>
    </row>
    <row r="2959" spans="1:14">
      <c r="A2959" s="36" t="s">
        <v>32</v>
      </c>
      <c r="B2959" s="37">
        <v>45017</v>
      </c>
      <c r="C2959" s="36" t="s">
        <v>1284</v>
      </c>
      <c r="D2959" s="36" t="s">
        <v>1285</v>
      </c>
      <c r="E2959" s="36" t="s">
        <v>76</v>
      </c>
      <c r="G2959" s="87">
        <v>9000000</v>
      </c>
      <c r="H2959" s="87">
        <v>900000</v>
      </c>
      <c r="I2959" s="87">
        <v>9900000</v>
      </c>
      <c r="K2959" s="85">
        <v>2023</v>
      </c>
      <c r="L2959" s="85">
        <v>4</v>
      </c>
      <c r="N2959" s="1" t="s">
        <v>44</v>
      </c>
    </row>
    <row r="2960" spans="1:14">
      <c r="A2960" s="36" t="s">
        <v>32</v>
      </c>
      <c r="B2960" s="37">
        <v>45019</v>
      </c>
      <c r="C2960" s="36" t="s">
        <v>204</v>
      </c>
      <c r="D2960" s="36" t="s">
        <v>1229</v>
      </c>
      <c r="E2960" s="36" t="s">
        <v>1255</v>
      </c>
      <c r="J2960" s="87">
        <v>7831230</v>
      </c>
      <c r="K2960" s="85">
        <v>2023</v>
      </c>
      <c r="L2960" s="85">
        <v>2</v>
      </c>
      <c r="N2960" s="1" t="s">
        <v>44</v>
      </c>
    </row>
    <row r="2961" spans="1:14">
      <c r="A2961" s="36" t="s">
        <v>32</v>
      </c>
      <c r="B2961" s="37">
        <v>45019</v>
      </c>
      <c r="C2961" s="36" t="s">
        <v>771</v>
      </c>
      <c r="D2961" s="36" t="s">
        <v>1111</v>
      </c>
      <c r="E2961" s="36" t="s">
        <v>148</v>
      </c>
      <c r="J2961" s="87">
        <v>1265000</v>
      </c>
      <c r="K2961" s="85">
        <v>2023</v>
      </c>
      <c r="L2961" s="85">
        <v>2</v>
      </c>
      <c r="N2961" s="1" t="s">
        <v>44</v>
      </c>
    </row>
    <row r="2962" spans="1:14">
      <c r="A2962" s="36" t="s">
        <v>1292</v>
      </c>
      <c r="B2962" s="37">
        <v>45019</v>
      </c>
      <c r="C2962" s="36" t="s">
        <v>1293</v>
      </c>
      <c r="D2962" s="36" t="s">
        <v>1294</v>
      </c>
      <c r="E2962" s="36" t="s">
        <v>1295</v>
      </c>
      <c r="G2962" s="87">
        <v>-350000</v>
      </c>
      <c r="H2962" s="87">
        <v>-35000</v>
      </c>
      <c r="I2962" s="87">
        <v>-385000</v>
      </c>
      <c r="K2962" s="85">
        <v>2023</v>
      </c>
      <c r="L2962" s="85">
        <v>3</v>
      </c>
      <c r="N2962" s="1" t="s">
        <v>1296</v>
      </c>
    </row>
    <row r="2963" spans="1:14">
      <c r="A2963" s="36" t="s">
        <v>32</v>
      </c>
      <c r="B2963" s="37">
        <v>45019</v>
      </c>
      <c r="C2963" s="36" t="s">
        <v>1198</v>
      </c>
      <c r="D2963" s="36" t="s">
        <v>1268</v>
      </c>
      <c r="E2963" s="36" t="s">
        <v>77</v>
      </c>
      <c r="J2963" s="38">
        <v>2998600</v>
      </c>
      <c r="K2963" s="85">
        <v>2023</v>
      </c>
      <c r="L2963" s="85">
        <v>3</v>
      </c>
      <c r="N2963" s="1" t="s">
        <v>44</v>
      </c>
    </row>
    <row r="2964" spans="1:14">
      <c r="A2964" s="36" t="s">
        <v>33</v>
      </c>
      <c r="B2964" s="37">
        <v>45020</v>
      </c>
      <c r="C2964" s="36" t="s">
        <v>119</v>
      </c>
      <c r="D2964" s="36" t="s">
        <v>1048</v>
      </c>
      <c r="E2964" s="36" t="s">
        <v>148</v>
      </c>
      <c r="J2964" s="38">
        <v>15809664</v>
      </c>
      <c r="K2964" s="85">
        <v>2023</v>
      </c>
      <c r="L2964" s="85">
        <v>1</v>
      </c>
      <c r="N2964" s="1" t="s">
        <v>44</v>
      </c>
    </row>
    <row r="2965" spans="1:14">
      <c r="A2965" s="36" t="s">
        <v>33</v>
      </c>
      <c r="B2965" s="37">
        <v>45020</v>
      </c>
      <c r="C2965" s="36" t="s">
        <v>119</v>
      </c>
      <c r="D2965" s="36" t="s">
        <v>1048</v>
      </c>
      <c r="E2965" s="36" t="s">
        <v>148</v>
      </c>
      <c r="J2965" s="87">
        <v>13025540</v>
      </c>
      <c r="K2965" s="85">
        <v>2023</v>
      </c>
      <c r="L2965" s="85">
        <v>2</v>
      </c>
      <c r="N2965" s="1" t="s">
        <v>44</v>
      </c>
    </row>
    <row r="2966" spans="1:14">
      <c r="A2966" s="36" t="s">
        <v>32</v>
      </c>
      <c r="B2966" s="37">
        <v>45020</v>
      </c>
      <c r="C2966" s="36" t="s">
        <v>188</v>
      </c>
      <c r="D2966" s="36" t="s">
        <v>1231</v>
      </c>
      <c r="E2966" s="36" t="s">
        <v>1260</v>
      </c>
      <c r="J2966" s="87">
        <v>36100350</v>
      </c>
      <c r="K2966" s="85">
        <v>2023</v>
      </c>
      <c r="L2966" s="85">
        <v>2</v>
      </c>
      <c r="N2966" s="1" t="s">
        <v>44</v>
      </c>
    </row>
    <row r="2967" spans="1:14">
      <c r="A2967" s="36" t="s">
        <v>32</v>
      </c>
      <c r="B2967" s="37">
        <v>45020</v>
      </c>
      <c r="C2967" s="36" t="s">
        <v>654</v>
      </c>
      <c r="D2967" s="36" t="s">
        <v>1215</v>
      </c>
      <c r="E2967" s="36" t="s">
        <v>148</v>
      </c>
      <c r="J2967" s="87">
        <v>18025161</v>
      </c>
      <c r="K2967" s="85">
        <v>2023</v>
      </c>
      <c r="L2967" s="85">
        <v>2</v>
      </c>
      <c r="N2967" s="1" t="s">
        <v>44</v>
      </c>
    </row>
    <row r="2968" spans="1:14">
      <c r="A2968" s="36" t="s">
        <v>32</v>
      </c>
      <c r="B2968" s="37">
        <v>45020</v>
      </c>
      <c r="C2968" s="36" t="s">
        <v>654</v>
      </c>
      <c r="D2968" s="36" t="s">
        <v>994</v>
      </c>
      <c r="E2968" s="36" t="s">
        <v>148</v>
      </c>
      <c r="J2968" s="87">
        <v>10626000</v>
      </c>
      <c r="K2968" s="85">
        <v>2023</v>
      </c>
      <c r="L2968" s="85">
        <v>2</v>
      </c>
      <c r="N2968" s="1" t="s">
        <v>44</v>
      </c>
    </row>
    <row r="2969" spans="1:14">
      <c r="A2969" s="36" t="s">
        <v>32</v>
      </c>
      <c r="B2969" s="37">
        <v>45020</v>
      </c>
      <c r="C2969" s="36" t="s">
        <v>654</v>
      </c>
      <c r="D2969" s="36" t="s">
        <v>1219</v>
      </c>
      <c r="E2969" s="36" t="s">
        <v>148</v>
      </c>
      <c r="J2969" s="87">
        <v>49424760</v>
      </c>
      <c r="K2969" s="85">
        <v>2023</v>
      </c>
      <c r="L2969" s="85">
        <v>2</v>
      </c>
      <c r="N2969" s="1" t="s">
        <v>44</v>
      </c>
    </row>
    <row r="2970" spans="1:14">
      <c r="A2970" s="36" t="s">
        <v>32</v>
      </c>
      <c r="B2970" s="37">
        <v>45021</v>
      </c>
      <c r="C2970" s="36" t="s">
        <v>334</v>
      </c>
      <c r="D2970" s="36" t="s">
        <v>1228</v>
      </c>
      <c r="E2970" s="36" t="s">
        <v>1261</v>
      </c>
      <c r="J2970" s="87">
        <v>1782000</v>
      </c>
      <c r="K2970" s="85">
        <v>2023</v>
      </c>
      <c r="L2970" s="85">
        <v>2</v>
      </c>
      <c r="N2970" s="1" t="s">
        <v>44</v>
      </c>
    </row>
    <row r="2971" spans="1:14">
      <c r="A2971" s="36" t="s">
        <v>33</v>
      </c>
      <c r="B2971" s="37">
        <v>45021</v>
      </c>
      <c r="C2971" s="36" t="s">
        <v>1218</v>
      </c>
      <c r="D2971" s="36" t="s">
        <v>1219</v>
      </c>
      <c r="E2971" s="36" t="s">
        <v>1260</v>
      </c>
      <c r="J2971" s="87">
        <v>30546450</v>
      </c>
      <c r="K2971" s="85">
        <v>2023</v>
      </c>
      <c r="L2971" s="85">
        <v>2</v>
      </c>
      <c r="N2971" s="1" t="s">
        <v>44</v>
      </c>
    </row>
    <row r="2972" spans="1:14">
      <c r="A2972" s="36" t="s">
        <v>32</v>
      </c>
      <c r="B2972" s="37">
        <v>45021</v>
      </c>
      <c r="C2972" s="36" t="s">
        <v>206</v>
      </c>
      <c r="D2972" s="36" t="s">
        <v>1157</v>
      </c>
      <c r="E2972" s="36" t="s">
        <v>1261</v>
      </c>
      <c r="J2972" s="87">
        <v>5619240</v>
      </c>
      <c r="K2972" s="85">
        <v>2023</v>
      </c>
      <c r="L2972" s="85">
        <v>2</v>
      </c>
      <c r="N2972" s="1" t="s">
        <v>44</v>
      </c>
    </row>
    <row r="2973" spans="1:14">
      <c r="A2973" s="36" t="s">
        <v>32</v>
      </c>
      <c r="B2973" s="37">
        <v>45021</v>
      </c>
      <c r="C2973" s="36" t="s">
        <v>206</v>
      </c>
      <c r="D2973" s="36" t="s">
        <v>1186</v>
      </c>
      <c r="E2973" s="36" t="s">
        <v>1261</v>
      </c>
      <c r="J2973" s="87">
        <v>3643640</v>
      </c>
      <c r="K2973" s="85">
        <v>2023</v>
      </c>
      <c r="L2973" s="85">
        <v>2</v>
      </c>
      <c r="N2973" s="1" t="s">
        <v>44</v>
      </c>
    </row>
    <row r="2974" spans="1:14">
      <c r="A2974" s="36" t="s">
        <v>32</v>
      </c>
      <c r="B2974" s="37">
        <v>45021</v>
      </c>
      <c r="C2974" s="36" t="s">
        <v>1284</v>
      </c>
      <c r="D2974" s="36" t="s">
        <v>1285</v>
      </c>
      <c r="E2974" s="36" t="s">
        <v>1350</v>
      </c>
      <c r="J2974" s="87">
        <v>9900000</v>
      </c>
      <c r="K2974" s="85">
        <v>2023</v>
      </c>
      <c r="L2974" s="85">
        <v>4</v>
      </c>
      <c r="N2974" s="1" t="s">
        <v>44</v>
      </c>
    </row>
    <row r="2975" spans="1:14">
      <c r="A2975" s="36" t="s">
        <v>32</v>
      </c>
      <c r="B2975" s="37">
        <v>45026</v>
      </c>
      <c r="C2975" s="36" t="s">
        <v>209</v>
      </c>
      <c r="D2975" s="36" t="s">
        <v>1048</v>
      </c>
      <c r="E2975" s="36" t="s">
        <v>77</v>
      </c>
      <c r="J2975" s="38">
        <v>7520150</v>
      </c>
      <c r="K2975" s="85">
        <v>2023</v>
      </c>
      <c r="L2975" s="85">
        <v>3</v>
      </c>
      <c r="N2975" s="1" t="s">
        <v>44</v>
      </c>
    </row>
    <row r="2976" spans="1:14">
      <c r="A2976" s="36" t="s">
        <v>32</v>
      </c>
      <c r="B2976" s="37">
        <v>45026</v>
      </c>
      <c r="C2976" s="36" t="s">
        <v>185</v>
      </c>
      <c r="D2976" s="36" t="s">
        <v>1080</v>
      </c>
      <c r="E2976" s="36" t="s">
        <v>1264</v>
      </c>
      <c r="J2976" s="87">
        <v>3113886</v>
      </c>
      <c r="K2976" s="85">
        <v>2023</v>
      </c>
      <c r="L2976" s="85">
        <v>2</v>
      </c>
      <c r="N2976" s="1" t="s">
        <v>44</v>
      </c>
    </row>
    <row r="2977" spans="1:14">
      <c r="A2977" s="36" t="s">
        <v>32</v>
      </c>
      <c r="B2977" s="37">
        <v>45027</v>
      </c>
      <c r="C2977" s="36" t="s">
        <v>466</v>
      </c>
      <c r="D2977" s="36" t="s">
        <v>467</v>
      </c>
      <c r="E2977" s="36" t="s">
        <v>77</v>
      </c>
      <c r="J2977" s="38">
        <v>22602250</v>
      </c>
      <c r="K2977" s="85">
        <v>2023</v>
      </c>
      <c r="L2977" s="85">
        <v>3</v>
      </c>
      <c r="N2977" s="1" t="s">
        <v>44</v>
      </c>
    </row>
    <row r="2978" spans="1:14">
      <c r="A2978" s="36" t="s">
        <v>32</v>
      </c>
      <c r="B2978" s="37">
        <v>45027</v>
      </c>
      <c r="C2978" s="36" t="s">
        <v>466</v>
      </c>
      <c r="D2978" s="36" t="s">
        <v>467</v>
      </c>
      <c r="E2978" s="36" t="s">
        <v>1217</v>
      </c>
      <c r="J2978" s="38">
        <v>186450</v>
      </c>
      <c r="K2978" s="85">
        <v>2023</v>
      </c>
      <c r="L2978" s="85">
        <v>3</v>
      </c>
      <c r="N2978" s="1" t="s">
        <v>44</v>
      </c>
    </row>
    <row r="2979" spans="1:14">
      <c r="A2979" s="36" t="s">
        <v>32</v>
      </c>
      <c r="B2979" s="37">
        <v>45030</v>
      </c>
      <c r="C2979" s="36" t="s">
        <v>1266</v>
      </c>
      <c r="D2979" s="36" t="s">
        <v>1277</v>
      </c>
      <c r="E2979" s="36" t="s">
        <v>1279</v>
      </c>
      <c r="J2979" s="87">
        <v>10499500</v>
      </c>
      <c r="K2979" s="85">
        <v>2023</v>
      </c>
      <c r="L2979" s="85">
        <v>3</v>
      </c>
      <c r="N2979" s="1" t="s">
        <v>44</v>
      </c>
    </row>
    <row r="2980" spans="1:14">
      <c r="A2980" s="36" t="s">
        <v>32</v>
      </c>
      <c r="B2980" s="37">
        <v>45030</v>
      </c>
      <c r="C2980" s="36" t="s">
        <v>881</v>
      </c>
      <c r="D2980" s="36" t="s">
        <v>877</v>
      </c>
      <c r="E2980" s="36" t="s">
        <v>1283</v>
      </c>
      <c r="J2980" s="38">
        <v>100716000</v>
      </c>
      <c r="K2980" s="85">
        <v>2023</v>
      </c>
      <c r="L2980" s="85">
        <v>2</v>
      </c>
      <c r="N2980" s="1" t="s">
        <v>44</v>
      </c>
    </row>
    <row r="2981" spans="1:14">
      <c r="A2981" s="36" t="s">
        <v>32</v>
      </c>
      <c r="B2981" s="37">
        <v>45030</v>
      </c>
      <c r="C2981" s="36" t="s">
        <v>268</v>
      </c>
      <c r="D2981" s="36" t="s">
        <v>954</v>
      </c>
      <c r="E2981" s="36" t="s">
        <v>1280</v>
      </c>
      <c r="J2981" s="38">
        <v>176178340</v>
      </c>
      <c r="K2981" s="85">
        <v>2023</v>
      </c>
      <c r="L2981" s="85">
        <v>3</v>
      </c>
      <c r="N2981" s="1" t="s">
        <v>44</v>
      </c>
    </row>
    <row r="2982" spans="1:14">
      <c r="A2982" s="36" t="s">
        <v>32</v>
      </c>
      <c r="B2982" s="37">
        <v>45033</v>
      </c>
      <c r="C2982" s="36" t="s">
        <v>677</v>
      </c>
      <c r="D2982" s="36" t="s">
        <v>825</v>
      </c>
      <c r="E2982" s="36" t="s">
        <v>148</v>
      </c>
      <c r="J2982" s="87">
        <v>68918850</v>
      </c>
      <c r="K2982" s="85">
        <v>2023</v>
      </c>
      <c r="L2982" s="85">
        <v>3</v>
      </c>
      <c r="N2982" s="1" t="s">
        <v>44</v>
      </c>
    </row>
    <row r="2983" spans="1:14">
      <c r="A2983" s="36" t="s">
        <v>32</v>
      </c>
      <c r="B2983" s="37">
        <v>45033</v>
      </c>
      <c r="C2983" s="36" t="s">
        <v>677</v>
      </c>
      <c r="D2983" s="36" t="s">
        <v>678</v>
      </c>
      <c r="E2983" s="36" t="s">
        <v>148</v>
      </c>
      <c r="J2983" s="87">
        <v>24750000</v>
      </c>
      <c r="K2983" s="85">
        <v>2023</v>
      </c>
      <c r="L2983" s="85">
        <v>3</v>
      </c>
      <c r="N2983" s="1" t="s">
        <v>44</v>
      </c>
    </row>
    <row r="2984" spans="1:14">
      <c r="A2984" s="36" t="s">
        <v>32</v>
      </c>
      <c r="B2984" s="37">
        <v>45033</v>
      </c>
      <c r="C2984" s="36" t="s">
        <v>677</v>
      </c>
      <c r="D2984" s="36" t="s">
        <v>924</v>
      </c>
      <c r="E2984" s="36" t="s">
        <v>148</v>
      </c>
      <c r="J2984" s="87">
        <v>120110100</v>
      </c>
      <c r="K2984" s="85">
        <v>2023</v>
      </c>
      <c r="L2984" s="85">
        <v>3</v>
      </c>
      <c r="N2984" s="1" t="s">
        <v>44</v>
      </c>
    </row>
    <row r="2985" spans="1:14">
      <c r="A2985" s="36" t="s">
        <v>33</v>
      </c>
      <c r="B2985" s="37">
        <v>45033</v>
      </c>
      <c r="C2985" s="36" t="s">
        <v>119</v>
      </c>
      <c r="D2985" s="36" t="s">
        <v>877</v>
      </c>
      <c r="E2985" s="36" t="s">
        <v>1280</v>
      </c>
      <c r="J2985" s="87">
        <v>4807000</v>
      </c>
      <c r="K2985" s="85">
        <v>2023</v>
      </c>
      <c r="L2985" s="85">
        <v>2</v>
      </c>
      <c r="N2985" s="1" t="s">
        <v>44</v>
      </c>
    </row>
    <row r="2986" spans="1:14">
      <c r="A2986" s="36" t="s">
        <v>33</v>
      </c>
      <c r="B2986" s="37">
        <v>45033</v>
      </c>
      <c r="C2986" s="36" t="s">
        <v>966</v>
      </c>
      <c r="D2986" s="36" t="s">
        <v>877</v>
      </c>
      <c r="E2986" s="36" t="s">
        <v>1280</v>
      </c>
      <c r="J2986" s="87">
        <v>8602000</v>
      </c>
      <c r="K2986" s="85">
        <v>2023</v>
      </c>
      <c r="L2986" s="85">
        <v>2</v>
      </c>
      <c r="N2986" s="1" t="s">
        <v>44</v>
      </c>
    </row>
    <row r="2987" spans="1:14">
      <c r="A2987" s="36" t="s">
        <v>33</v>
      </c>
      <c r="B2987" s="37">
        <v>45033</v>
      </c>
      <c r="C2987" s="36" t="s">
        <v>1049</v>
      </c>
      <c r="D2987" s="36" t="s">
        <v>877</v>
      </c>
      <c r="E2987" s="36" t="s">
        <v>1280</v>
      </c>
      <c r="J2987" s="87">
        <v>5566000</v>
      </c>
      <c r="K2987" s="85">
        <v>2023</v>
      </c>
      <c r="L2987" s="85">
        <v>2</v>
      </c>
      <c r="N2987" s="1" t="s">
        <v>44</v>
      </c>
    </row>
    <row r="2988" spans="1:14">
      <c r="A2988" s="36" t="s">
        <v>33</v>
      </c>
      <c r="B2988" s="37">
        <v>45037</v>
      </c>
      <c r="C2988" s="36" t="s">
        <v>864</v>
      </c>
      <c r="D2988" s="36" t="s">
        <v>865</v>
      </c>
      <c r="E2988" s="36" t="s">
        <v>1297</v>
      </c>
      <c r="J2988" s="87">
        <v>8096000</v>
      </c>
      <c r="K2988" s="85">
        <v>2023</v>
      </c>
      <c r="L2988" s="85">
        <v>3</v>
      </c>
      <c r="N2988" s="1" t="s">
        <v>44</v>
      </c>
    </row>
    <row r="2989" spans="1:14">
      <c r="A2989" s="36" t="s">
        <v>33</v>
      </c>
      <c r="B2989" s="37">
        <v>45037</v>
      </c>
      <c r="C2989" s="36" t="s">
        <v>974</v>
      </c>
      <c r="D2989" s="36" t="s">
        <v>975</v>
      </c>
      <c r="E2989" s="36" t="s">
        <v>1297</v>
      </c>
      <c r="J2989" s="87">
        <v>2530000</v>
      </c>
      <c r="K2989" s="85">
        <v>2023</v>
      </c>
      <c r="L2989" s="85">
        <v>3</v>
      </c>
      <c r="N2989" s="1" t="s">
        <v>44</v>
      </c>
    </row>
    <row r="2990" spans="1:14">
      <c r="A2990" s="36" t="s">
        <v>33</v>
      </c>
      <c r="B2990" s="37">
        <v>45037</v>
      </c>
      <c r="C2990" s="36" t="s">
        <v>1262</v>
      </c>
      <c r="D2990" s="36" t="s">
        <v>1353</v>
      </c>
      <c r="E2990" s="36" t="s">
        <v>1297</v>
      </c>
      <c r="J2990" s="87">
        <v>3036000</v>
      </c>
      <c r="K2990" s="85">
        <v>2023</v>
      </c>
      <c r="L2990" s="85">
        <v>3</v>
      </c>
      <c r="N2990" s="1" t="s">
        <v>44</v>
      </c>
    </row>
    <row r="2991" spans="1:14">
      <c r="A2991" s="36" t="s">
        <v>32</v>
      </c>
      <c r="B2991" s="37">
        <v>45037</v>
      </c>
      <c r="C2991" s="36" t="s">
        <v>1293</v>
      </c>
      <c r="D2991" s="36" t="s">
        <v>1127</v>
      </c>
      <c r="E2991" s="36" t="s">
        <v>1297</v>
      </c>
      <c r="J2991" s="38">
        <v>24222000</v>
      </c>
      <c r="K2991" s="85">
        <v>2023</v>
      </c>
      <c r="L2991" s="85">
        <v>3</v>
      </c>
      <c r="N2991" s="1" t="s">
        <v>44</v>
      </c>
    </row>
    <row r="2992" spans="1:14">
      <c r="A2992" s="36" t="s">
        <v>33</v>
      </c>
      <c r="B2992" s="37">
        <v>45037</v>
      </c>
      <c r="C2992" s="36" t="s">
        <v>119</v>
      </c>
      <c r="D2992" s="36" t="s">
        <v>374</v>
      </c>
      <c r="E2992" s="36" t="s">
        <v>148</v>
      </c>
      <c r="J2992" s="87">
        <v>9108000</v>
      </c>
      <c r="K2992" s="85">
        <v>2023</v>
      </c>
      <c r="L2992" s="85">
        <v>3</v>
      </c>
      <c r="N2992" s="1" t="s">
        <v>44</v>
      </c>
    </row>
    <row r="2993" spans="1:14">
      <c r="A2993" s="36" t="s">
        <v>33</v>
      </c>
      <c r="B2993" s="37">
        <v>45037</v>
      </c>
      <c r="C2993" s="36" t="s">
        <v>590</v>
      </c>
      <c r="D2993" s="36" t="s">
        <v>591</v>
      </c>
      <c r="E2993" s="36" t="s">
        <v>1297</v>
      </c>
      <c r="J2993" s="87">
        <v>2277000</v>
      </c>
      <c r="K2993" s="85">
        <v>2023</v>
      </c>
      <c r="L2993" s="85">
        <v>3</v>
      </c>
      <c r="N2993" s="1" t="s">
        <v>44</v>
      </c>
    </row>
    <row r="2994" spans="1:14">
      <c r="A2994" s="36" t="s">
        <v>33</v>
      </c>
      <c r="B2994" s="37">
        <v>45037</v>
      </c>
      <c r="C2994" s="36" t="s">
        <v>1257</v>
      </c>
      <c r="D2994" s="36" t="s">
        <v>1258</v>
      </c>
      <c r="E2994" s="36" t="s">
        <v>1297</v>
      </c>
      <c r="J2994" s="87">
        <v>2530000</v>
      </c>
      <c r="K2994" s="85">
        <v>2023</v>
      </c>
      <c r="L2994" s="85">
        <v>3</v>
      </c>
      <c r="N2994" s="1" t="s">
        <v>44</v>
      </c>
    </row>
    <row r="2995" spans="1:14">
      <c r="A2995" s="36" t="s">
        <v>32</v>
      </c>
      <c r="B2995" s="37">
        <v>45037</v>
      </c>
      <c r="C2995" s="36" t="s">
        <v>1396</v>
      </c>
      <c r="D2995" s="36" t="s">
        <v>1419</v>
      </c>
      <c r="E2995" s="36" t="s">
        <v>1425</v>
      </c>
      <c r="J2995" s="87">
        <v>11000000</v>
      </c>
      <c r="K2995" s="85">
        <v>2023</v>
      </c>
      <c r="L2995" s="85">
        <v>5</v>
      </c>
      <c r="N2995" s="1" t="s">
        <v>44</v>
      </c>
    </row>
    <row r="2996" spans="1:14">
      <c r="A2996" s="36" t="s">
        <v>33</v>
      </c>
      <c r="B2996" s="37">
        <v>45040</v>
      </c>
      <c r="C2996" s="36" t="s">
        <v>1299</v>
      </c>
      <c r="D2996" s="36" t="s">
        <v>816</v>
      </c>
      <c r="E2996" s="36" t="s">
        <v>1298</v>
      </c>
      <c r="J2996" s="87">
        <v>4730000</v>
      </c>
      <c r="K2996" s="85">
        <v>2023</v>
      </c>
      <c r="L2996" s="85">
        <v>1</v>
      </c>
      <c r="N2996" s="1" t="s">
        <v>44</v>
      </c>
    </row>
    <row r="2997" spans="1:14">
      <c r="A2997" s="36" t="s">
        <v>33</v>
      </c>
      <c r="B2997" s="37">
        <v>45040</v>
      </c>
      <c r="C2997" s="36" t="s">
        <v>1218</v>
      </c>
      <c r="D2997" s="36" t="s">
        <v>1281</v>
      </c>
      <c r="E2997" s="36" t="s">
        <v>1298</v>
      </c>
      <c r="J2997" s="87">
        <v>3133900</v>
      </c>
      <c r="K2997" s="85">
        <v>2023</v>
      </c>
      <c r="L2997" s="85">
        <v>4</v>
      </c>
      <c r="N2997" s="1" t="s">
        <v>44</v>
      </c>
    </row>
    <row r="2998" spans="1:14">
      <c r="A2998" s="36" t="s">
        <v>32</v>
      </c>
      <c r="B2998" s="37">
        <v>45041</v>
      </c>
      <c r="C2998" s="36" t="s">
        <v>209</v>
      </c>
      <c r="D2998" s="36" t="s">
        <v>812</v>
      </c>
      <c r="E2998" s="36" t="s">
        <v>1300</v>
      </c>
      <c r="J2998" s="87">
        <v>1232000</v>
      </c>
      <c r="K2998" s="85">
        <v>2023</v>
      </c>
      <c r="L2998" s="85">
        <v>3</v>
      </c>
      <c r="N2998" s="1" t="s">
        <v>44</v>
      </c>
    </row>
    <row r="2999" spans="1:14">
      <c r="A2999" s="36" t="s">
        <v>32</v>
      </c>
      <c r="B2999" s="37">
        <v>45041</v>
      </c>
      <c r="C2999" s="36" t="s">
        <v>654</v>
      </c>
      <c r="D2999" s="36" t="s">
        <v>1215</v>
      </c>
      <c r="E2999" s="36" t="s">
        <v>76</v>
      </c>
      <c r="G2999" s="87">
        <v>17882310</v>
      </c>
      <c r="H2999" s="87">
        <v>1788231</v>
      </c>
      <c r="I2999" s="87">
        <v>19670541</v>
      </c>
      <c r="K2999" s="85">
        <v>2023</v>
      </c>
      <c r="L2999" s="85">
        <v>4</v>
      </c>
      <c r="N2999" s="1" t="s">
        <v>44</v>
      </c>
    </row>
    <row r="3000" spans="1:14">
      <c r="A3000" s="36" t="s">
        <v>32</v>
      </c>
      <c r="B3000" s="37">
        <v>45042</v>
      </c>
      <c r="C3000" s="36" t="s">
        <v>881</v>
      </c>
      <c r="D3000" s="36" t="s">
        <v>877</v>
      </c>
      <c r="E3000" s="36" t="s">
        <v>148</v>
      </c>
      <c r="J3000" s="38">
        <v>100716000</v>
      </c>
      <c r="K3000" s="85">
        <v>2023</v>
      </c>
      <c r="L3000" s="85">
        <v>2</v>
      </c>
      <c r="N3000" s="1" t="s">
        <v>44</v>
      </c>
    </row>
    <row r="3001" spans="1:14">
      <c r="A3001" s="36" t="s">
        <v>32</v>
      </c>
      <c r="B3001" s="37">
        <v>45042</v>
      </c>
      <c r="C3001" s="36" t="s">
        <v>881</v>
      </c>
      <c r="D3001" s="36" t="s">
        <v>877</v>
      </c>
      <c r="E3001" s="36" t="s">
        <v>1425</v>
      </c>
      <c r="J3001" s="87">
        <v>104900000</v>
      </c>
      <c r="K3001" s="85">
        <v>2023</v>
      </c>
      <c r="L3001" s="85">
        <v>5</v>
      </c>
      <c r="N3001" s="1" t="s">
        <v>44</v>
      </c>
    </row>
    <row r="3002" spans="1:14">
      <c r="A3002" s="36" t="s">
        <v>32</v>
      </c>
      <c r="B3002" s="37">
        <v>45042</v>
      </c>
      <c r="C3002" s="36" t="s">
        <v>1265</v>
      </c>
      <c r="D3002" s="36" t="s">
        <v>1276</v>
      </c>
      <c r="E3002" s="36" t="s">
        <v>1301</v>
      </c>
      <c r="J3002" s="87">
        <v>1897500</v>
      </c>
      <c r="K3002" s="85">
        <v>2023</v>
      </c>
      <c r="L3002" s="85">
        <v>3</v>
      </c>
      <c r="N3002" s="1" t="s">
        <v>44</v>
      </c>
    </row>
    <row r="3003" spans="1:14">
      <c r="A3003" s="36" t="s">
        <v>32</v>
      </c>
      <c r="B3003" s="37">
        <v>45043</v>
      </c>
      <c r="C3003" s="36" t="s">
        <v>667</v>
      </c>
      <c r="D3003" s="36" t="s">
        <v>1183</v>
      </c>
      <c r="E3003" s="36" t="s">
        <v>1302</v>
      </c>
      <c r="J3003" s="87">
        <v>14103100</v>
      </c>
      <c r="K3003" s="85">
        <v>2023</v>
      </c>
      <c r="L3003" s="85">
        <v>2</v>
      </c>
      <c r="N3003" s="1" t="s">
        <v>44</v>
      </c>
    </row>
    <row r="3004" spans="1:14">
      <c r="A3004" s="36" t="s">
        <v>1368</v>
      </c>
      <c r="B3004" s="37">
        <v>45044</v>
      </c>
      <c r="C3004" s="36" t="s">
        <v>174</v>
      </c>
      <c r="D3004" s="36" t="s">
        <v>811</v>
      </c>
      <c r="E3004" s="36" t="s">
        <v>1362</v>
      </c>
      <c r="J3004" s="87">
        <v>2464000</v>
      </c>
      <c r="K3004" s="85">
        <v>2023</v>
      </c>
      <c r="L3004" s="85">
        <v>1</v>
      </c>
      <c r="N3004" s="1" t="s">
        <v>44</v>
      </c>
    </row>
    <row r="3005" spans="1:14">
      <c r="A3005" s="36" t="s">
        <v>32</v>
      </c>
      <c r="B3005" s="37">
        <v>45044</v>
      </c>
      <c r="C3005" s="36" t="s">
        <v>209</v>
      </c>
      <c r="D3005" s="36" t="s">
        <v>928</v>
      </c>
      <c r="E3005" s="36" t="s">
        <v>76</v>
      </c>
      <c r="G3005" s="87">
        <v>14678000</v>
      </c>
      <c r="H3005" s="87">
        <v>1467800</v>
      </c>
      <c r="I3005" s="87">
        <v>16145800</v>
      </c>
      <c r="K3005" s="85">
        <v>2023</v>
      </c>
      <c r="L3005" s="85">
        <v>4</v>
      </c>
      <c r="N3005" s="1" t="s">
        <v>44</v>
      </c>
    </row>
    <row r="3006" spans="1:14">
      <c r="A3006" s="36" t="s">
        <v>32</v>
      </c>
      <c r="B3006" s="37">
        <v>45044</v>
      </c>
      <c r="C3006" s="36" t="s">
        <v>672</v>
      </c>
      <c r="D3006" s="36" t="s">
        <v>1184</v>
      </c>
      <c r="E3006" s="36" t="s">
        <v>1310</v>
      </c>
      <c r="J3006" s="87">
        <v>550000</v>
      </c>
      <c r="K3006" s="85">
        <v>2023</v>
      </c>
      <c r="L3006" s="85">
        <v>1</v>
      </c>
      <c r="M3006" s="157" t="s">
        <v>1311</v>
      </c>
      <c r="N3006" s="1" t="s">
        <v>44</v>
      </c>
    </row>
    <row r="3007" spans="1:14">
      <c r="A3007" s="36" t="s">
        <v>32</v>
      </c>
      <c r="B3007" s="37">
        <v>45044</v>
      </c>
      <c r="C3007" s="36" t="s">
        <v>672</v>
      </c>
      <c r="D3007" s="36" t="s">
        <v>1184</v>
      </c>
      <c r="E3007" s="36" t="s">
        <v>1310</v>
      </c>
      <c r="J3007" s="87">
        <v>4026000</v>
      </c>
      <c r="K3007" s="85">
        <v>2023</v>
      </c>
      <c r="L3007" s="85">
        <v>2</v>
      </c>
      <c r="M3007" s="157" t="s">
        <v>1311</v>
      </c>
      <c r="N3007" s="1" t="s">
        <v>44</v>
      </c>
    </row>
    <row r="3008" spans="1:14">
      <c r="A3008" s="36" t="s">
        <v>32</v>
      </c>
      <c r="B3008" s="37">
        <v>45044</v>
      </c>
      <c r="C3008" s="36" t="s">
        <v>672</v>
      </c>
      <c r="D3008" s="36" t="s">
        <v>1267</v>
      </c>
      <c r="E3008" s="36" t="s">
        <v>1310</v>
      </c>
      <c r="J3008" s="38">
        <v>2024000</v>
      </c>
      <c r="K3008" s="85">
        <v>2023</v>
      </c>
      <c r="L3008" s="85">
        <v>3</v>
      </c>
      <c r="M3008" s="157" t="s">
        <v>1311</v>
      </c>
      <c r="N3008" s="1" t="s">
        <v>44</v>
      </c>
    </row>
    <row r="3009" spans="1:14">
      <c r="A3009" s="36" t="s">
        <v>32</v>
      </c>
      <c r="B3009" s="37">
        <v>45044</v>
      </c>
      <c r="C3009" s="36" t="s">
        <v>773</v>
      </c>
      <c r="D3009" s="36" t="s">
        <v>816</v>
      </c>
      <c r="E3009" s="36" t="s">
        <v>1303</v>
      </c>
      <c r="J3009" s="38">
        <v>755000</v>
      </c>
      <c r="K3009" s="85">
        <v>2023</v>
      </c>
      <c r="L3009" s="85">
        <v>1</v>
      </c>
      <c r="M3009" s="36" t="s">
        <v>1304</v>
      </c>
      <c r="N3009" s="1" t="s">
        <v>44</v>
      </c>
    </row>
    <row r="3010" spans="1:14">
      <c r="A3010" s="36" t="s">
        <v>32</v>
      </c>
      <c r="B3010" s="37">
        <v>45044</v>
      </c>
      <c r="C3010" s="36" t="s">
        <v>773</v>
      </c>
      <c r="D3010" s="36" t="s">
        <v>952</v>
      </c>
      <c r="E3010" s="36" t="s">
        <v>1303</v>
      </c>
      <c r="J3010" s="38">
        <v>6226000</v>
      </c>
      <c r="K3010" s="85">
        <v>2022</v>
      </c>
      <c r="L3010" s="85">
        <v>7</v>
      </c>
      <c r="M3010" s="36" t="s">
        <v>1304</v>
      </c>
      <c r="N3010" s="1" t="s">
        <v>44</v>
      </c>
    </row>
    <row r="3011" spans="1:14">
      <c r="A3011" s="36" t="s">
        <v>32</v>
      </c>
      <c r="B3011" s="37">
        <v>45044</v>
      </c>
      <c r="C3011" s="36" t="s">
        <v>773</v>
      </c>
      <c r="D3011" s="36" t="s">
        <v>952</v>
      </c>
      <c r="E3011" s="36" t="s">
        <v>1303</v>
      </c>
      <c r="J3011" s="87">
        <v>3861000</v>
      </c>
      <c r="K3011" s="85">
        <v>2022</v>
      </c>
      <c r="L3011" s="85">
        <v>8</v>
      </c>
      <c r="M3011" s="36" t="s">
        <v>1304</v>
      </c>
      <c r="N3011" s="1" t="s">
        <v>44</v>
      </c>
    </row>
    <row r="3012" spans="1:14">
      <c r="A3012" s="36" t="s">
        <v>32</v>
      </c>
      <c r="B3012" s="37">
        <v>45044</v>
      </c>
      <c r="C3012" s="36" t="s">
        <v>773</v>
      </c>
      <c r="D3012" s="36" t="s">
        <v>952</v>
      </c>
      <c r="E3012" s="36" t="s">
        <v>1303</v>
      </c>
      <c r="J3012" s="87">
        <v>4158000</v>
      </c>
      <c r="K3012" s="85">
        <v>2022</v>
      </c>
      <c r="L3012" s="85">
        <v>9</v>
      </c>
      <c r="M3012" s="36" t="s">
        <v>1304</v>
      </c>
      <c r="N3012" s="1" t="s">
        <v>44</v>
      </c>
    </row>
    <row r="3013" spans="1:14">
      <c r="A3013" s="36" t="s">
        <v>33</v>
      </c>
      <c r="B3013" s="37">
        <v>45044</v>
      </c>
      <c r="C3013" s="36" t="s">
        <v>119</v>
      </c>
      <c r="D3013" s="36" t="s">
        <v>1048</v>
      </c>
      <c r="E3013" s="36" t="s">
        <v>1303</v>
      </c>
      <c r="J3013" s="87">
        <v>7520150</v>
      </c>
      <c r="K3013" s="85">
        <v>2023</v>
      </c>
      <c r="L3013" s="85">
        <v>3</v>
      </c>
      <c r="N3013" s="1" t="s">
        <v>44</v>
      </c>
    </row>
    <row r="3014" spans="1:14">
      <c r="A3014" s="36" t="s">
        <v>32</v>
      </c>
      <c r="B3014" s="37">
        <v>45044</v>
      </c>
      <c r="C3014" s="36" t="s">
        <v>552</v>
      </c>
      <c r="D3014" s="36" t="s">
        <v>1181</v>
      </c>
      <c r="E3014" s="36" t="s">
        <v>1303</v>
      </c>
      <c r="J3014" s="87">
        <v>57756710</v>
      </c>
      <c r="K3014" s="85">
        <v>2023</v>
      </c>
      <c r="L3014" s="85">
        <v>3</v>
      </c>
      <c r="N3014" s="1" t="s">
        <v>44</v>
      </c>
    </row>
    <row r="3015" spans="1:14">
      <c r="A3015" s="36" t="s">
        <v>32</v>
      </c>
      <c r="B3015" s="37">
        <v>45044</v>
      </c>
      <c r="C3015" s="36" t="s">
        <v>552</v>
      </c>
      <c r="D3015" s="36" t="s">
        <v>1011</v>
      </c>
      <c r="E3015" s="36" t="s">
        <v>1303</v>
      </c>
      <c r="J3015" s="87">
        <v>79047501.5</v>
      </c>
      <c r="K3015" s="85">
        <v>2023</v>
      </c>
      <c r="L3015" s="85">
        <v>3</v>
      </c>
      <c r="N3015" s="1" t="s">
        <v>44</v>
      </c>
    </row>
    <row r="3016" spans="1:14">
      <c r="A3016" s="36" t="s">
        <v>1305</v>
      </c>
      <c r="B3016" s="37">
        <v>45044</v>
      </c>
      <c r="C3016" s="36" t="s">
        <v>1306</v>
      </c>
      <c r="D3016" s="36" t="s">
        <v>1307</v>
      </c>
      <c r="E3016" s="36" t="s">
        <v>1308</v>
      </c>
      <c r="G3016" s="87">
        <v>27769500</v>
      </c>
      <c r="H3016" s="87">
        <v>2776950</v>
      </c>
      <c r="I3016" s="87">
        <v>30546450</v>
      </c>
      <c r="K3016" s="85">
        <v>2023</v>
      </c>
      <c r="L3016" s="85">
        <v>4</v>
      </c>
      <c r="N3016" s="1" t="s">
        <v>1309</v>
      </c>
    </row>
    <row r="3017" spans="1:14">
      <c r="A3017" s="36" t="s">
        <v>1305</v>
      </c>
      <c r="B3017" s="37">
        <v>45044</v>
      </c>
      <c r="C3017" s="36" t="s">
        <v>590</v>
      </c>
      <c r="D3017" s="36" t="s">
        <v>1011</v>
      </c>
      <c r="E3017" s="36" t="s">
        <v>148</v>
      </c>
      <c r="J3017" s="87">
        <v>78497501</v>
      </c>
      <c r="K3017" s="85">
        <v>2023</v>
      </c>
      <c r="L3017" s="85">
        <v>3</v>
      </c>
      <c r="N3017" s="1" t="s">
        <v>44</v>
      </c>
    </row>
    <row r="3018" spans="1:14">
      <c r="A3018" s="36" t="s">
        <v>33</v>
      </c>
      <c r="B3018" s="37">
        <v>45044</v>
      </c>
      <c r="C3018" s="36" t="s">
        <v>1250</v>
      </c>
      <c r="D3018" s="36" t="s">
        <v>1251</v>
      </c>
      <c r="E3018" s="36" t="s">
        <v>1303</v>
      </c>
      <c r="J3018" s="87">
        <v>77000</v>
      </c>
      <c r="K3018" s="85">
        <v>2023</v>
      </c>
      <c r="L3018" s="85">
        <v>3</v>
      </c>
      <c r="N3018" s="1" t="s">
        <v>44</v>
      </c>
    </row>
    <row r="3019" spans="1:14">
      <c r="A3019" s="36" t="s">
        <v>32</v>
      </c>
      <c r="B3019" s="37">
        <v>45044</v>
      </c>
      <c r="C3019" s="36" t="s">
        <v>1331</v>
      </c>
      <c r="D3019" s="36" t="s">
        <v>1338</v>
      </c>
      <c r="E3019" s="36" t="s">
        <v>78</v>
      </c>
      <c r="G3019" s="87">
        <v>12000000</v>
      </c>
      <c r="H3019" s="87">
        <v>1200000</v>
      </c>
      <c r="I3019" s="87">
        <v>13200000</v>
      </c>
      <c r="K3019" s="85">
        <v>2023</v>
      </c>
      <c r="L3019" s="85">
        <v>4</v>
      </c>
      <c r="N3019" s="1" t="s">
        <v>44</v>
      </c>
    </row>
    <row r="3020" spans="1:14">
      <c r="A3020" s="36" t="s">
        <v>32</v>
      </c>
      <c r="B3020" s="37">
        <v>45044</v>
      </c>
      <c r="C3020" s="36" t="s">
        <v>654</v>
      </c>
      <c r="D3020" s="36" t="s">
        <v>1156</v>
      </c>
      <c r="E3020" s="36" t="s">
        <v>1303</v>
      </c>
      <c r="J3020" s="87">
        <v>18652975</v>
      </c>
      <c r="K3020" s="85">
        <v>2023</v>
      </c>
      <c r="L3020" s="85">
        <v>3</v>
      </c>
      <c r="N3020" s="1" t="s">
        <v>44</v>
      </c>
    </row>
    <row r="3021" spans="1:14">
      <c r="A3021" s="36" t="s">
        <v>33</v>
      </c>
      <c r="B3021" s="37">
        <v>45045</v>
      </c>
      <c r="C3021" s="36" t="s">
        <v>1315</v>
      </c>
      <c r="D3021" s="36" t="s">
        <v>1227</v>
      </c>
      <c r="E3021" s="36" t="s">
        <v>1316</v>
      </c>
      <c r="G3021" s="87">
        <v>651000</v>
      </c>
      <c r="H3021" s="87">
        <v>65100</v>
      </c>
      <c r="I3021" s="87">
        <v>716100</v>
      </c>
      <c r="K3021" s="85">
        <v>2023</v>
      </c>
      <c r="L3021" s="85">
        <v>4</v>
      </c>
      <c r="M3021" s="36" t="s">
        <v>970</v>
      </c>
      <c r="N3021" s="1" t="s">
        <v>44</v>
      </c>
    </row>
    <row r="3022" spans="1:14">
      <c r="A3022" s="36" t="s">
        <v>32</v>
      </c>
      <c r="B3022" s="37">
        <v>45046</v>
      </c>
      <c r="C3022" s="36" t="s">
        <v>760</v>
      </c>
      <c r="D3022" s="36" t="s">
        <v>930</v>
      </c>
      <c r="E3022" s="233" t="s">
        <v>246</v>
      </c>
      <c r="G3022" s="87">
        <v>575000</v>
      </c>
      <c r="H3022" s="87">
        <v>57500</v>
      </c>
      <c r="I3022" s="87">
        <v>632500</v>
      </c>
      <c r="K3022" s="85">
        <v>2023</v>
      </c>
      <c r="L3022" s="85">
        <v>4</v>
      </c>
      <c r="M3022" s="36" t="s">
        <v>1356</v>
      </c>
      <c r="N3022" s="1" t="s">
        <v>44</v>
      </c>
    </row>
    <row r="3023" spans="1:14">
      <c r="A3023" s="36" t="s">
        <v>32</v>
      </c>
      <c r="B3023" s="37">
        <v>45046</v>
      </c>
      <c r="C3023" s="36" t="s">
        <v>664</v>
      </c>
      <c r="D3023" s="36" t="s">
        <v>1342</v>
      </c>
      <c r="E3023" s="36" t="s">
        <v>78</v>
      </c>
      <c r="G3023" s="87">
        <v>921000</v>
      </c>
      <c r="H3023" s="87">
        <v>92100</v>
      </c>
      <c r="I3023" s="87">
        <v>1013100</v>
      </c>
      <c r="K3023" s="85">
        <v>2023</v>
      </c>
      <c r="L3023" s="85">
        <v>4</v>
      </c>
      <c r="N3023" s="1" t="s">
        <v>44</v>
      </c>
    </row>
    <row r="3024" spans="1:14">
      <c r="A3024" s="36" t="s">
        <v>32</v>
      </c>
      <c r="B3024" s="37">
        <v>45046</v>
      </c>
      <c r="C3024" s="36" t="s">
        <v>174</v>
      </c>
      <c r="D3024" s="36" t="s">
        <v>1155</v>
      </c>
      <c r="E3024" s="36" t="s">
        <v>76</v>
      </c>
      <c r="G3024" s="87">
        <v>37518300</v>
      </c>
      <c r="H3024" s="87">
        <v>3751830</v>
      </c>
      <c r="I3024" s="87">
        <v>41270130</v>
      </c>
      <c r="K3024" s="85">
        <v>2023</v>
      </c>
      <c r="L3024" s="85">
        <v>4</v>
      </c>
      <c r="N3024" s="1" t="s">
        <v>44</v>
      </c>
    </row>
    <row r="3025" spans="1:14">
      <c r="A3025" s="36" t="s">
        <v>32</v>
      </c>
      <c r="B3025" s="37">
        <v>45046</v>
      </c>
      <c r="C3025" s="36" t="s">
        <v>209</v>
      </c>
      <c r="D3025" s="36" t="s">
        <v>1699</v>
      </c>
      <c r="E3025" s="36" t="s">
        <v>76</v>
      </c>
      <c r="G3025" s="87">
        <v>10411600</v>
      </c>
      <c r="H3025" s="87">
        <v>1041160</v>
      </c>
      <c r="I3025" s="87">
        <v>11452760</v>
      </c>
      <c r="K3025" s="85">
        <v>2023</v>
      </c>
      <c r="L3025" s="85">
        <v>4</v>
      </c>
      <c r="N3025" s="1" t="s">
        <v>44</v>
      </c>
    </row>
    <row r="3026" spans="1:14">
      <c r="A3026" s="36" t="s">
        <v>32</v>
      </c>
      <c r="B3026" s="37">
        <v>45046</v>
      </c>
      <c r="C3026" s="36" t="s">
        <v>209</v>
      </c>
      <c r="D3026" s="36" t="s">
        <v>1048</v>
      </c>
      <c r="E3026" s="36" t="s">
        <v>76</v>
      </c>
      <c r="G3026" s="87">
        <v>11347600</v>
      </c>
      <c r="H3026" s="87">
        <v>1134760</v>
      </c>
      <c r="I3026" s="87">
        <v>12482360</v>
      </c>
      <c r="K3026" s="85">
        <v>2023</v>
      </c>
      <c r="L3026" s="85">
        <v>4</v>
      </c>
      <c r="N3026" s="1" t="s">
        <v>44</v>
      </c>
    </row>
    <row r="3027" spans="1:14">
      <c r="A3027" s="36" t="s">
        <v>32</v>
      </c>
      <c r="B3027" s="37">
        <v>45046</v>
      </c>
      <c r="C3027" s="36" t="s">
        <v>672</v>
      </c>
      <c r="D3027" s="36" t="s">
        <v>1267</v>
      </c>
      <c r="E3027" s="36" t="s">
        <v>76</v>
      </c>
      <c r="G3027" s="87">
        <v>5000000</v>
      </c>
      <c r="H3027" s="87">
        <v>500000</v>
      </c>
      <c r="I3027" s="87">
        <v>5500000</v>
      </c>
      <c r="K3027" s="85">
        <v>2023</v>
      </c>
      <c r="L3027" s="85">
        <v>4</v>
      </c>
      <c r="N3027" s="1" t="s">
        <v>44</v>
      </c>
    </row>
    <row r="3028" spans="1:14">
      <c r="A3028" s="36" t="s">
        <v>32</v>
      </c>
      <c r="B3028" s="37">
        <v>45046</v>
      </c>
      <c r="C3028" s="36" t="s">
        <v>1332</v>
      </c>
      <c r="D3028" s="36" t="s">
        <v>1341</v>
      </c>
      <c r="E3028" s="36" t="s">
        <v>76</v>
      </c>
      <c r="G3028" s="87">
        <v>1620000</v>
      </c>
      <c r="H3028" s="87">
        <v>162000</v>
      </c>
      <c r="I3028" s="87">
        <v>1782000</v>
      </c>
      <c r="K3028" s="85">
        <v>2023</v>
      </c>
      <c r="L3028" s="85">
        <v>4</v>
      </c>
      <c r="N3028" s="1" t="s">
        <v>44</v>
      </c>
    </row>
    <row r="3029" spans="1:14">
      <c r="A3029" s="36" t="s">
        <v>32</v>
      </c>
      <c r="B3029" s="37">
        <v>45046</v>
      </c>
      <c r="C3029" s="36" t="s">
        <v>204</v>
      </c>
      <c r="D3029" s="36" t="s">
        <v>1273</v>
      </c>
      <c r="E3029" s="36" t="s">
        <v>76</v>
      </c>
      <c r="G3029" s="87">
        <v>1750400</v>
      </c>
      <c r="H3029" s="87">
        <v>175040</v>
      </c>
      <c r="I3029" s="87">
        <v>1925440</v>
      </c>
      <c r="K3029" s="85">
        <v>2023</v>
      </c>
      <c r="L3029" s="85">
        <v>4</v>
      </c>
      <c r="N3029" s="1" t="s">
        <v>44</v>
      </c>
    </row>
    <row r="3030" spans="1:14">
      <c r="A3030" s="36" t="s">
        <v>32</v>
      </c>
      <c r="B3030" s="37">
        <v>45046</v>
      </c>
      <c r="C3030" s="36" t="s">
        <v>204</v>
      </c>
      <c r="D3030" s="36" t="s">
        <v>1343</v>
      </c>
      <c r="E3030" s="36" t="s">
        <v>78</v>
      </c>
      <c r="G3030" s="87">
        <v>18874600</v>
      </c>
      <c r="H3030" s="87">
        <v>1887460</v>
      </c>
      <c r="I3030" s="87">
        <v>20762060</v>
      </c>
      <c r="K3030" s="85">
        <v>2023</v>
      </c>
      <c r="L3030" s="85">
        <v>4</v>
      </c>
      <c r="N3030" s="1" t="s">
        <v>44</v>
      </c>
    </row>
    <row r="3031" spans="1:14">
      <c r="A3031" s="36" t="s">
        <v>32</v>
      </c>
      <c r="B3031" s="37">
        <v>45046</v>
      </c>
      <c r="C3031" s="36" t="s">
        <v>204</v>
      </c>
      <c r="D3031" s="36" t="s">
        <v>1343</v>
      </c>
      <c r="E3031" s="36" t="s">
        <v>1349</v>
      </c>
      <c r="G3031" s="87">
        <v>3000000</v>
      </c>
      <c r="H3031" s="87">
        <v>300000</v>
      </c>
      <c r="I3031" s="87">
        <v>3300000</v>
      </c>
      <c r="K3031" s="85">
        <v>2023</v>
      </c>
      <c r="L3031" s="85">
        <v>4</v>
      </c>
      <c r="N3031" s="1" t="s">
        <v>44</v>
      </c>
    </row>
    <row r="3032" spans="1:14">
      <c r="A3032" s="36" t="s">
        <v>32</v>
      </c>
      <c r="B3032" s="37">
        <v>45046</v>
      </c>
      <c r="C3032" s="36" t="s">
        <v>334</v>
      </c>
      <c r="D3032" s="36" t="s">
        <v>1340</v>
      </c>
      <c r="E3032" s="36" t="s">
        <v>76</v>
      </c>
      <c r="G3032" s="87">
        <v>1411200</v>
      </c>
      <c r="H3032" s="87">
        <v>141120</v>
      </c>
      <c r="I3032" s="87">
        <v>1552320</v>
      </c>
      <c r="K3032" s="85">
        <v>2023</v>
      </c>
      <c r="L3032" s="85">
        <v>4</v>
      </c>
      <c r="N3032" s="1" t="s">
        <v>44</v>
      </c>
    </row>
    <row r="3033" spans="1:14">
      <c r="A3033" s="36" t="s">
        <v>32</v>
      </c>
      <c r="B3033" s="37">
        <v>45046</v>
      </c>
      <c r="C3033" s="36" t="s">
        <v>1262</v>
      </c>
      <c r="D3033" s="36" t="s">
        <v>1353</v>
      </c>
      <c r="E3033" s="36" t="s">
        <v>1357</v>
      </c>
      <c r="G3033" s="87">
        <v>1840000</v>
      </c>
      <c r="H3033" s="87">
        <v>184000</v>
      </c>
      <c r="I3033" s="87">
        <v>2024000</v>
      </c>
      <c r="K3033" s="85">
        <v>2023</v>
      </c>
      <c r="L3033" s="85">
        <v>4</v>
      </c>
      <c r="N3033" s="1" t="s">
        <v>44</v>
      </c>
    </row>
    <row r="3034" spans="1:14">
      <c r="A3034" s="36" t="s">
        <v>32</v>
      </c>
      <c r="B3034" s="37">
        <v>45046</v>
      </c>
      <c r="C3034" s="36" t="s">
        <v>677</v>
      </c>
      <c r="D3034" s="36" t="s">
        <v>678</v>
      </c>
      <c r="E3034" s="36" t="s">
        <v>76</v>
      </c>
      <c r="G3034" s="87">
        <v>18625000</v>
      </c>
      <c r="H3034" s="87">
        <v>1862500</v>
      </c>
      <c r="I3034" s="87">
        <v>20487500</v>
      </c>
      <c r="K3034" s="85">
        <v>2023</v>
      </c>
      <c r="L3034" s="85">
        <v>4</v>
      </c>
      <c r="N3034" s="1" t="s">
        <v>44</v>
      </c>
    </row>
    <row r="3035" spans="1:14">
      <c r="A3035" s="36" t="s">
        <v>32</v>
      </c>
      <c r="B3035" s="37">
        <v>45046</v>
      </c>
      <c r="C3035" s="36" t="s">
        <v>677</v>
      </c>
      <c r="D3035" s="36" t="s">
        <v>924</v>
      </c>
      <c r="E3035" s="36" t="s">
        <v>76</v>
      </c>
      <c r="G3035" s="87">
        <v>71145000</v>
      </c>
      <c r="H3035" s="87">
        <v>7114500</v>
      </c>
      <c r="I3035" s="87">
        <v>78259500</v>
      </c>
      <c r="K3035" s="85">
        <v>2023</v>
      </c>
      <c r="L3035" s="85">
        <v>4</v>
      </c>
      <c r="N3035" s="1" t="s">
        <v>44</v>
      </c>
    </row>
    <row r="3036" spans="1:14">
      <c r="A3036" s="36" t="s">
        <v>32</v>
      </c>
      <c r="B3036" s="37">
        <v>45046</v>
      </c>
      <c r="C3036" s="36" t="s">
        <v>677</v>
      </c>
      <c r="D3036" s="36" t="s">
        <v>825</v>
      </c>
      <c r="E3036" s="36" t="s">
        <v>76</v>
      </c>
      <c r="G3036" s="87">
        <v>49597500</v>
      </c>
      <c r="H3036" s="87">
        <v>4959750</v>
      </c>
      <c r="I3036" s="87">
        <v>54557250</v>
      </c>
      <c r="K3036" s="85">
        <v>2023</v>
      </c>
      <c r="L3036" s="85">
        <v>4</v>
      </c>
      <c r="N3036" s="1" t="s">
        <v>44</v>
      </c>
    </row>
    <row r="3037" spans="1:14">
      <c r="A3037" s="36" t="s">
        <v>1323</v>
      </c>
      <c r="B3037" s="37">
        <v>45046</v>
      </c>
      <c r="C3037" s="36" t="s">
        <v>1324</v>
      </c>
      <c r="D3037" s="36" t="s">
        <v>1325</v>
      </c>
      <c r="E3037" s="36" t="s">
        <v>1326</v>
      </c>
      <c r="G3037" s="87">
        <v>9883052</v>
      </c>
      <c r="H3037" s="87">
        <v>988305.20000000007</v>
      </c>
      <c r="I3037" s="87">
        <v>10871357.199999999</v>
      </c>
      <c r="J3037" s="87"/>
      <c r="K3037" s="85">
        <v>2023</v>
      </c>
      <c r="L3037" s="85">
        <v>4</v>
      </c>
      <c r="N3037" s="1" t="s">
        <v>1327</v>
      </c>
    </row>
    <row r="3038" spans="1:14">
      <c r="A3038" s="36" t="s">
        <v>32</v>
      </c>
      <c r="B3038" s="37">
        <v>45046</v>
      </c>
      <c r="C3038" s="36" t="s">
        <v>552</v>
      </c>
      <c r="D3038" s="36" t="s">
        <v>1345</v>
      </c>
      <c r="E3038" s="36" t="s">
        <v>76</v>
      </c>
      <c r="G3038" s="87">
        <v>53451900</v>
      </c>
      <c r="H3038" s="87">
        <v>5345190</v>
      </c>
      <c r="I3038" s="87">
        <v>58797090</v>
      </c>
      <c r="K3038" s="85">
        <v>2023</v>
      </c>
      <c r="L3038" s="85">
        <v>4</v>
      </c>
      <c r="N3038" s="1" t="s">
        <v>44</v>
      </c>
    </row>
    <row r="3039" spans="1:14">
      <c r="A3039" s="36" t="s">
        <v>32</v>
      </c>
      <c r="B3039" s="37">
        <v>45046</v>
      </c>
      <c r="C3039" s="36" t="s">
        <v>552</v>
      </c>
      <c r="D3039" s="36" t="s">
        <v>1011</v>
      </c>
      <c r="E3039" s="36" t="s">
        <v>76</v>
      </c>
      <c r="G3039" s="87">
        <v>37668394</v>
      </c>
      <c r="H3039" s="87">
        <v>3766839.4000000004</v>
      </c>
      <c r="I3039" s="87">
        <v>41435233.399999999</v>
      </c>
      <c r="K3039" s="85">
        <v>2023</v>
      </c>
      <c r="L3039" s="85">
        <v>4</v>
      </c>
      <c r="N3039" s="1" t="s">
        <v>44</v>
      </c>
    </row>
    <row r="3040" spans="1:14">
      <c r="A3040" s="36" t="s">
        <v>32</v>
      </c>
      <c r="B3040" s="37">
        <v>45046</v>
      </c>
      <c r="C3040" s="36" t="s">
        <v>206</v>
      </c>
      <c r="D3040" s="36" t="s">
        <v>1157</v>
      </c>
      <c r="E3040" s="36" t="s">
        <v>76</v>
      </c>
      <c r="G3040" s="87">
        <v>4932900</v>
      </c>
      <c r="H3040" s="87">
        <v>493290</v>
      </c>
      <c r="I3040" s="87">
        <v>5426190</v>
      </c>
      <c r="K3040" s="85">
        <v>2023</v>
      </c>
      <c r="L3040" s="85">
        <v>4</v>
      </c>
      <c r="N3040" s="1" t="s">
        <v>44</v>
      </c>
    </row>
    <row r="3041" spans="1:14">
      <c r="A3041" s="36" t="s">
        <v>32</v>
      </c>
      <c r="B3041" s="37">
        <v>45046</v>
      </c>
      <c r="C3041" s="36" t="s">
        <v>185</v>
      </c>
      <c r="D3041" s="36" t="s">
        <v>931</v>
      </c>
      <c r="E3041" s="36" t="s">
        <v>78</v>
      </c>
      <c r="G3041" s="87">
        <v>17508906</v>
      </c>
      <c r="H3041" s="87">
        <v>1750890.6</v>
      </c>
      <c r="I3041" s="87">
        <v>19259796.600000001</v>
      </c>
      <c r="K3041" s="85">
        <v>2023</v>
      </c>
      <c r="L3041" s="85">
        <v>4</v>
      </c>
      <c r="N3041" s="1" t="s">
        <v>44</v>
      </c>
    </row>
    <row r="3042" spans="1:14">
      <c r="A3042" s="36" t="s">
        <v>32</v>
      </c>
      <c r="B3042" s="37">
        <v>45046</v>
      </c>
      <c r="C3042" s="36" t="s">
        <v>268</v>
      </c>
      <c r="D3042" s="36" t="s">
        <v>1361</v>
      </c>
      <c r="E3042" s="36" t="s">
        <v>76</v>
      </c>
      <c r="G3042" s="87">
        <v>123452400</v>
      </c>
      <c r="H3042" s="87">
        <v>12345240</v>
      </c>
      <c r="I3042" s="87">
        <v>135797640</v>
      </c>
      <c r="K3042" s="85">
        <v>2023</v>
      </c>
      <c r="L3042" s="85">
        <v>4</v>
      </c>
      <c r="N3042" s="1" t="s">
        <v>44</v>
      </c>
    </row>
    <row r="3043" spans="1:14">
      <c r="A3043" s="36" t="s">
        <v>33</v>
      </c>
      <c r="B3043" s="37">
        <v>45046</v>
      </c>
      <c r="C3043" s="36" t="s">
        <v>590</v>
      </c>
      <c r="D3043" s="36" t="s">
        <v>1011</v>
      </c>
      <c r="E3043" s="36" t="s">
        <v>1253</v>
      </c>
      <c r="G3043" s="87">
        <v>37668394</v>
      </c>
      <c r="H3043" s="87">
        <v>3766839.4000000004</v>
      </c>
      <c r="I3043" s="87">
        <v>41435233.399999999</v>
      </c>
      <c r="K3043" s="85">
        <v>2023</v>
      </c>
      <c r="L3043" s="85">
        <v>4</v>
      </c>
      <c r="N3043" s="1" t="s">
        <v>44</v>
      </c>
    </row>
    <row r="3044" spans="1:14">
      <c r="A3044" s="36" t="s">
        <v>32</v>
      </c>
      <c r="B3044" s="37">
        <v>45046</v>
      </c>
      <c r="C3044" s="36" t="s">
        <v>590</v>
      </c>
      <c r="D3044" s="36" t="s">
        <v>591</v>
      </c>
      <c r="E3044" s="36" t="s">
        <v>76</v>
      </c>
      <c r="G3044" s="87">
        <v>22580000</v>
      </c>
      <c r="H3044" s="87">
        <v>2258000</v>
      </c>
      <c r="I3044" s="87">
        <v>24838000</v>
      </c>
      <c r="K3044" s="85">
        <v>2023</v>
      </c>
      <c r="L3044" s="85">
        <v>4</v>
      </c>
      <c r="N3044" s="1" t="s">
        <v>44</v>
      </c>
    </row>
    <row r="3045" spans="1:14">
      <c r="A3045" s="36" t="s">
        <v>32</v>
      </c>
      <c r="B3045" s="37">
        <v>45046</v>
      </c>
      <c r="C3045" s="36" t="s">
        <v>188</v>
      </c>
      <c r="D3045" s="36" t="s">
        <v>1219</v>
      </c>
      <c r="E3045" s="36" t="s">
        <v>1348</v>
      </c>
      <c r="G3045" s="87">
        <v>32818500</v>
      </c>
      <c r="H3045" s="87">
        <v>3281850</v>
      </c>
      <c r="I3045" s="87">
        <v>36100350</v>
      </c>
      <c r="K3045" s="85">
        <v>2023</v>
      </c>
      <c r="L3045" s="85">
        <v>4</v>
      </c>
      <c r="N3045" s="1" t="s">
        <v>44</v>
      </c>
    </row>
    <row r="3046" spans="1:14">
      <c r="A3046" s="36" t="s">
        <v>32</v>
      </c>
      <c r="B3046" s="37">
        <v>45046</v>
      </c>
      <c r="C3046" s="36" t="s">
        <v>1334</v>
      </c>
      <c r="D3046" s="36" t="s">
        <v>1353</v>
      </c>
      <c r="E3046" s="36" t="s">
        <v>1354</v>
      </c>
      <c r="G3046" s="87">
        <v>3680000</v>
      </c>
      <c r="H3046" s="87">
        <v>368000</v>
      </c>
      <c r="I3046" s="87">
        <v>4048000</v>
      </c>
      <c r="K3046" s="85">
        <v>2023</v>
      </c>
      <c r="L3046" s="85">
        <v>4</v>
      </c>
      <c r="N3046" s="1" t="s">
        <v>44</v>
      </c>
    </row>
    <row r="3047" spans="1:14">
      <c r="A3047" s="36" t="s">
        <v>32</v>
      </c>
      <c r="B3047" s="37">
        <v>45046</v>
      </c>
      <c r="C3047" s="36" t="s">
        <v>667</v>
      </c>
      <c r="D3047" s="36" t="s">
        <v>1339</v>
      </c>
      <c r="E3047" s="36" t="s">
        <v>76</v>
      </c>
      <c r="G3047" s="87">
        <v>8160000</v>
      </c>
      <c r="H3047" s="87">
        <v>816000</v>
      </c>
      <c r="I3047" s="87">
        <v>8976000</v>
      </c>
      <c r="K3047" s="85">
        <v>2023</v>
      </c>
      <c r="L3047" s="85">
        <v>4</v>
      </c>
      <c r="N3047" s="1" t="s">
        <v>44</v>
      </c>
    </row>
    <row r="3048" spans="1:14">
      <c r="A3048" s="36" t="s">
        <v>32</v>
      </c>
      <c r="B3048" s="37">
        <v>45046</v>
      </c>
      <c r="C3048" s="36" t="s">
        <v>1333</v>
      </c>
      <c r="D3048" s="36" t="s">
        <v>1372</v>
      </c>
      <c r="E3048" s="36" t="s">
        <v>76</v>
      </c>
      <c r="G3048" s="87">
        <v>15295000</v>
      </c>
      <c r="H3048" s="87">
        <v>1529500</v>
      </c>
      <c r="I3048" s="87">
        <v>16824500</v>
      </c>
      <c r="K3048" s="85">
        <v>2023</v>
      </c>
      <c r="L3048" s="85">
        <v>4</v>
      </c>
      <c r="M3048" s="36" t="s">
        <v>1373</v>
      </c>
      <c r="N3048" s="1" t="s">
        <v>44</v>
      </c>
    </row>
    <row r="3049" spans="1:14">
      <c r="A3049" s="36" t="s">
        <v>32</v>
      </c>
      <c r="B3049" s="37">
        <v>45046</v>
      </c>
      <c r="C3049" s="36" t="s">
        <v>1115</v>
      </c>
      <c r="D3049" s="36" t="s">
        <v>1344</v>
      </c>
      <c r="E3049" s="36" t="s">
        <v>76</v>
      </c>
      <c r="G3049" s="87">
        <v>5534400</v>
      </c>
      <c r="H3049" s="87">
        <v>553440</v>
      </c>
      <c r="I3049" s="87">
        <v>6087840</v>
      </c>
      <c r="K3049" s="85">
        <v>2023</v>
      </c>
      <c r="L3049" s="85">
        <v>4</v>
      </c>
      <c r="N3049" s="1" t="s">
        <v>44</v>
      </c>
    </row>
    <row r="3050" spans="1:14">
      <c r="A3050" s="36" t="s">
        <v>32</v>
      </c>
      <c r="B3050" s="37">
        <v>45046</v>
      </c>
      <c r="C3050" s="36" t="s">
        <v>1115</v>
      </c>
      <c r="D3050" s="36" t="s">
        <v>1344</v>
      </c>
      <c r="E3050" s="36" t="s">
        <v>76</v>
      </c>
      <c r="G3050" s="87">
        <v>-5534400</v>
      </c>
      <c r="H3050" s="87">
        <v>-553440</v>
      </c>
      <c r="I3050" s="87">
        <v>-6087840</v>
      </c>
      <c r="K3050" s="85">
        <v>2023</v>
      </c>
      <c r="L3050" s="85">
        <v>4</v>
      </c>
      <c r="N3050" s="1" t="s">
        <v>44</v>
      </c>
    </row>
    <row r="3051" spans="1:14">
      <c r="A3051" s="36" t="s">
        <v>32</v>
      </c>
      <c r="B3051" s="37">
        <v>45046</v>
      </c>
      <c r="C3051" s="36" t="s">
        <v>1336</v>
      </c>
      <c r="D3051" s="36" t="s">
        <v>1347</v>
      </c>
      <c r="E3051" s="36" t="s">
        <v>78</v>
      </c>
      <c r="G3051" s="87">
        <v>9100000</v>
      </c>
      <c r="H3051" s="87">
        <v>910000</v>
      </c>
      <c r="I3051" s="87">
        <v>10010000</v>
      </c>
      <c r="K3051" s="85">
        <v>2023</v>
      </c>
      <c r="L3051" s="85">
        <v>4</v>
      </c>
      <c r="N3051" s="1" t="s">
        <v>44</v>
      </c>
    </row>
    <row r="3052" spans="1:14">
      <c r="A3052" s="36" t="s">
        <v>32</v>
      </c>
      <c r="B3052" s="37">
        <v>45046</v>
      </c>
      <c r="C3052" s="36" t="s">
        <v>654</v>
      </c>
      <c r="D3052" s="36" t="s">
        <v>1337</v>
      </c>
      <c r="E3052" s="36" t="s">
        <v>76</v>
      </c>
      <c r="G3052" s="87">
        <v>5316040</v>
      </c>
      <c r="H3052" s="87">
        <v>531604</v>
      </c>
      <c r="I3052" s="87">
        <v>5847644</v>
      </c>
      <c r="K3052" s="85">
        <v>2023</v>
      </c>
      <c r="L3052" s="85">
        <v>4</v>
      </c>
      <c r="N3052" s="1" t="s">
        <v>44</v>
      </c>
    </row>
    <row r="3053" spans="1:14">
      <c r="A3053" s="36" t="s">
        <v>32</v>
      </c>
      <c r="B3053" s="37">
        <v>45046</v>
      </c>
      <c r="C3053" s="36" t="s">
        <v>654</v>
      </c>
      <c r="D3053" s="36" t="s">
        <v>1156</v>
      </c>
      <c r="E3053" s="36" t="s">
        <v>76</v>
      </c>
      <c r="G3053" s="87">
        <v>23455250</v>
      </c>
      <c r="H3053" s="87">
        <v>2345525</v>
      </c>
      <c r="I3053" s="87">
        <v>25800775</v>
      </c>
      <c r="K3053" s="85">
        <v>2023</v>
      </c>
      <c r="L3053" s="85">
        <v>4</v>
      </c>
      <c r="N3053" s="1" t="s">
        <v>44</v>
      </c>
    </row>
    <row r="3054" spans="1:14">
      <c r="A3054" s="36" t="s">
        <v>32</v>
      </c>
      <c r="B3054" s="37">
        <v>45046</v>
      </c>
      <c r="C3054" s="36" t="s">
        <v>654</v>
      </c>
      <c r="D3054" s="36" t="s">
        <v>994</v>
      </c>
      <c r="E3054" s="36" t="s">
        <v>76</v>
      </c>
      <c r="G3054" s="87">
        <v>26402600</v>
      </c>
      <c r="H3054" s="87">
        <v>2640260</v>
      </c>
      <c r="I3054" s="87">
        <v>29042860</v>
      </c>
      <c r="K3054" s="85">
        <v>2023</v>
      </c>
      <c r="L3054" s="85">
        <v>4</v>
      </c>
      <c r="N3054" s="1" t="s">
        <v>44</v>
      </c>
    </row>
    <row r="3055" spans="1:14">
      <c r="A3055" s="36" t="s">
        <v>32</v>
      </c>
      <c r="B3055" s="37">
        <v>45046</v>
      </c>
      <c r="C3055" s="36" t="s">
        <v>654</v>
      </c>
      <c r="D3055" s="36" t="s">
        <v>1219</v>
      </c>
      <c r="E3055" s="36" t="s">
        <v>76</v>
      </c>
      <c r="G3055" s="87">
        <v>57553340</v>
      </c>
      <c r="H3055" s="87">
        <v>5755334</v>
      </c>
      <c r="I3055" s="87">
        <v>63308674</v>
      </c>
      <c r="K3055" s="85">
        <v>2023</v>
      </c>
      <c r="L3055" s="85">
        <v>4</v>
      </c>
      <c r="N3055" s="1" t="s">
        <v>44</v>
      </c>
    </row>
    <row r="3056" spans="1:14">
      <c r="A3056" s="36" t="s">
        <v>32</v>
      </c>
      <c r="B3056" s="37">
        <v>45046</v>
      </c>
      <c r="C3056" s="36" t="s">
        <v>1335</v>
      </c>
      <c r="D3056" s="36" t="s">
        <v>1355</v>
      </c>
      <c r="E3056" s="36" t="s">
        <v>1346</v>
      </c>
      <c r="G3056" s="87">
        <v>7673000</v>
      </c>
      <c r="H3056" s="87">
        <v>767300</v>
      </c>
      <c r="I3056" s="87">
        <v>8440300</v>
      </c>
      <c r="K3056" s="85">
        <v>2023</v>
      </c>
      <c r="L3056" s="85">
        <v>4</v>
      </c>
      <c r="N3056" s="1" t="s">
        <v>44</v>
      </c>
    </row>
    <row r="3057" spans="1:14">
      <c r="A3057" s="36" t="s">
        <v>33</v>
      </c>
      <c r="B3057" s="37">
        <v>45046</v>
      </c>
      <c r="C3057" s="36" t="s">
        <v>912</v>
      </c>
      <c r="D3057" s="36" t="s">
        <v>663</v>
      </c>
      <c r="E3057" s="36" t="s">
        <v>447</v>
      </c>
      <c r="G3057" s="87">
        <v>17358855</v>
      </c>
      <c r="H3057" s="87">
        <v>1735885</v>
      </c>
      <c r="I3057" s="87">
        <v>19094740</v>
      </c>
      <c r="K3057" s="85">
        <v>2023</v>
      </c>
      <c r="L3057" s="85">
        <v>4</v>
      </c>
      <c r="N3057" s="1" t="s">
        <v>44</v>
      </c>
    </row>
    <row r="3058" spans="1:14">
      <c r="A3058" s="36" t="s">
        <v>32</v>
      </c>
      <c r="B3058" s="37">
        <v>45047</v>
      </c>
      <c r="C3058" s="36" t="s">
        <v>552</v>
      </c>
      <c r="D3058" s="36" t="s">
        <v>1345</v>
      </c>
      <c r="E3058" s="36" t="s">
        <v>1364</v>
      </c>
      <c r="G3058" s="87">
        <v>-1385500</v>
      </c>
      <c r="H3058" s="87">
        <v>-138550</v>
      </c>
      <c r="I3058" s="87">
        <v>-1524050</v>
      </c>
      <c r="K3058" s="85">
        <v>2023</v>
      </c>
      <c r="L3058" s="85">
        <v>4</v>
      </c>
      <c r="N3058" s="1" t="s">
        <v>44</v>
      </c>
    </row>
    <row r="3059" spans="1:14">
      <c r="A3059" s="36" t="s">
        <v>32</v>
      </c>
      <c r="B3059" s="37">
        <v>45047</v>
      </c>
      <c r="C3059" s="36" t="s">
        <v>590</v>
      </c>
      <c r="D3059" s="36" t="s">
        <v>591</v>
      </c>
      <c r="E3059" s="36" t="s">
        <v>76</v>
      </c>
      <c r="G3059" s="87">
        <v>-22580000</v>
      </c>
      <c r="H3059" s="87">
        <v>-2258000</v>
      </c>
      <c r="I3059" s="87">
        <v>-24838000</v>
      </c>
      <c r="K3059" s="85">
        <v>2023</v>
      </c>
      <c r="L3059" s="85">
        <v>4</v>
      </c>
      <c r="N3059" s="1" t="s">
        <v>44</v>
      </c>
    </row>
    <row r="3060" spans="1:14">
      <c r="A3060" s="36" t="s">
        <v>32</v>
      </c>
      <c r="B3060" s="37">
        <v>45047</v>
      </c>
      <c r="C3060" s="36" t="s">
        <v>466</v>
      </c>
      <c r="D3060" s="36" t="s">
        <v>467</v>
      </c>
      <c r="E3060" s="36" t="s">
        <v>76</v>
      </c>
      <c r="G3060" s="87">
        <v>11060000</v>
      </c>
      <c r="H3060" s="87">
        <v>1106000</v>
      </c>
      <c r="I3060" s="87">
        <v>12166000</v>
      </c>
      <c r="K3060" s="85">
        <v>2023</v>
      </c>
      <c r="L3060" s="85">
        <v>5</v>
      </c>
      <c r="N3060" s="1" t="s">
        <v>44</v>
      </c>
    </row>
    <row r="3061" spans="1:14">
      <c r="A3061" s="36" t="s">
        <v>32</v>
      </c>
      <c r="B3061" s="37">
        <v>45047</v>
      </c>
      <c r="C3061" s="36" t="s">
        <v>1115</v>
      </c>
      <c r="D3061" s="36" t="s">
        <v>1120</v>
      </c>
      <c r="E3061" s="36" t="s">
        <v>76</v>
      </c>
      <c r="G3061" s="87">
        <v>-560000</v>
      </c>
      <c r="H3061" s="87">
        <v>-56000</v>
      </c>
      <c r="I3061" s="87">
        <v>-616000</v>
      </c>
      <c r="K3061" s="85">
        <v>2023</v>
      </c>
      <c r="L3061" s="85">
        <v>4</v>
      </c>
      <c r="N3061" s="1" t="s">
        <v>44</v>
      </c>
    </row>
    <row r="3062" spans="1:14">
      <c r="A3062" s="36" t="s">
        <v>32</v>
      </c>
      <c r="B3062" s="37">
        <v>45047</v>
      </c>
      <c r="C3062" s="36" t="s">
        <v>1115</v>
      </c>
      <c r="D3062" s="36" t="s">
        <v>1416</v>
      </c>
      <c r="E3062" s="36" t="s">
        <v>76</v>
      </c>
      <c r="G3062" s="87">
        <v>6700000</v>
      </c>
      <c r="H3062" s="87">
        <v>670000</v>
      </c>
      <c r="I3062" s="87">
        <v>7370000</v>
      </c>
      <c r="K3062" s="85">
        <v>2023</v>
      </c>
      <c r="L3062" s="85">
        <v>5</v>
      </c>
      <c r="N3062" s="1" t="s">
        <v>44</v>
      </c>
    </row>
    <row r="3063" spans="1:14">
      <c r="A3063" s="36" t="s">
        <v>32</v>
      </c>
      <c r="B3063" s="37">
        <v>45047</v>
      </c>
      <c r="C3063" s="36" t="s">
        <v>1396</v>
      </c>
      <c r="D3063" s="36" t="s">
        <v>1418</v>
      </c>
      <c r="E3063" s="36" t="s">
        <v>1417</v>
      </c>
      <c r="G3063" s="87">
        <v>1600000</v>
      </c>
      <c r="H3063" s="87">
        <v>160000</v>
      </c>
      <c r="I3063" s="87">
        <v>1760000</v>
      </c>
      <c r="K3063" s="85">
        <v>2023</v>
      </c>
      <c r="L3063" s="85">
        <v>5</v>
      </c>
      <c r="N3063" s="1" t="s">
        <v>44</v>
      </c>
    </row>
    <row r="3064" spans="1:14">
      <c r="A3064" s="36" t="s">
        <v>32</v>
      </c>
      <c r="B3064" s="37">
        <v>45047</v>
      </c>
      <c r="C3064" s="36" t="s">
        <v>1396</v>
      </c>
      <c r="D3064" s="36" t="s">
        <v>1419</v>
      </c>
      <c r="E3064" s="36" t="s">
        <v>76</v>
      </c>
      <c r="G3064" s="87">
        <v>10000000</v>
      </c>
      <c r="H3064" s="87">
        <v>1000000</v>
      </c>
      <c r="I3064" s="87">
        <v>11000000</v>
      </c>
      <c r="K3064" s="85">
        <v>2023</v>
      </c>
      <c r="L3064" s="85">
        <v>5</v>
      </c>
      <c r="N3064" s="1" t="s">
        <v>44</v>
      </c>
    </row>
    <row r="3065" spans="1:14">
      <c r="A3065" s="36" t="s">
        <v>32</v>
      </c>
      <c r="B3065" s="37">
        <v>45047</v>
      </c>
      <c r="C3065" s="36" t="s">
        <v>1396</v>
      </c>
      <c r="D3065" s="36" t="s">
        <v>1419</v>
      </c>
      <c r="E3065" s="36" t="s">
        <v>78</v>
      </c>
      <c r="G3065" s="87">
        <v>8000000</v>
      </c>
      <c r="H3065" s="87">
        <v>800000</v>
      </c>
      <c r="I3065" s="87">
        <v>8800000</v>
      </c>
      <c r="K3065" s="85">
        <v>2023</v>
      </c>
      <c r="L3065" s="85">
        <v>5</v>
      </c>
      <c r="N3065" s="1" t="s">
        <v>44</v>
      </c>
    </row>
    <row r="3066" spans="1:14">
      <c r="A3066" s="36" t="s">
        <v>32</v>
      </c>
      <c r="B3066" s="37">
        <v>45047</v>
      </c>
      <c r="C3066" s="36" t="s">
        <v>1396</v>
      </c>
      <c r="D3066" s="36" t="s">
        <v>1418</v>
      </c>
      <c r="E3066" s="36" t="s">
        <v>76</v>
      </c>
      <c r="G3066" s="87">
        <v>8000000</v>
      </c>
      <c r="H3066" s="87">
        <v>800000</v>
      </c>
      <c r="I3066" s="87">
        <v>8800000</v>
      </c>
      <c r="K3066" s="85">
        <v>2023</v>
      </c>
      <c r="L3066" s="85">
        <v>5</v>
      </c>
      <c r="N3066" s="1" t="s">
        <v>44</v>
      </c>
    </row>
    <row r="3067" spans="1:14">
      <c r="A3067" s="36" t="s">
        <v>32</v>
      </c>
      <c r="B3067" s="37">
        <v>45047</v>
      </c>
      <c r="C3067" s="36" t="s">
        <v>1396</v>
      </c>
      <c r="D3067" s="36" t="s">
        <v>1418</v>
      </c>
      <c r="E3067" s="234" t="s">
        <v>78</v>
      </c>
      <c r="G3067" s="87">
        <v>7000000</v>
      </c>
      <c r="H3067" s="87">
        <v>700000</v>
      </c>
      <c r="I3067" s="87">
        <v>7700000</v>
      </c>
      <c r="K3067" s="85">
        <v>2023</v>
      </c>
      <c r="L3067" s="85">
        <v>5</v>
      </c>
      <c r="N3067" s="1" t="s">
        <v>44</v>
      </c>
    </row>
    <row r="3068" spans="1:14">
      <c r="A3068" s="36" t="s">
        <v>32</v>
      </c>
      <c r="B3068" s="37">
        <v>45047</v>
      </c>
      <c r="C3068" s="36" t="s">
        <v>1396</v>
      </c>
      <c r="D3068" s="36" t="s">
        <v>1419</v>
      </c>
      <c r="E3068" s="36" t="s">
        <v>1417</v>
      </c>
      <c r="G3068" s="87">
        <v>1600000</v>
      </c>
      <c r="H3068" s="87">
        <v>160000</v>
      </c>
      <c r="I3068" s="87">
        <v>1760000</v>
      </c>
      <c r="K3068" s="85">
        <v>2023</v>
      </c>
      <c r="L3068" s="85">
        <v>5</v>
      </c>
      <c r="N3068" s="1" t="s">
        <v>44</v>
      </c>
    </row>
    <row r="3069" spans="1:14">
      <c r="A3069" s="36" t="s">
        <v>32</v>
      </c>
      <c r="B3069" s="37">
        <v>45048</v>
      </c>
      <c r="C3069" s="36" t="s">
        <v>209</v>
      </c>
      <c r="D3069" s="36" t="s">
        <v>1699</v>
      </c>
      <c r="E3069" s="36" t="s">
        <v>148</v>
      </c>
      <c r="J3069" s="87">
        <v>3684560</v>
      </c>
      <c r="K3069" s="85">
        <v>2023</v>
      </c>
      <c r="L3069" s="85">
        <v>3</v>
      </c>
      <c r="M3069" s="157" t="s">
        <v>1312</v>
      </c>
      <c r="N3069" s="1" t="s">
        <v>44</v>
      </c>
    </row>
    <row r="3070" spans="1:14">
      <c r="A3070" s="36" t="s">
        <v>32</v>
      </c>
      <c r="B3070" s="37">
        <v>45048</v>
      </c>
      <c r="C3070" s="36" t="s">
        <v>209</v>
      </c>
      <c r="D3070" s="36" t="s">
        <v>928</v>
      </c>
      <c r="E3070" s="36" t="s">
        <v>148</v>
      </c>
      <c r="J3070" s="87">
        <v>14031600</v>
      </c>
      <c r="K3070" s="85">
        <v>2023</v>
      </c>
      <c r="L3070" s="85">
        <v>3</v>
      </c>
      <c r="M3070" s="157" t="s">
        <v>1312</v>
      </c>
      <c r="N3070" s="1" t="s">
        <v>44</v>
      </c>
    </row>
    <row r="3071" spans="1:14">
      <c r="A3071" s="36" t="s">
        <v>32</v>
      </c>
      <c r="B3071" s="37">
        <v>45048</v>
      </c>
      <c r="C3071" s="36" t="s">
        <v>204</v>
      </c>
      <c r="D3071" s="36" t="s">
        <v>1271</v>
      </c>
      <c r="E3071" s="36" t="s">
        <v>1310</v>
      </c>
      <c r="J3071" s="87">
        <v>13668600</v>
      </c>
      <c r="K3071" s="85">
        <v>2023</v>
      </c>
      <c r="L3071" s="85">
        <v>3</v>
      </c>
      <c r="M3071" s="36" t="s">
        <v>1313</v>
      </c>
      <c r="N3071" s="1" t="s">
        <v>44</v>
      </c>
    </row>
    <row r="3072" spans="1:14">
      <c r="A3072" s="36" t="s">
        <v>32</v>
      </c>
      <c r="B3072" s="37">
        <v>45048</v>
      </c>
      <c r="C3072" s="36" t="s">
        <v>204</v>
      </c>
      <c r="D3072" s="36" t="s">
        <v>1272</v>
      </c>
      <c r="E3072" s="36" t="s">
        <v>1310</v>
      </c>
      <c r="J3072" s="87">
        <v>1100000</v>
      </c>
      <c r="K3072" s="85">
        <v>2023</v>
      </c>
      <c r="L3072" s="85">
        <v>3</v>
      </c>
      <c r="M3072" s="36" t="s">
        <v>1313</v>
      </c>
      <c r="N3072" s="1" t="s">
        <v>44</v>
      </c>
    </row>
    <row r="3073" spans="1:14">
      <c r="A3073" s="36" t="s">
        <v>32</v>
      </c>
      <c r="B3073" s="37">
        <v>45048</v>
      </c>
      <c r="C3073" s="36" t="s">
        <v>204</v>
      </c>
      <c r="D3073" s="36" t="s">
        <v>1273</v>
      </c>
      <c r="E3073" s="36" t="s">
        <v>1310</v>
      </c>
      <c r="J3073" s="87">
        <v>7192680</v>
      </c>
      <c r="K3073" s="85">
        <v>2023</v>
      </c>
      <c r="L3073" s="85">
        <v>3</v>
      </c>
      <c r="N3073" s="1" t="s">
        <v>44</v>
      </c>
    </row>
    <row r="3074" spans="1:14">
      <c r="A3074" s="36" t="s">
        <v>32</v>
      </c>
      <c r="B3074" s="37">
        <v>45048</v>
      </c>
      <c r="C3074" s="36" t="s">
        <v>204</v>
      </c>
      <c r="D3074" s="36" t="s">
        <v>1229</v>
      </c>
      <c r="E3074" s="36" t="s">
        <v>1310</v>
      </c>
      <c r="J3074" s="87">
        <v>2750000</v>
      </c>
      <c r="K3074" s="85">
        <v>2023</v>
      </c>
      <c r="L3074" s="85">
        <v>3</v>
      </c>
      <c r="N3074" s="1" t="s">
        <v>44</v>
      </c>
    </row>
    <row r="3075" spans="1:14">
      <c r="A3075" s="36" t="s">
        <v>32</v>
      </c>
      <c r="B3075" s="37">
        <v>45048</v>
      </c>
      <c r="C3075" s="36" t="s">
        <v>334</v>
      </c>
      <c r="D3075" s="36" t="s">
        <v>1274</v>
      </c>
      <c r="E3075" s="36" t="s">
        <v>1314</v>
      </c>
      <c r="J3075" s="87">
        <v>1188000</v>
      </c>
      <c r="K3075" s="85">
        <v>2023</v>
      </c>
      <c r="L3075" s="85">
        <v>3</v>
      </c>
      <c r="N3075" s="1" t="s">
        <v>44</v>
      </c>
    </row>
    <row r="3076" spans="1:14">
      <c r="A3076" s="36" t="s">
        <v>32</v>
      </c>
      <c r="B3076" s="37">
        <v>45048</v>
      </c>
      <c r="C3076" s="36" t="s">
        <v>264</v>
      </c>
      <c r="D3076" s="36" t="s">
        <v>1270</v>
      </c>
      <c r="E3076" s="36" t="s">
        <v>1310</v>
      </c>
      <c r="J3076" s="87">
        <v>11000000</v>
      </c>
      <c r="K3076" s="85">
        <v>2023</v>
      </c>
      <c r="L3076" s="85">
        <v>3</v>
      </c>
      <c r="N3076" s="1" t="s">
        <v>44</v>
      </c>
    </row>
    <row r="3077" spans="1:14">
      <c r="A3077" s="36" t="s">
        <v>32</v>
      </c>
      <c r="B3077" s="37">
        <v>45049</v>
      </c>
      <c r="C3077" s="36" t="s">
        <v>206</v>
      </c>
      <c r="D3077" s="36" t="s">
        <v>1157</v>
      </c>
      <c r="E3077" s="36" t="s">
        <v>1317</v>
      </c>
      <c r="J3077" s="87">
        <v>5619240</v>
      </c>
      <c r="K3077" s="85">
        <v>2023</v>
      </c>
      <c r="L3077" s="85">
        <v>3</v>
      </c>
      <c r="N3077" s="1" t="s">
        <v>44</v>
      </c>
    </row>
    <row r="3078" spans="1:14">
      <c r="A3078" s="36" t="s">
        <v>32</v>
      </c>
      <c r="B3078" s="37">
        <v>45049</v>
      </c>
      <c r="C3078" s="36" t="s">
        <v>654</v>
      </c>
      <c r="D3078" s="36" t="s">
        <v>1215</v>
      </c>
      <c r="E3078" s="36" t="s">
        <v>1317</v>
      </c>
      <c r="J3078" s="87">
        <v>42508477</v>
      </c>
      <c r="K3078" s="85">
        <v>2023</v>
      </c>
      <c r="L3078" s="85">
        <v>3</v>
      </c>
      <c r="N3078" s="1" t="s">
        <v>44</v>
      </c>
    </row>
    <row r="3079" spans="1:14">
      <c r="A3079" s="36" t="s">
        <v>33</v>
      </c>
      <c r="B3079" s="37">
        <v>45050</v>
      </c>
      <c r="C3079" s="36" t="s">
        <v>96</v>
      </c>
      <c r="D3079" s="36" t="s">
        <v>1363</v>
      </c>
      <c r="E3079" s="36" t="s">
        <v>97</v>
      </c>
      <c r="G3079" s="87">
        <v>680000</v>
      </c>
      <c r="H3079" s="87">
        <v>68000</v>
      </c>
      <c r="I3079" s="87">
        <v>748000</v>
      </c>
      <c r="K3079" s="85">
        <v>2023</v>
      </c>
      <c r="L3079" s="85">
        <v>5</v>
      </c>
      <c r="N3079" s="1" t="s">
        <v>44</v>
      </c>
    </row>
    <row r="3080" spans="1:14">
      <c r="A3080" s="36" t="s">
        <v>33</v>
      </c>
      <c r="B3080" s="37">
        <v>45050</v>
      </c>
      <c r="C3080" s="36" t="s">
        <v>1218</v>
      </c>
      <c r="D3080" s="36" t="s">
        <v>1219</v>
      </c>
      <c r="E3080" s="36" t="s">
        <v>1318</v>
      </c>
      <c r="J3080" s="87">
        <v>30546450</v>
      </c>
      <c r="K3080" s="85">
        <v>2023</v>
      </c>
      <c r="L3080" s="85">
        <v>3</v>
      </c>
      <c r="N3080" s="1" t="s">
        <v>44</v>
      </c>
    </row>
    <row r="3081" spans="1:14">
      <c r="A3081" s="36" t="s">
        <v>32</v>
      </c>
      <c r="B3081" s="37">
        <v>45050</v>
      </c>
      <c r="C3081" s="36" t="s">
        <v>1198</v>
      </c>
      <c r="D3081" s="36" t="s">
        <v>1275</v>
      </c>
      <c r="E3081" s="36" t="s">
        <v>77</v>
      </c>
      <c r="J3081" s="87">
        <v>5771700</v>
      </c>
      <c r="K3081" s="85">
        <v>2023</v>
      </c>
      <c r="L3081" s="85">
        <v>3</v>
      </c>
      <c r="N3081" s="1" t="s">
        <v>44</v>
      </c>
    </row>
    <row r="3082" spans="1:14">
      <c r="A3082" s="36" t="s">
        <v>32</v>
      </c>
      <c r="B3082" s="37">
        <v>45050</v>
      </c>
      <c r="C3082" s="36" t="s">
        <v>188</v>
      </c>
      <c r="D3082" s="36" t="s">
        <v>1352</v>
      </c>
      <c r="E3082" s="36" t="s">
        <v>1318</v>
      </c>
      <c r="J3082" s="87">
        <v>36100350</v>
      </c>
      <c r="K3082" s="85">
        <v>2023</v>
      </c>
      <c r="L3082" s="85">
        <v>4</v>
      </c>
      <c r="M3082" s="36" t="s">
        <v>1319</v>
      </c>
      <c r="N3082" s="1" t="s">
        <v>44</v>
      </c>
    </row>
    <row r="3083" spans="1:14">
      <c r="A3083" s="36" t="s">
        <v>32</v>
      </c>
      <c r="B3083" s="37">
        <v>45050</v>
      </c>
      <c r="C3083" s="36" t="s">
        <v>188</v>
      </c>
      <c r="D3083" s="36" t="s">
        <v>1321</v>
      </c>
      <c r="E3083" s="36" t="s">
        <v>1320</v>
      </c>
      <c r="J3083" s="87">
        <v>3877500</v>
      </c>
      <c r="K3083" s="85">
        <v>2022</v>
      </c>
      <c r="L3083" s="85">
        <v>9</v>
      </c>
      <c r="N3083" s="1" t="s">
        <v>44</v>
      </c>
    </row>
    <row r="3084" spans="1:14">
      <c r="A3084" s="36" t="s">
        <v>32</v>
      </c>
      <c r="B3084" s="37">
        <v>45051</v>
      </c>
      <c r="C3084" s="36" t="s">
        <v>987</v>
      </c>
      <c r="D3084" s="36" t="s">
        <v>1269</v>
      </c>
      <c r="E3084" s="36" t="s">
        <v>1320</v>
      </c>
      <c r="J3084" s="87">
        <v>4621078</v>
      </c>
      <c r="K3084" s="85">
        <v>2023</v>
      </c>
      <c r="L3084" s="85">
        <v>3</v>
      </c>
      <c r="N3084" s="1" t="s">
        <v>44</v>
      </c>
    </row>
    <row r="3085" spans="1:14">
      <c r="A3085" s="36" t="s">
        <v>32</v>
      </c>
      <c r="B3085" s="37">
        <v>45054</v>
      </c>
      <c r="C3085" s="36" t="s">
        <v>1395</v>
      </c>
      <c r="D3085" s="36" t="s">
        <v>1401</v>
      </c>
      <c r="E3085" s="36" t="s">
        <v>1425</v>
      </c>
      <c r="J3085" s="87">
        <v>9700000.1999999993</v>
      </c>
      <c r="K3085" s="85">
        <v>2023</v>
      </c>
      <c r="L3085" s="85">
        <v>5</v>
      </c>
      <c r="N3085" s="1" t="s">
        <v>44</v>
      </c>
    </row>
    <row r="3086" spans="1:14">
      <c r="A3086" s="36" t="s">
        <v>32</v>
      </c>
      <c r="B3086" s="37">
        <v>45054</v>
      </c>
      <c r="C3086" s="36" t="s">
        <v>1395</v>
      </c>
      <c r="D3086" s="36" t="s">
        <v>1401</v>
      </c>
      <c r="E3086" s="36" t="s">
        <v>1496</v>
      </c>
      <c r="G3086" s="87">
        <v>8818182</v>
      </c>
      <c r="H3086" s="87">
        <v>881818.20000000007</v>
      </c>
      <c r="I3086" s="87">
        <v>9700000.1999999993</v>
      </c>
      <c r="K3086" s="85">
        <v>2023</v>
      </c>
      <c r="L3086" s="85">
        <v>5</v>
      </c>
      <c r="N3086" s="1" t="s">
        <v>44</v>
      </c>
    </row>
    <row r="3087" spans="1:14">
      <c r="A3087" s="36" t="s">
        <v>33</v>
      </c>
      <c r="B3087" s="37">
        <v>45054</v>
      </c>
      <c r="C3087" s="36" t="s">
        <v>971</v>
      </c>
      <c r="D3087" s="36" t="s">
        <v>1254</v>
      </c>
      <c r="E3087" s="36" t="s">
        <v>1322</v>
      </c>
      <c r="J3087" s="87">
        <v>2904616</v>
      </c>
      <c r="K3087" s="85">
        <v>2023</v>
      </c>
      <c r="L3087" s="85">
        <v>3</v>
      </c>
      <c r="N3087" s="1" t="s">
        <v>44</v>
      </c>
    </row>
    <row r="3088" spans="1:14">
      <c r="A3088" s="36" t="s">
        <v>32</v>
      </c>
      <c r="B3088" s="37">
        <v>45055</v>
      </c>
      <c r="C3088" s="36" t="s">
        <v>1336</v>
      </c>
      <c r="D3088" s="36" t="s">
        <v>1347</v>
      </c>
      <c r="E3088" s="36" t="s">
        <v>77</v>
      </c>
      <c r="J3088" s="38">
        <v>10010000</v>
      </c>
      <c r="K3088" s="85">
        <v>2023</v>
      </c>
      <c r="L3088" s="85">
        <v>4</v>
      </c>
      <c r="N3088" s="1" t="s">
        <v>44</v>
      </c>
    </row>
    <row r="3089" spans="1:14">
      <c r="A3089" s="36" t="s">
        <v>33</v>
      </c>
      <c r="B3089" s="37">
        <v>45055</v>
      </c>
      <c r="C3089" s="36" t="s">
        <v>1328</v>
      </c>
      <c r="D3089" s="36" t="s">
        <v>1330</v>
      </c>
      <c r="E3089" s="36" t="s">
        <v>1329</v>
      </c>
      <c r="G3089" s="87">
        <v>2593800</v>
      </c>
      <c r="H3089" s="87">
        <v>259380</v>
      </c>
      <c r="I3089" s="87">
        <v>2853180</v>
      </c>
      <c r="K3089" s="85">
        <v>2023</v>
      </c>
      <c r="L3089" s="85">
        <v>5</v>
      </c>
      <c r="N3089" s="1" t="s">
        <v>44</v>
      </c>
    </row>
    <row r="3090" spans="1:14">
      <c r="A3090" s="36" t="s">
        <v>32</v>
      </c>
      <c r="B3090" s="37">
        <v>45057</v>
      </c>
      <c r="C3090" s="36" t="s">
        <v>209</v>
      </c>
      <c r="D3090" s="36" t="s">
        <v>1048</v>
      </c>
      <c r="E3090" s="36" t="s">
        <v>1358</v>
      </c>
      <c r="J3090" s="87">
        <v>12482360</v>
      </c>
      <c r="K3090" s="85">
        <v>2023</v>
      </c>
      <c r="L3090" s="85">
        <v>4</v>
      </c>
      <c r="N3090" s="1" t="s">
        <v>44</v>
      </c>
    </row>
    <row r="3091" spans="1:14">
      <c r="A3091" s="36" t="s">
        <v>32</v>
      </c>
      <c r="B3091" s="37">
        <v>45058</v>
      </c>
      <c r="C3091" s="36" t="s">
        <v>1334</v>
      </c>
      <c r="D3091" s="36" t="s">
        <v>1353</v>
      </c>
      <c r="E3091" s="36" t="s">
        <v>1359</v>
      </c>
      <c r="J3091" s="87">
        <v>4048000</v>
      </c>
      <c r="K3091" s="85">
        <v>2023</v>
      </c>
      <c r="L3091" s="85">
        <v>4</v>
      </c>
      <c r="N3091" s="1" t="s">
        <v>44</v>
      </c>
    </row>
    <row r="3092" spans="1:14">
      <c r="A3092" s="36" t="s">
        <v>32</v>
      </c>
      <c r="B3092" s="37">
        <v>45058</v>
      </c>
      <c r="C3092" s="36" t="s">
        <v>654</v>
      </c>
      <c r="D3092" s="36" t="s">
        <v>1219</v>
      </c>
      <c r="E3092" s="36" t="s">
        <v>1358</v>
      </c>
      <c r="J3092" s="38">
        <v>30000000</v>
      </c>
      <c r="K3092" s="85">
        <v>2023</v>
      </c>
      <c r="L3092" s="85">
        <v>3</v>
      </c>
      <c r="N3092" s="1" t="s">
        <v>44</v>
      </c>
    </row>
    <row r="3093" spans="1:14">
      <c r="A3093" s="36" t="s">
        <v>32</v>
      </c>
      <c r="B3093" s="37">
        <v>45061</v>
      </c>
      <c r="C3093" s="36" t="s">
        <v>677</v>
      </c>
      <c r="D3093" s="36" t="s">
        <v>825</v>
      </c>
      <c r="E3093" s="36" t="s">
        <v>1360</v>
      </c>
      <c r="J3093" s="87">
        <v>54557250</v>
      </c>
      <c r="K3093" s="85">
        <v>2023</v>
      </c>
      <c r="L3093" s="85">
        <v>4</v>
      </c>
      <c r="N3093" s="1" t="s">
        <v>44</v>
      </c>
    </row>
    <row r="3094" spans="1:14">
      <c r="A3094" s="36" t="s">
        <v>32</v>
      </c>
      <c r="B3094" s="37">
        <v>45061</v>
      </c>
      <c r="C3094" s="36" t="s">
        <v>185</v>
      </c>
      <c r="D3094" s="36" t="s">
        <v>932</v>
      </c>
      <c r="E3094" s="36" t="s">
        <v>1360</v>
      </c>
      <c r="J3094" s="87">
        <v>16814679.199999999</v>
      </c>
      <c r="K3094" s="85">
        <v>2023</v>
      </c>
      <c r="L3094" s="85">
        <v>3</v>
      </c>
      <c r="N3094" s="1" t="s">
        <v>44</v>
      </c>
    </row>
    <row r="3095" spans="1:14">
      <c r="A3095" s="36" t="s">
        <v>32</v>
      </c>
      <c r="B3095" s="37">
        <v>45061</v>
      </c>
      <c r="C3095" s="36" t="s">
        <v>268</v>
      </c>
      <c r="D3095" s="36" t="s">
        <v>1361</v>
      </c>
      <c r="E3095" s="36" t="s">
        <v>1360</v>
      </c>
      <c r="J3095" s="87">
        <v>135797640</v>
      </c>
      <c r="K3095" s="85">
        <v>2023</v>
      </c>
      <c r="L3095" s="85">
        <v>4</v>
      </c>
      <c r="N3095" s="1" t="s">
        <v>44</v>
      </c>
    </row>
    <row r="3096" spans="1:14">
      <c r="A3096" s="36" t="s">
        <v>32</v>
      </c>
      <c r="B3096" s="37">
        <v>45061</v>
      </c>
      <c r="C3096" s="36" t="s">
        <v>667</v>
      </c>
      <c r="D3096" s="36" t="s">
        <v>1339</v>
      </c>
      <c r="E3096" s="36" t="s">
        <v>1360</v>
      </c>
      <c r="J3096" s="87">
        <v>8976000</v>
      </c>
      <c r="K3096" s="85">
        <v>2023</v>
      </c>
      <c r="L3096" s="85">
        <v>4</v>
      </c>
      <c r="N3096" s="1" t="s">
        <v>44</v>
      </c>
    </row>
    <row r="3097" spans="1:14">
      <c r="A3097" s="36" t="s">
        <v>32</v>
      </c>
      <c r="B3097" s="37">
        <v>45061</v>
      </c>
      <c r="C3097" s="36" t="s">
        <v>1115</v>
      </c>
      <c r="D3097" s="36" t="s">
        <v>1416</v>
      </c>
      <c r="E3097" s="36" t="s">
        <v>1425</v>
      </c>
      <c r="J3097" s="87">
        <v>7370000</v>
      </c>
      <c r="K3097" s="85">
        <v>2023</v>
      </c>
      <c r="L3097" s="85">
        <v>5</v>
      </c>
      <c r="N3097" s="1" t="s">
        <v>44</v>
      </c>
    </row>
    <row r="3098" spans="1:14">
      <c r="A3098" s="36" t="s">
        <v>32</v>
      </c>
      <c r="B3098" s="37">
        <v>45061</v>
      </c>
      <c r="C3098" s="36" t="s">
        <v>1331</v>
      </c>
      <c r="D3098" s="36" t="s">
        <v>1338</v>
      </c>
      <c r="E3098" s="36" t="s">
        <v>1360</v>
      </c>
      <c r="J3098" s="87">
        <v>13200000</v>
      </c>
      <c r="K3098" s="85">
        <v>2023</v>
      </c>
      <c r="L3098" s="85">
        <v>4</v>
      </c>
      <c r="N3098" s="1" t="s">
        <v>44</v>
      </c>
    </row>
    <row r="3099" spans="1:14">
      <c r="A3099" s="36" t="s">
        <v>32</v>
      </c>
      <c r="B3099" s="37">
        <v>45061</v>
      </c>
      <c r="C3099" s="36" t="s">
        <v>1336</v>
      </c>
      <c r="D3099" s="36" t="s">
        <v>1402</v>
      </c>
      <c r="E3099" s="36" t="s">
        <v>78</v>
      </c>
      <c r="G3099" s="87">
        <v>7930000</v>
      </c>
      <c r="H3099" s="87">
        <v>793000</v>
      </c>
      <c r="I3099" s="87">
        <v>8723000</v>
      </c>
      <c r="K3099" s="85">
        <v>2023</v>
      </c>
      <c r="L3099" s="85">
        <v>5</v>
      </c>
      <c r="N3099" s="1" t="s">
        <v>44</v>
      </c>
    </row>
    <row r="3100" spans="1:14">
      <c r="A3100" s="36" t="s">
        <v>32</v>
      </c>
      <c r="B3100" s="37">
        <v>45062</v>
      </c>
      <c r="C3100" s="36" t="s">
        <v>552</v>
      </c>
      <c r="D3100" s="36" t="s">
        <v>1345</v>
      </c>
      <c r="E3100" s="36" t="s">
        <v>1362</v>
      </c>
      <c r="J3100" s="38">
        <v>57273040</v>
      </c>
      <c r="K3100" s="85">
        <v>2023</v>
      </c>
      <c r="L3100" s="85">
        <v>4</v>
      </c>
      <c r="N3100" s="1" t="s">
        <v>44</v>
      </c>
    </row>
    <row r="3101" spans="1:14">
      <c r="A3101" s="36" t="s">
        <v>1368</v>
      </c>
      <c r="B3101" s="37">
        <v>45063</v>
      </c>
      <c r="C3101" s="36" t="s">
        <v>677</v>
      </c>
      <c r="D3101" s="36" t="s">
        <v>678</v>
      </c>
      <c r="E3101" s="36" t="s">
        <v>148</v>
      </c>
      <c r="J3101" s="87">
        <v>20487500</v>
      </c>
      <c r="K3101" s="85">
        <v>2023</v>
      </c>
      <c r="L3101" s="85">
        <v>4</v>
      </c>
      <c r="N3101" s="1" t="s">
        <v>44</v>
      </c>
    </row>
    <row r="3102" spans="1:14">
      <c r="A3102" s="36" t="s">
        <v>19</v>
      </c>
      <c r="B3102" s="37">
        <v>45063</v>
      </c>
      <c r="C3102" s="36" t="s">
        <v>397</v>
      </c>
      <c r="D3102" s="36" t="s">
        <v>1325</v>
      </c>
      <c r="E3102" s="36" t="s">
        <v>1362</v>
      </c>
      <c r="J3102" s="87">
        <v>10871357.199999999</v>
      </c>
      <c r="K3102" s="85">
        <v>2023</v>
      </c>
      <c r="L3102" s="85">
        <v>4</v>
      </c>
      <c r="N3102" s="1" t="s">
        <v>84</v>
      </c>
    </row>
    <row r="3103" spans="1:14">
      <c r="A3103" s="36" t="s">
        <v>19</v>
      </c>
      <c r="B3103" s="37">
        <v>45063</v>
      </c>
      <c r="C3103" s="36" t="s">
        <v>590</v>
      </c>
      <c r="D3103" s="36" t="s">
        <v>1011</v>
      </c>
      <c r="E3103" s="36" t="s">
        <v>1362</v>
      </c>
      <c r="J3103" s="38">
        <v>16435233</v>
      </c>
      <c r="K3103" s="85">
        <v>2023</v>
      </c>
      <c r="L3103" s="85">
        <v>4</v>
      </c>
      <c r="N3103" s="1" t="s">
        <v>44</v>
      </c>
    </row>
    <row r="3104" spans="1:14">
      <c r="A3104" s="36" t="s">
        <v>1368</v>
      </c>
      <c r="B3104" s="37">
        <v>45063</v>
      </c>
      <c r="C3104" s="36" t="s">
        <v>654</v>
      </c>
      <c r="D3104" s="36" t="s">
        <v>1219</v>
      </c>
      <c r="E3104" s="36" t="s">
        <v>148</v>
      </c>
      <c r="J3104" s="38">
        <v>88152694</v>
      </c>
      <c r="K3104" s="85">
        <v>2023</v>
      </c>
      <c r="L3104" s="85">
        <v>3</v>
      </c>
      <c r="N3104" s="1" t="s">
        <v>44</v>
      </c>
    </row>
    <row r="3105" spans="1:14">
      <c r="A3105" s="36" t="s">
        <v>19</v>
      </c>
      <c r="B3105" s="37">
        <v>45063</v>
      </c>
      <c r="C3105" s="36" t="s">
        <v>912</v>
      </c>
      <c r="D3105" s="36" t="s">
        <v>663</v>
      </c>
      <c r="E3105" s="36" t="s">
        <v>1362</v>
      </c>
      <c r="J3105" s="87">
        <v>19094740</v>
      </c>
      <c r="K3105" s="85">
        <v>2023</v>
      </c>
      <c r="L3105" s="85">
        <v>4</v>
      </c>
      <c r="N3105" s="1" t="s">
        <v>44</v>
      </c>
    </row>
    <row r="3106" spans="1:14">
      <c r="A3106" s="36" t="s">
        <v>33</v>
      </c>
      <c r="B3106" s="37">
        <v>45065</v>
      </c>
      <c r="C3106" s="36" t="s">
        <v>96</v>
      </c>
      <c r="D3106" s="36" t="s">
        <v>1363</v>
      </c>
      <c r="E3106" s="36" t="s">
        <v>77</v>
      </c>
      <c r="J3106" s="38">
        <v>748000</v>
      </c>
      <c r="K3106" s="85">
        <v>2023</v>
      </c>
      <c r="L3106" s="85">
        <v>5</v>
      </c>
      <c r="N3106" s="1" t="s">
        <v>44</v>
      </c>
    </row>
    <row r="3107" spans="1:14">
      <c r="A3107" s="36" t="s">
        <v>32</v>
      </c>
      <c r="B3107" s="37">
        <v>45065</v>
      </c>
      <c r="C3107" s="36" t="s">
        <v>1336</v>
      </c>
      <c r="D3107" s="36" t="s">
        <v>1402</v>
      </c>
      <c r="E3107" s="36" t="s">
        <v>1425</v>
      </c>
      <c r="J3107" s="87">
        <v>8723000</v>
      </c>
      <c r="K3107" s="85">
        <v>2023</v>
      </c>
      <c r="L3107" s="85">
        <v>5</v>
      </c>
      <c r="N3107" s="1" t="s">
        <v>44</v>
      </c>
    </row>
    <row r="3108" spans="1:14">
      <c r="A3108" s="36" t="s">
        <v>32</v>
      </c>
      <c r="B3108" s="37">
        <v>45068</v>
      </c>
      <c r="C3108" s="36" t="s">
        <v>1397</v>
      </c>
      <c r="D3108" s="36" t="s">
        <v>1404</v>
      </c>
      <c r="E3108" s="36" t="s">
        <v>76</v>
      </c>
      <c r="G3108" s="87">
        <v>13110000</v>
      </c>
      <c r="H3108" s="87">
        <v>1311000</v>
      </c>
      <c r="I3108" s="87">
        <v>14421000</v>
      </c>
      <c r="K3108" s="85">
        <v>2023</v>
      </c>
      <c r="L3108" s="85">
        <v>5</v>
      </c>
      <c r="N3108" s="1" t="s">
        <v>44</v>
      </c>
    </row>
    <row r="3109" spans="1:14">
      <c r="A3109" s="36" t="s">
        <v>32</v>
      </c>
      <c r="B3109" s="37">
        <v>45069</v>
      </c>
      <c r="C3109" s="36" t="s">
        <v>1397</v>
      </c>
      <c r="D3109" s="36" t="s">
        <v>1404</v>
      </c>
      <c r="E3109" s="36" t="s">
        <v>1425</v>
      </c>
      <c r="J3109" s="87">
        <v>14421000</v>
      </c>
      <c r="K3109" s="85">
        <v>2023</v>
      </c>
      <c r="L3109" s="85">
        <v>5</v>
      </c>
      <c r="N3109" s="1" t="s">
        <v>44</v>
      </c>
    </row>
    <row r="3110" spans="1:14">
      <c r="A3110" s="36" t="s">
        <v>32</v>
      </c>
      <c r="B3110" s="37">
        <v>45071</v>
      </c>
      <c r="C3110" s="36" t="s">
        <v>1332</v>
      </c>
      <c r="D3110" s="36" t="s">
        <v>1341</v>
      </c>
      <c r="E3110" s="36" t="s">
        <v>1367</v>
      </c>
      <c r="J3110" s="87">
        <v>1782000</v>
      </c>
      <c r="K3110" s="85">
        <v>2023</v>
      </c>
      <c r="L3110" s="85">
        <v>4</v>
      </c>
      <c r="N3110" s="1" t="s">
        <v>44</v>
      </c>
    </row>
    <row r="3111" spans="1:14">
      <c r="A3111" s="36" t="s">
        <v>32</v>
      </c>
      <c r="B3111" s="37">
        <v>45071</v>
      </c>
      <c r="C3111" s="36" t="s">
        <v>204</v>
      </c>
      <c r="D3111" s="36" t="s">
        <v>1343</v>
      </c>
      <c r="E3111" s="36" t="s">
        <v>1365</v>
      </c>
      <c r="J3111" s="87">
        <v>20762060</v>
      </c>
      <c r="K3111" s="85">
        <v>2023</v>
      </c>
      <c r="L3111" s="85">
        <v>4</v>
      </c>
      <c r="N3111" s="1" t="s">
        <v>44</v>
      </c>
    </row>
    <row r="3112" spans="1:14">
      <c r="A3112" s="36" t="s">
        <v>32</v>
      </c>
      <c r="B3112" s="37">
        <v>45071</v>
      </c>
      <c r="C3112" s="36" t="s">
        <v>204</v>
      </c>
      <c r="D3112" s="36" t="s">
        <v>1343</v>
      </c>
      <c r="E3112" s="36" t="s">
        <v>1366</v>
      </c>
      <c r="J3112" s="87">
        <v>3300000</v>
      </c>
      <c r="K3112" s="85">
        <v>2023</v>
      </c>
      <c r="L3112" s="85">
        <v>4</v>
      </c>
      <c r="N3112" s="1" t="s">
        <v>44</v>
      </c>
    </row>
    <row r="3113" spans="1:14">
      <c r="A3113" s="36" t="s">
        <v>32</v>
      </c>
      <c r="B3113" s="37">
        <v>45071</v>
      </c>
      <c r="C3113" s="36" t="s">
        <v>987</v>
      </c>
      <c r="D3113" s="36" t="s">
        <v>1420</v>
      </c>
      <c r="E3113" s="36" t="s">
        <v>973</v>
      </c>
      <c r="G3113" s="87">
        <v>8425270</v>
      </c>
      <c r="H3113" s="87">
        <v>842527</v>
      </c>
      <c r="I3113" s="87">
        <v>9267797</v>
      </c>
      <c r="K3113" s="85">
        <v>2023</v>
      </c>
      <c r="L3113" s="85">
        <v>5</v>
      </c>
      <c r="N3113" s="1" t="s">
        <v>44</v>
      </c>
    </row>
    <row r="3114" spans="1:14">
      <c r="A3114" s="36" t="s">
        <v>32</v>
      </c>
      <c r="B3114" s="37">
        <v>45072</v>
      </c>
      <c r="C3114" s="36" t="s">
        <v>1068</v>
      </c>
      <c r="D3114" s="36" t="s">
        <v>1077</v>
      </c>
      <c r="E3114" s="36" t="s">
        <v>1370</v>
      </c>
      <c r="J3114" s="87">
        <v>3467310</v>
      </c>
      <c r="K3114" s="85">
        <v>2023</v>
      </c>
      <c r="L3114" s="85">
        <v>1</v>
      </c>
      <c r="N3114" s="1" t="s">
        <v>44</v>
      </c>
    </row>
    <row r="3115" spans="1:14">
      <c r="A3115" s="36" t="s">
        <v>32</v>
      </c>
      <c r="B3115" s="37">
        <v>45072</v>
      </c>
      <c r="C3115" s="36" t="s">
        <v>1068</v>
      </c>
      <c r="D3115" s="36" t="s">
        <v>1077</v>
      </c>
      <c r="E3115" s="36" t="s">
        <v>1370</v>
      </c>
      <c r="J3115" s="87">
        <v>6701970</v>
      </c>
      <c r="K3115" s="85">
        <v>2023</v>
      </c>
      <c r="L3115" s="85">
        <v>2</v>
      </c>
      <c r="N3115" s="1" t="s">
        <v>44</v>
      </c>
    </row>
    <row r="3116" spans="1:14">
      <c r="A3116" s="36" t="s">
        <v>32</v>
      </c>
      <c r="B3116" s="37">
        <v>45072</v>
      </c>
      <c r="C3116" s="36" t="s">
        <v>1068</v>
      </c>
      <c r="D3116" s="36" t="s">
        <v>1077</v>
      </c>
      <c r="E3116" s="36" t="s">
        <v>1370</v>
      </c>
      <c r="J3116" s="87">
        <v>4639140</v>
      </c>
      <c r="K3116" s="85">
        <v>2023</v>
      </c>
      <c r="L3116" s="85">
        <v>3</v>
      </c>
      <c r="N3116" s="1" t="s">
        <v>44</v>
      </c>
    </row>
    <row r="3117" spans="1:14">
      <c r="A3117" s="36" t="s">
        <v>32</v>
      </c>
      <c r="B3117" s="37">
        <v>45072</v>
      </c>
      <c r="C3117" s="36" t="s">
        <v>1068</v>
      </c>
      <c r="D3117" s="36" t="s">
        <v>1077</v>
      </c>
      <c r="E3117" s="36" t="s">
        <v>1370</v>
      </c>
      <c r="J3117" s="87">
        <v>12157530</v>
      </c>
      <c r="K3117" s="85">
        <v>2022</v>
      </c>
      <c r="L3117" s="85">
        <v>10</v>
      </c>
      <c r="N3117" s="1" t="s">
        <v>44</v>
      </c>
    </row>
    <row r="3118" spans="1:14">
      <c r="A3118" s="36" t="s">
        <v>32</v>
      </c>
      <c r="B3118" s="37">
        <v>45072</v>
      </c>
      <c r="C3118" s="36" t="s">
        <v>1068</v>
      </c>
      <c r="D3118" s="36" t="s">
        <v>1077</v>
      </c>
      <c r="E3118" s="36" t="s">
        <v>1370</v>
      </c>
      <c r="J3118" s="87">
        <v>3467310</v>
      </c>
      <c r="K3118" s="85">
        <v>2022</v>
      </c>
      <c r="L3118" s="85">
        <v>11</v>
      </c>
      <c r="N3118" s="1" t="s">
        <v>44</v>
      </c>
    </row>
    <row r="3119" spans="1:14">
      <c r="A3119" s="36" t="s">
        <v>32</v>
      </c>
      <c r="B3119" s="37">
        <v>45072</v>
      </c>
      <c r="C3119" s="36" t="s">
        <v>552</v>
      </c>
      <c r="D3119" s="36" t="s">
        <v>1011</v>
      </c>
      <c r="E3119" s="36" t="s">
        <v>1369</v>
      </c>
      <c r="J3119" s="87">
        <v>41435233.399999999</v>
      </c>
      <c r="K3119" s="85">
        <v>2023</v>
      </c>
      <c r="L3119" s="85">
        <v>4</v>
      </c>
      <c r="M3119" s="228" t="s">
        <v>1433</v>
      </c>
      <c r="N3119" s="1" t="s">
        <v>44</v>
      </c>
    </row>
    <row r="3120" spans="1:14">
      <c r="A3120" s="36" t="s">
        <v>32</v>
      </c>
      <c r="B3120" s="37">
        <v>45072</v>
      </c>
      <c r="C3120" s="36" t="s">
        <v>552</v>
      </c>
      <c r="D3120" s="36" t="s">
        <v>1011</v>
      </c>
      <c r="E3120" s="36" t="s">
        <v>148</v>
      </c>
      <c r="J3120" s="38">
        <v>304700</v>
      </c>
      <c r="K3120" s="85">
        <v>2023</v>
      </c>
      <c r="L3120" s="85">
        <v>5</v>
      </c>
      <c r="M3120" s="36" t="s">
        <v>1434</v>
      </c>
      <c r="N3120" s="1" t="s">
        <v>44</v>
      </c>
    </row>
    <row r="3121" spans="1:14">
      <c r="A3121" s="36" t="s">
        <v>32</v>
      </c>
      <c r="B3121" s="37">
        <v>45072</v>
      </c>
      <c r="C3121" s="36" t="s">
        <v>552</v>
      </c>
      <c r="D3121" s="36" t="s">
        <v>1345</v>
      </c>
      <c r="E3121" s="36" t="s">
        <v>148</v>
      </c>
      <c r="J3121" s="38">
        <v>1219350</v>
      </c>
      <c r="K3121" s="85">
        <v>2023</v>
      </c>
      <c r="L3121" s="85">
        <v>5</v>
      </c>
      <c r="M3121" s="36" t="s">
        <v>1434</v>
      </c>
      <c r="N3121" s="1" t="s">
        <v>44</v>
      </c>
    </row>
    <row r="3122" spans="1:14">
      <c r="A3122" s="36" t="s">
        <v>32</v>
      </c>
      <c r="B3122" s="37">
        <v>45072</v>
      </c>
      <c r="C3122" s="36" t="s">
        <v>1398</v>
      </c>
      <c r="D3122" s="36" t="s">
        <v>1422</v>
      </c>
      <c r="E3122" s="36" t="s">
        <v>76</v>
      </c>
      <c r="G3122" s="87">
        <v>12060000</v>
      </c>
      <c r="H3122" s="87">
        <v>1206000</v>
      </c>
      <c r="I3122" s="87">
        <v>13266000</v>
      </c>
      <c r="K3122" s="85">
        <v>2023</v>
      </c>
      <c r="L3122" s="85">
        <v>5</v>
      </c>
      <c r="M3122" s="36" t="s">
        <v>1373</v>
      </c>
      <c r="N3122" s="1" t="s">
        <v>44</v>
      </c>
    </row>
    <row r="3123" spans="1:14">
      <c r="A3123" s="36" t="s">
        <v>32</v>
      </c>
      <c r="B3123" s="37">
        <v>45072</v>
      </c>
      <c r="C3123" s="36" t="s">
        <v>1398</v>
      </c>
      <c r="D3123" s="36" t="s">
        <v>1422</v>
      </c>
      <c r="E3123" s="36" t="s">
        <v>1425</v>
      </c>
      <c r="J3123" s="87">
        <v>13266000</v>
      </c>
      <c r="K3123" s="85">
        <v>2023</v>
      </c>
      <c r="L3123" s="85">
        <v>5</v>
      </c>
      <c r="M3123" s="36" t="s">
        <v>1373</v>
      </c>
      <c r="N3123" s="1" t="s">
        <v>44</v>
      </c>
    </row>
    <row r="3124" spans="1:14">
      <c r="A3124" s="36" t="s">
        <v>32</v>
      </c>
      <c r="B3124" s="37">
        <v>45076</v>
      </c>
      <c r="C3124" s="36" t="s">
        <v>466</v>
      </c>
      <c r="D3124" s="36" t="s">
        <v>467</v>
      </c>
      <c r="E3124" s="36" t="s">
        <v>1425</v>
      </c>
      <c r="J3124" s="87">
        <v>12166000</v>
      </c>
      <c r="K3124" s="85">
        <v>2023</v>
      </c>
      <c r="L3124" s="85">
        <v>5</v>
      </c>
      <c r="N3124" s="1" t="s">
        <v>44</v>
      </c>
    </row>
    <row r="3125" spans="1:14">
      <c r="A3125" s="36" t="s">
        <v>32</v>
      </c>
      <c r="B3125" s="37">
        <v>45076</v>
      </c>
      <c r="C3125" s="36" t="s">
        <v>1336</v>
      </c>
      <c r="D3125" s="36" t="s">
        <v>1403</v>
      </c>
      <c r="E3125" s="36" t="s">
        <v>78</v>
      </c>
      <c r="G3125" s="87">
        <v>22820000</v>
      </c>
      <c r="H3125" s="87">
        <v>2282000</v>
      </c>
      <c r="I3125" s="87">
        <v>25102000</v>
      </c>
      <c r="K3125" s="85">
        <v>2023</v>
      </c>
      <c r="L3125" s="85">
        <v>5</v>
      </c>
      <c r="N3125" s="1" t="s">
        <v>44</v>
      </c>
    </row>
    <row r="3126" spans="1:14">
      <c r="A3126" s="36" t="s">
        <v>32</v>
      </c>
      <c r="B3126" s="37">
        <v>45076</v>
      </c>
      <c r="C3126" s="36" t="s">
        <v>1336</v>
      </c>
      <c r="D3126" s="36" t="s">
        <v>1403</v>
      </c>
      <c r="E3126" s="36" t="s">
        <v>1425</v>
      </c>
      <c r="J3126" s="87">
        <v>25102000</v>
      </c>
      <c r="K3126" s="85">
        <v>2023</v>
      </c>
      <c r="L3126" s="85">
        <v>5</v>
      </c>
      <c r="N3126" s="1" t="s">
        <v>44</v>
      </c>
    </row>
    <row r="3127" spans="1:14">
      <c r="A3127" s="36" t="s">
        <v>32</v>
      </c>
      <c r="B3127" s="37">
        <v>45076</v>
      </c>
      <c r="C3127" s="36" t="s">
        <v>654</v>
      </c>
      <c r="D3127" s="36" t="s">
        <v>1215</v>
      </c>
      <c r="E3127" s="36" t="s">
        <v>76</v>
      </c>
      <c r="G3127" s="87">
        <v>23796110</v>
      </c>
      <c r="H3127" s="87">
        <v>2379611</v>
      </c>
      <c r="I3127" s="87">
        <v>26175721</v>
      </c>
      <c r="K3127" s="85">
        <v>2023</v>
      </c>
      <c r="L3127" s="85">
        <v>5</v>
      </c>
      <c r="N3127" s="1" t="s">
        <v>44</v>
      </c>
    </row>
    <row r="3128" spans="1:14">
      <c r="A3128" s="36" t="s">
        <v>32</v>
      </c>
      <c r="B3128" s="37">
        <v>45077</v>
      </c>
      <c r="C3128" s="36" t="s">
        <v>760</v>
      </c>
      <c r="D3128" s="36" t="s">
        <v>930</v>
      </c>
      <c r="E3128" s="36" t="s">
        <v>1371</v>
      </c>
      <c r="J3128" s="87">
        <v>632500</v>
      </c>
      <c r="K3128" s="85">
        <v>2023</v>
      </c>
      <c r="L3128" s="85">
        <v>4</v>
      </c>
      <c r="M3128" s="36" t="s">
        <v>1356</v>
      </c>
      <c r="N3128" s="1" t="s">
        <v>44</v>
      </c>
    </row>
    <row r="3129" spans="1:14">
      <c r="A3129" s="36" t="s">
        <v>32</v>
      </c>
      <c r="B3129" s="37">
        <v>45077</v>
      </c>
      <c r="C3129" s="36" t="s">
        <v>664</v>
      </c>
      <c r="D3129" s="36" t="s">
        <v>1330</v>
      </c>
      <c r="E3129" s="36" t="s">
        <v>78</v>
      </c>
      <c r="G3129" s="87">
        <v>19625000</v>
      </c>
      <c r="H3129" s="87">
        <v>1962500</v>
      </c>
      <c r="I3129" s="87">
        <v>21587500</v>
      </c>
      <c r="K3129" s="85">
        <v>2023</v>
      </c>
      <c r="L3129" s="85">
        <v>5</v>
      </c>
      <c r="N3129" s="1" t="s">
        <v>44</v>
      </c>
    </row>
    <row r="3130" spans="1:14">
      <c r="A3130" s="36" t="s">
        <v>32</v>
      </c>
      <c r="B3130" s="37">
        <v>45077</v>
      </c>
      <c r="C3130" s="36" t="s">
        <v>174</v>
      </c>
      <c r="D3130" s="36" t="s">
        <v>811</v>
      </c>
      <c r="E3130" s="36" t="s">
        <v>148</v>
      </c>
      <c r="J3130" s="87">
        <v>42638090</v>
      </c>
      <c r="K3130" s="85">
        <v>2023</v>
      </c>
      <c r="L3130" s="85">
        <v>2</v>
      </c>
      <c r="N3130" s="1" t="s">
        <v>44</v>
      </c>
    </row>
    <row r="3131" spans="1:14">
      <c r="A3131" s="36" t="s">
        <v>32</v>
      </c>
      <c r="B3131" s="37">
        <v>45077</v>
      </c>
      <c r="C3131" s="36" t="s">
        <v>174</v>
      </c>
      <c r="D3131" s="36" t="s">
        <v>1155</v>
      </c>
      <c r="E3131" s="36" t="s">
        <v>148</v>
      </c>
      <c r="J3131" s="87">
        <v>4763880</v>
      </c>
      <c r="K3131" s="85">
        <v>2023</v>
      </c>
      <c r="L3131" s="85">
        <v>3</v>
      </c>
      <c r="N3131" s="1" t="s">
        <v>44</v>
      </c>
    </row>
    <row r="3132" spans="1:14">
      <c r="A3132" s="36" t="s">
        <v>32</v>
      </c>
      <c r="B3132" s="37">
        <v>45077</v>
      </c>
      <c r="C3132" s="36" t="s">
        <v>174</v>
      </c>
      <c r="D3132" s="36" t="s">
        <v>1155</v>
      </c>
      <c r="E3132" s="36" t="s">
        <v>76</v>
      </c>
      <c r="G3132" s="87">
        <v>11227500</v>
      </c>
      <c r="H3132" s="87">
        <v>1122750</v>
      </c>
      <c r="I3132" s="87">
        <v>12350250</v>
      </c>
      <c r="K3132" s="85">
        <v>2023</v>
      </c>
      <c r="L3132" s="85">
        <v>5</v>
      </c>
      <c r="N3132" s="1" t="s">
        <v>44</v>
      </c>
    </row>
    <row r="3133" spans="1:14">
      <c r="A3133" s="36" t="s">
        <v>32</v>
      </c>
      <c r="B3133" s="37">
        <v>45077</v>
      </c>
      <c r="C3133" s="36" t="s">
        <v>174</v>
      </c>
      <c r="D3133" s="36" t="s">
        <v>1423</v>
      </c>
      <c r="E3133" s="36" t="s">
        <v>76</v>
      </c>
      <c r="G3133" s="87">
        <v>20143500</v>
      </c>
      <c r="H3133" s="87">
        <v>2014350</v>
      </c>
      <c r="I3133" s="87">
        <v>22157850</v>
      </c>
      <c r="K3133" s="85">
        <v>2023</v>
      </c>
      <c r="L3133" s="85">
        <v>5</v>
      </c>
      <c r="N3133" s="1" t="s">
        <v>44</v>
      </c>
    </row>
    <row r="3134" spans="1:14">
      <c r="A3134" s="36" t="s">
        <v>32</v>
      </c>
      <c r="B3134" s="37">
        <v>45077</v>
      </c>
      <c r="C3134" s="36" t="s">
        <v>209</v>
      </c>
      <c r="D3134" s="36" t="s">
        <v>1411</v>
      </c>
      <c r="E3134" s="36" t="s">
        <v>76</v>
      </c>
      <c r="G3134" s="87">
        <v>18964800</v>
      </c>
      <c r="H3134" s="87">
        <v>1896480</v>
      </c>
      <c r="I3134" s="87">
        <v>20861280</v>
      </c>
      <c r="K3134" s="85">
        <v>2023</v>
      </c>
      <c r="L3134" s="85">
        <v>5</v>
      </c>
      <c r="N3134" s="1" t="s">
        <v>44</v>
      </c>
    </row>
    <row r="3135" spans="1:14">
      <c r="A3135" s="36" t="s">
        <v>32</v>
      </c>
      <c r="B3135" s="37">
        <v>45077</v>
      </c>
      <c r="C3135" s="36" t="s">
        <v>209</v>
      </c>
      <c r="D3135" s="36" t="s">
        <v>1699</v>
      </c>
      <c r="E3135" s="36" t="s">
        <v>76</v>
      </c>
      <c r="G3135" s="87">
        <v>26319200</v>
      </c>
      <c r="H3135" s="87">
        <v>2631920</v>
      </c>
      <c r="I3135" s="87">
        <v>28951120</v>
      </c>
      <c r="K3135" s="85">
        <v>2023</v>
      </c>
      <c r="L3135" s="85">
        <v>5</v>
      </c>
      <c r="N3135" s="1" t="s">
        <v>44</v>
      </c>
    </row>
    <row r="3136" spans="1:14">
      <c r="A3136" s="36" t="s">
        <v>32</v>
      </c>
      <c r="B3136" s="37">
        <v>45077</v>
      </c>
      <c r="C3136" s="36" t="s">
        <v>209</v>
      </c>
      <c r="D3136" s="36" t="s">
        <v>1048</v>
      </c>
      <c r="E3136" s="36" t="s">
        <v>76</v>
      </c>
      <c r="G3136" s="87">
        <v>6443700</v>
      </c>
      <c r="H3136" s="87">
        <v>644370</v>
      </c>
      <c r="I3136" s="87">
        <v>7088070</v>
      </c>
      <c r="K3136" s="85">
        <v>2023</v>
      </c>
      <c r="L3136" s="85">
        <v>5</v>
      </c>
      <c r="N3136" s="1" t="s">
        <v>44</v>
      </c>
    </row>
    <row r="3137" spans="1:14">
      <c r="A3137" s="36" t="s">
        <v>32</v>
      </c>
      <c r="B3137" s="37">
        <v>45077</v>
      </c>
      <c r="C3137" s="36" t="s">
        <v>209</v>
      </c>
      <c r="D3137" s="36" t="s">
        <v>1412</v>
      </c>
      <c r="E3137" s="36" t="s">
        <v>76</v>
      </c>
      <c r="G3137" s="87">
        <v>560000</v>
      </c>
      <c r="H3137" s="87">
        <v>56000</v>
      </c>
      <c r="I3137" s="87">
        <v>616000</v>
      </c>
      <c r="K3137" s="85">
        <v>2023</v>
      </c>
      <c r="L3137" s="85">
        <v>5</v>
      </c>
      <c r="N3137" s="1" t="s">
        <v>44</v>
      </c>
    </row>
    <row r="3138" spans="1:14">
      <c r="A3138" s="36" t="s">
        <v>32</v>
      </c>
      <c r="B3138" s="37">
        <v>45077</v>
      </c>
      <c r="C3138" s="36" t="s">
        <v>1266</v>
      </c>
      <c r="D3138" s="36" t="s">
        <v>1277</v>
      </c>
      <c r="E3138" s="36" t="s">
        <v>76</v>
      </c>
      <c r="G3138" s="87">
        <v>6670000</v>
      </c>
      <c r="H3138" s="87">
        <v>667000</v>
      </c>
      <c r="I3138" s="87">
        <v>7337000</v>
      </c>
      <c r="K3138" s="85">
        <v>2023</v>
      </c>
      <c r="L3138" s="85">
        <v>5</v>
      </c>
      <c r="N3138" s="1" t="s">
        <v>44</v>
      </c>
    </row>
    <row r="3139" spans="1:14">
      <c r="A3139" s="36" t="s">
        <v>33</v>
      </c>
      <c r="B3139" s="37">
        <v>45077</v>
      </c>
      <c r="C3139" s="36" t="s">
        <v>96</v>
      </c>
      <c r="D3139" s="36" t="s">
        <v>1459</v>
      </c>
      <c r="E3139" s="36" t="s">
        <v>97</v>
      </c>
      <c r="G3139" s="87">
        <v>180000</v>
      </c>
      <c r="H3139" s="87">
        <v>18000</v>
      </c>
      <c r="I3139" s="87">
        <v>198000</v>
      </c>
      <c r="K3139" s="85">
        <v>2023</v>
      </c>
      <c r="L3139" s="85">
        <v>5</v>
      </c>
      <c r="N3139" s="1" t="s">
        <v>44</v>
      </c>
    </row>
    <row r="3140" spans="1:14">
      <c r="A3140" s="36" t="s">
        <v>32</v>
      </c>
      <c r="B3140" s="37">
        <v>45077</v>
      </c>
      <c r="C3140" s="36" t="s">
        <v>672</v>
      </c>
      <c r="D3140" s="36" t="s">
        <v>1267</v>
      </c>
      <c r="E3140" s="36" t="s">
        <v>76</v>
      </c>
      <c r="G3140" s="87">
        <v>3500000</v>
      </c>
      <c r="H3140" s="87">
        <v>350000</v>
      </c>
      <c r="I3140" s="87">
        <v>3850000</v>
      </c>
      <c r="K3140" s="85">
        <v>2023</v>
      </c>
      <c r="L3140" s="85">
        <v>5</v>
      </c>
      <c r="N3140" s="1" t="s">
        <v>44</v>
      </c>
    </row>
    <row r="3141" spans="1:14">
      <c r="A3141" s="36" t="s">
        <v>32</v>
      </c>
      <c r="B3141" s="37">
        <v>45077</v>
      </c>
      <c r="C3141" s="36" t="s">
        <v>1332</v>
      </c>
      <c r="D3141" s="36" t="s">
        <v>1341</v>
      </c>
      <c r="E3141" s="36" t="s">
        <v>76</v>
      </c>
      <c r="G3141" s="87">
        <v>16370000</v>
      </c>
      <c r="H3141" s="87">
        <v>1637000</v>
      </c>
      <c r="I3141" s="87">
        <v>18007000</v>
      </c>
      <c r="K3141" s="85">
        <v>2023</v>
      </c>
      <c r="L3141" s="85">
        <v>5</v>
      </c>
      <c r="N3141" s="1" t="s">
        <v>44</v>
      </c>
    </row>
    <row r="3142" spans="1:14">
      <c r="A3142" s="36" t="s">
        <v>32</v>
      </c>
      <c r="B3142" s="37">
        <v>45077</v>
      </c>
      <c r="C3142" s="36" t="s">
        <v>204</v>
      </c>
      <c r="D3142" s="36" t="s">
        <v>1273</v>
      </c>
      <c r="E3142" s="36" t="s">
        <v>148</v>
      </c>
      <c r="J3142" s="87">
        <v>1925440</v>
      </c>
      <c r="K3142" s="85">
        <v>2023</v>
      </c>
      <c r="L3142" s="85">
        <v>4</v>
      </c>
      <c r="N3142" s="1" t="s">
        <v>44</v>
      </c>
    </row>
    <row r="3143" spans="1:14">
      <c r="A3143" s="36" t="s">
        <v>33</v>
      </c>
      <c r="B3143" s="37">
        <v>45077</v>
      </c>
      <c r="C3143" s="36" t="s">
        <v>745</v>
      </c>
      <c r="D3143" s="36" t="s">
        <v>1377</v>
      </c>
      <c r="E3143" s="36" t="s">
        <v>1375</v>
      </c>
      <c r="G3143" s="87">
        <v>600000</v>
      </c>
      <c r="H3143" s="87">
        <v>60000</v>
      </c>
      <c r="I3143" s="87">
        <v>660000</v>
      </c>
      <c r="K3143" s="85">
        <v>2023</v>
      </c>
      <c r="L3143" s="85">
        <v>5</v>
      </c>
      <c r="N3143" s="1" t="s">
        <v>44</v>
      </c>
    </row>
    <row r="3144" spans="1:14">
      <c r="A3144" s="36" t="s">
        <v>32</v>
      </c>
      <c r="B3144" s="37">
        <v>45077</v>
      </c>
      <c r="C3144" s="36" t="s">
        <v>334</v>
      </c>
      <c r="D3144" s="36" t="s">
        <v>1340</v>
      </c>
      <c r="E3144" s="36" t="s">
        <v>78</v>
      </c>
      <c r="G3144" s="87">
        <v>3642000</v>
      </c>
      <c r="H3144" s="87">
        <v>364200</v>
      </c>
      <c r="I3144" s="87">
        <v>4006200</v>
      </c>
      <c r="K3144" s="85">
        <v>2023</v>
      </c>
      <c r="L3144" s="85">
        <v>5</v>
      </c>
      <c r="N3144" s="1" t="s">
        <v>44</v>
      </c>
    </row>
    <row r="3145" spans="1:14">
      <c r="A3145" s="36" t="s">
        <v>32</v>
      </c>
      <c r="B3145" s="37">
        <v>45077</v>
      </c>
      <c r="C3145" s="36" t="s">
        <v>1262</v>
      </c>
      <c r="D3145" s="36" t="s">
        <v>1353</v>
      </c>
      <c r="E3145" s="36" t="s">
        <v>1371</v>
      </c>
      <c r="J3145" s="87">
        <v>2024000</v>
      </c>
      <c r="K3145" s="85">
        <v>2023</v>
      </c>
      <c r="L3145" s="85">
        <v>4</v>
      </c>
      <c r="N3145" s="1" t="s">
        <v>44</v>
      </c>
    </row>
    <row r="3146" spans="1:14">
      <c r="A3146" s="36" t="s">
        <v>32</v>
      </c>
      <c r="B3146" s="37">
        <v>45077</v>
      </c>
      <c r="C3146" s="36" t="s">
        <v>1262</v>
      </c>
      <c r="D3146" s="36" t="s">
        <v>1353</v>
      </c>
      <c r="E3146" s="36" t="s">
        <v>76</v>
      </c>
      <c r="G3146" s="87">
        <v>1610000</v>
      </c>
      <c r="H3146" s="87">
        <v>161000</v>
      </c>
      <c r="I3146" s="87">
        <v>1771000</v>
      </c>
      <c r="K3146" s="85">
        <v>2023</v>
      </c>
      <c r="L3146" s="85">
        <v>5</v>
      </c>
      <c r="N3146" s="1" t="s">
        <v>44</v>
      </c>
    </row>
    <row r="3147" spans="1:14">
      <c r="A3147" s="36" t="s">
        <v>32</v>
      </c>
      <c r="B3147" s="37">
        <v>45077</v>
      </c>
      <c r="C3147" s="36" t="s">
        <v>771</v>
      </c>
      <c r="D3147" s="36" t="s">
        <v>1111</v>
      </c>
      <c r="E3147" s="36" t="s">
        <v>76</v>
      </c>
      <c r="G3147" s="87">
        <v>1380000</v>
      </c>
      <c r="H3147" s="87">
        <v>138000</v>
      </c>
      <c r="I3147" s="87">
        <v>1518000</v>
      </c>
      <c r="K3147" s="85">
        <v>2023</v>
      </c>
      <c r="L3147" s="85">
        <v>5</v>
      </c>
      <c r="N3147" s="1" t="s">
        <v>44</v>
      </c>
    </row>
    <row r="3148" spans="1:14">
      <c r="A3148" s="36" t="s">
        <v>32</v>
      </c>
      <c r="B3148" s="37">
        <v>45077</v>
      </c>
      <c r="C3148" s="36" t="s">
        <v>773</v>
      </c>
      <c r="D3148" s="36" t="s">
        <v>1410</v>
      </c>
      <c r="E3148" s="36" t="s">
        <v>76</v>
      </c>
      <c r="G3148" s="87">
        <v>8713500</v>
      </c>
      <c r="H3148" s="87">
        <v>871350</v>
      </c>
      <c r="I3148" s="87">
        <v>9584850</v>
      </c>
      <c r="K3148" s="85">
        <v>2023</v>
      </c>
      <c r="L3148" s="85">
        <v>5</v>
      </c>
      <c r="N3148" s="1" t="s">
        <v>44</v>
      </c>
    </row>
    <row r="3149" spans="1:14">
      <c r="A3149" s="36" t="s">
        <v>32</v>
      </c>
      <c r="B3149" s="37">
        <v>45077</v>
      </c>
      <c r="C3149" s="36" t="s">
        <v>677</v>
      </c>
      <c r="D3149" s="36" t="s">
        <v>678</v>
      </c>
      <c r="E3149" s="36" t="s">
        <v>76</v>
      </c>
      <c r="G3149" s="87">
        <v>14125000</v>
      </c>
      <c r="H3149" s="87">
        <v>1412500</v>
      </c>
      <c r="I3149" s="87">
        <v>15537500</v>
      </c>
      <c r="K3149" s="85">
        <v>2023</v>
      </c>
      <c r="L3149" s="85">
        <v>5</v>
      </c>
      <c r="N3149" s="1" t="s">
        <v>44</v>
      </c>
    </row>
    <row r="3150" spans="1:14">
      <c r="A3150" s="36" t="s">
        <v>32</v>
      </c>
      <c r="B3150" s="37">
        <v>45077</v>
      </c>
      <c r="C3150" s="36" t="s">
        <v>677</v>
      </c>
      <c r="D3150" s="36" t="s">
        <v>924</v>
      </c>
      <c r="E3150" s="36" t="s">
        <v>76</v>
      </c>
      <c r="G3150" s="87">
        <v>62857500</v>
      </c>
      <c r="H3150" s="87">
        <v>6285750</v>
      </c>
      <c r="I3150" s="87">
        <v>69143250</v>
      </c>
      <c r="K3150" s="85">
        <v>2023</v>
      </c>
      <c r="L3150" s="85">
        <v>5</v>
      </c>
      <c r="N3150" s="1" t="s">
        <v>44</v>
      </c>
    </row>
    <row r="3151" spans="1:14">
      <c r="A3151" s="36" t="s">
        <v>32</v>
      </c>
      <c r="B3151" s="37">
        <v>45077</v>
      </c>
      <c r="C3151" s="36" t="s">
        <v>677</v>
      </c>
      <c r="D3151" s="36" t="s">
        <v>825</v>
      </c>
      <c r="E3151" s="36" t="s">
        <v>76</v>
      </c>
      <c r="G3151" s="87">
        <v>39699000</v>
      </c>
      <c r="H3151" s="87">
        <v>3969900</v>
      </c>
      <c r="I3151" s="87">
        <v>43668900</v>
      </c>
      <c r="K3151" s="85">
        <v>2023</v>
      </c>
      <c r="L3151" s="85">
        <v>5</v>
      </c>
      <c r="N3151" s="1" t="s">
        <v>44</v>
      </c>
    </row>
    <row r="3152" spans="1:14">
      <c r="A3152" s="36" t="s">
        <v>33</v>
      </c>
      <c r="B3152" s="37">
        <v>45077</v>
      </c>
      <c r="C3152" s="36" t="s">
        <v>119</v>
      </c>
      <c r="D3152" s="36" t="s">
        <v>1048</v>
      </c>
      <c r="E3152" s="36" t="s">
        <v>76</v>
      </c>
      <c r="G3152" s="87">
        <v>5222599</v>
      </c>
      <c r="H3152" s="87">
        <v>522259</v>
      </c>
      <c r="I3152" s="87">
        <v>5744858</v>
      </c>
      <c r="K3152" s="85">
        <v>2023</v>
      </c>
      <c r="L3152" s="85">
        <v>5</v>
      </c>
      <c r="N3152" s="1" t="s">
        <v>44</v>
      </c>
    </row>
    <row r="3153" spans="1:14">
      <c r="A3153" s="36" t="s">
        <v>33</v>
      </c>
      <c r="B3153" s="37">
        <v>45077</v>
      </c>
      <c r="C3153" s="36" t="s">
        <v>1150</v>
      </c>
      <c r="D3153" s="36" t="s">
        <v>928</v>
      </c>
      <c r="E3153" s="36" t="s">
        <v>973</v>
      </c>
      <c r="G3153" s="87">
        <v>1953600</v>
      </c>
      <c r="H3153" s="87">
        <v>195360</v>
      </c>
      <c r="I3153" s="87">
        <v>2148960</v>
      </c>
      <c r="K3153" s="85">
        <v>2023</v>
      </c>
      <c r="L3153" s="85">
        <v>5</v>
      </c>
      <c r="N3153" s="1" t="s">
        <v>44</v>
      </c>
    </row>
    <row r="3154" spans="1:14">
      <c r="A3154" s="36" t="s">
        <v>32</v>
      </c>
      <c r="B3154" s="37">
        <v>45077</v>
      </c>
      <c r="C3154" s="36" t="s">
        <v>881</v>
      </c>
      <c r="D3154" s="36" t="s">
        <v>877</v>
      </c>
      <c r="E3154" s="36" t="s">
        <v>76</v>
      </c>
      <c r="G3154" s="87">
        <v>104900000</v>
      </c>
      <c r="H3154" s="87">
        <v>10490000</v>
      </c>
      <c r="I3154" s="87">
        <v>115390000</v>
      </c>
      <c r="K3154" s="85">
        <v>2023</v>
      </c>
      <c r="L3154" s="85">
        <v>5</v>
      </c>
      <c r="N3154" s="1" t="s">
        <v>44</v>
      </c>
    </row>
    <row r="3155" spans="1:14">
      <c r="A3155" s="36" t="s">
        <v>32</v>
      </c>
      <c r="B3155" s="37">
        <v>45077</v>
      </c>
      <c r="C3155" s="36" t="s">
        <v>552</v>
      </c>
      <c r="D3155" s="36" t="s">
        <v>1011</v>
      </c>
      <c r="E3155" s="36" t="s">
        <v>76</v>
      </c>
      <c r="G3155" s="87">
        <v>40308062</v>
      </c>
      <c r="H3155" s="87">
        <v>4030806.2</v>
      </c>
      <c r="I3155" s="87">
        <v>44338868.200000003</v>
      </c>
      <c r="K3155" s="85">
        <v>2023</v>
      </c>
      <c r="L3155" s="85">
        <v>5</v>
      </c>
      <c r="N3155" s="1" t="s">
        <v>44</v>
      </c>
    </row>
    <row r="3156" spans="1:14">
      <c r="A3156" s="36" t="s">
        <v>32</v>
      </c>
      <c r="B3156" s="37">
        <v>45077</v>
      </c>
      <c r="C3156" s="36" t="s">
        <v>552</v>
      </c>
      <c r="D3156" s="36" t="s">
        <v>1345</v>
      </c>
      <c r="E3156" s="36" t="s">
        <v>76</v>
      </c>
      <c r="G3156" s="87">
        <v>34725000</v>
      </c>
      <c r="H3156" s="87">
        <v>3472500</v>
      </c>
      <c r="I3156" s="87">
        <v>38197500</v>
      </c>
      <c r="K3156" s="85">
        <v>2023</v>
      </c>
      <c r="L3156" s="85">
        <v>5</v>
      </c>
      <c r="N3156" s="1" t="s">
        <v>44</v>
      </c>
    </row>
    <row r="3157" spans="1:14">
      <c r="A3157" s="36" t="s">
        <v>33</v>
      </c>
      <c r="B3157" s="37">
        <v>45077</v>
      </c>
      <c r="C3157" s="36" t="s">
        <v>1218</v>
      </c>
      <c r="D3157" s="36" t="s">
        <v>1219</v>
      </c>
      <c r="E3157" s="36" t="s">
        <v>1259</v>
      </c>
      <c r="G3157" s="87">
        <v>27769500</v>
      </c>
      <c r="H3157" s="87">
        <v>2776950</v>
      </c>
      <c r="I3157" s="87">
        <v>30546450</v>
      </c>
      <c r="K3157" s="85">
        <v>2023</v>
      </c>
      <c r="L3157" s="85">
        <v>5</v>
      </c>
      <c r="N3157" s="1" t="s">
        <v>44</v>
      </c>
    </row>
    <row r="3158" spans="1:14">
      <c r="A3158" s="36" t="s">
        <v>33</v>
      </c>
      <c r="B3158" s="37">
        <v>45077</v>
      </c>
      <c r="C3158" s="36" t="s">
        <v>1218</v>
      </c>
      <c r="D3158" s="36" t="s">
        <v>1384</v>
      </c>
      <c r="E3158" s="36" t="s">
        <v>1385</v>
      </c>
      <c r="G3158" s="87">
        <v>2466000</v>
      </c>
      <c r="H3158" s="87">
        <v>246600</v>
      </c>
      <c r="I3158" s="87">
        <v>2712600</v>
      </c>
      <c r="K3158" s="85">
        <v>2023</v>
      </c>
      <c r="L3158" s="85">
        <v>5</v>
      </c>
      <c r="N3158" s="1" t="s">
        <v>44</v>
      </c>
    </row>
    <row r="3159" spans="1:14">
      <c r="A3159" s="36" t="s">
        <v>33</v>
      </c>
      <c r="B3159" s="37">
        <v>45077</v>
      </c>
      <c r="C3159" s="36" t="s">
        <v>1218</v>
      </c>
      <c r="D3159" s="36" t="s">
        <v>1386</v>
      </c>
      <c r="E3159" s="36" t="s">
        <v>1387</v>
      </c>
      <c r="G3159" s="87">
        <v>1600000</v>
      </c>
      <c r="H3159" s="87">
        <v>160000</v>
      </c>
      <c r="I3159" s="87">
        <v>1760000</v>
      </c>
      <c r="K3159" s="85">
        <v>2023</v>
      </c>
      <c r="L3159" s="85">
        <v>5</v>
      </c>
      <c r="N3159" s="1" t="s">
        <v>44</v>
      </c>
    </row>
    <row r="3160" spans="1:14">
      <c r="A3160" s="36" t="s">
        <v>33</v>
      </c>
      <c r="B3160" s="37">
        <v>45077</v>
      </c>
      <c r="C3160" s="36" t="s">
        <v>1218</v>
      </c>
      <c r="D3160" s="36" t="s">
        <v>1388</v>
      </c>
      <c r="E3160" s="36" t="s">
        <v>1385</v>
      </c>
      <c r="G3160" s="87">
        <v>2371500</v>
      </c>
      <c r="H3160" s="87">
        <v>237150</v>
      </c>
      <c r="I3160" s="87">
        <v>2608650</v>
      </c>
      <c r="K3160" s="85">
        <v>2023</v>
      </c>
      <c r="L3160" s="85">
        <v>5</v>
      </c>
      <c r="N3160" s="1" t="s">
        <v>44</v>
      </c>
    </row>
    <row r="3161" spans="1:14">
      <c r="A3161" s="36" t="s">
        <v>33</v>
      </c>
      <c r="B3161" s="37">
        <v>45077</v>
      </c>
      <c r="C3161" s="36" t="s">
        <v>1218</v>
      </c>
      <c r="D3161" s="36" t="s">
        <v>1388</v>
      </c>
      <c r="E3161" s="36" t="s">
        <v>1389</v>
      </c>
      <c r="G3161" s="87">
        <v>2133000</v>
      </c>
      <c r="H3161" s="87">
        <v>213300</v>
      </c>
      <c r="I3161" s="87">
        <v>2346300</v>
      </c>
      <c r="K3161" s="85">
        <v>2023</v>
      </c>
      <c r="L3161" s="85">
        <v>5</v>
      </c>
      <c r="N3161" s="1" t="s">
        <v>44</v>
      </c>
    </row>
    <row r="3162" spans="1:14">
      <c r="A3162" s="36" t="s">
        <v>32</v>
      </c>
      <c r="B3162" s="37">
        <v>45077</v>
      </c>
      <c r="C3162" s="36" t="s">
        <v>1400</v>
      </c>
      <c r="D3162" s="36" t="s">
        <v>1190</v>
      </c>
      <c r="E3162" s="36" t="s">
        <v>78</v>
      </c>
      <c r="G3162" s="87">
        <v>4852600</v>
      </c>
      <c r="H3162" s="87">
        <v>485260</v>
      </c>
      <c r="I3162" s="87">
        <v>5337860</v>
      </c>
      <c r="K3162" s="85">
        <v>2023</v>
      </c>
      <c r="L3162" s="85">
        <v>5</v>
      </c>
      <c r="N3162" s="1" t="s">
        <v>44</v>
      </c>
    </row>
    <row r="3163" spans="1:14">
      <c r="A3163" s="36" t="s">
        <v>33</v>
      </c>
      <c r="B3163" s="37">
        <v>45077</v>
      </c>
      <c r="C3163" s="36" t="s">
        <v>1393</v>
      </c>
      <c r="D3163" s="36" t="s">
        <v>1447</v>
      </c>
      <c r="E3163" s="36" t="s">
        <v>1394</v>
      </c>
      <c r="G3163" s="87">
        <v>15331500</v>
      </c>
      <c r="H3163" s="87">
        <v>1533150</v>
      </c>
      <c r="I3163" s="87">
        <v>16864650</v>
      </c>
      <c r="K3163" s="85">
        <v>2023</v>
      </c>
      <c r="L3163" s="85">
        <v>5</v>
      </c>
      <c r="N3163" s="1" t="s">
        <v>44</v>
      </c>
    </row>
    <row r="3164" spans="1:14">
      <c r="A3164" s="36" t="s">
        <v>32</v>
      </c>
      <c r="B3164" s="37">
        <v>45077</v>
      </c>
      <c r="C3164" s="36" t="s">
        <v>1198</v>
      </c>
      <c r="D3164" s="36" t="s">
        <v>1407</v>
      </c>
      <c r="E3164" s="36" t="s">
        <v>78</v>
      </c>
      <c r="G3164" s="87">
        <v>8220000</v>
      </c>
      <c r="H3164" s="87">
        <v>822000</v>
      </c>
      <c r="I3164" s="87">
        <v>9042000</v>
      </c>
      <c r="K3164" s="85">
        <v>2023</v>
      </c>
      <c r="L3164" s="85">
        <v>5</v>
      </c>
      <c r="N3164" s="1" t="s">
        <v>44</v>
      </c>
    </row>
    <row r="3165" spans="1:14">
      <c r="A3165" s="36" t="s">
        <v>32</v>
      </c>
      <c r="B3165" s="37">
        <v>45077</v>
      </c>
      <c r="C3165" s="36" t="s">
        <v>183</v>
      </c>
      <c r="D3165" s="36" t="s">
        <v>1415</v>
      </c>
      <c r="E3165" s="36" t="s">
        <v>78</v>
      </c>
      <c r="G3165" s="87">
        <v>4600000</v>
      </c>
      <c r="H3165" s="87">
        <v>460000</v>
      </c>
      <c r="I3165" s="87">
        <v>5060000</v>
      </c>
      <c r="K3165" s="85">
        <v>2023</v>
      </c>
      <c r="L3165" s="85">
        <v>5</v>
      </c>
      <c r="N3165" s="1" t="s">
        <v>44</v>
      </c>
    </row>
    <row r="3166" spans="1:14">
      <c r="A3166" s="36" t="s">
        <v>32</v>
      </c>
      <c r="B3166" s="37">
        <v>45077</v>
      </c>
      <c r="C3166" s="36" t="s">
        <v>268</v>
      </c>
      <c r="D3166" s="36" t="s">
        <v>1361</v>
      </c>
      <c r="E3166" s="36" t="s">
        <v>76</v>
      </c>
      <c r="G3166" s="87">
        <v>69508200</v>
      </c>
      <c r="H3166" s="87">
        <v>6950820</v>
      </c>
      <c r="I3166" s="87">
        <v>76459020</v>
      </c>
      <c r="K3166" s="85">
        <v>2023</v>
      </c>
      <c r="L3166" s="85">
        <v>5</v>
      </c>
      <c r="N3166" s="1" t="s">
        <v>44</v>
      </c>
    </row>
    <row r="3167" spans="1:14">
      <c r="A3167" s="36" t="s">
        <v>32</v>
      </c>
      <c r="B3167" s="37">
        <v>45077</v>
      </c>
      <c r="C3167" s="36" t="s">
        <v>288</v>
      </c>
      <c r="D3167" s="36" t="s">
        <v>1414</v>
      </c>
      <c r="E3167" s="36" t="s">
        <v>76</v>
      </c>
      <c r="G3167" s="87">
        <v>38328750</v>
      </c>
      <c r="H3167" s="87">
        <v>3832875</v>
      </c>
      <c r="I3167" s="87">
        <v>42161625</v>
      </c>
      <c r="K3167" s="85">
        <v>2023</v>
      </c>
      <c r="L3167" s="85">
        <v>5</v>
      </c>
      <c r="N3167" s="1" t="s">
        <v>44</v>
      </c>
    </row>
    <row r="3168" spans="1:14">
      <c r="A3168" s="36" t="s">
        <v>33</v>
      </c>
      <c r="B3168" s="37">
        <v>45077</v>
      </c>
      <c r="C3168" s="36" t="s">
        <v>590</v>
      </c>
      <c r="D3168" s="36" t="s">
        <v>1011</v>
      </c>
      <c r="E3168" s="36" t="s">
        <v>1253</v>
      </c>
      <c r="G3168" s="87">
        <v>38739852</v>
      </c>
      <c r="H3168" s="87">
        <v>3873985.2</v>
      </c>
      <c r="I3168" s="87">
        <v>42613837.200000003</v>
      </c>
      <c r="K3168" s="85">
        <v>2023</v>
      </c>
      <c r="L3168" s="85">
        <v>5</v>
      </c>
      <c r="N3168" s="1" t="s">
        <v>44</v>
      </c>
    </row>
    <row r="3169" spans="1:14">
      <c r="A3169" s="36" t="s">
        <v>32</v>
      </c>
      <c r="B3169" s="37">
        <v>45077</v>
      </c>
      <c r="C3169" s="36" t="s">
        <v>1399</v>
      </c>
      <c r="D3169" s="36" t="s">
        <v>1413</v>
      </c>
      <c r="E3169" s="36" t="s">
        <v>78</v>
      </c>
      <c r="G3169" s="87">
        <v>12670000</v>
      </c>
      <c r="H3169" s="87">
        <v>1267000</v>
      </c>
      <c r="I3169" s="87">
        <v>13937000</v>
      </c>
      <c r="K3169" s="85">
        <v>2023</v>
      </c>
      <c r="L3169" s="85">
        <v>5</v>
      </c>
      <c r="N3169" s="1" t="s">
        <v>44</v>
      </c>
    </row>
    <row r="3170" spans="1:14">
      <c r="A3170" s="36" t="s">
        <v>32</v>
      </c>
      <c r="B3170" s="37">
        <v>45077</v>
      </c>
      <c r="C3170" s="36" t="s">
        <v>188</v>
      </c>
      <c r="D3170" s="36" t="s">
        <v>1219</v>
      </c>
      <c r="E3170" s="36" t="s">
        <v>1421</v>
      </c>
      <c r="G3170" s="87">
        <v>32818500</v>
      </c>
      <c r="H3170" s="87">
        <v>3281850</v>
      </c>
      <c r="I3170" s="87">
        <v>36100350</v>
      </c>
      <c r="K3170" s="85">
        <v>2023</v>
      </c>
      <c r="L3170" s="85">
        <v>5</v>
      </c>
      <c r="N3170" s="1" t="s">
        <v>44</v>
      </c>
    </row>
    <row r="3171" spans="1:14">
      <c r="A3171" s="36" t="s">
        <v>32</v>
      </c>
      <c r="B3171" s="37">
        <v>45077</v>
      </c>
      <c r="C3171" s="36" t="s">
        <v>188</v>
      </c>
      <c r="D3171" s="36" t="s">
        <v>1405</v>
      </c>
      <c r="E3171" s="36" t="s">
        <v>76</v>
      </c>
      <c r="G3171" s="87">
        <v>10000000</v>
      </c>
      <c r="H3171" s="87">
        <v>1000000</v>
      </c>
      <c r="I3171" s="87">
        <v>11000000</v>
      </c>
      <c r="K3171" s="85">
        <v>2023</v>
      </c>
      <c r="L3171" s="85">
        <v>5</v>
      </c>
      <c r="N3171" s="1" t="s">
        <v>44</v>
      </c>
    </row>
    <row r="3172" spans="1:14">
      <c r="A3172" s="36" t="s">
        <v>32</v>
      </c>
      <c r="B3172" s="37">
        <v>45077</v>
      </c>
      <c r="C3172" s="36" t="s">
        <v>307</v>
      </c>
      <c r="D3172" s="36" t="s">
        <v>1424</v>
      </c>
      <c r="E3172" s="36" t="s">
        <v>78</v>
      </c>
      <c r="G3172" s="87">
        <v>4200000</v>
      </c>
      <c r="H3172" s="87">
        <v>420000</v>
      </c>
      <c r="I3172" s="87">
        <v>4620000</v>
      </c>
      <c r="K3172" s="85">
        <v>2023</v>
      </c>
      <c r="L3172" s="85">
        <v>5</v>
      </c>
      <c r="N3172" s="1" t="s">
        <v>44</v>
      </c>
    </row>
    <row r="3173" spans="1:14">
      <c r="A3173" s="36" t="s">
        <v>32</v>
      </c>
      <c r="B3173" s="37">
        <v>45077</v>
      </c>
      <c r="C3173" s="36" t="s">
        <v>307</v>
      </c>
      <c r="D3173" s="36" t="s">
        <v>1406</v>
      </c>
      <c r="E3173" s="36" t="s">
        <v>76</v>
      </c>
      <c r="G3173" s="87">
        <v>3198000</v>
      </c>
      <c r="H3173" s="87">
        <v>319800</v>
      </c>
      <c r="I3173" s="87">
        <v>3517800</v>
      </c>
      <c r="K3173" s="85">
        <v>2023</v>
      </c>
      <c r="L3173" s="85">
        <v>5</v>
      </c>
      <c r="N3173" s="1" t="s">
        <v>44</v>
      </c>
    </row>
    <row r="3174" spans="1:14">
      <c r="A3174" s="36" t="s">
        <v>32</v>
      </c>
      <c r="B3174" s="37">
        <v>45077</v>
      </c>
      <c r="C3174" s="36" t="s">
        <v>175</v>
      </c>
      <c r="D3174" s="36" t="s">
        <v>1408</v>
      </c>
      <c r="E3174" s="36" t="s">
        <v>76</v>
      </c>
      <c r="G3174" s="87">
        <v>5292000</v>
      </c>
      <c r="H3174" s="87">
        <v>529200</v>
      </c>
      <c r="I3174" s="87">
        <v>5821200</v>
      </c>
      <c r="K3174" s="85">
        <v>2023</v>
      </c>
      <c r="L3174" s="85">
        <v>5</v>
      </c>
      <c r="N3174" s="1" t="s">
        <v>44</v>
      </c>
    </row>
    <row r="3175" spans="1:14">
      <c r="A3175" s="36" t="s">
        <v>32</v>
      </c>
      <c r="B3175" s="37">
        <v>45077</v>
      </c>
      <c r="C3175" s="36" t="s">
        <v>667</v>
      </c>
      <c r="D3175" s="36" t="s">
        <v>1409</v>
      </c>
      <c r="E3175" s="36" t="s">
        <v>76</v>
      </c>
      <c r="G3175" s="87">
        <v>6120000</v>
      </c>
      <c r="H3175" s="87">
        <v>612000</v>
      </c>
      <c r="I3175" s="87">
        <v>6732000</v>
      </c>
      <c r="K3175" s="85">
        <v>2023</v>
      </c>
      <c r="L3175" s="85">
        <v>5</v>
      </c>
      <c r="N3175" s="1" t="s">
        <v>44</v>
      </c>
    </row>
    <row r="3176" spans="1:14">
      <c r="A3176" s="36" t="s">
        <v>32</v>
      </c>
      <c r="B3176" s="37">
        <v>45077</v>
      </c>
      <c r="C3176" s="36" t="s">
        <v>667</v>
      </c>
      <c r="D3176" s="36" t="s">
        <v>1183</v>
      </c>
      <c r="E3176" s="36" t="s">
        <v>76</v>
      </c>
      <c r="G3176" s="87">
        <v>4176000</v>
      </c>
      <c r="H3176" s="87">
        <v>417600</v>
      </c>
      <c r="I3176" s="87">
        <v>4593600</v>
      </c>
      <c r="K3176" s="85">
        <v>2023</v>
      </c>
      <c r="L3176" s="85">
        <v>5</v>
      </c>
      <c r="N3176" s="1" t="s">
        <v>44</v>
      </c>
    </row>
    <row r="3177" spans="1:14">
      <c r="A3177" s="36" t="s">
        <v>33</v>
      </c>
      <c r="B3177" s="37">
        <v>45077</v>
      </c>
      <c r="C3177" s="36" t="s">
        <v>1391</v>
      </c>
      <c r="D3177" s="36" t="s">
        <v>1227</v>
      </c>
      <c r="E3177" s="36" t="s">
        <v>1392</v>
      </c>
      <c r="G3177" s="87">
        <v>2831250</v>
      </c>
      <c r="H3177" s="87">
        <v>283125</v>
      </c>
      <c r="I3177" s="87">
        <v>3114375</v>
      </c>
      <c r="K3177" s="85">
        <v>2023</v>
      </c>
      <c r="L3177" s="85">
        <v>5</v>
      </c>
      <c r="N3177" s="1" t="s">
        <v>44</v>
      </c>
    </row>
    <row r="3178" spans="1:14">
      <c r="A3178" s="36" t="s">
        <v>33</v>
      </c>
      <c r="B3178" s="37">
        <v>45077</v>
      </c>
      <c r="C3178" s="36" t="s">
        <v>1257</v>
      </c>
      <c r="D3178" s="36" t="s">
        <v>1258</v>
      </c>
      <c r="E3178" s="36" t="s">
        <v>1390</v>
      </c>
      <c r="G3178" s="87">
        <v>5060000</v>
      </c>
      <c r="H3178" s="87">
        <v>506000</v>
      </c>
      <c r="I3178" s="87">
        <v>5566000</v>
      </c>
      <c r="K3178" s="85">
        <v>2023</v>
      </c>
      <c r="L3178" s="85">
        <v>5</v>
      </c>
      <c r="N3178" s="1" t="s">
        <v>44</v>
      </c>
    </row>
    <row r="3179" spans="1:14">
      <c r="A3179" s="36" t="s">
        <v>32</v>
      </c>
      <c r="B3179" s="37">
        <v>45077</v>
      </c>
      <c r="C3179" s="36" t="s">
        <v>1333</v>
      </c>
      <c r="D3179" s="36" t="s">
        <v>1372</v>
      </c>
      <c r="E3179" s="36" t="s">
        <v>1374</v>
      </c>
      <c r="J3179" s="87">
        <v>16824500</v>
      </c>
      <c r="K3179" s="85">
        <v>2023</v>
      </c>
      <c r="L3179" s="85">
        <v>4</v>
      </c>
      <c r="M3179" s="36" t="s">
        <v>1373</v>
      </c>
      <c r="N3179" s="1" t="s">
        <v>44</v>
      </c>
    </row>
    <row r="3180" spans="1:14">
      <c r="A3180" s="36" t="s">
        <v>32</v>
      </c>
      <c r="B3180" s="37">
        <v>45077</v>
      </c>
      <c r="C3180" s="36" t="s">
        <v>654</v>
      </c>
      <c r="D3180" s="36" t="s">
        <v>1156</v>
      </c>
      <c r="E3180" s="36" t="s">
        <v>1371</v>
      </c>
      <c r="J3180" s="87">
        <v>25800775</v>
      </c>
      <c r="K3180" s="85">
        <v>2023</v>
      </c>
      <c r="L3180" s="85">
        <v>4</v>
      </c>
      <c r="N3180" s="1" t="s">
        <v>44</v>
      </c>
    </row>
    <row r="3181" spans="1:14">
      <c r="A3181" s="36" t="s">
        <v>32</v>
      </c>
      <c r="B3181" s="37">
        <v>45077</v>
      </c>
      <c r="C3181" s="36" t="s">
        <v>654</v>
      </c>
      <c r="D3181" s="36" t="s">
        <v>1156</v>
      </c>
      <c r="E3181" s="36" t="s">
        <v>76</v>
      </c>
      <c r="G3181" s="87">
        <v>20696550</v>
      </c>
      <c r="H3181" s="87">
        <v>2069655</v>
      </c>
      <c r="I3181" s="87">
        <v>22766205</v>
      </c>
      <c r="K3181" s="85">
        <v>2023</v>
      </c>
      <c r="L3181" s="85">
        <v>5</v>
      </c>
      <c r="N3181" s="1" t="s">
        <v>44</v>
      </c>
    </row>
    <row r="3182" spans="1:14">
      <c r="A3182" s="36" t="s">
        <v>32</v>
      </c>
      <c r="B3182" s="37">
        <v>45077</v>
      </c>
      <c r="C3182" s="36" t="s">
        <v>654</v>
      </c>
      <c r="D3182" s="36" t="s">
        <v>1219</v>
      </c>
      <c r="E3182" s="36" t="s">
        <v>76</v>
      </c>
      <c r="G3182" s="87">
        <v>56475520</v>
      </c>
      <c r="H3182" s="87">
        <v>5647552</v>
      </c>
      <c r="I3182" s="87">
        <v>62123072</v>
      </c>
      <c r="K3182" s="85">
        <v>2023</v>
      </c>
      <c r="L3182" s="85">
        <v>5</v>
      </c>
      <c r="N3182" s="1" t="s">
        <v>44</v>
      </c>
    </row>
    <row r="3183" spans="1:14">
      <c r="A3183" s="36" t="s">
        <v>33</v>
      </c>
      <c r="B3183" s="37">
        <v>45077</v>
      </c>
      <c r="C3183" s="36" t="s">
        <v>912</v>
      </c>
      <c r="D3183" s="36" t="s">
        <v>1918</v>
      </c>
      <c r="E3183" s="36" t="s">
        <v>447</v>
      </c>
      <c r="G3183" s="87">
        <v>5730245</v>
      </c>
      <c r="H3183" s="87">
        <v>573024.5</v>
      </c>
      <c r="I3183" s="87">
        <v>6303269.5</v>
      </c>
      <c r="K3183" s="85">
        <v>2023</v>
      </c>
      <c r="L3183" s="85">
        <v>5</v>
      </c>
      <c r="M3183" s="36" t="s">
        <v>1376</v>
      </c>
      <c r="N3183" s="1" t="s">
        <v>44</v>
      </c>
    </row>
    <row r="3184" spans="1:14">
      <c r="A3184" s="36" t="s">
        <v>32</v>
      </c>
      <c r="B3184" s="37">
        <v>45077</v>
      </c>
      <c r="C3184" s="36" t="s">
        <v>1396</v>
      </c>
      <c r="D3184" s="36" t="s">
        <v>1419</v>
      </c>
      <c r="E3184" s="36" t="s">
        <v>78</v>
      </c>
      <c r="G3184" s="87">
        <v>1800000</v>
      </c>
      <c r="H3184" s="87">
        <v>180000</v>
      </c>
      <c r="I3184" s="87">
        <v>1980000</v>
      </c>
      <c r="K3184" s="85">
        <v>2023</v>
      </c>
      <c r="L3184" s="85">
        <v>5</v>
      </c>
      <c r="N3184" s="1" t="s">
        <v>44</v>
      </c>
    </row>
    <row r="3185" spans="1:14">
      <c r="A3185" s="36" t="s">
        <v>32</v>
      </c>
      <c r="B3185" s="37">
        <v>45077</v>
      </c>
      <c r="C3185" s="36" t="s">
        <v>1396</v>
      </c>
      <c r="D3185" s="36" t="s">
        <v>1419</v>
      </c>
      <c r="E3185" s="36" t="s">
        <v>599</v>
      </c>
      <c r="G3185" s="87">
        <v>2000000</v>
      </c>
      <c r="H3185" s="87">
        <v>200000</v>
      </c>
      <c r="I3185" s="87">
        <v>2200000</v>
      </c>
      <c r="K3185" s="85">
        <v>2023</v>
      </c>
      <c r="L3185" s="85">
        <v>5</v>
      </c>
      <c r="N3185" s="1" t="s">
        <v>44</v>
      </c>
    </row>
    <row r="3186" spans="1:14">
      <c r="A3186" s="36" t="s">
        <v>32</v>
      </c>
      <c r="B3186" s="37">
        <v>45078</v>
      </c>
      <c r="C3186" s="36" t="s">
        <v>334</v>
      </c>
      <c r="D3186" s="36" t="s">
        <v>1340</v>
      </c>
      <c r="E3186" s="36" t="s">
        <v>1378</v>
      </c>
      <c r="J3186" s="87">
        <v>1552320</v>
      </c>
      <c r="K3186" s="85">
        <v>2023</v>
      </c>
      <c r="L3186" s="85">
        <v>4</v>
      </c>
      <c r="N3186" s="1" t="s">
        <v>44</v>
      </c>
    </row>
    <row r="3187" spans="1:14">
      <c r="A3187" s="36" t="s">
        <v>32</v>
      </c>
      <c r="B3187" s="37">
        <v>45078</v>
      </c>
      <c r="C3187" s="36" t="s">
        <v>773</v>
      </c>
      <c r="D3187" s="36" t="s">
        <v>1410</v>
      </c>
      <c r="E3187" s="36" t="s">
        <v>76</v>
      </c>
      <c r="G3187" s="87">
        <v>-8713500</v>
      </c>
      <c r="H3187" s="87">
        <v>-871350</v>
      </c>
      <c r="I3187" s="87">
        <v>-9584850</v>
      </c>
      <c r="K3187" s="85">
        <v>2023</v>
      </c>
      <c r="L3187" s="85">
        <v>5</v>
      </c>
      <c r="N3187" s="1" t="s">
        <v>44</v>
      </c>
    </row>
    <row r="3188" spans="1:14">
      <c r="A3188" s="36" t="s">
        <v>32</v>
      </c>
      <c r="B3188" s="37">
        <v>45078</v>
      </c>
      <c r="C3188" s="36" t="s">
        <v>677</v>
      </c>
      <c r="D3188" s="36" t="s">
        <v>924</v>
      </c>
      <c r="E3188" s="36" t="s">
        <v>1374</v>
      </c>
      <c r="J3188" s="87">
        <v>78259500</v>
      </c>
      <c r="K3188" s="85">
        <v>2023</v>
      </c>
      <c r="L3188" s="85">
        <v>4</v>
      </c>
      <c r="N3188" s="1" t="s">
        <v>44</v>
      </c>
    </row>
    <row r="3189" spans="1:14">
      <c r="A3189" s="36" t="s">
        <v>19</v>
      </c>
      <c r="B3189" s="37">
        <v>45078</v>
      </c>
      <c r="C3189" s="36" t="s">
        <v>590</v>
      </c>
      <c r="D3189" s="36" t="s">
        <v>1011</v>
      </c>
      <c r="E3189" s="36" t="s">
        <v>148</v>
      </c>
      <c r="J3189" s="38">
        <v>15000000</v>
      </c>
      <c r="K3189" s="85">
        <v>2023</v>
      </c>
      <c r="L3189" s="85">
        <v>4</v>
      </c>
      <c r="N3189" s="1" t="s">
        <v>44</v>
      </c>
    </row>
    <row r="3190" spans="1:14">
      <c r="A3190" s="36" t="s">
        <v>32</v>
      </c>
      <c r="B3190" s="37">
        <v>45078</v>
      </c>
      <c r="C3190" s="36" t="s">
        <v>1335</v>
      </c>
      <c r="D3190" s="36" t="s">
        <v>1060</v>
      </c>
      <c r="E3190" s="36" t="s">
        <v>1374</v>
      </c>
      <c r="J3190" s="87">
        <v>8440300</v>
      </c>
      <c r="K3190" s="85">
        <v>2023</v>
      </c>
      <c r="L3190" s="85">
        <v>4</v>
      </c>
      <c r="N3190" s="1" t="s">
        <v>44</v>
      </c>
    </row>
    <row r="3191" spans="1:14">
      <c r="A3191" s="36" t="s">
        <v>32</v>
      </c>
      <c r="B3191" s="37">
        <v>45079</v>
      </c>
      <c r="C3191" s="36" t="s">
        <v>209</v>
      </c>
      <c r="D3191" s="36" t="s">
        <v>928</v>
      </c>
      <c r="E3191" s="36" t="s">
        <v>148</v>
      </c>
      <c r="J3191" s="87">
        <v>16145800</v>
      </c>
      <c r="K3191" s="85">
        <v>2023</v>
      </c>
      <c r="L3191" s="85">
        <v>4</v>
      </c>
      <c r="N3191" s="1" t="s">
        <v>44</v>
      </c>
    </row>
    <row r="3192" spans="1:14">
      <c r="A3192" s="36" t="s">
        <v>32</v>
      </c>
      <c r="B3192" s="37">
        <v>45079</v>
      </c>
      <c r="C3192" s="36" t="s">
        <v>209</v>
      </c>
      <c r="D3192" s="36" t="s">
        <v>1699</v>
      </c>
      <c r="E3192" s="36" t="s">
        <v>148</v>
      </c>
      <c r="J3192" s="87">
        <v>11452760</v>
      </c>
      <c r="K3192" s="85">
        <v>2023</v>
      </c>
      <c r="L3192" s="85">
        <v>4</v>
      </c>
      <c r="N3192" s="1" t="s">
        <v>44</v>
      </c>
    </row>
    <row r="3193" spans="1:14">
      <c r="A3193" s="36" t="s">
        <v>32</v>
      </c>
      <c r="B3193" s="37">
        <v>45080</v>
      </c>
      <c r="C3193" s="36" t="s">
        <v>1198</v>
      </c>
      <c r="D3193" s="36" t="s">
        <v>1407</v>
      </c>
      <c r="E3193" s="36" t="s">
        <v>1425</v>
      </c>
      <c r="J3193" s="87">
        <v>9042000</v>
      </c>
      <c r="K3193" s="85">
        <v>2023</v>
      </c>
      <c r="L3193" s="85">
        <v>5</v>
      </c>
      <c r="N3193" s="1" t="s">
        <v>44</v>
      </c>
    </row>
    <row r="3194" spans="1:14">
      <c r="A3194" s="36" t="s">
        <v>32</v>
      </c>
      <c r="B3194" s="37">
        <v>45081</v>
      </c>
      <c r="C3194" s="36" t="s">
        <v>1396</v>
      </c>
      <c r="D3194" s="36" t="s">
        <v>1419</v>
      </c>
      <c r="E3194" s="36" t="s">
        <v>1425</v>
      </c>
      <c r="J3194" s="87">
        <v>1760000</v>
      </c>
      <c r="K3194" s="85">
        <v>2023</v>
      </c>
      <c r="L3194" s="85">
        <v>5</v>
      </c>
      <c r="N3194" s="1" t="s">
        <v>44</v>
      </c>
    </row>
    <row r="3195" spans="1:14">
      <c r="A3195" s="36" t="s">
        <v>32</v>
      </c>
      <c r="B3195" s="37">
        <v>45081</v>
      </c>
      <c r="C3195" s="36" t="s">
        <v>1396</v>
      </c>
      <c r="D3195" s="36" t="s">
        <v>1418</v>
      </c>
      <c r="E3195" s="36" t="s">
        <v>1425</v>
      </c>
      <c r="J3195" s="87">
        <v>1760000</v>
      </c>
      <c r="K3195" s="85">
        <v>2023</v>
      </c>
      <c r="L3195" s="85">
        <v>5</v>
      </c>
      <c r="N3195" s="1" t="s">
        <v>44</v>
      </c>
    </row>
    <row r="3196" spans="1:14">
      <c r="A3196" s="36" t="s">
        <v>32</v>
      </c>
      <c r="B3196" s="37">
        <v>45081</v>
      </c>
      <c r="C3196" s="36" t="s">
        <v>1396</v>
      </c>
      <c r="D3196" s="36" t="s">
        <v>1419</v>
      </c>
      <c r="E3196" s="36" t="s">
        <v>1425</v>
      </c>
      <c r="J3196" s="87">
        <v>8800000</v>
      </c>
      <c r="K3196" s="85">
        <v>2023</v>
      </c>
      <c r="L3196" s="85">
        <v>5</v>
      </c>
      <c r="N3196" s="1" t="s">
        <v>44</v>
      </c>
    </row>
    <row r="3197" spans="1:14">
      <c r="A3197" s="36" t="s">
        <v>32</v>
      </c>
      <c r="B3197" s="37">
        <v>45081</v>
      </c>
      <c r="C3197" s="36" t="s">
        <v>1396</v>
      </c>
      <c r="D3197" s="36" t="s">
        <v>1418</v>
      </c>
      <c r="E3197" s="36" t="s">
        <v>1425</v>
      </c>
      <c r="J3197" s="87">
        <v>7700000</v>
      </c>
      <c r="K3197" s="85">
        <v>2023</v>
      </c>
      <c r="L3197" s="85">
        <v>5</v>
      </c>
      <c r="N3197" s="1" t="s">
        <v>44</v>
      </c>
    </row>
    <row r="3198" spans="1:14">
      <c r="A3198" s="36" t="s">
        <v>33</v>
      </c>
      <c r="B3198" s="37">
        <v>45082</v>
      </c>
      <c r="C3198" s="36" t="s">
        <v>1315</v>
      </c>
      <c r="D3198" s="36" t="s">
        <v>1227</v>
      </c>
      <c r="E3198" s="36" t="s">
        <v>1379</v>
      </c>
      <c r="J3198" s="87">
        <v>716100</v>
      </c>
      <c r="K3198" s="85">
        <v>2023</v>
      </c>
      <c r="L3198" s="85">
        <v>4</v>
      </c>
      <c r="M3198" s="36" t="s">
        <v>970</v>
      </c>
      <c r="N3198" s="1" t="s">
        <v>44</v>
      </c>
    </row>
    <row r="3199" spans="1:14">
      <c r="A3199" s="36" t="s">
        <v>33</v>
      </c>
      <c r="B3199" s="37">
        <v>45082</v>
      </c>
      <c r="C3199" s="36" t="s">
        <v>144</v>
      </c>
      <c r="D3199" s="36" t="s">
        <v>1340</v>
      </c>
      <c r="E3199" s="36" t="s">
        <v>1383</v>
      </c>
      <c r="G3199" s="87">
        <v>700000</v>
      </c>
      <c r="H3199" s="87">
        <v>70000</v>
      </c>
      <c r="I3199" s="87">
        <v>770000</v>
      </c>
      <c r="K3199" s="85">
        <v>2023</v>
      </c>
      <c r="L3199" s="85">
        <v>6</v>
      </c>
      <c r="N3199" s="1" t="s">
        <v>44</v>
      </c>
    </row>
    <row r="3200" spans="1:14">
      <c r="A3200" s="36" t="s">
        <v>19</v>
      </c>
      <c r="B3200" s="37">
        <v>45082</v>
      </c>
      <c r="C3200" s="36" t="s">
        <v>1306</v>
      </c>
      <c r="D3200" s="36" t="s">
        <v>1307</v>
      </c>
      <c r="E3200" s="36" t="s">
        <v>1380</v>
      </c>
      <c r="J3200" s="87">
        <v>30546450</v>
      </c>
      <c r="K3200" s="85">
        <v>2023</v>
      </c>
      <c r="L3200" s="85">
        <v>4</v>
      </c>
      <c r="N3200" s="1" t="s">
        <v>84</v>
      </c>
    </row>
    <row r="3201" spans="1:14">
      <c r="A3201" s="36" t="s">
        <v>32</v>
      </c>
      <c r="B3201" s="37">
        <v>45082</v>
      </c>
      <c r="C3201" s="36" t="s">
        <v>206</v>
      </c>
      <c r="D3201" s="36" t="s">
        <v>1157</v>
      </c>
      <c r="E3201" s="36" t="s">
        <v>1380</v>
      </c>
      <c r="J3201" s="87">
        <v>5426190</v>
      </c>
      <c r="K3201" s="85">
        <v>2023</v>
      </c>
      <c r="L3201" s="85">
        <v>4</v>
      </c>
      <c r="N3201" s="1" t="s">
        <v>44</v>
      </c>
    </row>
    <row r="3202" spans="1:14">
      <c r="A3202" s="36" t="s">
        <v>33</v>
      </c>
      <c r="B3202" s="37">
        <v>45082</v>
      </c>
      <c r="C3202" s="36" t="s">
        <v>1381</v>
      </c>
      <c r="D3202" s="36" t="s">
        <v>1340</v>
      </c>
      <c r="E3202" s="36" t="s">
        <v>1382</v>
      </c>
      <c r="G3202" s="87">
        <v>180000</v>
      </c>
      <c r="H3202" s="87">
        <v>18000</v>
      </c>
      <c r="I3202" s="87">
        <v>198000</v>
      </c>
      <c r="K3202" s="85">
        <v>2023</v>
      </c>
      <c r="L3202" s="85">
        <v>5</v>
      </c>
      <c r="N3202" s="1" t="s">
        <v>44</v>
      </c>
    </row>
    <row r="3203" spans="1:14">
      <c r="A3203" s="36" t="s">
        <v>33</v>
      </c>
      <c r="B3203" s="37">
        <v>45082</v>
      </c>
      <c r="C3203" s="36" t="s">
        <v>1381</v>
      </c>
      <c r="D3203" s="36" t="s">
        <v>1340</v>
      </c>
      <c r="E3203" s="36" t="s">
        <v>77</v>
      </c>
      <c r="J3203" s="38">
        <v>198000</v>
      </c>
      <c r="K3203" s="85">
        <v>2023</v>
      </c>
      <c r="L3203" s="85">
        <v>5</v>
      </c>
      <c r="N3203" s="1" t="s">
        <v>44</v>
      </c>
    </row>
    <row r="3204" spans="1:14">
      <c r="A3204" s="36" t="s">
        <v>32</v>
      </c>
      <c r="B3204" s="37">
        <v>45082</v>
      </c>
      <c r="C3204" s="36" t="s">
        <v>654</v>
      </c>
      <c r="D3204" s="36" t="s">
        <v>994</v>
      </c>
      <c r="E3204" s="36" t="s">
        <v>1379</v>
      </c>
      <c r="J3204" s="87">
        <v>9240000</v>
      </c>
      <c r="K3204" s="85">
        <v>2023</v>
      </c>
      <c r="L3204" s="85">
        <v>3</v>
      </c>
      <c r="N3204" s="1" t="s">
        <v>44</v>
      </c>
    </row>
    <row r="3205" spans="1:14">
      <c r="A3205" s="36" t="s">
        <v>32</v>
      </c>
      <c r="B3205" s="37">
        <v>45082</v>
      </c>
      <c r="C3205" s="36" t="s">
        <v>654</v>
      </c>
      <c r="D3205" s="36" t="s">
        <v>1337</v>
      </c>
      <c r="E3205" s="36" t="s">
        <v>1378</v>
      </c>
      <c r="J3205" s="87">
        <v>5847644</v>
      </c>
      <c r="K3205" s="85">
        <v>2023</v>
      </c>
      <c r="L3205" s="85">
        <v>4</v>
      </c>
      <c r="N3205" s="1" t="s">
        <v>44</v>
      </c>
    </row>
    <row r="3206" spans="1:14">
      <c r="A3206" s="36" t="s">
        <v>32</v>
      </c>
      <c r="B3206" s="37">
        <v>45082</v>
      </c>
      <c r="C3206" s="36" t="s">
        <v>654</v>
      </c>
      <c r="D3206" s="36" t="s">
        <v>1215</v>
      </c>
      <c r="E3206" s="36" t="s">
        <v>1379</v>
      </c>
      <c r="J3206" s="87">
        <v>19670541</v>
      </c>
      <c r="K3206" s="85">
        <v>2023</v>
      </c>
      <c r="L3206" s="85">
        <v>4</v>
      </c>
      <c r="N3206" s="1" t="s">
        <v>44</v>
      </c>
    </row>
    <row r="3207" spans="1:14">
      <c r="A3207" s="36" t="s">
        <v>32</v>
      </c>
      <c r="B3207" s="37">
        <v>45082</v>
      </c>
      <c r="C3207" s="36" t="s">
        <v>654</v>
      </c>
      <c r="D3207" s="36" t="s">
        <v>1219</v>
      </c>
      <c r="E3207" s="36" t="s">
        <v>1426</v>
      </c>
      <c r="J3207" s="87">
        <v>63308674</v>
      </c>
      <c r="K3207" s="85">
        <v>2023</v>
      </c>
      <c r="L3207" s="85">
        <v>4</v>
      </c>
      <c r="N3207" s="1" t="s">
        <v>44</v>
      </c>
    </row>
    <row r="3208" spans="1:14">
      <c r="A3208" s="36" t="s">
        <v>33</v>
      </c>
      <c r="B3208" s="37">
        <v>45084</v>
      </c>
      <c r="C3208" s="36" t="s">
        <v>1218</v>
      </c>
      <c r="D3208" s="36" t="s">
        <v>1384</v>
      </c>
      <c r="E3208" s="36" t="s">
        <v>77</v>
      </c>
      <c r="J3208" s="38">
        <v>2712600</v>
      </c>
      <c r="K3208" s="85">
        <v>2023</v>
      </c>
      <c r="L3208" s="85">
        <v>5</v>
      </c>
      <c r="N3208" s="1" t="s">
        <v>44</v>
      </c>
    </row>
    <row r="3209" spans="1:14">
      <c r="A3209" s="36" t="s">
        <v>33</v>
      </c>
      <c r="B3209" s="37">
        <v>45084</v>
      </c>
      <c r="C3209" s="36" t="s">
        <v>1218</v>
      </c>
      <c r="D3209" s="36" t="s">
        <v>1386</v>
      </c>
      <c r="E3209" s="36" t="s">
        <v>77</v>
      </c>
      <c r="J3209" s="38">
        <v>1760000</v>
      </c>
      <c r="K3209" s="85">
        <v>2023</v>
      </c>
      <c r="L3209" s="85">
        <v>5</v>
      </c>
      <c r="N3209" s="1" t="s">
        <v>44</v>
      </c>
    </row>
    <row r="3210" spans="1:14">
      <c r="A3210" s="36" t="s">
        <v>33</v>
      </c>
      <c r="B3210" s="37">
        <v>45084</v>
      </c>
      <c r="C3210" s="36" t="s">
        <v>1218</v>
      </c>
      <c r="D3210" s="36" t="s">
        <v>1388</v>
      </c>
      <c r="E3210" s="36" t="s">
        <v>77</v>
      </c>
      <c r="J3210" s="38">
        <v>2608650</v>
      </c>
      <c r="K3210" s="85">
        <v>2023</v>
      </c>
      <c r="L3210" s="85">
        <v>5</v>
      </c>
      <c r="N3210" s="1" t="s">
        <v>44</v>
      </c>
    </row>
    <row r="3211" spans="1:14">
      <c r="A3211" s="36" t="s">
        <v>33</v>
      </c>
      <c r="B3211" s="37">
        <v>45084</v>
      </c>
      <c r="C3211" s="36" t="s">
        <v>1218</v>
      </c>
      <c r="D3211" s="36" t="s">
        <v>1388</v>
      </c>
      <c r="E3211" s="36" t="s">
        <v>77</v>
      </c>
      <c r="J3211" s="38">
        <v>2346300</v>
      </c>
      <c r="K3211" s="85">
        <v>2023</v>
      </c>
      <c r="L3211" s="85">
        <v>5</v>
      </c>
      <c r="N3211" s="1" t="s">
        <v>44</v>
      </c>
    </row>
    <row r="3212" spans="1:14">
      <c r="A3212" s="36" t="s">
        <v>32</v>
      </c>
      <c r="B3212" s="37">
        <v>45086</v>
      </c>
      <c r="C3212" s="36" t="s">
        <v>672</v>
      </c>
      <c r="D3212" s="36" t="s">
        <v>1267</v>
      </c>
      <c r="E3212" s="36" t="s">
        <v>1426</v>
      </c>
      <c r="J3212" s="38">
        <v>6600000</v>
      </c>
      <c r="K3212" s="85">
        <v>2023</v>
      </c>
      <c r="L3212" s="85">
        <v>3</v>
      </c>
      <c r="N3212" s="1" t="s">
        <v>44</v>
      </c>
    </row>
    <row r="3213" spans="1:14">
      <c r="A3213" s="36" t="s">
        <v>32</v>
      </c>
      <c r="B3213" s="37">
        <v>45086</v>
      </c>
      <c r="C3213" s="36" t="s">
        <v>672</v>
      </c>
      <c r="D3213" s="36" t="s">
        <v>1267</v>
      </c>
      <c r="E3213" s="36" t="s">
        <v>1635</v>
      </c>
      <c r="J3213" s="38">
        <v>66000</v>
      </c>
      <c r="K3213" s="85">
        <v>2023</v>
      </c>
      <c r="L3213" s="85">
        <v>3</v>
      </c>
      <c r="N3213" s="1" t="s">
        <v>44</v>
      </c>
    </row>
    <row r="3214" spans="1:14">
      <c r="A3214" s="36" t="s">
        <v>19</v>
      </c>
      <c r="B3214" s="37">
        <v>45089</v>
      </c>
      <c r="C3214" s="36" t="s">
        <v>590</v>
      </c>
      <c r="D3214" s="36" t="s">
        <v>1011</v>
      </c>
      <c r="E3214" s="36" t="s">
        <v>148</v>
      </c>
      <c r="J3214" s="38">
        <v>10000000</v>
      </c>
      <c r="K3214" s="85">
        <v>2023</v>
      </c>
      <c r="L3214" s="85">
        <v>4</v>
      </c>
      <c r="N3214" s="1" t="s">
        <v>44</v>
      </c>
    </row>
    <row r="3215" spans="1:14">
      <c r="A3215" s="36" t="s">
        <v>32</v>
      </c>
      <c r="B3215" s="37">
        <v>45089</v>
      </c>
      <c r="C3215" s="36" t="s">
        <v>1396</v>
      </c>
      <c r="D3215" s="36" t="s">
        <v>1419</v>
      </c>
      <c r="E3215" s="36" t="s">
        <v>1425</v>
      </c>
      <c r="J3215" s="87">
        <v>1980000</v>
      </c>
      <c r="K3215" s="85">
        <v>2023</v>
      </c>
      <c r="L3215" s="85">
        <v>5</v>
      </c>
      <c r="N3215" s="1" t="s">
        <v>44</v>
      </c>
    </row>
    <row r="3216" spans="1:14">
      <c r="A3216" s="36" t="s">
        <v>32</v>
      </c>
      <c r="B3216" s="37">
        <v>45089</v>
      </c>
      <c r="C3216" s="36" t="s">
        <v>1396</v>
      </c>
      <c r="D3216" s="36" t="s">
        <v>1419</v>
      </c>
      <c r="E3216" s="36" t="s">
        <v>1425</v>
      </c>
      <c r="J3216" s="87">
        <v>2200000</v>
      </c>
      <c r="K3216" s="85">
        <v>2023</v>
      </c>
      <c r="L3216" s="85">
        <v>5</v>
      </c>
      <c r="N3216" s="1" t="s">
        <v>44</v>
      </c>
    </row>
    <row r="3217" spans="1:14">
      <c r="A3217" s="36" t="s">
        <v>32</v>
      </c>
      <c r="B3217" s="37">
        <v>45090</v>
      </c>
      <c r="C3217" s="36" t="s">
        <v>209</v>
      </c>
      <c r="D3217" s="36" t="s">
        <v>1048</v>
      </c>
      <c r="E3217" s="36" t="s">
        <v>1425</v>
      </c>
      <c r="J3217" s="87">
        <v>7088070</v>
      </c>
      <c r="K3217" s="85">
        <v>2023</v>
      </c>
      <c r="L3217" s="85">
        <v>5</v>
      </c>
      <c r="N3217" s="1" t="s">
        <v>44</v>
      </c>
    </row>
    <row r="3218" spans="1:14">
      <c r="A3218" s="36" t="s">
        <v>32</v>
      </c>
      <c r="B3218" s="37">
        <v>45090</v>
      </c>
      <c r="C3218" s="36" t="s">
        <v>209</v>
      </c>
      <c r="D3218" s="36" t="s">
        <v>1412</v>
      </c>
      <c r="E3218" s="36" t="s">
        <v>148</v>
      </c>
      <c r="J3218" s="87">
        <v>616000</v>
      </c>
      <c r="K3218" s="85">
        <v>2023</v>
      </c>
      <c r="L3218" s="85">
        <v>5</v>
      </c>
      <c r="N3218" s="1" t="s">
        <v>44</v>
      </c>
    </row>
    <row r="3219" spans="1:14">
      <c r="A3219" s="36" t="s">
        <v>32</v>
      </c>
      <c r="B3219" s="37">
        <v>45090</v>
      </c>
      <c r="C3219" s="36" t="s">
        <v>888</v>
      </c>
      <c r="D3219" s="36" t="s">
        <v>1471</v>
      </c>
      <c r="E3219" s="36" t="s">
        <v>76</v>
      </c>
      <c r="G3219" s="87">
        <v>2508350</v>
      </c>
      <c r="H3219" s="87">
        <v>250835</v>
      </c>
      <c r="I3219" s="87">
        <v>2759185</v>
      </c>
      <c r="K3219" s="85">
        <v>2023</v>
      </c>
      <c r="L3219" s="85">
        <v>6</v>
      </c>
      <c r="N3219" s="1" t="s">
        <v>44</v>
      </c>
    </row>
    <row r="3220" spans="1:14">
      <c r="A3220" s="36" t="s">
        <v>32</v>
      </c>
      <c r="B3220" s="37">
        <v>45090</v>
      </c>
      <c r="C3220" s="36" t="s">
        <v>888</v>
      </c>
      <c r="D3220" s="36" t="s">
        <v>1471</v>
      </c>
      <c r="E3220" s="36" t="s">
        <v>77</v>
      </c>
      <c r="J3220" s="38">
        <v>2759185</v>
      </c>
      <c r="K3220" s="85">
        <v>2023</v>
      </c>
      <c r="L3220" s="85">
        <v>6</v>
      </c>
      <c r="N3220" s="1" t="s">
        <v>44</v>
      </c>
    </row>
    <row r="3221" spans="1:14">
      <c r="A3221" s="36" t="s">
        <v>32</v>
      </c>
      <c r="B3221" s="37">
        <v>45091</v>
      </c>
      <c r="C3221" s="36" t="s">
        <v>188</v>
      </c>
      <c r="D3221" s="36" t="s">
        <v>1219</v>
      </c>
      <c r="E3221" s="36" t="s">
        <v>1426</v>
      </c>
      <c r="J3221" s="87">
        <v>36100350</v>
      </c>
      <c r="K3221" s="85">
        <v>2023</v>
      </c>
      <c r="L3221" s="85">
        <v>4</v>
      </c>
      <c r="N3221" s="1" t="s">
        <v>44</v>
      </c>
    </row>
    <row r="3222" spans="1:14">
      <c r="A3222" s="36" t="s">
        <v>32</v>
      </c>
      <c r="B3222" s="37">
        <v>45091</v>
      </c>
      <c r="C3222" s="36" t="s">
        <v>654</v>
      </c>
      <c r="D3222" s="36" t="s">
        <v>994</v>
      </c>
      <c r="E3222" s="36" t="s">
        <v>1426</v>
      </c>
      <c r="J3222" s="87">
        <v>29042860</v>
      </c>
      <c r="K3222" s="85">
        <v>2023</v>
      </c>
      <c r="L3222" s="85">
        <v>4</v>
      </c>
      <c r="N3222" s="1" t="s">
        <v>44</v>
      </c>
    </row>
    <row r="3223" spans="1:14">
      <c r="A3223" s="36" t="s">
        <v>32</v>
      </c>
      <c r="B3223" s="37">
        <v>45092</v>
      </c>
      <c r="C3223" s="36" t="s">
        <v>1266</v>
      </c>
      <c r="D3223" s="36" t="s">
        <v>1277</v>
      </c>
      <c r="E3223" s="36" t="s">
        <v>1432</v>
      </c>
      <c r="J3223" s="87">
        <v>7337000</v>
      </c>
      <c r="K3223" s="85">
        <v>2023</v>
      </c>
      <c r="L3223" s="85">
        <v>5</v>
      </c>
      <c r="N3223" s="1" t="s">
        <v>44</v>
      </c>
    </row>
    <row r="3224" spans="1:14">
      <c r="A3224" s="36" t="s">
        <v>32</v>
      </c>
      <c r="B3224" s="37">
        <v>45092</v>
      </c>
      <c r="C3224" s="36" t="s">
        <v>677</v>
      </c>
      <c r="D3224" s="36" t="s">
        <v>678</v>
      </c>
      <c r="E3224" s="36" t="s">
        <v>1427</v>
      </c>
      <c r="J3224" s="87">
        <v>15537500</v>
      </c>
      <c r="K3224" s="85">
        <v>2023</v>
      </c>
      <c r="L3224" s="85">
        <v>5</v>
      </c>
      <c r="N3224" s="1" t="s">
        <v>44</v>
      </c>
    </row>
    <row r="3225" spans="1:14">
      <c r="A3225" s="36" t="s">
        <v>32</v>
      </c>
      <c r="B3225" s="37">
        <v>45092</v>
      </c>
      <c r="C3225" s="36" t="s">
        <v>552</v>
      </c>
      <c r="D3225" s="36" t="s">
        <v>1345</v>
      </c>
      <c r="E3225" s="36" t="s">
        <v>148</v>
      </c>
      <c r="J3225" s="38">
        <v>36978150</v>
      </c>
      <c r="K3225" s="85">
        <v>2023</v>
      </c>
      <c r="L3225" s="85">
        <v>5</v>
      </c>
      <c r="N3225" s="1" t="s">
        <v>44</v>
      </c>
    </row>
    <row r="3226" spans="1:14">
      <c r="A3226" s="36" t="s">
        <v>32</v>
      </c>
      <c r="B3226" s="37">
        <v>45092</v>
      </c>
      <c r="C3226" s="36" t="s">
        <v>268</v>
      </c>
      <c r="D3226" s="36" t="s">
        <v>1361</v>
      </c>
      <c r="E3226" s="36" t="s">
        <v>1427</v>
      </c>
      <c r="J3226" s="38">
        <v>45875412</v>
      </c>
      <c r="K3226" s="85">
        <v>2023</v>
      </c>
      <c r="L3226" s="85">
        <v>5</v>
      </c>
      <c r="N3226" s="1" t="s">
        <v>44</v>
      </c>
    </row>
    <row r="3227" spans="1:14">
      <c r="A3227" s="36" t="s">
        <v>33</v>
      </c>
      <c r="B3227" s="37">
        <v>45092</v>
      </c>
      <c r="C3227" s="36" t="s">
        <v>912</v>
      </c>
      <c r="D3227" s="36" t="s">
        <v>1918</v>
      </c>
      <c r="E3227" s="36" t="s">
        <v>1426</v>
      </c>
      <c r="J3227" s="87">
        <v>6303269.5</v>
      </c>
      <c r="K3227" s="85">
        <v>2023</v>
      </c>
      <c r="L3227" s="85">
        <v>5</v>
      </c>
      <c r="M3227" s="36" t="s">
        <v>1376</v>
      </c>
      <c r="N3227" s="1" t="s">
        <v>44</v>
      </c>
    </row>
    <row r="3228" spans="1:14">
      <c r="A3228" s="36" t="s">
        <v>32</v>
      </c>
      <c r="B3228" s="37">
        <v>45093</v>
      </c>
      <c r="C3228" s="36" t="s">
        <v>677</v>
      </c>
      <c r="D3228" s="36" t="s">
        <v>825</v>
      </c>
      <c r="E3228" s="36" t="s">
        <v>1427</v>
      </c>
      <c r="J3228" s="87">
        <v>43668900</v>
      </c>
      <c r="K3228" s="85">
        <v>2023</v>
      </c>
      <c r="L3228" s="85">
        <v>5</v>
      </c>
      <c r="N3228" s="1" t="s">
        <v>44</v>
      </c>
    </row>
    <row r="3229" spans="1:14">
      <c r="A3229" s="36" t="s">
        <v>32</v>
      </c>
      <c r="B3229" s="37">
        <v>45096</v>
      </c>
      <c r="C3229" s="36" t="s">
        <v>209</v>
      </c>
      <c r="D3229" s="36" t="s">
        <v>1411</v>
      </c>
      <c r="E3229" s="36" t="s">
        <v>1440</v>
      </c>
      <c r="J3229" s="38">
        <v>10679504</v>
      </c>
      <c r="K3229" s="85">
        <v>2023</v>
      </c>
      <c r="L3229" s="85">
        <v>5</v>
      </c>
      <c r="N3229" s="1" t="s">
        <v>44</v>
      </c>
    </row>
    <row r="3230" spans="1:14">
      <c r="A3230" s="36" t="s">
        <v>32</v>
      </c>
      <c r="B3230" s="37">
        <v>45096</v>
      </c>
      <c r="C3230" s="36" t="s">
        <v>209</v>
      </c>
      <c r="D3230" s="36" t="s">
        <v>1537</v>
      </c>
      <c r="E3230" s="36" t="s">
        <v>1491</v>
      </c>
      <c r="G3230" s="87">
        <v>9708640</v>
      </c>
      <c r="H3230" s="87">
        <v>970864</v>
      </c>
      <c r="I3230" s="87">
        <v>10679504</v>
      </c>
      <c r="K3230" s="85">
        <v>2023</v>
      </c>
      <c r="L3230" s="85">
        <v>6</v>
      </c>
      <c r="N3230" s="1" t="s">
        <v>44</v>
      </c>
    </row>
    <row r="3231" spans="1:14">
      <c r="A3231" s="36" t="s">
        <v>33</v>
      </c>
      <c r="B3231" s="37">
        <v>45096</v>
      </c>
      <c r="C3231" s="36" t="s">
        <v>1429</v>
      </c>
      <c r="D3231" s="36" t="s">
        <v>1431</v>
      </c>
      <c r="E3231" s="36" t="s">
        <v>1430</v>
      </c>
      <c r="G3231" s="87">
        <v>7009900</v>
      </c>
      <c r="H3231" s="87">
        <v>700990</v>
      </c>
      <c r="I3231" s="87">
        <v>7710890</v>
      </c>
      <c r="K3231" s="85">
        <v>2023</v>
      </c>
      <c r="L3231" s="85">
        <v>6</v>
      </c>
      <c r="N3231" s="1" t="s">
        <v>44</v>
      </c>
    </row>
    <row r="3232" spans="1:14">
      <c r="A3232" s="36" t="s">
        <v>33</v>
      </c>
      <c r="B3232" s="37">
        <v>45096</v>
      </c>
      <c r="C3232" s="36" t="s">
        <v>1429</v>
      </c>
      <c r="D3232" s="36" t="s">
        <v>1431</v>
      </c>
      <c r="E3232" s="36" t="s">
        <v>77</v>
      </c>
      <c r="J3232" s="38">
        <v>7710890</v>
      </c>
      <c r="K3232" s="85">
        <v>2023</v>
      </c>
      <c r="L3232" s="85">
        <v>6</v>
      </c>
      <c r="N3232" s="1" t="s">
        <v>44</v>
      </c>
    </row>
    <row r="3233" spans="1:14">
      <c r="A3233" s="36" t="s">
        <v>32</v>
      </c>
      <c r="B3233" s="37">
        <v>45098</v>
      </c>
      <c r="C3233" s="36" t="s">
        <v>1399</v>
      </c>
      <c r="D3233" s="36" t="s">
        <v>1413</v>
      </c>
      <c r="E3233" s="36" t="s">
        <v>1428</v>
      </c>
      <c r="J3233" s="87">
        <v>13937000</v>
      </c>
      <c r="K3233" s="85">
        <v>2023</v>
      </c>
      <c r="L3233" s="85">
        <v>5</v>
      </c>
      <c r="N3233" s="1" t="s">
        <v>44</v>
      </c>
    </row>
    <row r="3234" spans="1:14">
      <c r="A3234" s="36" t="s">
        <v>32</v>
      </c>
      <c r="B3234" s="37">
        <v>45098</v>
      </c>
      <c r="C3234" s="36" t="s">
        <v>1461</v>
      </c>
      <c r="D3234" s="36" t="s">
        <v>1490</v>
      </c>
      <c r="E3234" s="36" t="s">
        <v>1417</v>
      </c>
      <c r="G3234" s="87">
        <v>1250000</v>
      </c>
      <c r="H3234" s="87">
        <v>125000</v>
      </c>
      <c r="I3234" s="87">
        <v>1375000</v>
      </c>
      <c r="K3234" s="85">
        <v>2023</v>
      </c>
      <c r="L3234" s="85">
        <v>6</v>
      </c>
      <c r="N3234" s="1" t="s">
        <v>44</v>
      </c>
    </row>
    <row r="3235" spans="1:14">
      <c r="A3235" s="36" t="s">
        <v>33</v>
      </c>
      <c r="B3235" s="37">
        <v>45099</v>
      </c>
      <c r="C3235" s="36" t="s">
        <v>971</v>
      </c>
      <c r="D3235" s="36" t="s">
        <v>1442</v>
      </c>
      <c r="E3235" s="36" t="s">
        <v>1031</v>
      </c>
      <c r="G3235" s="87">
        <v>8334250</v>
      </c>
      <c r="H3235" s="87">
        <v>833425</v>
      </c>
      <c r="I3235" s="87">
        <v>9167675</v>
      </c>
      <c r="K3235" s="85">
        <v>2023</v>
      </c>
      <c r="L3235" s="85">
        <v>6</v>
      </c>
      <c r="N3235" s="1" t="s">
        <v>44</v>
      </c>
    </row>
    <row r="3236" spans="1:14">
      <c r="A3236" s="36" t="s">
        <v>32</v>
      </c>
      <c r="B3236" s="37">
        <v>45103</v>
      </c>
      <c r="C3236" s="36" t="s">
        <v>1332</v>
      </c>
      <c r="D3236" s="36" t="s">
        <v>1341</v>
      </c>
      <c r="E3236" s="36" t="s">
        <v>1432</v>
      </c>
      <c r="J3236" s="87">
        <v>18007000</v>
      </c>
      <c r="K3236" s="85">
        <v>2023</v>
      </c>
      <c r="L3236" s="85">
        <v>5</v>
      </c>
      <c r="N3236" s="1" t="s">
        <v>44</v>
      </c>
    </row>
    <row r="3237" spans="1:14">
      <c r="A3237" s="36" t="s">
        <v>32</v>
      </c>
      <c r="B3237" s="37">
        <v>45103</v>
      </c>
      <c r="C3237" s="36" t="s">
        <v>552</v>
      </c>
      <c r="D3237" s="36" t="s">
        <v>1011</v>
      </c>
      <c r="E3237" s="36" t="s">
        <v>148</v>
      </c>
      <c r="J3237" s="38">
        <v>44034168</v>
      </c>
      <c r="K3237" s="85">
        <v>2023</v>
      </c>
      <c r="L3237" s="85">
        <v>5</v>
      </c>
      <c r="N3237" s="1" t="s">
        <v>44</v>
      </c>
    </row>
    <row r="3238" spans="1:14">
      <c r="A3238" s="36" t="s">
        <v>32</v>
      </c>
      <c r="B3238" s="37">
        <v>45103</v>
      </c>
      <c r="C3238" s="36" t="s">
        <v>1462</v>
      </c>
      <c r="D3238" s="36" t="s">
        <v>1471</v>
      </c>
      <c r="E3238" s="36" t="s">
        <v>76</v>
      </c>
      <c r="G3238" s="87">
        <v>22575150</v>
      </c>
      <c r="H3238" s="87">
        <v>2257515</v>
      </c>
      <c r="I3238" s="87">
        <v>24832665</v>
      </c>
      <c r="K3238" s="85">
        <v>2023</v>
      </c>
      <c r="L3238" s="85">
        <v>6</v>
      </c>
      <c r="N3238" s="1" t="s">
        <v>44</v>
      </c>
    </row>
    <row r="3239" spans="1:14">
      <c r="A3239" s="36" t="s">
        <v>33</v>
      </c>
      <c r="B3239" s="37">
        <v>45105</v>
      </c>
      <c r="C3239" s="36" t="s">
        <v>1429</v>
      </c>
      <c r="D3239" s="36" t="s">
        <v>1412</v>
      </c>
      <c r="E3239" s="36" t="s">
        <v>1435</v>
      </c>
      <c r="G3239" s="87">
        <v>804080</v>
      </c>
      <c r="H3239" s="87">
        <v>80408</v>
      </c>
      <c r="I3239" s="87">
        <v>884488</v>
      </c>
      <c r="K3239" s="85">
        <v>2023</v>
      </c>
      <c r="L3239" s="85">
        <v>6</v>
      </c>
      <c r="N3239" s="1" t="s">
        <v>44</v>
      </c>
    </row>
    <row r="3240" spans="1:14">
      <c r="A3240" s="36" t="s">
        <v>32</v>
      </c>
      <c r="B3240" s="37">
        <v>45105</v>
      </c>
      <c r="C3240" s="36" t="s">
        <v>1463</v>
      </c>
      <c r="D3240" s="36" t="s">
        <v>1472</v>
      </c>
      <c r="E3240" s="36" t="s">
        <v>76</v>
      </c>
      <c r="G3240" s="87">
        <v>3000000</v>
      </c>
      <c r="H3240" s="87">
        <v>300000</v>
      </c>
      <c r="I3240" s="87">
        <v>3300000</v>
      </c>
      <c r="K3240" s="85">
        <v>2023</v>
      </c>
      <c r="L3240" s="85">
        <v>6</v>
      </c>
      <c r="N3240" s="1" t="s">
        <v>44</v>
      </c>
    </row>
    <row r="3241" spans="1:14">
      <c r="A3241" s="36" t="s">
        <v>32</v>
      </c>
      <c r="B3241" s="37">
        <v>45105</v>
      </c>
      <c r="C3241" s="36" t="s">
        <v>1463</v>
      </c>
      <c r="D3241" s="36" t="s">
        <v>1472</v>
      </c>
      <c r="E3241" s="36" t="s">
        <v>77</v>
      </c>
      <c r="J3241" s="38">
        <v>3300000</v>
      </c>
      <c r="K3241" s="85">
        <v>2023</v>
      </c>
      <c r="L3241" s="85">
        <v>6</v>
      </c>
      <c r="N3241" s="1" t="s">
        <v>44</v>
      </c>
    </row>
    <row r="3242" spans="1:14">
      <c r="A3242" s="36" t="s">
        <v>32</v>
      </c>
      <c r="B3242" s="37">
        <v>45107</v>
      </c>
      <c r="C3242" s="36" t="s">
        <v>760</v>
      </c>
      <c r="D3242" s="36" t="s">
        <v>930</v>
      </c>
      <c r="E3242" s="36" t="s">
        <v>76</v>
      </c>
      <c r="G3242" s="87">
        <v>6338400</v>
      </c>
      <c r="H3242" s="87">
        <v>633840</v>
      </c>
      <c r="I3242" s="87">
        <v>6972240</v>
      </c>
      <c r="K3242" s="85">
        <v>2023</v>
      </c>
      <c r="L3242" s="85">
        <v>6</v>
      </c>
      <c r="N3242" s="1" t="s">
        <v>44</v>
      </c>
    </row>
    <row r="3243" spans="1:14">
      <c r="A3243" s="36" t="s">
        <v>32</v>
      </c>
      <c r="B3243" s="37">
        <v>45107</v>
      </c>
      <c r="C3243" s="36" t="s">
        <v>664</v>
      </c>
      <c r="D3243" s="36" t="s">
        <v>1489</v>
      </c>
      <c r="E3243" s="36" t="s">
        <v>76</v>
      </c>
      <c r="G3243" s="87">
        <v>29000000</v>
      </c>
      <c r="H3243" s="87">
        <v>2900000</v>
      </c>
      <c r="I3243" s="87">
        <v>31900000</v>
      </c>
      <c r="K3243" s="85">
        <v>2023</v>
      </c>
      <c r="L3243" s="85">
        <v>6</v>
      </c>
      <c r="N3243" s="1" t="s">
        <v>44</v>
      </c>
    </row>
    <row r="3244" spans="1:14">
      <c r="A3244" s="36" t="s">
        <v>32</v>
      </c>
      <c r="B3244" s="37">
        <v>45107</v>
      </c>
      <c r="C3244" s="36" t="s">
        <v>174</v>
      </c>
      <c r="D3244" s="36" t="s">
        <v>1155</v>
      </c>
      <c r="E3244" s="36" t="s">
        <v>76</v>
      </c>
      <c r="G3244" s="87">
        <v>9450000</v>
      </c>
      <c r="H3244" s="87">
        <v>945000</v>
      </c>
      <c r="I3244" s="87">
        <v>10395000</v>
      </c>
      <c r="K3244" s="85">
        <v>2023</v>
      </c>
      <c r="L3244" s="85">
        <v>6</v>
      </c>
      <c r="N3244" s="1" t="s">
        <v>44</v>
      </c>
    </row>
    <row r="3245" spans="1:14">
      <c r="A3245" s="36" t="s">
        <v>32</v>
      </c>
      <c r="B3245" s="37">
        <v>45107</v>
      </c>
      <c r="C3245" s="36" t="s">
        <v>174</v>
      </c>
      <c r="D3245" s="36" t="s">
        <v>1423</v>
      </c>
      <c r="E3245" s="36" t="s">
        <v>76</v>
      </c>
      <c r="G3245" s="87">
        <v>42610200</v>
      </c>
      <c r="H3245" s="87">
        <v>4261020</v>
      </c>
      <c r="I3245" s="87">
        <v>46871220</v>
      </c>
      <c r="K3245" s="85">
        <v>2023</v>
      </c>
      <c r="L3245" s="85">
        <v>6</v>
      </c>
      <c r="N3245" s="1" t="s">
        <v>44</v>
      </c>
    </row>
    <row r="3246" spans="1:14">
      <c r="A3246" s="36" t="s">
        <v>32</v>
      </c>
      <c r="B3246" s="37">
        <v>45107</v>
      </c>
      <c r="C3246" s="36" t="s">
        <v>209</v>
      </c>
      <c r="D3246" s="36" t="s">
        <v>1885</v>
      </c>
      <c r="E3246" s="36" t="s">
        <v>1551</v>
      </c>
      <c r="G3246" s="87">
        <v>11428200</v>
      </c>
      <c r="H3246" s="87">
        <v>1142820</v>
      </c>
      <c r="I3246" s="87">
        <v>12571020</v>
      </c>
      <c r="K3246" s="85">
        <v>2023</v>
      </c>
      <c r="L3246" s="85">
        <v>6</v>
      </c>
      <c r="N3246" s="1" t="s">
        <v>44</v>
      </c>
    </row>
    <row r="3247" spans="1:14">
      <c r="A3247" s="36" t="s">
        <v>32</v>
      </c>
      <c r="B3247" s="37">
        <v>45107</v>
      </c>
      <c r="C3247" s="36" t="s">
        <v>209</v>
      </c>
      <c r="D3247" s="36" t="s">
        <v>1699</v>
      </c>
      <c r="E3247" s="36" t="s">
        <v>76</v>
      </c>
      <c r="G3247" s="87">
        <v>31059900</v>
      </c>
      <c r="H3247" s="87">
        <v>3105990</v>
      </c>
      <c r="I3247" s="87">
        <v>34165890</v>
      </c>
      <c r="K3247" s="85">
        <v>2023</v>
      </c>
      <c r="L3247" s="85">
        <v>6</v>
      </c>
      <c r="N3247" s="1" t="s">
        <v>44</v>
      </c>
    </row>
    <row r="3248" spans="1:14">
      <c r="A3248" s="36" t="s">
        <v>32</v>
      </c>
      <c r="B3248" s="37">
        <v>45107</v>
      </c>
      <c r="C3248" s="36" t="s">
        <v>209</v>
      </c>
      <c r="D3248" s="36" t="s">
        <v>1048</v>
      </c>
      <c r="E3248" s="36" t="s">
        <v>76</v>
      </c>
      <c r="G3248" s="87">
        <v>7004500</v>
      </c>
      <c r="H3248" s="87">
        <v>700450</v>
      </c>
      <c r="I3248" s="87">
        <v>7704950</v>
      </c>
      <c r="K3248" s="85">
        <v>2023</v>
      </c>
      <c r="L3248" s="85">
        <v>6</v>
      </c>
      <c r="N3248" s="1" t="s">
        <v>44</v>
      </c>
    </row>
    <row r="3249" spans="1:14">
      <c r="A3249" s="36" t="s">
        <v>32</v>
      </c>
      <c r="B3249" s="37">
        <v>45107</v>
      </c>
      <c r="C3249" s="36" t="s">
        <v>209</v>
      </c>
      <c r="D3249" s="36" t="s">
        <v>1412</v>
      </c>
      <c r="E3249" s="36" t="s">
        <v>76</v>
      </c>
      <c r="G3249" s="87">
        <v>12880000</v>
      </c>
      <c r="H3249" s="87">
        <v>1288000</v>
      </c>
      <c r="I3249" s="87">
        <v>14168000</v>
      </c>
      <c r="K3249" s="85">
        <v>2023</v>
      </c>
      <c r="L3249" s="85">
        <v>6</v>
      </c>
      <c r="N3249" s="1" t="s">
        <v>44</v>
      </c>
    </row>
    <row r="3250" spans="1:14">
      <c r="A3250" s="36" t="s">
        <v>33</v>
      </c>
      <c r="B3250" s="37">
        <v>45107</v>
      </c>
      <c r="C3250" s="36" t="s">
        <v>1439</v>
      </c>
      <c r="D3250" s="36" t="s">
        <v>1048</v>
      </c>
      <c r="E3250" s="36" t="s">
        <v>157</v>
      </c>
      <c r="G3250" s="87">
        <v>280000</v>
      </c>
      <c r="H3250" s="87">
        <v>28000</v>
      </c>
      <c r="I3250" s="87">
        <v>308000</v>
      </c>
      <c r="K3250" s="85">
        <v>2023</v>
      </c>
      <c r="L3250" s="85">
        <v>6</v>
      </c>
      <c r="N3250" s="1" t="s">
        <v>44</v>
      </c>
    </row>
    <row r="3251" spans="1:14">
      <c r="A3251" s="36" t="s">
        <v>33</v>
      </c>
      <c r="B3251" s="37">
        <v>45107</v>
      </c>
      <c r="C3251" s="36" t="s">
        <v>96</v>
      </c>
      <c r="D3251" s="36" t="s">
        <v>1423</v>
      </c>
      <c r="E3251" s="36" t="s">
        <v>97</v>
      </c>
      <c r="G3251" s="87">
        <v>210000</v>
      </c>
      <c r="H3251" s="87">
        <v>21000</v>
      </c>
      <c r="I3251" s="87">
        <v>231000</v>
      </c>
      <c r="K3251" s="85">
        <v>2023</v>
      </c>
      <c r="L3251" s="85">
        <v>6</v>
      </c>
      <c r="N3251" s="1" t="s">
        <v>44</v>
      </c>
    </row>
    <row r="3252" spans="1:14">
      <c r="A3252" s="36" t="s">
        <v>32</v>
      </c>
      <c r="B3252" s="37">
        <v>45107</v>
      </c>
      <c r="C3252" s="36" t="s">
        <v>672</v>
      </c>
      <c r="D3252" s="36" t="s">
        <v>1267</v>
      </c>
      <c r="E3252" s="36" t="s">
        <v>148</v>
      </c>
      <c r="J3252" s="87">
        <v>3850000</v>
      </c>
      <c r="K3252" s="85">
        <v>2023</v>
      </c>
      <c r="L3252" s="85">
        <v>5</v>
      </c>
      <c r="N3252" s="1" t="s">
        <v>44</v>
      </c>
    </row>
    <row r="3253" spans="1:14">
      <c r="A3253" s="36" t="s">
        <v>32</v>
      </c>
      <c r="B3253" s="37">
        <v>45107</v>
      </c>
      <c r="C3253" s="36" t="s">
        <v>672</v>
      </c>
      <c r="D3253" s="36" t="s">
        <v>1267</v>
      </c>
      <c r="E3253" s="36" t="s">
        <v>76</v>
      </c>
      <c r="G3253" s="87">
        <v>1500000</v>
      </c>
      <c r="H3253" s="87">
        <v>150000</v>
      </c>
      <c r="I3253" s="87">
        <v>1650000</v>
      </c>
      <c r="K3253" s="85">
        <v>2023</v>
      </c>
      <c r="L3253" s="85">
        <v>6</v>
      </c>
      <c r="N3253" s="1" t="s">
        <v>44</v>
      </c>
    </row>
    <row r="3254" spans="1:14">
      <c r="A3254" s="36" t="s">
        <v>32</v>
      </c>
      <c r="B3254" s="37">
        <v>45107</v>
      </c>
      <c r="C3254" s="36" t="s">
        <v>1332</v>
      </c>
      <c r="D3254" s="36" t="s">
        <v>1341</v>
      </c>
      <c r="E3254" s="36" t="s">
        <v>76</v>
      </c>
      <c r="G3254" s="87">
        <v>37630000</v>
      </c>
      <c r="H3254" s="87">
        <v>3763000</v>
      </c>
      <c r="I3254" s="87">
        <v>41393000</v>
      </c>
      <c r="K3254" s="85">
        <v>2023</v>
      </c>
      <c r="L3254" s="85">
        <v>6</v>
      </c>
      <c r="N3254" s="1" t="s">
        <v>44</v>
      </c>
    </row>
    <row r="3255" spans="1:14">
      <c r="A3255" s="36" t="s">
        <v>32</v>
      </c>
      <c r="B3255" s="37">
        <v>45107</v>
      </c>
      <c r="C3255" s="36" t="s">
        <v>1332</v>
      </c>
      <c r="D3255" s="36" t="s">
        <v>1341</v>
      </c>
      <c r="E3255" s="36" t="s">
        <v>1508</v>
      </c>
      <c r="J3255" s="87">
        <v>41393000</v>
      </c>
      <c r="K3255" s="85">
        <v>2023</v>
      </c>
      <c r="L3255" s="85">
        <v>6</v>
      </c>
      <c r="N3255" s="1" t="s">
        <v>44</v>
      </c>
    </row>
    <row r="3256" spans="1:14">
      <c r="A3256" s="36" t="s">
        <v>32</v>
      </c>
      <c r="B3256" s="37">
        <v>45107</v>
      </c>
      <c r="C3256" s="36" t="s">
        <v>204</v>
      </c>
      <c r="D3256" s="36" t="s">
        <v>1482</v>
      </c>
      <c r="E3256" s="36" t="s">
        <v>76</v>
      </c>
      <c r="G3256" s="87">
        <v>5961600</v>
      </c>
      <c r="H3256" s="87">
        <v>596160</v>
      </c>
      <c r="I3256" s="87">
        <v>6557760</v>
      </c>
      <c r="K3256" s="85">
        <v>2023</v>
      </c>
      <c r="L3256" s="85">
        <v>6</v>
      </c>
      <c r="N3256" s="1" t="s">
        <v>44</v>
      </c>
    </row>
    <row r="3257" spans="1:14">
      <c r="A3257" s="36" t="s">
        <v>32</v>
      </c>
      <c r="B3257" s="37">
        <v>45107</v>
      </c>
      <c r="C3257" s="36" t="s">
        <v>204</v>
      </c>
      <c r="D3257" s="36" t="s">
        <v>1273</v>
      </c>
      <c r="E3257" s="36" t="s">
        <v>76</v>
      </c>
      <c r="G3257" s="87">
        <v>16429400</v>
      </c>
      <c r="H3257" s="87">
        <v>1642940</v>
      </c>
      <c r="I3257" s="87">
        <v>18072340</v>
      </c>
      <c r="K3257" s="85">
        <v>2023</v>
      </c>
      <c r="L3257" s="85">
        <v>6</v>
      </c>
      <c r="N3257" s="1" t="s">
        <v>44</v>
      </c>
    </row>
    <row r="3258" spans="1:14">
      <c r="A3258" s="36" t="s">
        <v>32</v>
      </c>
      <c r="B3258" s="37">
        <v>45107</v>
      </c>
      <c r="C3258" s="36" t="s">
        <v>925</v>
      </c>
      <c r="D3258" s="36" t="s">
        <v>926</v>
      </c>
      <c r="E3258" s="36" t="s">
        <v>76</v>
      </c>
      <c r="G3258" s="87">
        <v>2300000</v>
      </c>
      <c r="H3258" s="87">
        <v>230000</v>
      </c>
      <c r="I3258" s="87">
        <v>2530000</v>
      </c>
      <c r="K3258" s="85">
        <v>2023</v>
      </c>
      <c r="L3258" s="85">
        <v>6</v>
      </c>
      <c r="N3258" s="1" t="s">
        <v>44</v>
      </c>
    </row>
    <row r="3259" spans="1:14">
      <c r="A3259" s="36" t="s">
        <v>32</v>
      </c>
      <c r="B3259" s="37">
        <v>45107</v>
      </c>
      <c r="C3259" s="36" t="s">
        <v>925</v>
      </c>
      <c r="D3259" s="36" t="s">
        <v>926</v>
      </c>
      <c r="E3259" s="36" t="s">
        <v>76</v>
      </c>
      <c r="G3259" s="87">
        <v>238700</v>
      </c>
      <c r="H3259" s="87">
        <v>23870</v>
      </c>
      <c r="I3259" s="87">
        <v>262570</v>
      </c>
      <c r="K3259" s="85">
        <v>2023</v>
      </c>
      <c r="L3259" s="85">
        <v>6</v>
      </c>
      <c r="N3259" s="1" t="s">
        <v>44</v>
      </c>
    </row>
    <row r="3260" spans="1:14">
      <c r="A3260" s="36" t="s">
        <v>32</v>
      </c>
      <c r="B3260" s="37">
        <v>45107</v>
      </c>
      <c r="C3260" s="36" t="s">
        <v>1470</v>
      </c>
      <c r="D3260" s="36" t="s">
        <v>1487</v>
      </c>
      <c r="E3260" s="36" t="s">
        <v>76</v>
      </c>
      <c r="G3260" s="87">
        <v>120553660</v>
      </c>
      <c r="H3260" s="87">
        <v>12055366</v>
      </c>
      <c r="I3260" s="87">
        <v>132609026</v>
      </c>
      <c r="K3260" s="85">
        <v>2023</v>
      </c>
      <c r="L3260" s="85">
        <v>6</v>
      </c>
      <c r="N3260" s="1" t="s">
        <v>44</v>
      </c>
    </row>
    <row r="3261" spans="1:14">
      <c r="A3261" s="36" t="s">
        <v>32</v>
      </c>
      <c r="B3261" s="37">
        <v>45107</v>
      </c>
      <c r="C3261" s="36" t="s">
        <v>1466</v>
      </c>
      <c r="D3261" s="36" t="s">
        <v>1476</v>
      </c>
      <c r="E3261" s="36" t="s">
        <v>76</v>
      </c>
      <c r="G3261" s="87">
        <v>4600000</v>
      </c>
      <c r="H3261" s="87">
        <v>460000</v>
      </c>
      <c r="I3261" s="87">
        <v>5060000</v>
      </c>
      <c r="K3261" s="85">
        <v>2023</v>
      </c>
      <c r="L3261" s="85">
        <v>6</v>
      </c>
      <c r="N3261" s="1" t="s">
        <v>44</v>
      </c>
    </row>
    <row r="3262" spans="1:14">
      <c r="A3262" s="36" t="s">
        <v>32</v>
      </c>
      <c r="B3262" s="37">
        <v>45107</v>
      </c>
      <c r="C3262" s="36" t="s">
        <v>1469</v>
      </c>
      <c r="D3262" s="36" t="s">
        <v>1481</v>
      </c>
      <c r="E3262" s="36" t="s">
        <v>76</v>
      </c>
      <c r="G3262" s="87">
        <v>12384000</v>
      </c>
      <c r="H3262" s="87">
        <v>1238400</v>
      </c>
      <c r="I3262" s="87">
        <v>13622400</v>
      </c>
      <c r="K3262" s="85">
        <v>2023</v>
      </c>
      <c r="L3262" s="85">
        <v>6</v>
      </c>
      <c r="N3262" s="1" t="s">
        <v>44</v>
      </c>
    </row>
    <row r="3263" spans="1:14">
      <c r="A3263" s="36" t="s">
        <v>32</v>
      </c>
      <c r="B3263" s="37">
        <v>45107</v>
      </c>
      <c r="C3263" s="36" t="s">
        <v>334</v>
      </c>
      <c r="D3263" s="36" t="s">
        <v>1340</v>
      </c>
      <c r="E3263" s="36" t="s">
        <v>76</v>
      </c>
      <c r="G3263" s="87">
        <v>9307800</v>
      </c>
      <c r="H3263" s="87">
        <v>930780</v>
      </c>
      <c r="I3263" s="87">
        <v>10238580</v>
      </c>
      <c r="K3263" s="85">
        <v>2023</v>
      </c>
      <c r="L3263" s="85">
        <v>6</v>
      </c>
      <c r="N3263" s="1" t="s">
        <v>44</v>
      </c>
    </row>
    <row r="3264" spans="1:14">
      <c r="A3264" s="36" t="s">
        <v>32</v>
      </c>
      <c r="B3264" s="37">
        <v>45107</v>
      </c>
      <c r="C3264" s="36" t="s">
        <v>1262</v>
      </c>
      <c r="D3264" s="36" t="s">
        <v>1353</v>
      </c>
      <c r="E3264" s="36" t="s">
        <v>1436</v>
      </c>
      <c r="J3264" s="87">
        <v>1771000</v>
      </c>
      <c r="K3264" s="85">
        <v>2023</v>
      </c>
      <c r="L3264" s="85">
        <v>5</v>
      </c>
      <c r="N3264" s="1" t="s">
        <v>44</v>
      </c>
    </row>
    <row r="3265" spans="1:14">
      <c r="A3265" s="36" t="s">
        <v>32</v>
      </c>
      <c r="B3265" s="37">
        <v>45107</v>
      </c>
      <c r="C3265" s="36" t="s">
        <v>771</v>
      </c>
      <c r="D3265" s="36" t="s">
        <v>1111</v>
      </c>
      <c r="E3265" s="36" t="s">
        <v>1438</v>
      </c>
      <c r="J3265" s="87">
        <v>1518000</v>
      </c>
      <c r="K3265" s="85">
        <v>2023</v>
      </c>
      <c r="L3265" s="85">
        <v>5</v>
      </c>
      <c r="N3265" s="1" t="s">
        <v>44</v>
      </c>
    </row>
    <row r="3266" spans="1:14">
      <c r="A3266" s="36" t="s">
        <v>32</v>
      </c>
      <c r="B3266" s="37">
        <v>45107</v>
      </c>
      <c r="C3266" s="36" t="s">
        <v>677</v>
      </c>
      <c r="D3266" s="36" t="s">
        <v>924</v>
      </c>
      <c r="E3266" s="36" t="s">
        <v>1498</v>
      </c>
      <c r="J3266" s="38">
        <v>-1000000</v>
      </c>
      <c r="K3266" s="85">
        <v>2023</v>
      </c>
      <c r="L3266" s="85">
        <v>2</v>
      </c>
      <c r="N3266" s="1" t="s">
        <v>44</v>
      </c>
    </row>
    <row r="3267" spans="1:14">
      <c r="A3267" s="36" t="s">
        <v>32</v>
      </c>
      <c r="B3267" s="37">
        <v>45107</v>
      </c>
      <c r="C3267" s="36" t="s">
        <v>677</v>
      </c>
      <c r="D3267" s="36" t="s">
        <v>924</v>
      </c>
      <c r="E3267" s="36" t="s">
        <v>148</v>
      </c>
      <c r="J3267" s="87">
        <v>69143250</v>
      </c>
      <c r="K3267" s="85">
        <v>2023</v>
      </c>
      <c r="L3267" s="85">
        <v>5</v>
      </c>
      <c r="N3267" s="1" t="s">
        <v>44</v>
      </c>
    </row>
    <row r="3268" spans="1:14">
      <c r="A3268" s="36" t="s">
        <v>32</v>
      </c>
      <c r="B3268" s="37">
        <v>45107</v>
      </c>
      <c r="C3268" s="36" t="s">
        <v>677</v>
      </c>
      <c r="D3268" s="36" t="s">
        <v>678</v>
      </c>
      <c r="E3268" s="36" t="s">
        <v>76</v>
      </c>
      <c r="G3268" s="87">
        <v>10750000</v>
      </c>
      <c r="H3268" s="87">
        <v>1075000</v>
      </c>
      <c r="I3268" s="87">
        <v>11825000</v>
      </c>
      <c r="K3268" s="85">
        <v>2023</v>
      </c>
      <c r="L3268" s="85">
        <v>6</v>
      </c>
      <c r="N3268" s="1" t="s">
        <v>44</v>
      </c>
    </row>
    <row r="3269" spans="1:14">
      <c r="A3269" s="36" t="s">
        <v>32</v>
      </c>
      <c r="B3269" s="37">
        <v>45107</v>
      </c>
      <c r="C3269" s="36" t="s">
        <v>677</v>
      </c>
      <c r="D3269" s="36" t="s">
        <v>924</v>
      </c>
      <c r="E3269" s="36" t="s">
        <v>76</v>
      </c>
      <c r="G3269" s="87">
        <v>39882000</v>
      </c>
      <c r="H3269" s="87">
        <v>3988200</v>
      </c>
      <c r="I3269" s="87">
        <v>43870200</v>
      </c>
      <c r="K3269" s="85">
        <v>2023</v>
      </c>
      <c r="L3269" s="85">
        <v>6</v>
      </c>
      <c r="N3269" s="1" t="s">
        <v>44</v>
      </c>
    </row>
    <row r="3270" spans="1:14">
      <c r="A3270" s="36" t="s">
        <v>32</v>
      </c>
      <c r="B3270" s="37">
        <v>45107</v>
      </c>
      <c r="C3270" s="36" t="s">
        <v>677</v>
      </c>
      <c r="D3270" s="36" t="s">
        <v>825</v>
      </c>
      <c r="E3270" s="36" t="s">
        <v>76</v>
      </c>
      <c r="G3270" s="87">
        <v>26163000</v>
      </c>
      <c r="H3270" s="87">
        <v>2616300</v>
      </c>
      <c r="I3270" s="87">
        <v>28779300</v>
      </c>
      <c r="K3270" s="85">
        <v>2023</v>
      </c>
      <c r="L3270" s="85">
        <v>6</v>
      </c>
      <c r="N3270" s="1" t="s">
        <v>44</v>
      </c>
    </row>
    <row r="3271" spans="1:14">
      <c r="A3271" s="36" t="s">
        <v>32</v>
      </c>
      <c r="B3271" s="37">
        <v>45107</v>
      </c>
      <c r="C3271" s="36" t="s">
        <v>1467</v>
      </c>
      <c r="D3271" s="36" t="s">
        <v>1478</v>
      </c>
      <c r="E3271" s="36" t="s">
        <v>76</v>
      </c>
      <c r="G3271" s="87">
        <v>9273000</v>
      </c>
      <c r="H3271" s="87">
        <v>927300</v>
      </c>
      <c r="I3271" s="87">
        <v>10200300</v>
      </c>
      <c r="K3271" s="85">
        <v>2023</v>
      </c>
      <c r="L3271" s="85">
        <v>6</v>
      </c>
      <c r="N3271" s="1" t="s">
        <v>44</v>
      </c>
    </row>
    <row r="3272" spans="1:14">
      <c r="A3272" s="36" t="s">
        <v>33</v>
      </c>
      <c r="B3272" s="37">
        <v>45107</v>
      </c>
      <c r="C3272" s="36" t="s">
        <v>119</v>
      </c>
      <c r="D3272" s="36" t="s">
        <v>1048</v>
      </c>
      <c r="E3272" s="36" t="s">
        <v>1436</v>
      </c>
      <c r="J3272" s="87">
        <v>5744858</v>
      </c>
      <c r="K3272" s="85">
        <v>2023</v>
      </c>
      <c r="L3272" s="85">
        <v>5</v>
      </c>
      <c r="N3272" s="1" t="s">
        <v>44</v>
      </c>
    </row>
    <row r="3273" spans="1:14">
      <c r="A3273" s="36" t="s">
        <v>1448</v>
      </c>
      <c r="B3273" s="37">
        <v>45107</v>
      </c>
      <c r="C3273" s="36" t="s">
        <v>1456</v>
      </c>
      <c r="D3273" s="36" t="s">
        <v>1457</v>
      </c>
      <c r="E3273" s="36" t="s">
        <v>1458</v>
      </c>
      <c r="G3273" s="87">
        <v>8705999</v>
      </c>
      <c r="H3273" s="87">
        <v>870599.9</v>
      </c>
      <c r="I3273" s="87">
        <v>9576598.9000000004</v>
      </c>
      <c r="K3273" s="85">
        <v>2023</v>
      </c>
      <c r="L3273" s="85">
        <v>6</v>
      </c>
      <c r="N3273" s="1" t="s">
        <v>1452</v>
      </c>
    </row>
    <row r="3274" spans="1:14">
      <c r="A3274" s="36" t="s">
        <v>33</v>
      </c>
      <c r="B3274" s="37">
        <v>45107</v>
      </c>
      <c r="C3274" s="36" t="s">
        <v>119</v>
      </c>
      <c r="D3274" s="36" t="s">
        <v>1800</v>
      </c>
      <c r="E3274" s="36" t="s">
        <v>78</v>
      </c>
      <c r="G3274" s="87">
        <v>10061499</v>
      </c>
      <c r="H3274" s="87">
        <v>1006149</v>
      </c>
      <c r="I3274" s="87">
        <v>11067648</v>
      </c>
      <c r="K3274" s="85">
        <v>2023</v>
      </c>
      <c r="L3274" s="85">
        <v>6</v>
      </c>
      <c r="N3274" s="1" t="s">
        <v>44</v>
      </c>
    </row>
    <row r="3275" spans="1:14">
      <c r="A3275" s="36" t="s">
        <v>32</v>
      </c>
      <c r="B3275" s="37">
        <v>45107</v>
      </c>
      <c r="C3275" s="36" t="s">
        <v>264</v>
      </c>
      <c r="D3275" s="36" t="s">
        <v>1511</v>
      </c>
      <c r="E3275" s="36" t="s">
        <v>76</v>
      </c>
      <c r="G3275" s="87">
        <v>10500000</v>
      </c>
      <c r="H3275" s="87">
        <v>1050000</v>
      </c>
      <c r="I3275" s="87">
        <v>11550000</v>
      </c>
      <c r="K3275" s="85">
        <v>2023</v>
      </c>
      <c r="L3275" s="85">
        <v>6</v>
      </c>
      <c r="N3275" s="1" t="s">
        <v>44</v>
      </c>
    </row>
    <row r="3276" spans="1:14">
      <c r="A3276" s="36" t="s">
        <v>33</v>
      </c>
      <c r="B3276" s="37">
        <v>45107</v>
      </c>
      <c r="C3276" s="36" t="s">
        <v>1150</v>
      </c>
      <c r="D3276" s="36" t="s">
        <v>1416</v>
      </c>
      <c r="E3276" s="36" t="s">
        <v>973</v>
      </c>
      <c r="G3276" s="87">
        <v>5920000</v>
      </c>
      <c r="H3276" s="87">
        <v>592000</v>
      </c>
      <c r="I3276" s="87">
        <v>6512000</v>
      </c>
      <c r="K3276" s="85">
        <v>2023</v>
      </c>
      <c r="L3276" s="85">
        <v>6</v>
      </c>
      <c r="N3276" s="1" t="s">
        <v>44</v>
      </c>
    </row>
    <row r="3277" spans="1:14">
      <c r="A3277" s="36" t="s">
        <v>32</v>
      </c>
      <c r="B3277" s="37">
        <v>45107</v>
      </c>
      <c r="C3277" s="36" t="s">
        <v>552</v>
      </c>
      <c r="D3277" s="36" t="s">
        <v>1011</v>
      </c>
      <c r="E3277" s="36" t="s">
        <v>76</v>
      </c>
      <c r="G3277" s="87">
        <v>49718825</v>
      </c>
      <c r="H3277" s="87">
        <v>4971882</v>
      </c>
      <c r="I3277" s="87">
        <v>54690707</v>
      </c>
      <c r="K3277" s="85">
        <v>2023</v>
      </c>
      <c r="L3277" s="85">
        <v>6</v>
      </c>
      <c r="N3277" s="1" t="s">
        <v>44</v>
      </c>
    </row>
    <row r="3278" spans="1:14">
      <c r="A3278" s="36" t="s">
        <v>32</v>
      </c>
      <c r="B3278" s="37">
        <v>45107</v>
      </c>
      <c r="C3278" s="36" t="s">
        <v>552</v>
      </c>
      <c r="D3278" s="36" t="s">
        <v>1345</v>
      </c>
      <c r="E3278" s="36" t="s">
        <v>76</v>
      </c>
      <c r="G3278" s="87">
        <v>117049900</v>
      </c>
      <c r="H3278" s="87">
        <v>11704990</v>
      </c>
      <c r="I3278" s="87">
        <v>128754890</v>
      </c>
      <c r="K3278" s="85">
        <v>2023</v>
      </c>
      <c r="L3278" s="85">
        <v>6</v>
      </c>
      <c r="M3278" s="36" t="s">
        <v>1499</v>
      </c>
      <c r="N3278" s="1" t="s">
        <v>44</v>
      </c>
    </row>
    <row r="3279" spans="1:14">
      <c r="A3279" s="36" t="s">
        <v>33</v>
      </c>
      <c r="B3279" s="37">
        <v>45107</v>
      </c>
      <c r="C3279" s="36" t="s">
        <v>1218</v>
      </c>
      <c r="D3279" s="36" t="s">
        <v>1219</v>
      </c>
      <c r="E3279" s="36" t="s">
        <v>1441</v>
      </c>
      <c r="G3279" s="87">
        <v>27769500</v>
      </c>
      <c r="H3279" s="87">
        <v>2776950</v>
      </c>
      <c r="I3279" s="87">
        <v>30546450</v>
      </c>
      <c r="K3279" s="85">
        <v>2023</v>
      </c>
      <c r="L3279" s="85">
        <v>6</v>
      </c>
      <c r="N3279" s="1" t="s">
        <v>44</v>
      </c>
    </row>
    <row r="3280" spans="1:14">
      <c r="A3280" s="36" t="s">
        <v>1448</v>
      </c>
      <c r="B3280" s="37">
        <v>45107</v>
      </c>
      <c r="C3280" s="36" t="s">
        <v>1449</v>
      </c>
      <c r="D3280" s="36" t="s">
        <v>1450</v>
      </c>
      <c r="E3280" s="36" t="s">
        <v>1451</v>
      </c>
      <c r="G3280" s="87">
        <v>1338400</v>
      </c>
      <c r="H3280" s="87">
        <v>133840</v>
      </c>
      <c r="I3280" s="87">
        <v>1472240</v>
      </c>
      <c r="K3280" s="85">
        <v>2023</v>
      </c>
      <c r="L3280" s="85">
        <v>6</v>
      </c>
      <c r="N3280" s="1" t="s">
        <v>1452</v>
      </c>
    </row>
    <row r="3281" spans="1:14">
      <c r="A3281" s="36" t="s">
        <v>32</v>
      </c>
      <c r="B3281" s="37">
        <v>45107</v>
      </c>
      <c r="C3281" s="36" t="s">
        <v>1468</v>
      </c>
      <c r="D3281" s="36" t="s">
        <v>1479</v>
      </c>
      <c r="E3281" s="36" t="s">
        <v>76</v>
      </c>
      <c r="G3281" s="87">
        <v>14833800</v>
      </c>
      <c r="H3281" s="87">
        <v>1483380</v>
      </c>
      <c r="I3281" s="87">
        <v>16317180</v>
      </c>
      <c r="K3281" s="85">
        <v>2023</v>
      </c>
      <c r="L3281" s="85">
        <v>6</v>
      </c>
      <c r="N3281" s="1" t="s">
        <v>44</v>
      </c>
    </row>
    <row r="3282" spans="1:14">
      <c r="A3282" s="36" t="s">
        <v>32</v>
      </c>
      <c r="B3282" s="37">
        <v>45107</v>
      </c>
      <c r="C3282" s="36" t="s">
        <v>183</v>
      </c>
      <c r="D3282" s="36" t="s">
        <v>1415</v>
      </c>
      <c r="E3282" s="36" t="s">
        <v>1436</v>
      </c>
      <c r="J3282" s="87">
        <v>5060000</v>
      </c>
      <c r="K3282" s="85">
        <v>2023</v>
      </c>
      <c r="L3282" s="85">
        <v>5</v>
      </c>
      <c r="N3282" s="1" t="s">
        <v>44</v>
      </c>
    </row>
    <row r="3283" spans="1:14">
      <c r="A3283" s="36" t="s">
        <v>32</v>
      </c>
      <c r="B3283" s="37">
        <v>45107</v>
      </c>
      <c r="C3283" s="36" t="s">
        <v>183</v>
      </c>
      <c r="D3283" s="36" t="s">
        <v>1483</v>
      </c>
      <c r="E3283" s="36" t="s">
        <v>76</v>
      </c>
      <c r="G3283" s="87">
        <v>2645000</v>
      </c>
      <c r="H3283" s="87">
        <v>264500</v>
      </c>
      <c r="I3283" s="87">
        <v>2909500</v>
      </c>
      <c r="K3283" s="85">
        <v>2023</v>
      </c>
      <c r="L3283" s="85">
        <v>6</v>
      </c>
      <c r="N3283" s="1" t="s">
        <v>44</v>
      </c>
    </row>
    <row r="3284" spans="1:14">
      <c r="A3284" s="36" t="s">
        <v>32</v>
      </c>
      <c r="B3284" s="37">
        <v>45107</v>
      </c>
      <c r="C3284" s="36" t="s">
        <v>183</v>
      </c>
      <c r="D3284" s="36" t="s">
        <v>1484</v>
      </c>
      <c r="E3284" s="36" t="s">
        <v>76</v>
      </c>
      <c r="G3284" s="87">
        <v>3220000</v>
      </c>
      <c r="H3284" s="87">
        <v>322000</v>
      </c>
      <c r="I3284" s="87">
        <v>3542000</v>
      </c>
      <c r="K3284" s="85">
        <v>2023</v>
      </c>
      <c r="L3284" s="85">
        <v>6</v>
      </c>
      <c r="N3284" s="1" t="s">
        <v>44</v>
      </c>
    </row>
    <row r="3285" spans="1:14">
      <c r="A3285" s="36" t="s">
        <v>32</v>
      </c>
      <c r="B3285" s="37">
        <v>45107</v>
      </c>
      <c r="C3285" s="36" t="s">
        <v>183</v>
      </c>
      <c r="D3285" s="36" t="s">
        <v>1485</v>
      </c>
      <c r="E3285" s="36" t="s">
        <v>76</v>
      </c>
      <c r="G3285" s="87">
        <v>7500000</v>
      </c>
      <c r="H3285" s="87">
        <v>750000</v>
      </c>
      <c r="I3285" s="87">
        <v>8250000</v>
      </c>
      <c r="K3285" s="85">
        <v>2023</v>
      </c>
      <c r="L3285" s="85">
        <v>6</v>
      </c>
      <c r="N3285" s="1" t="s">
        <v>44</v>
      </c>
    </row>
    <row r="3286" spans="1:14">
      <c r="A3286" s="36" t="s">
        <v>32</v>
      </c>
      <c r="B3286" s="37">
        <v>45107</v>
      </c>
      <c r="C3286" s="36" t="s">
        <v>183</v>
      </c>
      <c r="D3286" s="36" t="s">
        <v>1486</v>
      </c>
      <c r="E3286" s="36" t="s">
        <v>76</v>
      </c>
      <c r="G3286" s="87">
        <v>19010000</v>
      </c>
      <c r="H3286" s="87">
        <v>1901000</v>
      </c>
      <c r="I3286" s="87">
        <v>20911000</v>
      </c>
      <c r="K3286" s="85">
        <v>2023</v>
      </c>
      <c r="L3286" s="85">
        <v>6</v>
      </c>
      <c r="N3286" s="1" t="s">
        <v>44</v>
      </c>
    </row>
    <row r="3287" spans="1:14">
      <c r="A3287" s="36" t="s">
        <v>32</v>
      </c>
      <c r="B3287" s="37">
        <v>45107</v>
      </c>
      <c r="C3287" s="36" t="s">
        <v>1464</v>
      </c>
      <c r="D3287" s="36" t="s">
        <v>1473</v>
      </c>
      <c r="E3287" s="36" t="s">
        <v>76</v>
      </c>
      <c r="G3287" s="87">
        <v>5800000</v>
      </c>
      <c r="H3287" s="87">
        <v>580000</v>
      </c>
      <c r="I3287" s="87">
        <v>6380000</v>
      </c>
      <c r="K3287" s="85">
        <v>2023</v>
      </c>
      <c r="L3287" s="85">
        <v>6</v>
      </c>
      <c r="N3287" s="1" t="s">
        <v>44</v>
      </c>
    </row>
    <row r="3288" spans="1:14">
      <c r="A3288" s="36" t="s">
        <v>32</v>
      </c>
      <c r="B3288" s="37">
        <v>45107</v>
      </c>
      <c r="C3288" s="36" t="s">
        <v>268</v>
      </c>
      <c r="D3288" s="36" t="s">
        <v>954</v>
      </c>
      <c r="E3288" s="36" t="s">
        <v>76</v>
      </c>
      <c r="G3288" s="87">
        <v>27000000</v>
      </c>
      <c r="H3288" s="87">
        <v>2700000</v>
      </c>
      <c r="I3288" s="87">
        <v>29700000</v>
      </c>
      <c r="K3288" s="85">
        <v>2023</v>
      </c>
      <c r="L3288" s="85">
        <v>6</v>
      </c>
      <c r="N3288" s="1" t="s">
        <v>44</v>
      </c>
    </row>
    <row r="3289" spans="1:14">
      <c r="A3289" s="36" t="s">
        <v>32</v>
      </c>
      <c r="B3289" s="37">
        <v>45107</v>
      </c>
      <c r="C3289" s="36" t="s">
        <v>288</v>
      </c>
      <c r="D3289" s="36" t="s">
        <v>1414</v>
      </c>
      <c r="E3289" s="36" t="s">
        <v>76</v>
      </c>
      <c r="G3289" s="87">
        <v>4916000</v>
      </c>
      <c r="H3289" s="87">
        <v>491600</v>
      </c>
      <c r="I3289" s="87">
        <v>5407600</v>
      </c>
      <c r="K3289" s="85">
        <v>2023</v>
      </c>
      <c r="L3289" s="85">
        <v>6</v>
      </c>
      <c r="N3289" s="1" t="s">
        <v>44</v>
      </c>
    </row>
    <row r="3290" spans="1:14">
      <c r="A3290" s="36" t="s">
        <v>33</v>
      </c>
      <c r="B3290" s="37">
        <v>45107</v>
      </c>
      <c r="C3290" s="36" t="s">
        <v>590</v>
      </c>
      <c r="D3290" s="36" t="s">
        <v>1011</v>
      </c>
      <c r="E3290" s="36" t="s">
        <v>1436</v>
      </c>
      <c r="J3290" s="87">
        <v>42613837.200000003</v>
      </c>
      <c r="K3290" s="85">
        <v>2023</v>
      </c>
      <c r="L3290" s="85">
        <v>5</v>
      </c>
      <c r="N3290" s="1" t="s">
        <v>44</v>
      </c>
    </row>
    <row r="3291" spans="1:14">
      <c r="A3291" s="36" t="s">
        <v>1448</v>
      </c>
      <c r="B3291" s="37">
        <v>45107</v>
      </c>
      <c r="C3291" s="36" t="s">
        <v>1453</v>
      </c>
      <c r="D3291" s="36" t="s">
        <v>1454</v>
      </c>
      <c r="E3291" s="36" t="s">
        <v>1455</v>
      </c>
      <c r="G3291" s="87">
        <v>49718825</v>
      </c>
      <c r="H3291" s="87">
        <v>4971882.5</v>
      </c>
      <c r="I3291" s="87">
        <v>54690707.5</v>
      </c>
      <c r="K3291" s="85">
        <v>2023</v>
      </c>
      <c r="L3291" s="85">
        <v>6</v>
      </c>
      <c r="N3291" s="1" t="s">
        <v>1452</v>
      </c>
    </row>
    <row r="3292" spans="1:14">
      <c r="A3292" s="36" t="s">
        <v>32</v>
      </c>
      <c r="B3292" s="37">
        <v>45107</v>
      </c>
      <c r="C3292" s="36" t="s">
        <v>188</v>
      </c>
      <c r="D3292" s="36" t="s">
        <v>1231</v>
      </c>
      <c r="E3292" s="36" t="s">
        <v>1441</v>
      </c>
      <c r="G3292" s="87">
        <v>32818500</v>
      </c>
      <c r="H3292" s="87">
        <v>3281850</v>
      </c>
      <c r="I3292" s="87">
        <v>36100350</v>
      </c>
      <c r="K3292" s="85">
        <v>2023</v>
      </c>
      <c r="L3292" s="85">
        <v>6</v>
      </c>
      <c r="N3292" s="1" t="s">
        <v>44</v>
      </c>
    </row>
    <row r="3293" spans="1:14">
      <c r="A3293" s="36" t="s">
        <v>32</v>
      </c>
      <c r="B3293" s="37">
        <v>45107</v>
      </c>
      <c r="C3293" s="36" t="s">
        <v>307</v>
      </c>
      <c r="D3293" s="36" t="s">
        <v>1424</v>
      </c>
      <c r="E3293" s="36" t="s">
        <v>1436</v>
      </c>
      <c r="J3293" s="87">
        <v>4620000</v>
      </c>
      <c r="K3293" s="85">
        <v>2023</v>
      </c>
      <c r="L3293" s="85">
        <v>5</v>
      </c>
      <c r="N3293" s="1" t="s">
        <v>44</v>
      </c>
    </row>
    <row r="3294" spans="1:14">
      <c r="A3294" s="36" t="s">
        <v>32</v>
      </c>
      <c r="B3294" s="37">
        <v>45107</v>
      </c>
      <c r="C3294" s="36" t="s">
        <v>307</v>
      </c>
      <c r="D3294" s="36" t="s">
        <v>1406</v>
      </c>
      <c r="E3294" s="36" t="s">
        <v>1436</v>
      </c>
      <c r="J3294" s="87">
        <v>3517800</v>
      </c>
      <c r="K3294" s="85">
        <v>2023</v>
      </c>
      <c r="L3294" s="85">
        <v>5</v>
      </c>
      <c r="N3294" s="1" t="s">
        <v>44</v>
      </c>
    </row>
    <row r="3295" spans="1:14">
      <c r="A3295" s="36" t="s">
        <v>32</v>
      </c>
      <c r="B3295" s="37">
        <v>45107</v>
      </c>
      <c r="C3295" s="36" t="s">
        <v>307</v>
      </c>
      <c r="D3295" s="36" t="s">
        <v>1488</v>
      </c>
      <c r="E3295" s="36" t="s">
        <v>76</v>
      </c>
      <c r="G3295" s="87">
        <v>5506000</v>
      </c>
      <c r="H3295" s="87">
        <v>550600</v>
      </c>
      <c r="I3295" s="87">
        <v>6056600</v>
      </c>
      <c r="K3295" s="85">
        <v>2023</v>
      </c>
      <c r="L3295" s="85">
        <v>6</v>
      </c>
      <c r="N3295" s="1" t="s">
        <v>44</v>
      </c>
    </row>
    <row r="3296" spans="1:14">
      <c r="A3296" s="36" t="s">
        <v>32</v>
      </c>
      <c r="B3296" s="37">
        <v>45107</v>
      </c>
      <c r="C3296" s="36" t="s">
        <v>175</v>
      </c>
      <c r="D3296" s="36" t="s">
        <v>1408</v>
      </c>
      <c r="E3296" s="36" t="s">
        <v>1436</v>
      </c>
      <c r="J3296" s="87">
        <v>5821200</v>
      </c>
      <c r="K3296" s="85">
        <v>2023</v>
      </c>
      <c r="L3296" s="85">
        <v>5</v>
      </c>
      <c r="N3296" s="1" t="s">
        <v>44</v>
      </c>
    </row>
    <row r="3297" spans="1:14">
      <c r="A3297" s="36" t="s">
        <v>32</v>
      </c>
      <c r="B3297" s="37">
        <v>45107</v>
      </c>
      <c r="C3297" s="36" t="s">
        <v>175</v>
      </c>
      <c r="D3297" s="36" t="s">
        <v>1480</v>
      </c>
      <c r="E3297" s="36" t="s">
        <v>76</v>
      </c>
      <c r="G3297" s="87">
        <v>9792000</v>
      </c>
      <c r="H3297" s="87">
        <v>979200</v>
      </c>
      <c r="I3297" s="87">
        <v>10771200</v>
      </c>
      <c r="K3297" s="85">
        <v>2023</v>
      </c>
      <c r="L3297" s="85">
        <v>6</v>
      </c>
      <c r="N3297" s="1" t="s">
        <v>44</v>
      </c>
    </row>
    <row r="3298" spans="1:14">
      <c r="A3298" s="36" t="s">
        <v>33</v>
      </c>
      <c r="B3298" s="37">
        <v>45107</v>
      </c>
      <c r="C3298" s="36" t="s">
        <v>971</v>
      </c>
      <c r="D3298" s="36" t="s">
        <v>1443</v>
      </c>
      <c r="E3298" s="36" t="s">
        <v>973</v>
      </c>
      <c r="G3298" s="87">
        <v>5656245</v>
      </c>
      <c r="H3298" s="87">
        <v>565624.5</v>
      </c>
      <c r="I3298" s="87">
        <v>6221869.5</v>
      </c>
      <c r="K3298" s="85">
        <v>2023</v>
      </c>
      <c r="L3298" s="85">
        <v>6</v>
      </c>
      <c r="N3298" s="1" t="s">
        <v>44</v>
      </c>
    </row>
    <row r="3299" spans="1:14">
      <c r="A3299" s="36" t="s">
        <v>32</v>
      </c>
      <c r="B3299" s="37">
        <v>45107</v>
      </c>
      <c r="C3299" s="36" t="s">
        <v>667</v>
      </c>
      <c r="D3299" s="36" t="s">
        <v>1183</v>
      </c>
      <c r="E3299" s="36" t="s">
        <v>1497</v>
      </c>
      <c r="J3299" s="38">
        <v>10000000</v>
      </c>
      <c r="K3299" s="85">
        <v>2023</v>
      </c>
      <c r="L3299" s="85">
        <v>3</v>
      </c>
      <c r="N3299" s="1" t="s">
        <v>44</v>
      </c>
    </row>
    <row r="3300" spans="1:14">
      <c r="A3300" s="36" t="s">
        <v>32</v>
      </c>
      <c r="B3300" s="37">
        <v>45107</v>
      </c>
      <c r="C3300" s="36" t="s">
        <v>667</v>
      </c>
      <c r="D3300" s="36" t="s">
        <v>1474</v>
      </c>
      <c r="E3300" s="36" t="s">
        <v>76</v>
      </c>
      <c r="G3300" s="87">
        <v>12136000</v>
      </c>
      <c r="H3300" s="87">
        <v>1213600</v>
      </c>
      <c r="I3300" s="87">
        <v>13349600</v>
      </c>
      <c r="K3300" s="85">
        <v>2023</v>
      </c>
      <c r="L3300" s="85">
        <v>6</v>
      </c>
      <c r="N3300" s="1" t="s">
        <v>44</v>
      </c>
    </row>
    <row r="3301" spans="1:14">
      <c r="A3301" s="36" t="s">
        <v>32</v>
      </c>
      <c r="B3301" s="37">
        <v>45107</v>
      </c>
      <c r="C3301" s="36" t="s">
        <v>1465</v>
      </c>
      <c r="D3301" s="36" t="s">
        <v>1475</v>
      </c>
      <c r="E3301" s="36" t="s">
        <v>76</v>
      </c>
      <c r="G3301" s="87">
        <v>3960000</v>
      </c>
      <c r="H3301" s="87">
        <v>396000</v>
      </c>
      <c r="I3301" s="87">
        <v>4356000</v>
      </c>
      <c r="K3301" s="85">
        <v>2023</v>
      </c>
      <c r="L3301" s="85">
        <v>6</v>
      </c>
      <c r="N3301" s="1" t="s">
        <v>44</v>
      </c>
    </row>
    <row r="3302" spans="1:14">
      <c r="A3302" s="36" t="s">
        <v>33</v>
      </c>
      <c r="B3302" s="37">
        <v>45107</v>
      </c>
      <c r="C3302" s="36" t="s">
        <v>1391</v>
      </c>
      <c r="D3302" s="36" t="s">
        <v>1227</v>
      </c>
      <c r="E3302" s="36" t="s">
        <v>198</v>
      </c>
      <c r="G3302" s="87">
        <v>7126500</v>
      </c>
      <c r="H3302" s="87">
        <v>712650</v>
      </c>
      <c r="I3302" s="87">
        <v>7839150</v>
      </c>
      <c r="K3302" s="85">
        <v>2023</v>
      </c>
      <c r="L3302" s="85">
        <v>6</v>
      </c>
      <c r="N3302" s="1" t="s">
        <v>44</v>
      </c>
    </row>
    <row r="3303" spans="1:14">
      <c r="A3303" s="36" t="s">
        <v>33</v>
      </c>
      <c r="B3303" s="37">
        <v>45107</v>
      </c>
      <c r="C3303" s="36" t="s">
        <v>1257</v>
      </c>
      <c r="D3303" s="36" t="s">
        <v>1258</v>
      </c>
      <c r="E3303" s="36" t="s">
        <v>1436</v>
      </c>
      <c r="J3303" s="38">
        <v>3795000</v>
      </c>
      <c r="K3303" s="85">
        <v>2023</v>
      </c>
      <c r="L3303" s="85">
        <v>5</v>
      </c>
      <c r="N3303" s="1" t="s">
        <v>44</v>
      </c>
    </row>
    <row r="3304" spans="1:14">
      <c r="A3304" s="36" t="s">
        <v>33</v>
      </c>
      <c r="B3304" s="37">
        <v>45107</v>
      </c>
      <c r="C3304" s="36" t="s">
        <v>1257</v>
      </c>
      <c r="D3304" s="36" t="s">
        <v>1258</v>
      </c>
      <c r="E3304" s="36" t="s">
        <v>1437</v>
      </c>
      <c r="J3304" s="38">
        <v>1771000</v>
      </c>
      <c r="K3304" s="85">
        <v>2023</v>
      </c>
      <c r="L3304" s="85">
        <v>5</v>
      </c>
      <c r="N3304" s="1" t="s">
        <v>44</v>
      </c>
    </row>
    <row r="3305" spans="1:14">
      <c r="A3305" s="36" t="s">
        <v>32</v>
      </c>
      <c r="B3305" s="37">
        <v>45107</v>
      </c>
      <c r="C3305" s="36" t="s">
        <v>1257</v>
      </c>
      <c r="D3305" s="36" t="s">
        <v>1258</v>
      </c>
      <c r="E3305" s="36" t="s">
        <v>76</v>
      </c>
      <c r="G3305" s="87">
        <v>1610000</v>
      </c>
      <c r="H3305" s="87">
        <v>161000</v>
      </c>
      <c r="I3305" s="87">
        <v>1771000</v>
      </c>
      <c r="K3305" s="85">
        <v>2023</v>
      </c>
      <c r="L3305" s="85">
        <v>6</v>
      </c>
      <c r="N3305" s="1" t="s">
        <v>44</v>
      </c>
    </row>
    <row r="3306" spans="1:14">
      <c r="A3306" s="36" t="s">
        <v>32</v>
      </c>
      <c r="B3306" s="37">
        <v>45107</v>
      </c>
      <c r="C3306" s="36" t="s">
        <v>1257</v>
      </c>
      <c r="D3306" s="36" t="s">
        <v>1258</v>
      </c>
      <c r="E3306" s="36" t="s">
        <v>77</v>
      </c>
      <c r="J3306" s="38">
        <v>1771000</v>
      </c>
      <c r="K3306" s="85">
        <v>2023</v>
      </c>
      <c r="L3306" s="85">
        <v>6</v>
      </c>
      <c r="N3306" s="1" t="s">
        <v>44</v>
      </c>
    </row>
    <row r="3307" spans="1:14">
      <c r="A3307" s="36" t="s">
        <v>32</v>
      </c>
      <c r="B3307" s="37">
        <v>45107</v>
      </c>
      <c r="C3307" s="36" t="s">
        <v>1333</v>
      </c>
      <c r="D3307" s="36" t="s">
        <v>1477</v>
      </c>
      <c r="E3307" s="36" t="s">
        <v>76</v>
      </c>
      <c r="G3307" s="87">
        <v>13800000</v>
      </c>
      <c r="H3307" s="87">
        <v>1380000</v>
      </c>
      <c r="I3307" s="87">
        <v>15180000</v>
      </c>
      <c r="K3307" s="85">
        <v>2023</v>
      </c>
      <c r="L3307" s="85">
        <v>6</v>
      </c>
      <c r="M3307" s="36" t="s">
        <v>1373</v>
      </c>
      <c r="N3307" s="1" t="s">
        <v>44</v>
      </c>
    </row>
    <row r="3308" spans="1:14">
      <c r="A3308" s="36" t="s">
        <v>33</v>
      </c>
      <c r="B3308" s="37">
        <v>45107</v>
      </c>
      <c r="C3308" s="36" t="s">
        <v>1429</v>
      </c>
      <c r="D3308" s="36" t="s">
        <v>1412</v>
      </c>
      <c r="E3308" s="36" t="s">
        <v>1436</v>
      </c>
      <c r="J3308" s="87">
        <v>884488</v>
      </c>
      <c r="K3308" s="85">
        <v>2023</v>
      </c>
      <c r="L3308" s="85">
        <v>6</v>
      </c>
      <c r="N3308" s="1" t="s">
        <v>44</v>
      </c>
    </row>
    <row r="3309" spans="1:14">
      <c r="A3309" s="36" t="s">
        <v>32</v>
      </c>
      <c r="B3309" s="37">
        <v>45107</v>
      </c>
      <c r="C3309" s="36" t="s">
        <v>654</v>
      </c>
      <c r="D3309" s="36" t="s">
        <v>1215</v>
      </c>
      <c r="E3309" s="36" t="s">
        <v>148</v>
      </c>
      <c r="J3309" s="87">
        <v>23796110</v>
      </c>
      <c r="K3309" s="85">
        <v>2023</v>
      </c>
      <c r="L3309" s="85">
        <v>5</v>
      </c>
      <c r="N3309" s="1" t="s">
        <v>44</v>
      </c>
    </row>
    <row r="3310" spans="1:14">
      <c r="A3310" s="36" t="s">
        <v>32</v>
      </c>
      <c r="B3310" s="37">
        <v>45107</v>
      </c>
      <c r="C3310" s="36" t="s">
        <v>654</v>
      </c>
      <c r="D3310" s="36" t="s">
        <v>1156</v>
      </c>
      <c r="E3310" s="36" t="s">
        <v>148</v>
      </c>
      <c r="J3310" s="87">
        <v>22766205</v>
      </c>
      <c r="K3310" s="85">
        <v>2023</v>
      </c>
      <c r="L3310" s="85">
        <v>5</v>
      </c>
      <c r="N3310" s="1" t="s">
        <v>44</v>
      </c>
    </row>
    <row r="3311" spans="1:14">
      <c r="A3311" s="36" t="s">
        <v>32</v>
      </c>
      <c r="B3311" s="37">
        <v>45107</v>
      </c>
      <c r="C3311" s="36" t="s">
        <v>654</v>
      </c>
      <c r="D3311" s="36" t="s">
        <v>1219</v>
      </c>
      <c r="E3311" s="36" t="s">
        <v>148</v>
      </c>
      <c r="J3311" s="38">
        <v>21205800</v>
      </c>
      <c r="K3311" s="85">
        <v>2023</v>
      </c>
      <c r="L3311" s="85">
        <v>5</v>
      </c>
      <c r="N3311" s="1" t="s">
        <v>44</v>
      </c>
    </row>
    <row r="3312" spans="1:14">
      <c r="A3312" s="36" t="s">
        <v>32</v>
      </c>
      <c r="B3312" s="37">
        <v>45107</v>
      </c>
      <c r="C3312" s="36" t="s">
        <v>654</v>
      </c>
      <c r="D3312" s="36" t="s">
        <v>1219</v>
      </c>
      <c r="E3312" s="36" t="s">
        <v>148</v>
      </c>
      <c r="J3312" s="38">
        <v>28269720</v>
      </c>
      <c r="K3312" s="85">
        <v>2023</v>
      </c>
      <c r="L3312" s="85">
        <v>5</v>
      </c>
      <c r="N3312" s="1" t="s">
        <v>44</v>
      </c>
    </row>
    <row r="3313" spans="1:14">
      <c r="A3313" s="36" t="s">
        <v>32</v>
      </c>
      <c r="B3313" s="37">
        <v>45107</v>
      </c>
      <c r="C3313" s="36" t="s">
        <v>654</v>
      </c>
      <c r="D3313" s="36" t="s">
        <v>1219</v>
      </c>
      <c r="E3313" s="36" t="s">
        <v>148</v>
      </c>
      <c r="J3313" s="38">
        <v>7000000</v>
      </c>
      <c r="K3313" s="85">
        <v>2023</v>
      </c>
      <c r="L3313" s="85">
        <v>5</v>
      </c>
      <c r="N3313" s="1" t="s">
        <v>44</v>
      </c>
    </row>
    <row r="3314" spans="1:14">
      <c r="A3314" s="36" t="s">
        <v>32</v>
      </c>
      <c r="B3314" s="37">
        <v>45107</v>
      </c>
      <c r="C3314" s="36" t="s">
        <v>654</v>
      </c>
      <c r="D3314" s="36" t="s">
        <v>1337</v>
      </c>
      <c r="E3314" s="36" t="s">
        <v>76</v>
      </c>
      <c r="G3314" s="87">
        <v>17394060</v>
      </c>
      <c r="H3314" s="87">
        <v>1739406</v>
      </c>
      <c r="I3314" s="87">
        <v>19133466</v>
      </c>
      <c r="K3314" s="85">
        <v>2023</v>
      </c>
      <c r="L3314" s="85">
        <v>6</v>
      </c>
      <c r="N3314" s="1" t="s">
        <v>44</v>
      </c>
    </row>
    <row r="3315" spans="1:14">
      <c r="A3315" s="36" t="s">
        <v>32</v>
      </c>
      <c r="B3315" s="37">
        <v>45107</v>
      </c>
      <c r="C3315" s="36" t="s">
        <v>654</v>
      </c>
      <c r="D3315" s="36" t="s">
        <v>1156</v>
      </c>
      <c r="E3315" s="36" t="s">
        <v>76</v>
      </c>
      <c r="G3315" s="87">
        <v>26358710</v>
      </c>
      <c r="H3315" s="87">
        <v>2635871</v>
      </c>
      <c r="I3315" s="87">
        <v>28994581</v>
      </c>
      <c r="K3315" s="85">
        <v>2023</v>
      </c>
      <c r="L3315" s="85">
        <v>6</v>
      </c>
      <c r="N3315" s="1" t="s">
        <v>44</v>
      </c>
    </row>
    <row r="3316" spans="1:14">
      <c r="A3316" s="36" t="s">
        <v>32</v>
      </c>
      <c r="B3316" s="37">
        <v>45107</v>
      </c>
      <c r="C3316" s="36" t="s">
        <v>654</v>
      </c>
      <c r="D3316" s="36" t="s">
        <v>1219</v>
      </c>
      <c r="E3316" s="36" t="s">
        <v>76</v>
      </c>
      <c r="G3316" s="87">
        <v>9240000</v>
      </c>
      <c r="H3316" s="87">
        <v>924000</v>
      </c>
      <c r="I3316" s="87">
        <v>10164000</v>
      </c>
      <c r="K3316" s="85">
        <v>2023</v>
      </c>
      <c r="L3316" s="85">
        <v>6</v>
      </c>
      <c r="N3316" s="1" t="s">
        <v>44</v>
      </c>
    </row>
    <row r="3317" spans="1:14">
      <c r="A3317" s="36" t="s">
        <v>33</v>
      </c>
      <c r="B3317" s="37">
        <v>45107</v>
      </c>
      <c r="C3317" s="36" t="s">
        <v>912</v>
      </c>
      <c r="D3317" s="36" t="s">
        <v>1918</v>
      </c>
      <c r="E3317" s="36" t="s">
        <v>447</v>
      </c>
      <c r="G3317" s="87">
        <v>6711035</v>
      </c>
      <c r="H3317" s="87">
        <v>671103.5</v>
      </c>
      <c r="I3317" s="87">
        <v>7382138.5</v>
      </c>
      <c r="K3317" s="85">
        <v>2023</v>
      </c>
      <c r="L3317" s="85">
        <v>6</v>
      </c>
      <c r="M3317" s="36" t="s">
        <v>1376</v>
      </c>
      <c r="N3317" s="1" t="s">
        <v>44</v>
      </c>
    </row>
    <row r="3318" spans="1:14">
      <c r="A3318" s="36" t="s">
        <v>32</v>
      </c>
      <c r="B3318" s="37">
        <v>45108</v>
      </c>
      <c r="C3318" s="36" t="s">
        <v>760</v>
      </c>
      <c r="D3318" s="36" t="s">
        <v>930</v>
      </c>
      <c r="E3318" s="36" t="s">
        <v>1024</v>
      </c>
      <c r="G3318" s="87">
        <v>-1150000</v>
      </c>
      <c r="H3318" s="87">
        <v>-115000</v>
      </c>
      <c r="I3318" s="87">
        <v>-1265000</v>
      </c>
      <c r="K3318" s="85">
        <v>2023</v>
      </c>
      <c r="L3318" s="85">
        <v>6</v>
      </c>
      <c r="M3318" s="36" t="s">
        <v>1509</v>
      </c>
      <c r="N3318" s="1" t="s">
        <v>44</v>
      </c>
    </row>
    <row r="3319" spans="1:14">
      <c r="A3319" s="36" t="s">
        <v>32</v>
      </c>
      <c r="B3319" s="37">
        <v>45108</v>
      </c>
      <c r="C3319" s="36" t="s">
        <v>1531</v>
      </c>
      <c r="D3319" s="36" t="s">
        <v>1535</v>
      </c>
      <c r="E3319" s="36" t="s">
        <v>76</v>
      </c>
      <c r="G3319" s="87">
        <v>23026400</v>
      </c>
      <c r="H3319" s="87">
        <v>2302640</v>
      </c>
      <c r="I3319" s="87">
        <v>25329040</v>
      </c>
      <c r="K3319" s="85">
        <v>2023</v>
      </c>
      <c r="L3319" s="85">
        <v>7</v>
      </c>
      <c r="N3319" s="1" t="s">
        <v>44</v>
      </c>
    </row>
    <row r="3320" spans="1:14">
      <c r="A3320" s="36" t="s">
        <v>32</v>
      </c>
      <c r="B3320" s="37">
        <v>45110</v>
      </c>
      <c r="C3320" s="36" t="s">
        <v>334</v>
      </c>
      <c r="D3320" s="36" t="s">
        <v>1340</v>
      </c>
      <c r="E3320" s="36" t="s">
        <v>1440</v>
      </c>
      <c r="J3320" s="87">
        <v>4006200</v>
      </c>
      <c r="K3320" s="85">
        <v>2023</v>
      </c>
      <c r="L3320" s="85">
        <v>5</v>
      </c>
      <c r="N3320" s="1" t="s">
        <v>44</v>
      </c>
    </row>
    <row r="3321" spans="1:14">
      <c r="A3321" s="36" t="s">
        <v>32</v>
      </c>
      <c r="B3321" s="37">
        <v>45110</v>
      </c>
      <c r="C3321" s="36" t="s">
        <v>881</v>
      </c>
      <c r="D3321" s="36" t="s">
        <v>877</v>
      </c>
      <c r="E3321" s="36" t="s">
        <v>148</v>
      </c>
      <c r="J3321" s="87">
        <v>10490000</v>
      </c>
      <c r="K3321" s="85">
        <v>2023</v>
      </c>
      <c r="L3321" s="85">
        <v>5</v>
      </c>
      <c r="N3321" s="1" t="s">
        <v>44</v>
      </c>
    </row>
    <row r="3322" spans="1:14">
      <c r="A3322" s="36" t="s">
        <v>32</v>
      </c>
      <c r="B3322" s="37">
        <v>45110</v>
      </c>
      <c r="C3322" s="36" t="s">
        <v>188</v>
      </c>
      <c r="D3322" s="36" t="s">
        <v>1219</v>
      </c>
      <c r="E3322" s="36" t="s">
        <v>148</v>
      </c>
      <c r="J3322" s="87">
        <v>36100350</v>
      </c>
      <c r="K3322" s="85">
        <v>2023</v>
      </c>
      <c r="L3322" s="85">
        <v>5</v>
      </c>
      <c r="N3322" s="1" t="s">
        <v>44</v>
      </c>
    </row>
    <row r="3323" spans="1:14">
      <c r="A3323" s="36" t="s">
        <v>33</v>
      </c>
      <c r="B3323" s="37">
        <v>45111</v>
      </c>
      <c r="C3323" s="36" t="s">
        <v>144</v>
      </c>
      <c r="D3323" s="36" t="s">
        <v>1340</v>
      </c>
      <c r="E3323" s="36" t="s">
        <v>1440</v>
      </c>
      <c r="J3323" s="87">
        <v>770000</v>
      </c>
      <c r="K3323" s="85">
        <v>2023</v>
      </c>
      <c r="L3323" s="85">
        <v>6</v>
      </c>
      <c r="N3323" s="1" t="s">
        <v>44</v>
      </c>
    </row>
    <row r="3324" spans="1:14">
      <c r="A3324" s="36" t="s">
        <v>33</v>
      </c>
      <c r="B3324" s="37">
        <v>45111</v>
      </c>
      <c r="C3324" s="36" t="s">
        <v>1218</v>
      </c>
      <c r="D3324" s="36" t="s">
        <v>1219</v>
      </c>
      <c r="E3324" s="36" t="s">
        <v>77</v>
      </c>
      <c r="J3324" s="87">
        <v>30546450</v>
      </c>
      <c r="K3324" s="85">
        <v>2023</v>
      </c>
      <c r="L3324" s="85">
        <v>5</v>
      </c>
      <c r="N3324" s="1" t="s">
        <v>44</v>
      </c>
    </row>
    <row r="3325" spans="1:14">
      <c r="A3325" s="36" t="s">
        <v>33</v>
      </c>
      <c r="B3325" s="37">
        <v>45111</v>
      </c>
      <c r="C3325" s="36" t="s">
        <v>971</v>
      </c>
      <c r="D3325" s="36" t="s">
        <v>1443</v>
      </c>
      <c r="E3325" s="36" t="s">
        <v>1440</v>
      </c>
      <c r="J3325" s="87">
        <v>6221869.5</v>
      </c>
      <c r="K3325" s="85">
        <v>2023</v>
      </c>
      <c r="L3325" s="85">
        <v>6</v>
      </c>
      <c r="N3325" s="1" t="s">
        <v>44</v>
      </c>
    </row>
    <row r="3326" spans="1:14">
      <c r="A3326" s="36" t="s">
        <v>32</v>
      </c>
      <c r="B3326" s="37">
        <v>45111</v>
      </c>
      <c r="C3326" s="36" t="s">
        <v>987</v>
      </c>
      <c r="D3326" s="36" t="s">
        <v>1420</v>
      </c>
      <c r="E3326" s="36" t="s">
        <v>1440</v>
      </c>
      <c r="J3326" s="87">
        <v>9267797</v>
      </c>
      <c r="K3326" s="85">
        <v>2023</v>
      </c>
      <c r="L3326" s="85">
        <v>5</v>
      </c>
      <c r="N3326" s="1" t="s">
        <v>44</v>
      </c>
    </row>
    <row r="3327" spans="1:14">
      <c r="A3327" s="36" t="s">
        <v>32</v>
      </c>
      <c r="B3327" s="37">
        <v>45112</v>
      </c>
      <c r="C3327" s="36" t="s">
        <v>209</v>
      </c>
      <c r="D3327" s="36" t="s">
        <v>1411</v>
      </c>
      <c r="E3327" s="36" t="s">
        <v>148</v>
      </c>
      <c r="J3327" s="38">
        <v>10181776</v>
      </c>
      <c r="K3327" s="85">
        <v>2023</v>
      </c>
      <c r="L3327" s="85">
        <v>5</v>
      </c>
      <c r="M3327" s="36" t="s">
        <v>1444</v>
      </c>
      <c r="N3327" s="1" t="s">
        <v>44</v>
      </c>
    </row>
    <row r="3328" spans="1:14">
      <c r="A3328" s="36" t="s">
        <v>32</v>
      </c>
      <c r="B3328" s="37">
        <v>45112</v>
      </c>
      <c r="C3328" s="36" t="s">
        <v>209</v>
      </c>
      <c r="D3328" s="36" t="s">
        <v>1699</v>
      </c>
      <c r="E3328" s="36" t="s">
        <v>148</v>
      </c>
      <c r="J3328" s="87">
        <v>28951120</v>
      </c>
      <c r="K3328" s="85">
        <v>2023</v>
      </c>
      <c r="L3328" s="85">
        <v>5</v>
      </c>
      <c r="M3328" s="36" t="s">
        <v>1444</v>
      </c>
      <c r="N3328" s="1" t="s">
        <v>44</v>
      </c>
    </row>
    <row r="3329" spans="1:14">
      <c r="A3329" s="36" t="s">
        <v>33</v>
      </c>
      <c r="B3329" s="37">
        <v>45112</v>
      </c>
      <c r="C3329" s="36" t="s">
        <v>144</v>
      </c>
      <c r="D3329" s="36" t="s">
        <v>1340</v>
      </c>
      <c r="E3329" s="36" t="s">
        <v>1383</v>
      </c>
      <c r="G3329" s="87">
        <v>700000</v>
      </c>
      <c r="H3329" s="87">
        <v>70000</v>
      </c>
      <c r="I3329" s="87">
        <v>770000</v>
      </c>
      <c r="K3329" s="85">
        <v>2023</v>
      </c>
      <c r="L3329" s="85">
        <v>7</v>
      </c>
      <c r="N3329" s="1" t="s">
        <v>44</v>
      </c>
    </row>
    <row r="3330" spans="1:14">
      <c r="A3330" s="36" t="s">
        <v>33</v>
      </c>
      <c r="B3330" s="37">
        <v>45112</v>
      </c>
      <c r="C3330" s="36" t="s">
        <v>1150</v>
      </c>
      <c r="D3330" s="36" t="s">
        <v>928</v>
      </c>
      <c r="E3330" s="36" t="s">
        <v>1445</v>
      </c>
      <c r="J3330" s="87">
        <v>2148960</v>
      </c>
      <c r="K3330" s="85">
        <v>2023</v>
      </c>
      <c r="L3330" s="85">
        <v>5</v>
      </c>
      <c r="N3330" s="1" t="s">
        <v>44</v>
      </c>
    </row>
    <row r="3331" spans="1:14">
      <c r="A3331" s="36" t="s">
        <v>33</v>
      </c>
      <c r="B3331" s="37">
        <v>45112</v>
      </c>
      <c r="C3331" s="36" t="s">
        <v>1391</v>
      </c>
      <c r="D3331" s="36" t="s">
        <v>1227</v>
      </c>
      <c r="E3331" s="36" t="s">
        <v>1445</v>
      </c>
      <c r="J3331" s="87">
        <v>3114375</v>
      </c>
      <c r="K3331" s="85">
        <v>2023</v>
      </c>
      <c r="L3331" s="85">
        <v>5</v>
      </c>
      <c r="N3331" s="1" t="s">
        <v>44</v>
      </c>
    </row>
    <row r="3332" spans="1:14">
      <c r="A3332" s="36" t="s">
        <v>32</v>
      </c>
      <c r="B3332" s="37">
        <v>45114</v>
      </c>
      <c r="C3332" s="36" t="s">
        <v>925</v>
      </c>
      <c r="D3332" s="36" t="s">
        <v>926</v>
      </c>
      <c r="E3332" s="36" t="s">
        <v>77</v>
      </c>
      <c r="J3332" s="38">
        <v>2530000</v>
      </c>
      <c r="K3332" s="85">
        <v>2023</v>
      </c>
      <c r="L3332" s="85">
        <v>6</v>
      </c>
      <c r="N3332" s="1" t="s">
        <v>44</v>
      </c>
    </row>
    <row r="3333" spans="1:14">
      <c r="A3333" s="36" t="s">
        <v>32</v>
      </c>
      <c r="B3333" s="37">
        <v>45114</v>
      </c>
      <c r="C3333" s="36" t="s">
        <v>925</v>
      </c>
      <c r="D3333" s="36" t="s">
        <v>926</v>
      </c>
      <c r="E3333" s="36" t="s">
        <v>77</v>
      </c>
      <c r="J3333" s="38">
        <v>262570</v>
      </c>
      <c r="K3333" s="85">
        <v>2023</v>
      </c>
      <c r="L3333" s="85">
        <v>6</v>
      </c>
      <c r="N3333" s="1" t="s">
        <v>44</v>
      </c>
    </row>
    <row r="3334" spans="1:14">
      <c r="A3334" s="36" t="s">
        <v>32</v>
      </c>
      <c r="B3334" s="37">
        <v>45114</v>
      </c>
      <c r="C3334" s="36" t="s">
        <v>188</v>
      </c>
      <c r="D3334" s="36" t="s">
        <v>896</v>
      </c>
      <c r="E3334" s="36" t="s">
        <v>148</v>
      </c>
      <c r="J3334" s="87">
        <v>4953080</v>
      </c>
      <c r="K3334" s="85">
        <v>2022</v>
      </c>
      <c r="L3334" s="85">
        <v>6</v>
      </c>
      <c r="N3334" s="1" t="s">
        <v>44</v>
      </c>
    </row>
    <row r="3335" spans="1:14">
      <c r="A3335" s="36" t="s">
        <v>33</v>
      </c>
      <c r="B3335" s="37">
        <v>45116</v>
      </c>
      <c r="C3335" s="36" t="s">
        <v>1501</v>
      </c>
      <c r="D3335" s="36" t="s">
        <v>1423</v>
      </c>
      <c r="E3335" s="36" t="s">
        <v>97</v>
      </c>
      <c r="G3335" s="87">
        <v>290000</v>
      </c>
      <c r="H3335" s="87">
        <v>29000</v>
      </c>
      <c r="I3335" s="87">
        <v>319000</v>
      </c>
      <c r="K3335" s="85">
        <v>2023</v>
      </c>
      <c r="L3335" s="85">
        <v>7</v>
      </c>
      <c r="N3335" s="1" t="s">
        <v>44</v>
      </c>
    </row>
    <row r="3336" spans="1:14">
      <c r="A3336" s="36" t="s">
        <v>32</v>
      </c>
      <c r="B3336" s="37">
        <v>45117</v>
      </c>
      <c r="C3336" s="36" t="s">
        <v>664</v>
      </c>
      <c r="D3336" s="36" t="s">
        <v>1330</v>
      </c>
      <c r="E3336" s="36" t="s">
        <v>1446</v>
      </c>
      <c r="J3336" s="87">
        <v>21587500</v>
      </c>
      <c r="K3336" s="85">
        <v>2023</v>
      </c>
      <c r="L3336" s="85">
        <v>5</v>
      </c>
      <c r="N3336" s="1" t="s">
        <v>44</v>
      </c>
    </row>
    <row r="3337" spans="1:14">
      <c r="A3337" s="36" t="s">
        <v>33</v>
      </c>
      <c r="B3337" s="37">
        <v>45117</v>
      </c>
      <c r="C3337" s="36" t="s">
        <v>1494</v>
      </c>
      <c r="D3337" s="36" t="s">
        <v>1423</v>
      </c>
      <c r="E3337" s="36" t="s">
        <v>1495</v>
      </c>
      <c r="G3337" s="87">
        <v>330000</v>
      </c>
      <c r="H3337" s="87">
        <v>33000</v>
      </c>
      <c r="I3337" s="87">
        <v>363000</v>
      </c>
      <c r="K3337" s="85">
        <v>2023</v>
      </c>
      <c r="L3337" s="85">
        <v>7</v>
      </c>
      <c r="N3337" s="1" t="s">
        <v>44</v>
      </c>
    </row>
    <row r="3338" spans="1:14">
      <c r="A3338" s="36" t="s">
        <v>32</v>
      </c>
      <c r="B3338" s="37">
        <v>45118</v>
      </c>
      <c r="C3338" s="36" t="s">
        <v>174</v>
      </c>
      <c r="D3338" s="36" t="s">
        <v>1155</v>
      </c>
      <c r="E3338" s="36" t="s">
        <v>1460</v>
      </c>
      <c r="J3338" s="87">
        <v>41270130</v>
      </c>
      <c r="K3338" s="85">
        <v>2023</v>
      </c>
      <c r="L3338" s="85">
        <v>4</v>
      </c>
      <c r="N3338" s="1" t="s">
        <v>44</v>
      </c>
    </row>
    <row r="3339" spans="1:14">
      <c r="A3339" s="36" t="s">
        <v>32</v>
      </c>
      <c r="B3339" s="37">
        <v>45118</v>
      </c>
      <c r="C3339" s="36" t="s">
        <v>174</v>
      </c>
      <c r="D3339" s="36" t="s">
        <v>1423</v>
      </c>
      <c r="E3339" s="36" t="s">
        <v>1460</v>
      </c>
      <c r="J3339" s="87">
        <v>22157850</v>
      </c>
      <c r="K3339" s="85">
        <v>2023</v>
      </c>
      <c r="L3339" s="85">
        <v>5</v>
      </c>
      <c r="N3339" s="1" t="s">
        <v>44</v>
      </c>
    </row>
    <row r="3340" spans="1:14">
      <c r="A3340" s="36" t="s">
        <v>32</v>
      </c>
      <c r="B3340" s="37">
        <v>45118</v>
      </c>
      <c r="C3340" s="36" t="s">
        <v>209</v>
      </c>
      <c r="D3340" s="36" t="s">
        <v>1048</v>
      </c>
      <c r="E3340" s="36" t="s">
        <v>77</v>
      </c>
      <c r="J3340" s="38">
        <v>7704950</v>
      </c>
      <c r="K3340" s="85">
        <v>2023</v>
      </c>
      <c r="L3340" s="85">
        <v>6</v>
      </c>
      <c r="N3340" s="1" t="s">
        <v>44</v>
      </c>
    </row>
    <row r="3341" spans="1:14">
      <c r="A3341" s="36" t="s">
        <v>33</v>
      </c>
      <c r="B3341" s="37">
        <v>45119</v>
      </c>
      <c r="C3341" s="36" t="s">
        <v>96</v>
      </c>
      <c r="D3341" s="36" t="s">
        <v>1459</v>
      </c>
      <c r="E3341" s="36" t="s">
        <v>1460</v>
      </c>
      <c r="J3341" s="87">
        <v>198000</v>
      </c>
      <c r="K3341" s="85">
        <v>2023</v>
      </c>
      <c r="L3341" s="85">
        <v>5</v>
      </c>
      <c r="N3341" s="1" t="s">
        <v>44</v>
      </c>
    </row>
    <row r="3342" spans="1:14">
      <c r="A3342" s="36" t="s">
        <v>32</v>
      </c>
      <c r="B3342" s="37">
        <v>45119</v>
      </c>
      <c r="C3342" s="36" t="s">
        <v>1466</v>
      </c>
      <c r="D3342" s="36" t="s">
        <v>1476</v>
      </c>
      <c r="E3342" s="36" t="s">
        <v>1493</v>
      </c>
      <c r="J3342" s="87">
        <v>5060000</v>
      </c>
      <c r="K3342" s="85">
        <v>2023</v>
      </c>
      <c r="L3342" s="85">
        <v>6</v>
      </c>
      <c r="N3342" s="1" t="s">
        <v>44</v>
      </c>
    </row>
    <row r="3343" spans="1:14">
      <c r="A3343" s="36" t="s">
        <v>33</v>
      </c>
      <c r="B3343" s="37">
        <v>45119</v>
      </c>
      <c r="C3343" s="36" t="s">
        <v>745</v>
      </c>
      <c r="D3343" s="36" t="s">
        <v>1377</v>
      </c>
      <c r="E3343" s="36" t="s">
        <v>1460</v>
      </c>
      <c r="J3343" s="87">
        <v>660000</v>
      </c>
      <c r="K3343" s="85">
        <v>2023</v>
      </c>
      <c r="L3343" s="85">
        <v>5</v>
      </c>
      <c r="N3343" s="1" t="s">
        <v>44</v>
      </c>
    </row>
    <row r="3344" spans="1:14">
      <c r="A3344" s="36" t="s">
        <v>33</v>
      </c>
      <c r="B3344" s="37">
        <v>45119</v>
      </c>
      <c r="C3344" s="36" t="s">
        <v>1328</v>
      </c>
      <c r="D3344" s="36" t="s">
        <v>1330</v>
      </c>
      <c r="E3344" s="36" t="s">
        <v>1460</v>
      </c>
      <c r="J3344" s="87">
        <v>2853180</v>
      </c>
      <c r="K3344" s="85">
        <v>2023</v>
      </c>
      <c r="L3344" s="85">
        <v>5</v>
      </c>
      <c r="N3344" s="1" t="s">
        <v>44</v>
      </c>
    </row>
    <row r="3345" spans="1:14">
      <c r="A3345" s="36" t="s">
        <v>32</v>
      </c>
      <c r="B3345" s="37">
        <v>45120</v>
      </c>
      <c r="C3345" s="36" t="s">
        <v>209</v>
      </c>
      <c r="D3345" s="36" t="s">
        <v>1412</v>
      </c>
      <c r="E3345" s="36" t="s">
        <v>77</v>
      </c>
      <c r="J3345" s="87">
        <v>14168000</v>
      </c>
      <c r="K3345" s="85">
        <v>2023</v>
      </c>
      <c r="L3345" s="85">
        <v>6</v>
      </c>
      <c r="N3345" s="1" t="s">
        <v>44</v>
      </c>
    </row>
    <row r="3346" spans="1:14">
      <c r="A3346" s="36" t="s">
        <v>33</v>
      </c>
      <c r="B3346" s="37">
        <v>45124</v>
      </c>
      <c r="C3346" s="36" t="s">
        <v>1501</v>
      </c>
      <c r="D3346" s="36" t="s">
        <v>1423</v>
      </c>
      <c r="E3346" s="36" t="s">
        <v>77</v>
      </c>
      <c r="J3346" s="38">
        <v>319000</v>
      </c>
      <c r="K3346" s="85">
        <v>2023</v>
      </c>
      <c r="L3346" s="85">
        <v>7</v>
      </c>
      <c r="N3346" s="1" t="s">
        <v>44</v>
      </c>
    </row>
    <row r="3347" spans="1:14">
      <c r="A3347" s="36" t="s">
        <v>33</v>
      </c>
      <c r="B3347" s="37">
        <v>45124</v>
      </c>
      <c r="C3347" s="36" t="s">
        <v>96</v>
      </c>
      <c r="D3347" s="36" t="s">
        <v>1423</v>
      </c>
      <c r="E3347" s="36" t="s">
        <v>148</v>
      </c>
      <c r="J3347" s="87">
        <v>231000</v>
      </c>
      <c r="K3347" s="85">
        <v>2023</v>
      </c>
      <c r="L3347" s="85">
        <v>6</v>
      </c>
      <c r="N3347" s="1" t="s">
        <v>44</v>
      </c>
    </row>
    <row r="3348" spans="1:14">
      <c r="A3348" s="36" t="s">
        <v>33</v>
      </c>
      <c r="B3348" s="37">
        <v>45124</v>
      </c>
      <c r="C3348" s="36" t="s">
        <v>1503</v>
      </c>
      <c r="D3348" s="36" t="s">
        <v>1431</v>
      </c>
      <c r="E3348" s="36" t="s">
        <v>1504</v>
      </c>
      <c r="G3348" s="87">
        <v>900000</v>
      </c>
      <c r="H3348" s="87">
        <v>90000</v>
      </c>
      <c r="I3348" s="87">
        <v>990000</v>
      </c>
      <c r="K3348" s="85">
        <v>2023</v>
      </c>
      <c r="L3348" s="85">
        <v>7</v>
      </c>
      <c r="N3348" s="1" t="s">
        <v>44</v>
      </c>
    </row>
    <row r="3349" spans="1:14">
      <c r="A3349" s="36" t="s">
        <v>33</v>
      </c>
      <c r="B3349" s="37">
        <v>45124</v>
      </c>
      <c r="C3349" s="36" t="s">
        <v>1494</v>
      </c>
      <c r="D3349" s="36" t="s">
        <v>1423</v>
      </c>
      <c r="E3349" s="36" t="s">
        <v>1500</v>
      </c>
      <c r="J3349" s="87">
        <v>363000</v>
      </c>
      <c r="K3349" s="85">
        <v>2023</v>
      </c>
      <c r="L3349" s="85">
        <v>7</v>
      </c>
      <c r="N3349" s="1" t="s">
        <v>44</v>
      </c>
    </row>
    <row r="3350" spans="1:14">
      <c r="A3350" s="36" t="s">
        <v>32</v>
      </c>
      <c r="B3350" s="37">
        <v>45124</v>
      </c>
      <c r="C3350" s="36" t="s">
        <v>677</v>
      </c>
      <c r="D3350" s="36" t="s">
        <v>825</v>
      </c>
      <c r="E3350" s="36" t="s">
        <v>1500</v>
      </c>
      <c r="J3350" s="87">
        <v>28779300</v>
      </c>
      <c r="K3350" s="85">
        <v>2023</v>
      </c>
      <c r="L3350" s="85">
        <v>6</v>
      </c>
      <c r="N3350" s="1" t="s">
        <v>44</v>
      </c>
    </row>
    <row r="3351" spans="1:14">
      <c r="A3351" s="36" t="s">
        <v>32</v>
      </c>
      <c r="B3351" s="37">
        <v>45124</v>
      </c>
      <c r="C3351" s="36" t="s">
        <v>677</v>
      </c>
      <c r="D3351" s="36" t="s">
        <v>678</v>
      </c>
      <c r="E3351" s="36" t="s">
        <v>1502</v>
      </c>
      <c r="J3351" s="87">
        <v>11825000</v>
      </c>
      <c r="K3351" s="85">
        <v>2023</v>
      </c>
      <c r="L3351" s="85">
        <v>6</v>
      </c>
      <c r="N3351" s="1" t="s">
        <v>44</v>
      </c>
    </row>
    <row r="3352" spans="1:14">
      <c r="A3352" s="36" t="s">
        <v>32</v>
      </c>
      <c r="B3352" s="37">
        <v>45124</v>
      </c>
      <c r="C3352" s="36" t="s">
        <v>552</v>
      </c>
      <c r="D3352" s="36" t="s">
        <v>1345</v>
      </c>
      <c r="E3352" s="36" t="s">
        <v>1500</v>
      </c>
      <c r="J3352" s="87">
        <v>128754890</v>
      </c>
      <c r="K3352" s="85">
        <v>2023</v>
      </c>
      <c r="L3352" s="85">
        <v>6</v>
      </c>
      <c r="M3352" s="36" t="s">
        <v>1499</v>
      </c>
      <c r="N3352" s="1" t="s">
        <v>44</v>
      </c>
    </row>
    <row r="3353" spans="1:14">
      <c r="A3353" s="36" t="s">
        <v>32</v>
      </c>
      <c r="B3353" s="37">
        <v>45124</v>
      </c>
      <c r="C3353" s="36" t="s">
        <v>1468</v>
      </c>
      <c r="D3353" s="36" t="s">
        <v>1479</v>
      </c>
      <c r="E3353" s="36" t="s">
        <v>1500</v>
      </c>
      <c r="J3353" s="87">
        <v>16317180</v>
      </c>
      <c r="K3353" s="85">
        <v>2023</v>
      </c>
      <c r="L3353" s="85">
        <v>6</v>
      </c>
      <c r="N3353" s="1" t="s">
        <v>44</v>
      </c>
    </row>
    <row r="3354" spans="1:14">
      <c r="A3354" s="36" t="s">
        <v>33</v>
      </c>
      <c r="B3354" s="37">
        <v>45125</v>
      </c>
      <c r="C3354" s="36" t="s">
        <v>1503</v>
      </c>
      <c r="D3354" s="36" t="s">
        <v>1431</v>
      </c>
      <c r="E3354" s="36" t="s">
        <v>77</v>
      </c>
      <c r="J3354" s="38">
        <v>990000</v>
      </c>
      <c r="K3354" s="85">
        <v>2023</v>
      </c>
      <c r="L3354" s="85">
        <v>7</v>
      </c>
      <c r="N3354" s="1" t="s">
        <v>44</v>
      </c>
    </row>
    <row r="3355" spans="1:14">
      <c r="A3355" s="36" t="s">
        <v>32</v>
      </c>
      <c r="B3355" s="37">
        <v>45125</v>
      </c>
      <c r="C3355" s="36" t="s">
        <v>1333</v>
      </c>
      <c r="D3355" s="36" t="s">
        <v>1477</v>
      </c>
      <c r="E3355" s="36" t="s">
        <v>1505</v>
      </c>
      <c r="J3355" s="38">
        <v>8000000</v>
      </c>
      <c r="K3355" s="85">
        <v>2023</v>
      </c>
      <c r="L3355" s="85">
        <v>6</v>
      </c>
      <c r="M3355" s="36" t="s">
        <v>1373</v>
      </c>
      <c r="N3355" s="1" t="s">
        <v>44</v>
      </c>
    </row>
    <row r="3356" spans="1:14">
      <c r="A3356" s="36" t="s">
        <v>33</v>
      </c>
      <c r="B3356" s="37">
        <v>45127</v>
      </c>
      <c r="C3356" s="36" t="s">
        <v>119</v>
      </c>
      <c r="D3356" s="36" t="s">
        <v>1800</v>
      </c>
      <c r="E3356" s="36" t="s">
        <v>1505</v>
      </c>
      <c r="J3356" s="87">
        <v>11067648</v>
      </c>
      <c r="K3356" s="85">
        <v>2023</v>
      </c>
      <c r="L3356" s="85">
        <v>6</v>
      </c>
      <c r="N3356" s="1" t="s">
        <v>44</v>
      </c>
    </row>
    <row r="3357" spans="1:14">
      <c r="A3357" s="36" t="s">
        <v>33</v>
      </c>
      <c r="B3357" s="37">
        <v>45127</v>
      </c>
      <c r="C3357" s="36" t="s">
        <v>1569</v>
      </c>
      <c r="D3357" s="36" t="s">
        <v>1412</v>
      </c>
      <c r="E3357" s="36" t="s">
        <v>1570</v>
      </c>
      <c r="G3357" s="87">
        <v>1731600</v>
      </c>
      <c r="H3357" s="87">
        <v>173160</v>
      </c>
      <c r="I3357" s="87">
        <v>1904760</v>
      </c>
      <c r="K3357" s="85">
        <v>2023</v>
      </c>
      <c r="L3357" s="85">
        <v>7</v>
      </c>
      <c r="N3357" s="1" t="s">
        <v>44</v>
      </c>
    </row>
    <row r="3358" spans="1:14">
      <c r="A3358" s="36" t="s">
        <v>33</v>
      </c>
      <c r="B3358" s="37">
        <v>45127</v>
      </c>
      <c r="C3358" s="36" t="s">
        <v>1393</v>
      </c>
      <c r="D3358" s="36" t="s">
        <v>1447</v>
      </c>
      <c r="E3358" s="36" t="s">
        <v>1505</v>
      </c>
      <c r="J3358" s="87">
        <v>16864650</v>
      </c>
      <c r="K3358" s="85">
        <v>2023</v>
      </c>
      <c r="L3358" s="85">
        <v>5</v>
      </c>
      <c r="N3358" s="1" t="s">
        <v>44</v>
      </c>
    </row>
    <row r="3359" spans="1:14">
      <c r="A3359" s="36" t="s">
        <v>32</v>
      </c>
      <c r="B3359" s="37">
        <v>45127</v>
      </c>
      <c r="C3359" s="36" t="s">
        <v>288</v>
      </c>
      <c r="D3359" s="36" t="s">
        <v>1414</v>
      </c>
      <c r="E3359" s="36" t="s">
        <v>1505</v>
      </c>
      <c r="J3359" s="87">
        <v>42161625</v>
      </c>
      <c r="K3359" s="85">
        <v>2023</v>
      </c>
      <c r="L3359" s="85">
        <v>5</v>
      </c>
      <c r="N3359" s="1" t="s">
        <v>44</v>
      </c>
    </row>
    <row r="3360" spans="1:14">
      <c r="A3360" s="36" t="s">
        <v>32</v>
      </c>
      <c r="B3360" s="37">
        <v>45128</v>
      </c>
      <c r="C3360" s="36" t="s">
        <v>1532</v>
      </c>
      <c r="D3360" s="36" t="s">
        <v>1536</v>
      </c>
      <c r="E3360" s="36" t="s">
        <v>267</v>
      </c>
      <c r="G3360" s="87">
        <v>2500000</v>
      </c>
      <c r="H3360" s="87">
        <v>250000</v>
      </c>
      <c r="I3360" s="87">
        <v>2750000</v>
      </c>
      <c r="K3360" s="85">
        <v>2023</v>
      </c>
      <c r="L3360" s="85">
        <v>7</v>
      </c>
      <c r="N3360" s="1" t="s">
        <v>44</v>
      </c>
    </row>
    <row r="3361" spans="1:14">
      <c r="A3361" s="36" t="s">
        <v>32</v>
      </c>
      <c r="B3361" s="37">
        <v>45131</v>
      </c>
      <c r="C3361" s="36" t="s">
        <v>1532</v>
      </c>
      <c r="D3361" s="36" t="s">
        <v>1536</v>
      </c>
      <c r="E3361" s="36" t="s">
        <v>77</v>
      </c>
      <c r="J3361" s="38">
        <v>2750000</v>
      </c>
      <c r="K3361" s="85">
        <v>2023</v>
      </c>
      <c r="L3361" s="85">
        <v>7</v>
      </c>
      <c r="N3361" s="1" t="s">
        <v>44</v>
      </c>
    </row>
    <row r="3362" spans="1:14">
      <c r="A3362" s="36" t="s">
        <v>32</v>
      </c>
      <c r="B3362" s="37">
        <v>45131</v>
      </c>
      <c r="C3362" s="36" t="s">
        <v>1461</v>
      </c>
      <c r="D3362" s="36" t="s">
        <v>1490</v>
      </c>
      <c r="E3362" s="36" t="s">
        <v>1506</v>
      </c>
      <c r="J3362" s="87">
        <v>1375000</v>
      </c>
      <c r="K3362" s="85">
        <v>2023</v>
      </c>
      <c r="L3362" s="85">
        <v>6</v>
      </c>
      <c r="N3362" s="1" t="s">
        <v>44</v>
      </c>
    </row>
    <row r="3363" spans="1:14">
      <c r="A3363" s="36" t="s">
        <v>32</v>
      </c>
      <c r="B3363" s="37">
        <v>45132</v>
      </c>
      <c r="C3363" s="36" t="s">
        <v>991</v>
      </c>
      <c r="D3363" s="36" t="s">
        <v>992</v>
      </c>
      <c r="E3363" s="36" t="s">
        <v>148</v>
      </c>
      <c r="J3363" s="38">
        <v>4380270</v>
      </c>
      <c r="K3363" s="85">
        <v>2023</v>
      </c>
      <c r="L3363" s="85">
        <v>1</v>
      </c>
      <c r="N3363" s="1" t="s">
        <v>44</v>
      </c>
    </row>
    <row r="3364" spans="1:14">
      <c r="A3364" s="36" t="s">
        <v>32</v>
      </c>
      <c r="B3364" s="37">
        <v>45132</v>
      </c>
      <c r="C3364" s="36" t="s">
        <v>654</v>
      </c>
      <c r="D3364" s="36" t="s">
        <v>1215</v>
      </c>
      <c r="E3364" s="36" t="s">
        <v>148</v>
      </c>
      <c r="J3364" s="87">
        <v>2379611</v>
      </c>
      <c r="K3364" s="85">
        <v>2023</v>
      </c>
      <c r="L3364" s="85">
        <v>5</v>
      </c>
      <c r="N3364" s="1" t="s">
        <v>44</v>
      </c>
    </row>
    <row r="3365" spans="1:14">
      <c r="A3365" s="36" t="s">
        <v>32</v>
      </c>
      <c r="B3365" s="37">
        <v>45132</v>
      </c>
      <c r="C3365" s="36" t="s">
        <v>654</v>
      </c>
      <c r="D3365" s="36" t="s">
        <v>1219</v>
      </c>
      <c r="E3365" s="36" t="s">
        <v>148</v>
      </c>
      <c r="J3365" s="38">
        <v>2120580</v>
      </c>
      <c r="K3365" s="85">
        <v>2023</v>
      </c>
      <c r="L3365" s="85">
        <v>5</v>
      </c>
      <c r="N3365" s="1" t="s">
        <v>44</v>
      </c>
    </row>
    <row r="3366" spans="1:14">
      <c r="A3366" s="36" t="s">
        <v>32</v>
      </c>
      <c r="B3366" s="37">
        <v>45132</v>
      </c>
      <c r="C3366" s="36" t="s">
        <v>654</v>
      </c>
      <c r="D3366" s="36" t="s">
        <v>1219</v>
      </c>
      <c r="E3366" s="36" t="s">
        <v>148</v>
      </c>
      <c r="J3366" s="38">
        <v>2826972</v>
      </c>
      <c r="K3366" s="85">
        <v>2023</v>
      </c>
      <c r="L3366" s="85">
        <v>5</v>
      </c>
      <c r="N3366" s="1" t="s">
        <v>44</v>
      </c>
    </row>
    <row r="3367" spans="1:14">
      <c r="A3367" s="36" t="s">
        <v>32</v>
      </c>
      <c r="B3367" s="37">
        <v>45132</v>
      </c>
      <c r="C3367" s="36" t="s">
        <v>654</v>
      </c>
      <c r="D3367" s="36" t="s">
        <v>1219</v>
      </c>
      <c r="E3367" s="36" t="s">
        <v>148</v>
      </c>
      <c r="J3367" s="38">
        <v>700000</v>
      </c>
      <c r="K3367" s="85">
        <v>2023</v>
      </c>
      <c r="L3367" s="85">
        <v>5</v>
      </c>
      <c r="N3367" s="1" t="s">
        <v>44</v>
      </c>
    </row>
    <row r="3368" spans="1:14">
      <c r="A3368" s="36" t="s">
        <v>33</v>
      </c>
      <c r="B3368" s="37">
        <v>45132</v>
      </c>
      <c r="C3368" s="36" t="s">
        <v>912</v>
      </c>
      <c r="D3368" s="36" t="s">
        <v>1918</v>
      </c>
      <c r="E3368" s="36" t="s">
        <v>1507</v>
      </c>
      <c r="J3368" s="87">
        <v>7382138.5</v>
      </c>
      <c r="K3368" s="85">
        <v>2023</v>
      </c>
      <c r="L3368" s="85">
        <v>6</v>
      </c>
      <c r="M3368" s="36" t="s">
        <v>1376</v>
      </c>
      <c r="N3368" s="1" t="s">
        <v>44</v>
      </c>
    </row>
    <row r="3369" spans="1:14">
      <c r="A3369" s="36" t="s">
        <v>33</v>
      </c>
      <c r="B3369" s="37">
        <v>45132</v>
      </c>
      <c r="C3369" s="36" t="s">
        <v>912</v>
      </c>
      <c r="D3369" s="36" t="s">
        <v>1918</v>
      </c>
      <c r="E3369" s="36" t="s">
        <v>447</v>
      </c>
      <c r="G3369" s="87">
        <v>6581965</v>
      </c>
      <c r="H3369" s="87">
        <v>658196</v>
      </c>
      <c r="I3369" s="87">
        <v>7240161</v>
      </c>
      <c r="K3369" s="85">
        <v>2023</v>
      </c>
      <c r="L3369" s="85">
        <v>7</v>
      </c>
      <c r="M3369" s="36" t="s">
        <v>1376</v>
      </c>
      <c r="N3369" s="1" t="s">
        <v>44</v>
      </c>
    </row>
    <row r="3370" spans="1:14">
      <c r="A3370" s="36" t="s">
        <v>32</v>
      </c>
      <c r="B3370" s="37">
        <v>45133</v>
      </c>
      <c r="C3370" s="36" t="s">
        <v>209</v>
      </c>
      <c r="D3370" s="36" t="s">
        <v>1537</v>
      </c>
      <c r="E3370" s="36" t="s">
        <v>1491</v>
      </c>
      <c r="G3370" s="87">
        <v>11023000</v>
      </c>
      <c r="H3370" s="87">
        <v>1102300</v>
      </c>
      <c r="I3370" s="87">
        <v>12125300</v>
      </c>
      <c r="K3370" s="85">
        <v>2023</v>
      </c>
      <c r="L3370" s="85">
        <v>7</v>
      </c>
      <c r="N3370" s="1" t="s">
        <v>44</v>
      </c>
    </row>
    <row r="3371" spans="1:14">
      <c r="A3371" s="36" t="s">
        <v>32</v>
      </c>
      <c r="B3371" s="37">
        <v>45133</v>
      </c>
      <c r="C3371" s="36" t="s">
        <v>552</v>
      </c>
      <c r="D3371" s="36" t="s">
        <v>1011</v>
      </c>
      <c r="E3371" s="36" t="s">
        <v>148</v>
      </c>
      <c r="J3371" s="87">
        <v>54690707.5</v>
      </c>
      <c r="K3371" s="85">
        <v>2023</v>
      </c>
      <c r="L3371" s="85">
        <v>6</v>
      </c>
      <c r="N3371" s="1" t="s">
        <v>44</v>
      </c>
    </row>
    <row r="3372" spans="1:14">
      <c r="A3372" s="36" t="s">
        <v>32</v>
      </c>
      <c r="B3372" s="37">
        <v>45134</v>
      </c>
      <c r="C3372" s="36" t="s">
        <v>667</v>
      </c>
      <c r="D3372" s="36" t="s">
        <v>1183</v>
      </c>
      <c r="E3372" s="36" t="s">
        <v>148</v>
      </c>
      <c r="J3372" s="38">
        <v>7920320</v>
      </c>
      <c r="K3372" s="85">
        <v>2023</v>
      </c>
      <c r="L3372" s="85">
        <v>3</v>
      </c>
      <c r="N3372" s="1" t="s">
        <v>44</v>
      </c>
    </row>
    <row r="3373" spans="1:14">
      <c r="A3373" s="36" t="s">
        <v>32</v>
      </c>
      <c r="B3373" s="37">
        <v>45134</v>
      </c>
      <c r="C3373" s="36" t="s">
        <v>667</v>
      </c>
      <c r="D3373" s="36" t="s">
        <v>1183</v>
      </c>
      <c r="E3373" s="36" t="s">
        <v>148</v>
      </c>
      <c r="J3373" s="87">
        <v>4593600</v>
      </c>
      <c r="K3373" s="85">
        <v>2023</v>
      </c>
      <c r="L3373" s="85">
        <v>5</v>
      </c>
      <c r="N3373" s="1" t="s">
        <v>44</v>
      </c>
    </row>
    <row r="3374" spans="1:14">
      <c r="A3374" s="36" t="s">
        <v>32</v>
      </c>
      <c r="B3374" s="37">
        <v>45134</v>
      </c>
      <c r="C3374" s="36" t="s">
        <v>1465</v>
      </c>
      <c r="D3374" s="36" t="s">
        <v>1475</v>
      </c>
      <c r="E3374" s="36" t="s">
        <v>1510</v>
      </c>
      <c r="J3374" s="87">
        <v>4356000</v>
      </c>
      <c r="K3374" s="85">
        <v>2023</v>
      </c>
      <c r="L3374" s="85">
        <v>6</v>
      </c>
      <c r="N3374" s="1" t="s">
        <v>44</v>
      </c>
    </row>
    <row r="3375" spans="1:14">
      <c r="A3375" s="36" t="s">
        <v>33</v>
      </c>
      <c r="B3375" s="37">
        <v>45134</v>
      </c>
      <c r="C3375" s="36" t="s">
        <v>1429</v>
      </c>
      <c r="D3375" s="36" t="s">
        <v>1431</v>
      </c>
      <c r="E3375" s="36" t="s">
        <v>1514</v>
      </c>
      <c r="G3375" s="87">
        <v>7716800</v>
      </c>
      <c r="H3375" s="87">
        <v>771680</v>
      </c>
      <c r="I3375" s="87">
        <v>8488480</v>
      </c>
      <c r="K3375" s="85">
        <v>2023</v>
      </c>
      <c r="L3375" s="85">
        <v>7</v>
      </c>
      <c r="N3375" s="1" t="s">
        <v>44</v>
      </c>
    </row>
    <row r="3376" spans="1:14">
      <c r="A3376" s="36" t="s">
        <v>33</v>
      </c>
      <c r="B3376" s="37">
        <v>45135</v>
      </c>
      <c r="C3376" s="36" t="s">
        <v>1150</v>
      </c>
      <c r="D3376" s="36" t="s">
        <v>1416</v>
      </c>
      <c r="E3376" s="36" t="s">
        <v>973</v>
      </c>
      <c r="G3376" s="87">
        <v>165400</v>
      </c>
      <c r="H3376" s="87">
        <v>16540</v>
      </c>
      <c r="I3376" s="87">
        <v>181940</v>
      </c>
      <c r="K3376" s="85">
        <v>2023</v>
      </c>
      <c r="L3376" s="85">
        <v>7</v>
      </c>
      <c r="N3376" s="1" t="s">
        <v>44</v>
      </c>
    </row>
    <row r="3377" spans="1:14">
      <c r="A3377" s="36" t="s">
        <v>32</v>
      </c>
      <c r="B3377" s="37">
        <v>45138</v>
      </c>
      <c r="C3377" s="36" t="s">
        <v>760</v>
      </c>
      <c r="D3377" s="36" t="s">
        <v>930</v>
      </c>
      <c r="E3377" s="36" t="s">
        <v>1513</v>
      </c>
      <c r="J3377" s="38">
        <v>5707240</v>
      </c>
      <c r="K3377" s="85">
        <v>2023</v>
      </c>
      <c r="L3377" s="85">
        <v>6</v>
      </c>
      <c r="N3377" s="1" t="s">
        <v>44</v>
      </c>
    </row>
    <row r="3378" spans="1:14">
      <c r="A3378" s="36" t="s">
        <v>32</v>
      </c>
      <c r="B3378" s="37">
        <v>45138</v>
      </c>
      <c r="C3378" s="36" t="s">
        <v>760</v>
      </c>
      <c r="D3378" s="36" t="s">
        <v>1541</v>
      </c>
      <c r="E3378" s="36" t="s">
        <v>1549</v>
      </c>
      <c r="G3378" s="87">
        <v>1680000</v>
      </c>
      <c r="H3378" s="87">
        <v>168000</v>
      </c>
      <c r="I3378" s="87">
        <v>1848000</v>
      </c>
      <c r="K3378" s="85">
        <v>2023</v>
      </c>
      <c r="L3378" s="85">
        <v>7</v>
      </c>
      <c r="N3378" s="1" t="s">
        <v>44</v>
      </c>
    </row>
    <row r="3379" spans="1:14">
      <c r="A3379" s="36" t="s">
        <v>32</v>
      </c>
      <c r="B3379" s="37">
        <v>45138</v>
      </c>
      <c r="C3379" s="36" t="s">
        <v>664</v>
      </c>
      <c r="D3379" s="36" t="s">
        <v>1330</v>
      </c>
      <c r="E3379" s="36" t="s">
        <v>267</v>
      </c>
      <c r="G3379" s="87">
        <v>12499000</v>
      </c>
      <c r="H3379" s="87">
        <v>1249900</v>
      </c>
      <c r="I3379" s="87">
        <v>13748900</v>
      </c>
      <c r="K3379" s="85">
        <v>2023</v>
      </c>
      <c r="L3379" s="85">
        <v>7</v>
      </c>
      <c r="N3379" s="1" t="s">
        <v>44</v>
      </c>
    </row>
    <row r="3380" spans="1:14">
      <c r="A3380" s="36" t="s">
        <v>32</v>
      </c>
      <c r="B3380" s="37">
        <v>45138</v>
      </c>
      <c r="C3380" s="36" t="s">
        <v>174</v>
      </c>
      <c r="D3380" s="36" t="s">
        <v>1155</v>
      </c>
      <c r="E3380" s="36" t="s">
        <v>76</v>
      </c>
      <c r="G3380" s="87">
        <v>8100000</v>
      </c>
      <c r="H3380" s="87">
        <v>810000</v>
      </c>
      <c r="I3380" s="87">
        <v>8910000</v>
      </c>
      <c r="K3380" s="85">
        <v>2023</v>
      </c>
      <c r="L3380" s="85">
        <v>7</v>
      </c>
      <c r="N3380" s="1" t="s">
        <v>44</v>
      </c>
    </row>
    <row r="3381" spans="1:14">
      <c r="A3381" s="36" t="s">
        <v>32</v>
      </c>
      <c r="B3381" s="37">
        <v>45138</v>
      </c>
      <c r="C3381" s="36" t="s">
        <v>209</v>
      </c>
      <c r="D3381" s="36" t="s">
        <v>1885</v>
      </c>
      <c r="E3381" s="36" t="s">
        <v>77</v>
      </c>
      <c r="J3381" s="266">
        <v>12571020</v>
      </c>
      <c r="K3381" s="85">
        <v>2023</v>
      </c>
      <c r="L3381" s="85">
        <v>6</v>
      </c>
      <c r="M3381" s="268" t="s">
        <v>1517</v>
      </c>
      <c r="N3381" s="1" t="s">
        <v>44</v>
      </c>
    </row>
    <row r="3382" spans="1:14">
      <c r="A3382" s="36" t="s">
        <v>32</v>
      </c>
      <c r="B3382" s="37">
        <v>45138</v>
      </c>
      <c r="C3382" s="36" t="s">
        <v>209</v>
      </c>
      <c r="D3382" s="36" t="s">
        <v>1699</v>
      </c>
      <c r="E3382" s="36" t="s">
        <v>77</v>
      </c>
      <c r="J3382" s="266">
        <v>34165890</v>
      </c>
      <c r="K3382" s="85">
        <v>2023</v>
      </c>
      <c r="L3382" s="85">
        <v>6</v>
      </c>
      <c r="M3382" s="268" t="s">
        <v>1517</v>
      </c>
      <c r="N3382" s="1" t="s">
        <v>44</v>
      </c>
    </row>
    <row r="3383" spans="1:14">
      <c r="A3383" s="36" t="s">
        <v>32</v>
      </c>
      <c r="B3383" s="37">
        <v>45138</v>
      </c>
      <c r="C3383" s="36" t="s">
        <v>209</v>
      </c>
      <c r="D3383" s="36" t="s">
        <v>1885</v>
      </c>
      <c r="E3383" s="36" t="s">
        <v>1551</v>
      </c>
      <c r="G3383" s="87">
        <v>26695200</v>
      </c>
      <c r="H3383" s="87">
        <v>2669520</v>
      </c>
      <c r="I3383" s="87">
        <v>29364720</v>
      </c>
      <c r="K3383" s="85">
        <v>2023</v>
      </c>
      <c r="L3383" s="85">
        <v>7</v>
      </c>
      <c r="N3383" s="1" t="s">
        <v>44</v>
      </c>
    </row>
    <row r="3384" spans="1:14">
      <c r="A3384" s="36" t="s">
        <v>32</v>
      </c>
      <c r="B3384" s="37">
        <v>45138</v>
      </c>
      <c r="C3384" s="36" t="s">
        <v>209</v>
      </c>
      <c r="D3384" s="36" t="s">
        <v>1699</v>
      </c>
      <c r="E3384" s="36" t="s">
        <v>76</v>
      </c>
      <c r="G3384" s="87">
        <v>45763200</v>
      </c>
      <c r="H3384" s="87">
        <v>4576320</v>
      </c>
      <c r="I3384" s="87">
        <v>50339520</v>
      </c>
      <c r="K3384" s="85">
        <v>2023</v>
      </c>
      <c r="L3384" s="85">
        <v>7</v>
      </c>
      <c r="N3384" s="1" t="s">
        <v>44</v>
      </c>
    </row>
    <row r="3385" spans="1:14">
      <c r="A3385" s="36" t="s">
        <v>32</v>
      </c>
      <c r="B3385" s="37">
        <v>45138</v>
      </c>
      <c r="C3385" s="36" t="s">
        <v>209</v>
      </c>
      <c r="D3385" s="36" t="s">
        <v>1048</v>
      </c>
      <c r="E3385" s="36" t="s">
        <v>76</v>
      </c>
      <c r="G3385" s="87">
        <v>6469400</v>
      </c>
      <c r="H3385" s="87">
        <v>646940</v>
      </c>
      <c r="I3385" s="87">
        <v>7116340</v>
      </c>
      <c r="K3385" s="85">
        <v>2023</v>
      </c>
      <c r="L3385" s="85">
        <v>7</v>
      </c>
      <c r="N3385" s="1" t="s">
        <v>44</v>
      </c>
    </row>
    <row r="3386" spans="1:14">
      <c r="A3386" s="36" t="s">
        <v>32</v>
      </c>
      <c r="B3386" s="37">
        <v>45138</v>
      </c>
      <c r="C3386" s="36" t="s">
        <v>209</v>
      </c>
      <c r="D3386" s="36" t="s">
        <v>1411</v>
      </c>
      <c r="E3386" s="36" t="s">
        <v>267</v>
      </c>
      <c r="G3386" s="87">
        <v>47790000</v>
      </c>
      <c r="H3386" s="87">
        <v>4779000</v>
      </c>
      <c r="I3386" s="87">
        <v>52569000</v>
      </c>
      <c r="K3386" s="85">
        <v>2023</v>
      </c>
      <c r="L3386" s="85">
        <v>7</v>
      </c>
      <c r="N3386" s="1" t="s">
        <v>44</v>
      </c>
    </row>
    <row r="3387" spans="1:14">
      <c r="A3387" s="36" t="s">
        <v>32</v>
      </c>
      <c r="B3387" s="37">
        <v>45138</v>
      </c>
      <c r="C3387" s="36" t="s">
        <v>209</v>
      </c>
      <c r="D3387" s="36" t="s">
        <v>1412</v>
      </c>
      <c r="E3387" s="36" t="s">
        <v>76</v>
      </c>
      <c r="G3387" s="87">
        <v>57820000</v>
      </c>
      <c r="H3387" s="87">
        <v>5782000</v>
      </c>
      <c r="I3387" s="87">
        <v>63602000</v>
      </c>
      <c r="K3387" s="85">
        <v>2023</v>
      </c>
      <c r="L3387" s="85">
        <v>7</v>
      </c>
      <c r="N3387" s="1" t="s">
        <v>44</v>
      </c>
    </row>
    <row r="3388" spans="1:14">
      <c r="A3388" s="36" t="s">
        <v>32</v>
      </c>
      <c r="B3388" s="37">
        <v>45138</v>
      </c>
      <c r="C3388" s="36" t="s">
        <v>209</v>
      </c>
      <c r="D3388" s="36" t="s">
        <v>1537</v>
      </c>
      <c r="E3388" s="36" t="s">
        <v>77</v>
      </c>
      <c r="J3388" s="267">
        <v>10679504</v>
      </c>
      <c r="K3388" s="85">
        <v>2023</v>
      </c>
      <c r="L3388" s="85">
        <v>6</v>
      </c>
      <c r="M3388" s="268"/>
      <c r="N3388" s="1" t="s">
        <v>44</v>
      </c>
    </row>
    <row r="3389" spans="1:14">
      <c r="A3389" s="36" t="s">
        <v>33</v>
      </c>
      <c r="B3389" s="37">
        <v>45138</v>
      </c>
      <c r="C3389" s="36" t="s">
        <v>1439</v>
      </c>
      <c r="D3389" s="36" t="s">
        <v>1048</v>
      </c>
      <c r="E3389" s="36" t="s">
        <v>1513</v>
      </c>
      <c r="J3389" s="87">
        <v>308000</v>
      </c>
      <c r="K3389" s="85">
        <v>2023</v>
      </c>
      <c r="L3389" s="85">
        <v>6</v>
      </c>
      <c r="N3389" s="1" t="s">
        <v>44</v>
      </c>
    </row>
    <row r="3390" spans="1:14">
      <c r="A3390" s="36" t="s">
        <v>33</v>
      </c>
      <c r="B3390" s="37">
        <v>45138</v>
      </c>
      <c r="C3390" s="36" t="s">
        <v>1439</v>
      </c>
      <c r="D3390" s="36" t="s">
        <v>1048</v>
      </c>
      <c r="E3390" s="36" t="s">
        <v>157</v>
      </c>
      <c r="G3390" s="87">
        <v>280000</v>
      </c>
      <c r="H3390" s="87">
        <v>28000</v>
      </c>
      <c r="I3390" s="87">
        <v>308000</v>
      </c>
      <c r="K3390" s="85">
        <v>2023</v>
      </c>
      <c r="L3390" s="85">
        <v>7</v>
      </c>
      <c r="N3390" s="1" t="s">
        <v>44</v>
      </c>
    </row>
    <row r="3391" spans="1:14">
      <c r="A3391" s="36" t="s">
        <v>33</v>
      </c>
      <c r="B3391" s="37">
        <v>45138</v>
      </c>
      <c r="C3391" s="36" t="s">
        <v>96</v>
      </c>
      <c r="D3391" s="36" t="s">
        <v>1527</v>
      </c>
      <c r="E3391" s="36" t="s">
        <v>447</v>
      </c>
      <c r="G3391" s="87">
        <v>800000</v>
      </c>
      <c r="H3391" s="87">
        <v>80000</v>
      </c>
      <c r="I3391" s="87">
        <v>880000</v>
      </c>
      <c r="K3391" s="85">
        <v>2023</v>
      </c>
      <c r="L3391" s="85">
        <v>7</v>
      </c>
      <c r="N3391" s="1" t="s">
        <v>44</v>
      </c>
    </row>
    <row r="3392" spans="1:14">
      <c r="A3392" s="36" t="s">
        <v>32</v>
      </c>
      <c r="B3392" s="37">
        <v>45138</v>
      </c>
      <c r="C3392" s="36" t="s">
        <v>1332</v>
      </c>
      <c r="D3392" s="36" t="s">
        <v>1341</v>
      </c>
      <c r="E3392" s="36" t="s">
        <v>76</v>
      </c>
      <c r="G3392" s="87">
        <v>48060000</v>
      </c>
      <c r="H3392" s="87">
        <v>4806000</v>
      </c>
      <c r="I3392" s="87">
        <v>52866000</v>
      </c>
      <c r="K3392" s="85">
        <v>2023</v>
      </c>
      <c r="L3392" s="85">
        <v>7</v>
      </c>
      <c r="N3392" s="1" t="s">
        <v>44</v>
      </c>
    </row>
    <row r="3393" spans="1:14">
      <c r="A3393" s="36" t="s">
        <v>32</v>
      </c>
      <c r="B3393" s="37">
        <v>45138</v>
      </c>
      <c r="C3393" s="36" t="s">
        <v>204</v>
      </c>
      <c r="D3393" s="36" t="s">
        <v>1482</v>
      </c>
      <c r="E3393" s="36" t="s">
        <v>1513</v>
      </c>
      <c r="J3393" s="87">
        <v>6557760</v>
      </c>
      <c r="K3393" s="85">
        <v>2023</v>
      </c>
      <c r="L3393" s="85">
        <v>6</v>
      </c>
      <c r="N3393" s="1" t="s">
        <v>44</v>
      </c>
    </row>
    <row r="3394" spans="1:14">
      <c r="A3394" s="36" t="s">
        <v>32</v>
      </c>
      <c r="B3394" s="37">
        <v>45138</v>
      </c>
      <c r="C3394" s="36" t="s">
        <v>204</v>
      </c>
      <c r="D3394" s="36" t="s">
        <v>1273</v>
      </c>
      <c r="E3394" s="36" t="s">
        <v>1513</v>
      </c>
      <c r="J3394" s="87">
        <v>18072340</v>
      </c>
      <c r="K3394" s="85">
        <v>2023</v>
      </c>
      <c r="L3394" s="85">
        <v>6</v>
      </c>
      <c r="N3394" s="1" t="s">
        <v>44</v>
      </c>
    </row>
    <row r="3395" spans="1:14">
      <c r="A3395" s="36" t="s">
        <v>32</v>
      </c>
      <c r="B3395" s="37">
        <v>45138</v>
      </c>
      <c r="C3395" s="36" t="s">
        <v>204</v>
      </c>
      <c r="D3395" s="36" t="s">
        <v>1482</v>
      </c>
      <c r="E3395" s="36" t="s">
        <v>76</v>
      </c>
      <c r="G3395" s="87">
        <v>5455000</v>
      </c>
      <c r="H3395" s="87">
        <v>545500</v>
      </c>
      <c r="I3395" s="87">
        <v>6000500</v>
      </c>
      <c r="K3395" s="85">
        <v>2023</v>
      </c>
      <c r="L3395" s="85">
        <v>7</v>
      </c>
      <c r="N3395" s="1" t="s">
        <v>44</v>
      </c>
    </row>
    <row r="3396" spans="1:14">
      <c r="A3396" s="36" t="s">
        <v>32</v>
      </c>
      <c r="B3396" s="37">
        <v>45138</v>
      </c>
      <c r="C3396" s="36" t="s">
        <v>204</v>
      </c>
      <c r="D3396" s="36" t="s">
        <v>1273</v>
      </c>
      <c r="E3396" s="36" t="s">
        <v>76</v>
      </c>
      <c r="G3396" s="87">
        <v>13164000</v>
      </c>
      <c r="H3396" s="87">
        <v>1316400</v>
      </c>
      <c r="I3396" s="87">
        <v>14480400</v>
      </c>
      <c r="K3396" s="85">
        <v>2023</v>
      </c>
      <c r="L3396" s="85">
        <v>7</v>
      </c>
      <c r="N3396" s="1" t="s">
        <v>44</v>
      </c>
    </row>
    <row r="3397" spans="1:14">
      <c r="A3397" s="36" t="s">
        <v>33</v>
      </c>
      <c r="B3397" s="37">
        <v>45138</v>
      </c>
      <c r="C3397" s="36" t="s">
        <v>144</v>
      </c>
      <c r="D3397" s="36" t="s">
        <v>1340</v>
      </c>
      <c r="E3397" s="36" t="s">
        <v>1513</v>
      </c>
      <c r="J3397" s="87">
        <v>770000</v>
      </c>
      <c r="K3397" s="85">
        <v>2023</v>
      </c>
      <c r="L3397" s="85">
        <v>7</v>
      </c>
      <c r="N3397" s="1" t="s">
        <v>44</v>
      </c>
    </row>
    <row r="3398" spans="1:14">
      <c r="A3398" s="36" t="s">
        <v>32</v>
      </c>
      <c r="B3398" s="37">
        <v>45138</v>
      </c>
      <c r="C3398" s="36" t="s">
        <v>1533</v>
      </c>
      <c r="D3398" s="36" t="s">
        <v>1538</v>
      </c>
      <c r="E3398" s="36" t="s">
        <v>1550</v>
      </c>
      <c r="G3398" s="87">
        <v>6897600</v>
      </c>
      <c r="H3398" s="87">
        <v>689760</v>
      </c>
      <c r="I3398" s="87">
        <v>7587360</v>
      </c>
      <c r="K3398" s="85">
        <v>2023</v>
      </c>
      <c r="L3398" s="85">
        <v>7</v>
      </c>
      <c r="N3398" s="1" t="s">
        <v>44</v>
      </c>
    </row>
    <row r="3399" spans="1:14">
      <c r="A3399" s="36" t="s">
        <v>32</v>
      </c>
      <c r="B3399" s="37">
        <v>45138</v>
      </c>
      <c r="C3399" s="36" t="s">
        <v>1470</v>
      </c>
      <c r="D3399" s="36" t="s">
        <v>1487</v>
      </c>
      <c r="E3399" s="36" t="s">
        <v>1513</v>
      </c>
      <c r="J3399" s="87">
        <v>132609026</v>
      </c>
      <c r="K3399" s="85">
        <v>2023</v>
      </c>
      <c r="L3399" s="85">
        <v>6</v>
      </c>
      <c r="N3399" s="1" t="s">
        <v>44</v>
      </c>
    </row>
    <row r="3400" spans="1:14">
      <c r="A3400" s="36" t="s">
        <v>32</v>
      </c>
      <c r="B3400" s="37">
        <v>45138</v>
      </c>
      <c r="C3400" s="36" t="s">
        <v>1470</v>
      </c>
      <c r="D3400" s="36" t="s">
        <v>1487</v>
      </c>
      <c r="E3400" s="36" t="s">
        <v>76</v>
      </c>
      <c r="G3400" s="87">
        <v>158730120</v>
      </c>
      <c r="H3400" s="87">
        <v>15873012</v>
      </c>
      <c r="I3400" s="87">
        <v>174603132</v>
      </c>
      <c r="K3400" s="85">
        <v>2023</v>
      </c>
      <c r="L3400" s="85">
        <v>7</v>
      </c>
      <c r="N3400" s="1" t="s">
        <v>44</v>
      </c>
    </row>
    <row r="3401" spans="1:14">
      <c r="A3401" s="36" t="s">
        <v>32</v>
      </c>
      <c r="B3401" s="37">
        <v>45138</v>
      </c>
      <c r="C3401" s="36" t="s">
        <v>1584</v>
      </c>
      <c r="D3401" s="36" t="s">
        <v>1539</v>
      </c>
      <c r="E3401" s="36" t="s">
        <v>267</v>
      </c>
      <c r="G3401" s="87">
        <v>2076000</v>
      </c>
      <c r="H3401" s="87">
        <v>207600</v>
      </c>
      <c r="I3401" s="87">
        <v>2283600</v>
      </c>
      <c r="K3401" s="85">
        <v>2023</v>
      </c>
      <c r="L3401" s="85">
        <v>7</v>
      </c>
      <c r="N3401" s="1" t="s">
        <v>44</v>
      </c>
    </row>
    <row r="3402" spans="1:14">
      <c r="A3402" s="36" t="s">
        <v>32</v>
      </c>
      <c r="B3402" s="37">
        <v>45138</v>
      </c>
      <c r="C3402" s="36" t="s">
        <v>1584</v>
      </c>
      <c r="D3402" s="36" t="s">
        <v>1540</v>
      </c>
      <c r="E3402" s="36" t="s">
        <v>267</v>
      </c>
      <c r="G3402" s="87">
        <v>2075400</v>
      </c>
      <c r="H3402" s="87">
        <v>207540</v>
      </c>
      <c r="I3402" s="87">
        <v>2282940</v>
      </c>
      <c r="K3402" s="85">
        <v>2023</v>
      </c>
      <c r="L3402" s="85">
        <v>7</v>
      </c>
      <c r="N3402" s="1" t="s">
        <v>44</v>
      </c>
    </row>
    <row r="3403" spans="1:14">
      <c r="A3403" s="36" t="s">
        <v>32</v>
      </c>
      <c r="B3403" s="37">
        <v>45138</v>
      </c>
      <c r="C3403" s="36" t="s">
        <v>334</v>
      </c>
      <c r="D3403" s="36" t="s">
        <v>1340</v>
      </c>
      <c r="E3403" s="36" t="s">
        <v>1513</v>
      </c>
      <c r="J3403" s="87">
        <v>10238580</v>
      </c>
      <c r="K3403" s="85">
        <v>2023</v>
      </c>
      <c r="L3403" s="85">
        <v>6</v>
      </c>
      <c r="N3403" s="1" t="s">
        <v>44</v>
      </c>
    </row>
    <row r="3404" spans="1:14">
      <c r="A3404" s="36" t="s">
        <v>32</v>
      </c>
      <c r="B3404" s="37">
        <v>45138</v>
      </c>
      <c r="C3404" s="36" t="s">
        <v>334</v>
      </c>
      <c r="D3404" s="36" t="s">
        <v>1340</v>
      </c>
      <c r="E3404" s="36" t="s">
        <v>267</v>
      </c>
      <c r="G3404" s="87">
        <v>9809000</v>
      </c>
      <c r="H3404" s="87">
        <v>980900</v>
      </c>
      <c r="I3404" s="87">
        <v>10789900</v>
      </c>
      <c r="K3404" s="85">
        <v>2023</v>
      </c>
      <c r="L3404" s="85">
        <v>7</v>
      </c>
      <c r="N3404" s="1" t="s">
        <v>44</v>
      </c>
    </row>
    <row r="3405" spans="1:14">
      <c r="A3405" s="36" t="s">
        <v>32</v>
      </c>
      <c r="B3405" s="37">
        <v>45138</v>
      </c>
      <c r="C3405" s="36" t="s">
        <v>677</v>
      </c>
      <c r="D3405" s="36" t="s">
        <v>924</v>
      </c>
      <c r="E3405" s="36" t="s">
        <v>1513</v>
      </c>
      <c r="J3405" s="87">
        <v>43870200</v>
      </c>
      <c r="K3405" s="85">
        <v>2023</v>
      </c>
      <c r="L3405" s="85">
        <v>6</v>
      </c>
      <c r="N3405" s="1" t="s">
        <v>44</v>
      </c>
    </row>
    <row r="3406" spans="1:14">
      <c r="A3406" s="36" t="s">
        <v>32</v>
      </c>
      <c r="B3406" s="37">
        <v>45138</v>
      </c>
      <c r="C3406" s="36" t="s">
        <v>677</v>
      </c>
      <c r="D3406" s="36" t="s">
        <v>678</v>
      </c>
      <c r="E3406" s="36" t="s">
        <v>76</v>
      </c>
      <c r="G3406" s="87">
        <v>17125000</v>
      </c>
      <c r="H3406" s="87">
        <v>1712500</v>
      </c>
      <c r="I3406" s="87">
        <v>18837500</v>
      </c>
      <c r="K3406" s="85">
        <v>2023</v>
      </c>
      <c r="L3406" s="85">
        <v>7</v>
      </c>
      <c r="N3406" s="1" t="s">
        <v>44</v>
      </c>
    </row>
    <row r="3407" spans="1:14">
      <c r="A3407" s="36" t="s">
        <v>32</v>
      </c>
      <c r="B3407" s="37">
        <v>45138</v>
      </c>
      <c r="C3407" s="36" t="s">
        <v>677</v>
      </c>
      <c r="D3407" s="36" t="s">
        <v>924</v>
      </c>
      <c r="E3407" s="36" t="s">
        <v>76</v>
      </c>
      <c r="G3407" s="87">
        <v>4845000</v>
      </c>
      <c r="H3407" s="87">
        <v>484500</v>
      </c>
      <c r="I3407" s="87">
        <v>5329500</v>
      </c>
      <c r="K3407" s="85">
        <v>2023</v>
      </c>
      <c r="L3407" s="85">
        <v>7</v>
      </c>
      <c r="N3407" s="1" t="s">
        <v>44</v>
      </c>
    </row>
    <row r="3408" spans="1:14">
      <c r="A3408" s="36" t="s">
        <v>32</v>
      </c>
      <c r="B3408" s="37">
        <v>45138</v>
      </c>
      <c r="C3408" s="36" t="s">
        <v>677</v>
      </c>
      <c r="D3408" s="36" t="s">
        <v>825</v>
      </c>
      <c r="E3408" s="36" t="s">
        <v>76</v>
      </c>
      <c r="G3408" s="87">
        <v>994500</v>
      </c>
      <c r="H3408" s="87">
        <v>99450</v>
      </c>
      <c r="I3408" s="87">
        <v>1093950</v>
      </c>
      <c r="K3408" s="85">
        <v>2023</v>
      </c>
      <c r="L3408" s="85">
        <v>7</v>
      </c>
      <c r="N3408" s="1" t="s">
        <v>44</v>
      </c>
    </row>
    <row r="3409" spans="1:14">
      <c r="A3409" s="36" t="s">
        <v>19</v>
      </c>
      <c r="B3409" s="37">
        <v>45138</v>
      </c>
      <c r="C3409" s="36" t="s">
        <v>397</v>
      </c>
      <c r="D3409" s="36" t="s">
        <v>1325</v>
      </c>
      <c r="E3409" s="36" t="s">
        <v>1513</v>
      </c>
      <c r="J3409" s="87">
        <v>9576598.9000000004</v>
      </c>
      <c r="K3409" s="85">
        <v>2023</v>
      </c>
      <c r="L3409" s="85">
        <v>6</v>
      </c>
      <c r="N3409" s="1" t="s">
        <v>84</v>
      </c>
    </row>
    <row r="3410" spans="1:14">
      <c r="A3410" s="36" t="s">
        <v>33</v>
      </c>
      <c r="B3410" s="37">
        <v>45138</v>
      </c>
      <c r="C3410" s="36" t="s">
        <v>119</v>
      </c>
      <c r="D3410" s="36" t="s">
        <v>1800</v>
      </c>
      <c r="E3410" s="36" t="s">
        <v>76</v>
      </c>
      <c r="G3410" s="87">
        <v>12091500</v>
      </c>
      <c r="H3410" s="87">
        <v>1209150</v>
      </c>
      <c r="I3410" s="87">
        <v>13300650</v>
      </c>
      <c r="K3410" s="85">
        <v>2023</v>
      </c>
      <c r="L3410" s="85">
        <v>7</v>
      </c>
      <c r="N3410" s="1" t="s">
        <v>44</v>
      </c>
    </row>
    <row r="3411" spans="1:14">
      <c r="A3411" s="36" t="s">
        <v>33</v>
      </c>
      <c r="B3411" s="37">
        <v>45138</v>
      </c>
      <c r="C3411" s="36" t="s">
        <v>119</v>
      </c>
      <c r="D3411" s="36" t="s">
        <v>1048</v>
      </c>
      <c r="E3411" s="36" t="s">
        <v>76</v>
      </c>
      <c r="G3411" s="87">
        <v>5429192</v>
      </c>
      <c r="H3411" s="87">
        <v>542919.20000000007</v>
      </c>
      <c r="I3411" s="87">
        <v>5972111.2000000002</v>
      </c>
      <c r="K3411" s="85">
        <v>2023</v>
      </c>
      <c r="L3411" s="85">
        <v>7</v>
      </c>
      <c r="N3411" s="1" t="s">
        <v>44</v>
      </c>
    </row>
    <row r="3412" spans="1:14">
      <c r="A3412" s="36" t="s">
        <v>32</v>
      </c>
      <c r="B3412" s="37">
        <v>45138</v>
      </c>
      <c r="C3412" s="36" t="s">
        <v>264</v>
      </c>
      <c r="D3412" s="36" t="s">
        <v>1511</v>
      </c>
      <c r="E3412" s="36" t="s">
        <v>1512</v>
      </c>
      <c r="J3412" s="87">
        <v>11550000</v>
      </c>
      <c r="K3412" s="85">
        <v>2023</v>
      </c>
      <c r="L3412" s="85">
        <v>6</v>
      </c>
      <c r="N3412" s="1" t="s">
        <v>44</v>
      </c>
    </row>
    <row r="3413" spans="1:14">
      <c r="A3413" s="36" t="s">
        <v>33</v>
      </c>
      <c r="B3413" s="37">
        <v>45138</v>
      </c>
      <c r="C3413" s="36" t="s">
        <v>1150</v>
      </c>
      <c r="D3413" s="36" t="s">
        <v>1525</v>
      </c>
      <c r="E3413" s="36" t="s">
        <v>973</v>
      </c>
      <c r="G3413" s="87">
        <v>2643400</v>
      </c>
      <c r="H3413" s="87">
        <v>264340</v>
      </c>
      <c r="I3413" s="87">
        <v>2907740</v>
      </c>
      <c r="K3413" s="85">
        <v>2023</v>
      </c>
      <c r="L3413" s="85">
        <v>7</v>
      </c>
      <c r="N3413" s="1" t="s">
        <v>44</v>
      </c>
    </row>
    <row r="3414" spans="1:14">
      <c r="A3414" s="36" t="s">
        <v>33</v>
      </c>
      <c r="B3414" s="37">
        <v>45138</v>
      </c>
      <c r="C3414" s="36" t="s">
        <v>1150</v>
      </c>
      <c r="D3414" s="36" t="s">
        <v>1524</v>
      </c>
      <c r="E3414" s="36" t="s">
        <v>1526</v>
      </c>
      <c r="G3414" s="87">
        <v>-2643400</v>
      </c>
      <c r="H3414" s="87">
        <v>-264340</v>
      </c>
      <c r="I3414" s="87">
        <v>-2907740</v>
      </c>
      <c r="K3414" s="85">
        <v>2023</v>
      </c>
      <c r="L3414" s="85">
        <v>7</v>
      </c>
      <c r="N3414" s="1" t="s">
        <v>44</v>
      </c>
    </row>
    <row r="3415" spans="1:14">
      <c r="A3415" s="36" t="s">
        <v>33</v>
      </c>
      <c r="B3415" s="37">
        <v>45138</v>
      </c>
      <c r="C3415" s="36" t="s">
        <v>1150</v>
      </c>
      <c r="D3415" s="36" t="s">
        <v>1524</v>
      </c>
      <c r="E3415" s="36" t="s">
        <v>1526</v>
      </c>
      <c r="G3415" s="87">
        <v>2478000</v>
      </c>
      <c r="H3415" s="87">
        <v>247800</v>
      </c>
      <c r="I3415" s="87">
        <v>2725800</v>
      </c>
      <c r="K3415" s="85">
        <v>2023</v>
      </c>
      <c r="L3415" s="85">
        <v>7</v>
      </c>
      <c r="N3415" s="1" t="s">
        <v>44</v>
      </c>
    </row>
    <row r="3416" spans="1:14">
      <c r="A3416" s="36" t="s">
        <v>32</v>
      </c>
      <c r="B3416" s="37">
        <v>45138</v>
      </c>
      <c r="C3416" s="36" t="s">
        <v>552</v>
      </c>
      <c r="D3416" s="36" t="s">
        <v>1529</v>
      </c>
      <c r="E3416" s="36" t="s">
        <v>76</v>
      </c>
      <c r="G3416" s="87">
        <v>28026200</v>
      </c>
      <c r="H3416" s="87">
        <v>2802620</v>
      </c>
      <c r="I3416" s="87">
        <v>30828820</v>
      </c>
      <c r="K3416" s="85">
        <v>2023</v>
      </c>
      <c r="L3416" s="85">
        <v>7</v>
      </c>
      <c r="N3416" s="1" t="s">
        <v>44</v>
      </c>
    </row>
    <row r="3417" spans="1:14">
      <c r="A3417" s="36" t="s">
        <v>32</v>
      </c>
      <c r="B3417" s="37">
        <v>45138</v>
      </c>
      <c r="C3417" s="36" t="s">
        <v>552</v>
      </c>
      <c r="D3417" s="36" t="s">
        <v>1011</v>
      </c>
      <c r="E3417" s="36" t="s">
        <v>76</v>
      </c>
      <c r="G3417" s="87">
        <v>27372224</v>
      </c>
      <c r="H3417" s="87">
        <v>2737222</v>
      </c>
      <c r="I3417" s="87">
        <v>30109446</v>
      </c>
      <c r="K3417" s="85">
        <v>2023</v>
      </c>
      <c r="L3417" s="85">
        <v>7</v>
      </c>
      <c r="N3417" s="1" t="s">
        <v>44</v>
      </c>
    </row>
    <row r="3418" spans="1:14">
      <c r="A3418" s="36" t="s">
        <v>33</v>
      </c>
      <c r="B3418" s="37">
        <v>45138</v>
      </c>
      <c r="C3418" s="36" t="s">
        <v>1218</v>
      </c>
      <c r="D3418" s="36" t="s">
        <v>1219</v>
      </c>
      <c r="E3418" s="36" t="s">
        <v>1516</v>
      </c>
      <c r="G3418" s="87">
        <v>5980000</v>
      </c>
      <c r="H3418" s="87">
        <v>598000</v>
      </c>
      <c r="I3418" s="87">
        <v>6578000</v>
      </c>
      <c r="K3418" s="85">
        <v>2023</v>
      </c>
      <c r="L3418" s="85">
        <v>7</v>
      </c>
      <c r="N3418" s="1" t="s">
        <v>44</v>
      </c>
    </row>
    <row r="3419" spans="1:14">
      <c r="A3419" s="36" t="s">
        <v>32</v>
      </c>
      <c r="B3419" s="37">
        <v>45138</v>
      </c>
      <c r="C3419" s="36" t="s">
        <v>206</v>
      </c>
      <c r="D3419" s="36" t="s">
        <v>1544</v>
      </c>
      <c r="E3419" s="36" t="s">
        <v>76</v>
      </c>
      <c r="G3419" s="87">
        <v>1500000</v>
      </c>
      <c r="H3419" s="87">
        <v>150000</v>
      </c>
      <c r="I3419" s="87">
        <v>1650000</v>
      </c>
      <c r="K3419" s="85">
        <v>2023</v>
      </c>
      <c r="L3419" s="85">
        <v>7</v>
      </c>
      <c r="N3419" s="1" t="s">
        <v>44</v>
      </c>
    </row>
    <row r="3420" spans="1:14">
      <c r="A3420" s="36" t="s">
        <v>32</v>
      </c>
      <c r="B3420" s="37">
        <v>45138</v>
      </c>
      <c r="C3420" s="36" t="s">
        <v>206</v>
      </c>
      <c r="D3420" s="36" t="s">
        <v>1157</v>
      </c>
      <c r="E3420" s="36" t="s">
        <v>267</v>
      </c>
      <c r="G3420" s="87">
        <v>750000</v>
      </c>
      <c r="H3420" s="87">
        <v>75000</v>
      </c>
      <c r="I3420" s="87">
        <v>825000</v>
      </c>
      <c r="K3420" s="85">
        <v>2023</v>
      </c>
      <c r="L3420" s="85">
        <v>7</v>
      </c>
      <c r="N3420" s="1" t="s">
        <v>44</v>
      </c>
    </row>
    <row r="3421" spans="1:14">
      <c r="A3421" s="36" t="s">
        <v>33</v>
      </c>
      <c r="B3421" s="37">
        <v>45138</v>
      </c>
      <c r="C3421" s="36" t="s">
        <v>1381</v>
      </c>
      <c r="D3421" s="36" t="s">
        <v>1340</v>
      </c>
      <c r="E3421" s="36" t="s">
        <v>143</v>
      </c>
      <c r="G3421" s="87">
        <v>180000</v>
      </c>
      <c r="H3421" s="87">
        <v>18000</v>
      </c>
      <c r="I3421" s="87">
        <v>198000</v>
      </c>
      <c r="K3421" s="85">
        <v>2023</v>
      </c>
      <c r="L3421" s="85">
        <v>7</v>
      </c>
      <c r="N3421" s="1" t="s">
        <v>44</v>
      </c>
    </row>
    <row r="3422" spans="1:14">
      <c r="A3422" s="36" t="s">
        <v>32</v>
      </c>
      <c r="B3422" s="37">
        <v>45138</v>
      </c>
      <c r="C3422" s="36" t="s">
        <v>1198</v>
      </c>
      <c r="D3422" s="36" t="s">
        <v>1546</v>
      </c>
      <c r="E3422" s="36" t="s">
        <v>267</v>
      </c>
      <c r="G3422" s="87">
        <v>3499200</v>
      </c>
      <c r="H3422" s="87">
        <v>349920</v>
      </c>
      <c r="I3422" s="87">
        <v>3849120</v>
      </c>
      <c r="K3422" s="85">
        <v>2023</v>
      </c>
      <c r="L3422" s="85">
        <v>7</v>
      </c>
      <c r="N3422" s="1" t="s">
        <v>44</v>
      </c>
    </row>
    <row r="3423" spans="1:14">
      <c r="A3423" s="36" t="s">
        <v>32</v>
      </c>
      <c r="B3423" s="37">
        <v>45138</v>
      </c>
      <c r="C3423" s="36" t="s">
        <v>1468</v>
      </c>
      <c r="D3423" s="36" t="s">
        <v>1479</v>
      </c>
      <c r="E3423" s="36" t="s">
        <v>267</v>
      </c>
      <c r="G3423" s="87">
        <v>14509800</v>
      </c>
      <c r="H3423" s="87">
        <v>1450980</v>
      </c>
      <c r="I3423" s="87">
        <v>15960780</v>
      </c>
      <c r="K3423" s="85">
        <v>2023</v>
      </c>
      <c r="L3423" s="85">
        <v>7</v>
      </c>
      <c r="N3423" s="1" t="s">
        <v>44</v>
      </c>
    </row>
    <row r="3424" spans="1:14">
      <c r="A3424" s="36" t="s">
        <v>32</v>
      </c>
      <c r="B3424" s="37">
        <v>45138</v>
      </c>
      <c r="C3424" s="36" t="s">
        <v>1534</v>
      </c>
      <c r="D3424" s="36" t="s">
        <v>1542</v>
      </c>
      <c r="E3424" s="36" t="s">
        <v>76</v>
      </c>
      <c r="G3424" s="87">
        <v>1955000</v>
      </c>
      <c r="H3424" s="87">
        <v>195500</v>
      </c>
      <c r="I3424" s="87">
        <v>2150500</v>
      </c>
      <c r="K3424" s="85">
        <v>2023</v>
      </c>
      <c r="L3424" s="85">
        <v>7</v>
      </c>
      <c r="N3424" s="1" t="s">
        <v>44</v>
      </c>
    </row>
    <row r="3425" spans="1:14">
      <c r="A3425" s="36" t="s">
        <v>32</v>
      </c>
      <c r="B3425" s="37">
        <v>45138</v>
      </c>
      <c r="C3425" s="36" t="s">
        <v>185</v>
      </c>
      <c r="D3425" s="36" t="s">
        <v>931</v>
      </c>
      <c r="E3425" s="36" t="s">
        <v>1515</v>
      </c>
      <c r="J3425" s="87">
        <v>19259796.600000001</v>
      </c>
      <c r="K3425" s="85">
        <v>2023</v>
      </c>
      <c r="L3425" s="85">
        <v>4</v>
      </c>
      <c r="N3425" s="1" t="s">
        <v>44</v>
      </c>
    </row>
    <row r="3426" spans="1:14">
      <c r="A3426" s="36" t="s">
        <v>32</v>
      </c>
      <c r="B3426" s="37">
        <v>45138</v>
      </c>
      <c r="C3426" s="36" t="s">
        <v>183</v>
      </c>
      <c r="D3426" s="36" t="s">
        <v>1483</v>
      </c>
      <c r="E3426" s="36" t="s">
        <v>1515</v>
      </c>
      <c r="J3426" s="87">
        <v>2909500</v>
      </c>
      <c r="K3426" s="85">
        <v>2023</v>
      </c>
      <c r="L3426" s="85">
        <v>6</v>
      </c>
      <c r="N3426" s="1" t="s">
        <v>44</v>
      </c>
    </row>
    <row r="3427" spans="1:14">
      <c r="A3427" s="36" t="s">
        <v>32</v>
      </c>
      <c r="B3427" s="37">
        <v>45138</v>
      </c>
      <c r="C3427" s="36" t="s">
        <v>183</v>
      </c>
      <c r="D3427" s="36" t="s">
        <v>1484</v>
      </c>
      <c r="E3427" s="36" t="s">
        <v>1515</v>
      </c>
      <c r="J3427" s="87">
        <v>3542000</v>
      </c>
      <c r="K3427" s="85">
        <v>2023</v>
      </c>
      <c r="L3427" s="85">
        <v>6</v>
      </c>
      <c r="N3427" s="1" t="s">
        <v>44</v>
      </c>
    </row>
    <row r="3428" spans="1:14">
      <c r="A3428" s="36" t="s">
        <v>32</v>
      </c>
      <c r="B3428" s="37">
        <v>45138</v>
      </c>
      <c r="C3428" s="36" t="s">
        <v>183</v>
      </c>
      <c r="D3428" s="36" t="s">
        <v>1485</v>
      </c>
      <c r="E3428" s="36" t="s">
        <v>1515</v>
      </c>
      <c r="J3428" s="87">
        <v>8250000</v>
      </c>
      <c r="K3428" s="85">
        <v>2023</v>
      </c>
      <c r="L3428" s="85">
        <v>6</v>
      </c>
      <c r="N3428" s="1" t="s">
        <v>44</v>
      </c>
    </row>
    <row r="3429" spans="1:14">
      <c r="A3429" s="36" t="s">
        <v>32</v>
      </c>
      <c r="B3429" s="37">
        <v>45138</v>
      </c>
      <c r="C3429" s="36" t="s">
        <v>183</v>
      </c>
      <c r="D3429" s="36" t="s">
        <v>1543</v>
      </c>
      <c r="E3429" s="36" t="s">
        <v>267</v>
      </c>
      <c r="G3429" s="87">
        <v>1150000</v>
      </c>
      <c r="H3429" s="87">
        <v>115000</v>
      </c>
      <c r="I3429" s="87">
        <v>1265000</v>
      </c>
      <c r="K3429" s="85">
        <v>2023</v>
      </c>
      <c r="L3429" s="85">
        <v>7</v>
      </c>
      <c r="N3429" s="1" t="s">
        <v>44</v>
      </c>
    </row>
    <row r="3430" spans="1:14">
      <c r="A3430" s="36" t="s">
        <v>32</v>
      </c>
      <c r="B3430" s="37">
        <v>45138</v>
      </c>
      <c r="C3430" s="36" t="s">
        <v>183</v>
      </c>
      <c r="D3430" s="36" t="s">
        <v>1486</v>
      </c>
      <c r="E3430" s="36" t="s">
        <v>267</v>
      </c>
      <c r="G3430" s="87">
        <v>5305000</v>
      </c>
      <c r="H3430" s="87">
        <v>530500</v>
      </c>
      <c r="I3430" s="87">
        <v>5835500</v>
      </c>
      <c r="K3430" s="85">
        <v>2023</v>
      </c>
      <c r="L3430" s="85">
        <v>7</v>
      </c>
      <c r="N3430" s="1" t="s">
        <v>44</v>
      </c>
    </row>
    <row r="3431" spans="1:14">
      <c r="A3431" s="36" t="s">
        <v>32</v>
      </c>
      <c r="B3431" s="37">
        <v>45138</v>
      </c>
      <c r="C3431" s="36" t="s">
        <v>183</v>
      </c>
      <c r="D3431" s="36" t="s">
        <v>1547</v>
      </c>
      <c r="E3431" s="36" t="s">
        <v>267</v>
      </c>
      <c r="G3431" s="87">
        <v>17400000</v>
      </c>
      <c r="H3431" s="87">
        <v>1740000</v>
      </c>
      <c r="I3431" s="87">
        <v>19140000</v>
      </c>
      <c r="K3431" s="85">
        <v>2023</v>
      </c>
      <c r="L3431" s="85">
        <v>7</v>
      </c>
      <c r="N3431" s="1" t="s">
        <v>44</v>
      </c>
    </row>
    <row r="3432" spans="1:14">
      <c r="A3432" s="36" t="s">
        <v>32</v>
      </c>
      <c r="B3432" s="37">
        <v>45138</v>
      </c>
      <c r="C3432" s="36" t="s">
        <v>183</v>
      </c>
      <c r="D3432" s="36" t="s">
        <v>1543</v>
      </c>
      <c r="E3432" s="36" t="s">
        <v>1563</v>
      </c>
      <c r="J3432" s="87">
        <v>1265000</v>
      </c>
      <c r="K3432" s="85">
        <v>2023</v>
      </c>
      <c r="L3432" s="85">
        <v>7</v>
      </c>
      <c r="N3432" s="1" t="s">
        <v>44</v>
      </c>
    </row>
    <row r="3433" spans="1:14">
      <c r="A3433" s="36" t="s">
        <v>32</v>
      </c>
      <c r="B3433" s="37">
        <v>45138</v>
      </c>
      <c r="C3433" s="36" t="s">
        <v>183</v>
      </c>
      <c r="D3433" s="36" t="s">
        <v>1486</v>
      </c>
      <c r="E3433" s="36" t="s">
        <v>1563</v>
      </c>
      <c r="J3433" s="87">
        <v>5835500</v>
      </c>
      <c r="K3433" s="85">
        <v>2023</v>
      </c>
      <c r="L3433" s="85">
        <v>7</v>
      </c>
      <c r="N3433" s="1" t="s">
        <v>44</v>
      </c>
    </row>
    <row r="3434" spans="1:14">
      <c r="A3434" s="36" t="s">
        <v>32</v>
      </c>
      <c r="B3434" s="37">
        <v>45138</v>
      </c>
      <c r="C3434" s="36" t="s">
        <v>1464</v>
      </c>
      <c r="D3434" s="36" t="s">
        <v>1473</v>
      </c>
      <c r="E3434" s="36" t="s">
        <v>1513</v>
      </c>
      <c r="J3434" s="38">
        <v>5000000</v>
      </c>
      <c r="K3434" s="85">
        <v>2023</v>
      </c>
      <c r="L3434" s="85">
        <v>6</v>
      </c>
      <c r="N3434" s="1" t="s">
        <v>44</v>
      </c>
    </row>
    <row r="3435" spans="1:14">
      <c r="A3435" s="36" t="s">
        <v>32</v>
      </c>
      <c r="B3435" s="37">
        <v>45138</v>
      </c>
      <c r="C3435" s="36" t="s">
        <v>288</v>
      </c>
      <c r="D3435" s="36" t="s">
        <v>1548</v>
      </c>
      <c r="E3435" s="36" t="s">
        <v>267</v>
      </c>
      <c r="G3435" s="87">
        <v>17171500</v>
      </c>
      <c r="H3435" s="87">
        <v>1717150</v>
      </c>
      <c r="I3435" s="87">
        <v>18888650</v>
      </c>
      <c r="K3435" s="85">
        <v>2023</v>
      </c>
      <c r="L3435" s="85">
        <v>7</v>
      </c>
      <c r="N3435" s="1" t="s">
        <v>44</v>
      </c>
    </row>
    <row r="3436" spans="1:14">
      <c r="A3436" s="36" t="s">
        <v>32</v>
      </c>
      <c r="B3436" s="37">
        <v>45138</v>
      </c>
      <c r="C3436" s="36" t="s">
        <v>1462</v>
      </c>
      <c r="D3436" s="36" t="s">
        <v>1471</v>
      </c>
      <c r="E3436" s="36" t="s">
        <v>1513</v>
      </c>
      <c r="J3436" s="38">
        <v>10000000</v>
      </c>
      <c r="K3436" s="85">
        <v>2023</v>
      </c>
      <c r="L3436" s="85">
        <v>6</v>
      </c>
      <c r="N3436" s="1" t="s">
        <v>44</v>
      </c>
    </row>
    <row r="3437" spans="1:14">
      <c r="A3437" s="36" t="s">
        <v>19</v>
      </c>
      <c r="B3437" s="37">
        <v>45138</v>
      </c>
      <c r="C3437" s="36" t="s">
        <v>1453</v>
      </c>
      <c r="D3437" s="36" t="s">
        <v>1454</v>
      </c>
      <c r="E3437" s="36" t="s">
        <v>148</v>
      </c>
      <c r="J3437" s="87">
        <v>54690707.5</v>
      </c>
      <c r="K3437" s="85">
        <v>2023</v>
      </c>
      <c r="L3437" s="85">
        <v>6</v>
      </c>
      <c r="N3437" s="1" t="s">
        <v>84</v>
      </c>
    </row>
    <row r="3438" spans="1:14">
      <c r="A3438" s="36" t="s">
        <v>33</v>
      </c>
      <c r="B3438" s="37">
        <v>45138</v>
      </c>
      <c r="C3438" s="36" t="s">
        <v>590</v>
      </c>
      <c r="D3438" s="36" t="s">
        <v>1529</v>
      </c>
      <c r="E3438" s="36" t="s">
        <v>269</v>
      </c>
      <c r="G3438" s="87">
        <v>2990000</v>
      </c>
      <c r="H3438" s="87">
        <v>299000</v>
      </c>
      <c r="I3438" s="87">
        <v>3289000</v>
      </c>
      <c r="K3438" s="85">
        <v>2023</v>
      </c>
      <c r="L3438" s="85">
        <v>7</v>
      </c>
      <c r="N3438" s="1" t="s">
        <v>44</v>
      </c>
    </row>
    <row r="3439" spans="1:14">
      <c r="A3439" s="36" t="s">
        <v>33</v>
      </c>
      <c r="B3439" s="37">
        <v>45138</v>
      </c>
      <c r="C3439" s="36" t="s">
        <v>590</v>
      </c>
      <c r="D3439" s="36" t="s">
        <v>1011</v>
      </c>
      <c r="E3439" s="36" t="s">
        <v>1253</v>
      </c>
      <c r="G3439" s="87">
        <v>27372210</v>
      </c>
      <c r="H3439" s="87">
        <v>2737221</v>
      </c>
      <c r="I3439" s="87">
        <v>30109431</v>
      </c>
      <c r="K3439" s="85">
        <v>2023</v>
      </c>
      <c r="L3439" s="85">
        <v>7</v>
      </c>
      <c r="N3439" s="1" t="s">
        <v>44</v>
      </c>
    </row>
    <row r="3440" spans="1:14">
      <c r="A3440" s="36" t="s">
        <v>32</v>
      </c>
      <c r="B3440" s="37">
        <v>45138</v>
      </c>
      <c r="C3440" s="36" t="s">
        <v>188</v>
      </c>
      <c r="D3440" s="36" t="s">
        <v>1231</v>
      </c>
      <c r="E3440" s="36" t="s">
        <v>1515</v>
      </c>
      <c r="J3440" s="87">
        <v>36100350</v>
      </c>
      <c r="K3440" s="85">
        <v>2023</v>
      </c>
      <c r="L3440" s="85">
        <v>6</v>
      </c>
      <c r="N3440" s="1" t="s">
        <v>44</v>
      </c>
    </row>
    <row r="3441" spans="1:14">
      <c r="A3441" s="36" t="s">
        <v>32</v>
      </c>
      <c r="B3441" s="37">
        <v>45138</v>
      </c>
      <c r="C3441" s="36" t="s">
        <v>188</v>
      </c>
      <c r="D3441" s="36" t="s">
        <v>1219</v>
      </c>
      <c r="E3441" s="36" t="s">
        <v>76</v>
      </c>
      <c r="G3441" s="87">
        <v>17000000</v>
      </c>
      <c r="H3441" s="87">
        <v>1700000</v>
      </c>
      <c r="I3441" s="87">
        <v>18700000</v>
      </c>
      <c r="K3441" s="85">
        <v>2023</v>
      </c>
      <c r="L3441" s="85">
        <v>7</v>
      </c>
      <c r="N3441" s="1" t="s">
        <v>44</v>
      </c>
    </row>
    <row r="3442" spans="1:14">
      <c r="A3442" s="36" t="s">
        <v>32</v>
      </c>
      <c r="B3442" s="37">
        <v>45138</v>
      </c>
      <c r="C3442" s="36" t="s">
        <v>307</v>
      </c>
      <c r="D3442" s="36" t="s">
        <v>1488</v>
      </c>
      <c r="E3442" s="36" t="s">
        <v>1513</v>
      </c>
      <c r="J3442" s="87">
        <v>6056600</v>
      </c>
      <c r="K3442" s="85">
        <v>2023</v>
      </c>
      <c r="L3442" s="85">
        <v>6</v>
      </c>
      <c r="N3442" s="1" t="s">
        <v>44</v>
      </c>
    </row>
    <row r="3443" spans="1:14">
      <c r="A3443" s="36" t="s">
        <v>32</v>
      </c>
      <c r="B3443" s="37">
        <v>45138</v>
      </c>
      <c r="C3443" s="36" t="s">
        <v>307</v>
      </c>
      <c r="D3443" s="36" t="s">
        <v>1424</v>
      </c>
      <c r="E3443" s="36" t="s">
        <v>267</v>
      </c>
      <c r="G3443" s="87">
        <v>4620000</v>
      </c>
      <c r="H3443" s="87">
        <v>462000</v>
      </c>
      <c r="I3443" s="87">
        <v>5082000</v>
      </c>
      <c r="K3443" s="85">
        <v>2023</v>
      </c>
      <c r="L3443" s="85">
        <v>7</v>
      </c>
      <c r="N3443" s="1" t="s">
        <v>44</v>
      </c>
    </row>
    <row r="3444" spans="1:14">
      <c r="A3444" s="36" t="s">
        <v>32</v>
      </c>
      <c r="B3444" s="37">
        <v>45138</v>
      </c>
      <c r="C3444" s="36" t="s">
        <v>175</v>
      </c>
      <c r="D3444" s="36" t="s">
        <v>1480</v>
      </c>
      <c r="E3444" s="36" t="s">
        <v>76</v>
      </c>
      <c r="G3444" s="87">
        <v>8592000</v>
      </c>
      <c r="H3444" s="87">
        <v>859200</v>
      </c>
      <c r="I3444" s="87">
        <v>9451200</v>
      </c>
      <c r="K3444" s="85">
        <v>2023</v>
      </c>
      <c r="L3444" s="85">
        <v>7</v>
      </c>
      <c r="N3444" s="1" t="s">
        <v>44</v>
      </c>
    </row>
    <row r="3445" spans="1:14">
      <c r="A3445" s="36" t="s">
        <v>32</v>
      </c>
      <c r="B3445" s="37">
        <v>45138</v>
      </c>
      <c r="C3445" s="36" t="s">
        <v>667</v>
      </c>
      <c r="D3445" s="36" t="s">
        <v>1642</v>
      </c>
      <c r="E3445" s="36" t="s">
        <v>76</v>
      </c>
      <c r="G3445" s="87">
        <v>540000</v>
      </c>
      <c r="H3445" s="87">
        <v>54000</v>
      </c>
      <c r="I3445" s="87">
        <v>594000</v>
      </c>
      <c r="K3445" s="85">
        <v>2023</v>
      </c>
      <c r="L3445" s="85">
        <v>7</v>
      </c>
      <c r="N3445" s="1" t="s">
        <v>44</v>
      </c>
    </row>
    <row r="3446" spans="1:14">
      <c r="A3446" s="36" t="s">
        <v>32</v>
      </c>
      <c r="B3446" s="37">
        <v>45138</v>
      </c>
      <c r="C3446" s="36" t="s">
        <v>1465</v>
      </c>
      <c r="D3446" s="36" t="s">
        <v>1475</v>
      </c>
      <c r="E3446" s="36" t="s">
        <v>76</v>
      </c>
      <c r="G3446" s="87">
        <v>10170000</v>
      </c>
      <c r="H3446" s="87">
        <v>1017000</v>
      </c>
      <c r="I3446" s="87">
        <v>11187000</v>
      </c>
      <c r="K3446" s="85">
        <v>2023</v>
      </c>
      <c r="L3446" s="85">
        <v>7</v>
      </c>
      <c r="N3446" s="1" t="s">
        <v>44</v>
      </c>
    </row>
    <row r="3447" spans="1:14">
      <c r="A3447" s="36" t="s">
        <v>33</v>
      </c>
      <c r="B3447" s="37">
        <v>45138</v>
      </c>
      <c r="C3447" s="36" t="s">
        <v>1391</v>
      </c>
      <c r="D3447" s="36" t="s">
        <v>1227</v>
      </c>
      <c r="E3447" s="36" t="s">
        <v>148</v>
      </c>
      <c r="J3447" s="87">
        <v>7839150</v>
      </c>
      <c r="K3447" s="85">
        <v>2023</v>
      </c>
      <c r="L3447" s="85">
        <v>6</v>
      </c>
      <c r="N3447" s="1" t="s">
        <v>44</v>
      </c>
    </row>
    <row r="3448" spans="1:14">
      <c r="A3448" s="36" t="s">
        <v>33</v>
      </c>
      <c r="B3448" s="37">
        <v>45138</v>
      </c>
      <c r="C3448" s="36" t="s">
        <v>1391</v>
      </c>
      <c r="D3448" s="36" t="s">
        <v>1227</v>
      </c>
      <c r="E3448" s="36" t="s">
        <v>1528</v>
      </c>
      <c r="G3448" s="87">
        <v>16693500</v>
      </c>
      <c r="H3448" s="87">
        <v>1669350</v>
      </c>
      <c r="I3448" s="87">
        <v>18362850</v>
      </c>
      <c r="K3448" s="85">
        <v>2023</v>
      </c>
      <c r="L3448" s="85">
        <v>7</v>
      </c>
      <c r="N3448" s="1" t="s">
        <v>44</v>
      </c>
    </row>
    <row r="3449" spans="1:14">
      <c r="A3449" s="36" t="s">
        <v>33</v>
      </c>
      <c r="B3449" s="37">
        <v>45138</v>
      </c>
      <c r="C3449" s="36" t="s">
        <v>1257</v>
      </c>
      <c r="D3449" s="36" t="s">
        <v>1258</v>
      </c>
      <c r="E3449" s="36" t="s">
        <v>76</v>
      </c>
      <c r="G3449" s="87">
        <v>3680000</v>
      </c>
      <c r="H3449" s="87">
        <v>368000</v>
      </c>
      <c r="I3449" s="87">
        <v>4048000</v>
      </c>
      <c r="K3449" s="85">
        <v>2023</v>
      </c>
      <c r="L3449" s="85">
        <v>7</v>
      </c>
      <c r="N3449" s="1" t="s">
        <v>44</v>
      </c>
    </row>
    <row r="3450" spans="1:14">
      <c r="A3450" s="36" t="s">
        <v>32</v>
      </c>
      <c r="B3450" s="37">
        <v>45138</v>
      </c>
      <c r="C3450" s="36" t="s">
        <v>1333</v>
      </c>
      <c r="D3450" s="36" t="s">
        <v>1477</v>
      </c>
      <c r="E3450" s="36" t="s">
        <v>148</v>
      </c>
      <c r="J3450" s="38">
        <v>7180000</v>
      </c>
      <c r="K3450" s="85">
        <v>2023</v>
      </c>
      <c r="L3450" s="85">
        <v>6</v>
      </c>
      <c r="M3450" s="36" t="s">
        <v>1373</v>
      </c>
      <c r="N3450" s="1" t="s">
        <v>44</v>
      </c>
    </row>
    <row r="3451" spans="1:14">
      <c r="A3451" s="36" t="s">
        <v>32</v>
      </c>
      <c r="B3451" s="37">
        <v>45138</v>
      </c>
      <c r="C3451" s="36" t="s">
        <v>1049</v>
      </c>
      <c r="D3451" s="36" t="s">
        <v>790</v>
      </c>
      <c r="E3451" s="36" t="s">
        <v>76</v>
      </c>
      <c r="G3451" s="87">
        <v>1495000</v>
      </c>
      <c r="H3451" s="87">
        <v>149500</v>
      </c>
      <c r="I3451" s="87">
        <v>1644500</v>
      </c>
      <c r="K3451" s="85">
        <v>2023</v>
      </c>
      <c r="L3451" s="85">
        <v>7</v>
      </c>
      <c r="N3451" s="1" t="s">
        <v>44</v>
      </c>
    </row>
    <row r="3452" spans="1:14">
      <c r="A3452" s="36" t="s">
        <v>32</v>
      </c>
      <c r="B3452" s="37">
        <v>45138</v>
      </c>
      <c r="C3452" s="36" t="s">
        <v>654</v>
      </c>
      <c r="D3452" s="36" t="s">
        <v>1219</v>
      </c>
      <c r="E3452" s="36" t="s">
        <v>148</v>
      </c>
      <c r="J3452" s="87">
        <v>9240000</v>
      </c>
      <c r="K3452" s="85">
        <v>2023</v>
      </c>
      <c r="L3452" s="85">
        <v>6</v>
      </c>
      <c r="N3452" s="1" t="s">
        <v>44</v>
      </c>
    </row>
    <row r="3453" spans="1:14">
      <c r="A3453" s="36" t="s">
        <v>32</v>
      </c>
      <c r="B3453" s="37">
        <v>45138</v>
      </c>
      <c r="C3453" s="36" t="s">
        <v>654</v>
      </c>
      <c r="D3453" s="36" t="s">
        <v>1156</v>
      </c>
      <c r="E3453" s="36" t="s">
        <v>1513</v>
      </c>
      <c r="J3453" s="87">
        <v>26358710</v>
      </c>
      <c r="K3453" s="85">
        <v>2023</v>
      </c>
      <c r="L3453" s="85">
        <v>6</v>
      </c>
      <c r="N3453" s="1" t="s">
        <v>44</v>
      </c>
    </row>
    <row r="3454" spans="1:14">
      <c r="A3454" s="36" t="s">
        <v>32</v>
      </c>
      <c r="B3454" s="37">
        <v>45138</v>
      </c>
      <c r="C3454" s="36" t="s">
        <v>654</v>
      </c>
      <c r="D3454" s="36" t="s">
        <v>1337</v>
      </c>
      <c r="E3454" s="36" t="s">
        <v>76</v>
      </c>
      <c r="G3454" s="87">
        <v>12546600</v>
      </c>
      <c r="H3454" s="87">
        <v>1254660</v>
      </c>
      <c r="I3454" s="230">
        <v>13801260</v>
      </c>
      <c r="K3454" s="85">
        <v>2023</v>
      </c>
      <c r="L3454" s="85">
        <v>7</v>
      </c>
      <c r="N3454" s="1" t="s">
        <v>44</v>
      </c>
    </row>
    <row r="3455" spans="1:14">
      <c r="A3455" s="36" t="s">
        <v>32</v>
      </c>
      <c r="B3455" s="37">
        <v>45138</v>
      </c>
      <c r="C3455" s="36" t="s">
        <v>654</v>
      </c>
      <c r="D3455" s="36" t="s">
        <v>1156</v>
      </c>
      <c r="E3455" s="36" t="s">
        <v>76</v>
      </c>
      <c r="G3455" s="87">
        <v>21114990</v>
      </c>
      <c r="H3455" s="87">
        <v>2111499</v>
      </c>
      <c r="I3455" s="87">
        <v>23226489</v>
      </c>
      <c r="K3455" s="85">
        <v>2023</v>
      </c>
      <c r="L3455" s="85">
        <v>7</v>
      </c>
      <c r="N3455" s="1" t="s">
        <v>44</v>
      </c>
    </row>
    <row r="3456" spans="1:14">
      <c r="A3456" s="36" t="s">
        <v>32</v>
      </c>
      <c r="B3456" s="37">
        <v>45138</v>
      </c>
      <c r="C3456" s="36" t="s">
        <v>654</v>
      </c>
      <c r="D3456" s="36" t="s">
        <v>1219</v>
      </c>
      <c r="E3456" s="36" t="s">
        <v>76</v>
      </c>
      <c r="G3456" s="87">
        <v>96583200</v>
      </c>
      <c r="H3456" s="87">
        <v>9658320</v>
      </c>
      <c r="I3456" s="87">
        <v>106241520</v>
      </c>
      <c r="K3456" s="85">
        <v>2023</v>
      </c>
      <c r="L3456" s="85">
        <v>7</v>
      </c>
      <c r="N3456" s="1" t="s">
        <v>44</v>
      </c>
    </row>
    <row r="3457" spans="1:14">
      <c r="A3457" s="36" t="s">
        <v>33</v>
      </c>
      <c r="B3457" s="37">
        <v>45138</v>
      </c>
      <c r="C3457" s="36" t="s">
        <v>1335</v>
      </c>
      <c r="D3457" s="36" t="s">
        <v>1523</v>
      </c>
      <c r="E3457" s="36" t="s">
        <v>267</v>
      </c>
      <c r="G3457" s="87">
        <v>19518000</v>
      </c>
      <c r="H3457" s="87">
        <v>1951800</v>
      </c>
      <c r="I3457" s="87">
        <v>21469800</v>
      </c>
      <c r="K3457" s="85">
        <v>2023</v>
      </c>
      <c r="L3457" s="85">
        <v>7</v>
      </c>
      <c r="N3457" s="1" t="s">
        <v>44</v>
      </c>
    </row>
    <row r="3458" spans="1:14">
      <c r="A3458" s="36" t="s">
        <v>32</v>
      </c>
      <c r="B3458" s="37">
        <v>45138</v>
      </c>
      <c r="C3458" s="36" t="s">
        <v>1396</v>
      </c>
      <c r="D3458" s="36" t="s">
        <v>1418</v>
      </c>
      <c r="E3458" s="36" t="s">
        <v>76</v>
      </c>
      <c r="G3458" s="87">
        <v>3500000</v>
      </c>
      <c r="H3458" s="87">
        <v>350000</v>
      </c>
      <c r="I3458" s="87">
        <v>3850000</v>
      </c>
      <c r="K3458" s="85">
        <v>2023</v>
      </c>
      <c r="L3458" s="85">
        <v>7</v>
      </c>
      <c r="N3458" s="1" t="s">
        <v>44</v>
      </c>
    </row>
    <row r="3459" spans="1:14">
      <c r="A3459" s="36" t="s">
        <v>32</v>
      </c>
      <c r="B3459" s="37">
        <v>45138</v>
      </c>
      <c r="C3459" s="36" t="s">
        <v>1463</v>
      </c>
      <c r="D3459" s="36" t="s">
        <v>1472</v>
      </c>
      <c r="E3459" s="36" t="s">
        <v>76</v>
      </c>
      <c r="G3459" s="87">
        <v>5233500</v>
      </c>
      <c r="H3459" s="87">
        <v>523350</v>
      </c>
      <c r="I3459" s="87">
        <v>5756850</v>
      </c>
      <c r="K3459" s="85">
        <v>2023</v>
      </c>
      <c r="L3459" s="85">
        <v>7</v>
      </c>
      <c r="N3459" s="1" t="s">
        <v>44</v>
      </c>
    </row>
    <row r="3460" spans="1:14">
      <c r="A3460" s="36" t="s">
        <v>32</v>
      </c>
      <c r="B3460" s="37">
        <v>45139</v>
      </c>
      <c r="C3460" s="36" t="s">
        <v>760</v>
      </c>
      <c r="D3460" s="36" t="s">
        <v>1589</v>
      </c>
      <c r="E3460" s="36" t="s">
        <v>76</v>
      </c>
      <c r="G3460" s="87">
        <v>2070000</v>
      </c>
      <c r="H3460" s="87">
        <v>207000</v>
      </c>
      <c r="I3460" s="87">
        <v>2277000</v>
      </c>
      <c r="K3460" s="85">
        <v>2023</v>
      </c>
      <c r="L3460" s="85">
        <v>8</v>
      </c>
      <c r="N3460" s="1" t="s">
        <v>44</v>
      </c>
    </row>
    <row r="3461" spans="1:14">
      <c r="A3461" s="36" t="s">
        <v>33</v>
      </c>
      <c r="B3461" s="37">
        <v>45139</v>
      </c>
      <c r="C3461" s="36" t="s">
        <v>1218</v>
      </c>
      <c r="D3461" s="36" t="s">
        <v>1219</v>
      </c>
      <c r="E3461" s="36" t="s">
        <v>1515</v>
      </c>
      <c r="J3461" s="87">
        <v>30546450</v>
      </c>
      <c r="K3461" s="85">
        <v>2023</v>
      </c>
      <c r="L3461" s="85">
        <v>6</v>
      </c>
      <c r="N3461" s="1" t="s">
        <v>44</v>
      </c>
    </row>
    <row r="3462" spans="1:14">
      <c r="A3462" s="36" t="s">
        <v>33</v>
      </c>
      <c r="B3462" s="37">
        <v>45139</v>
      </c>
      <c r="C3462" s="36" t="s">
        <v>1218</v>
      </c>
      <c r="D3462" s="36" t="s">
        <v>1219</v>
      </c>
      <c r="E3462" s="36" t="s">
        <v>77</v>
      </c>
      <c r="J3462" s="38">
        <v>6578000</v>
      </c>
      <c r="K3462" s="85">
        <v>2023</v>
      </c>
      <c r="L3462" s="85">
        <v>7</v>
      </c>
      <c r="N3462" s="1" t="s">
        <v>44</v>
      </c>
    </row>
    <row r="3463" spans="1:14">
      <c r="A3463" s="36" t="s">
        <v>32</v>
      </c>
      <c r="B3463" s="37">
        <v>45139</v>
      </c>
      <c r="C3463" s="36" t="s">
        <v>183</v>
      </c>
      <c r="D3463" s="36" t="s">
        <v>1486</v>
      </c>
      <c r="E3463" s="36" t="s">
        <v>1518</v>
      </c>
      <c r="J3463" s="87">
        <v>20911000</v>
      </c>
      <c r="K3463" s="85">
        <v>2023</v>
      </c>
      <c r="L3463" s="85">
        <v>6</v>
      </c>
      <c r="N3463" s="1" t="s">
        <v>44</v>
      </c>
    </row>
    <row r="3464" spans="1:14">
      <c r="A3464" s="36" t="s">
        <v>32</v>
      </c>
      <c r="B3464" s="37">
        <v>45139</v>
      </c>
      <c r="C3464" s="36" t="s">
        <v>175</v>
      </c>
      <c r="D3464" s="36" t="s">
        <v>1480</v>
      </c>
      <c r="E3464" s="36" t="s">
        <v>1518</v>
      </c>
      <c r="J3464" s="87">
        <v>10771200</v>
      </c>
      <c r="K3464" s="85">
        <v>2023</v>
      </c>
      <c r="L3464" s="85">
        <v>6</v>
      </c>
      <c r="N3464" s="1" t="s">
        <v>44</v>
      </c>
    </row>
    <row r="3465" spans="1:14">
      <c r="A3465" s="36" t="s">
        <v>32</v>
      </c>
      <c r="B3465" s="37">
        <v>45139</v>
      </c>
      <c r="C3465" s="36" t="s">
        <v>987</v>
      </c>
      <c r="D3465" s="36" t="s">
        <v>1590</v>
      </c>
      <c r="E3465" s="36" t="s">
        <v>973</v>
      </c>
      <c r="G3465" s="87">
        <v>4200000</v>
      </c>
      <c r="H3465" s="87">
        <v>420000</v>
      </c>
      <c r="I3465" s="87">
        <v>4620000</v>
      </c>
      <c r="K3465" s="85">
        <v>2023</v>
      </c>
      <c r="L3465" s="85">
        <v>8</v>
      </c>
      <c r="N3465" s="1" t="s">
        <v>44</v>
      </c>
    </row>
    <row r="3466" spans="1:14">
      <c r="A3466" s="36" t="s">
        <v>33</v>
      </c>
      <c r="B3466" s="37">
        <v>45139</v>
      </c>
      <c r="C3466" s="36" t="s">
        <v>1429</v>
      </c>
      <c r="D3466" s="36" t="s">
        <v>1431</v>
      </c>
      <c r="E3466" s="36" t="s">
        <v>1515</v>
      </c>
      <c r="J3466" s="87">
        <v>8488480</v>
      </c>
      <c r="K3466" s="85">
        <v>2023</v>
      </c>
      <c r="L3466" s="85">
        <v>7</v>
      </c>
      <c r="N3466" s="1" t="s">
        <v>44</v>
      </c>
    </row>
    <row r="3467" spans="1:14">
      <c r="A3467" s="36" t="s">
        <v>32</v>
      </c>
      <c r="B3467" s="37">
        <v>45139</v>
      </c>
      <c r="C3467" s="36" t="s">
        <v>654</v>
      </c>
      <c r="D3467" s="36" t="s">
        <v>1337</v>
      </c>
      <c r="E3467" s="36" t="s">
        <v>1518</v>
      </c>
      <c r="J3467" s="87">
        <v>19133466</v>
      </c>
      <c r="K3467" s="85">
        <v>2023</v>
      </c>
      <c r="L3467" s="85">
        <v>6</v>
      </c>
      <c r="N3467" s="1" t="s">
        <v>44</v>
      </c>
    </row>
    <row r="3468" spans="1:14">
      <c r="A3468" s="36" t="s">
        <v>33</v>
      </c>
      <c r="B3468" s="37">
        <v>45140</v>
      </c>
      <c r="C3468" s="36" t="s">
        <v>1519</v>
      </c>
      <c r="D3468" s="36" t="s">
        <v>1520</v>
      </c>
      <c r="E3468" s="36" t="s">
        <v>1521</v>
      </c>
      <c r="G3468" s="87">
        <v>500000</v>
      </c>
      <c r="H3468" s="87">
        <v>50000</v>
      </c>
      <c r="I3468" s="87">
        <v>550000</v>
      </c>
      <c r="K3468" s="85">
        <v>2023</v>
      </c>
      <c r="L3468" s="85">
        <v>8</v>
      </c>
      <c r="N3468" s="1" t="s">
        <v>44</v>
      </c>
    </row>
    <row r="3469" spans="1:14">
      <c r="A3469" s="36" t="s">
        <v>33</v>
      </c>
      <c r="B3469" s="37">
        <v>45140</v>
      </c>
      <c r="C3469" s="36" t="s">
        <v>1519</v>
      </c>
      <c r="D3469" s="36" t="s">
        <v>1520</v>
      </c>
      <c r="E3469" s="36" t="s">
        <v>77</v>
      </c>
      <c r="J3469" s="38">
        <v>550000</v>
      </c>
      <c r="K3469" s="85">
        <v>2023</v>
      </c>
      <c r="L3469" s="85">
        <v>8</v>
      </c>
      <c r="N3469" s="1" t="s">
        <v>44</v>
      </c>
    </row>
    <row r="3470" spans="1:14">
      <c r="A3470" s="36" t="s">
        <v>32</v>
      </c>
      <c r="B3470" s="37">
        <v>45141</v>
      </c>
      <c r="C3470" s="36" t="s">
        <v>174</v>
      </c>
      <c r="D3470" s="36" t="s">
        <v>1155</v>
      </c>
      <c r="E3470" s="36" t="s">
        <v>148</v>
      </c>
      <c r="J3470" s="87">
        <v>12350250</v>
      </c>
      <c r="K3470" s="85">
        <v>2023</v>
      </c>
      <c r="L3470" s="85">
        <v>5</v>
      </c>
      <c r="N3470" s="1" t="s">
        <v>44</v>
      </c>
    </row>
    <row r="3471" spans="1:14">
      <c r="A3471" s="36" t="s">
        <v>32</v>
      </c>
      <c r="B3471" s="37">
        <v>45141</v>
      </c>
      <c r="C3471" s="36" t="s">
        <v>174</v>
      </c>
      <c r="D3471" s="36" t="s">
        <v>1423</v>
      </c>
      <c r="E3471" s="36" t="s">
        <v>148</v>
      </c>
      <c r="J3471" s="87">
        <v>46871220</v>
      </c>
      <c r="K3471" s="85">
        <v>2023</v>
      </c>
      <c r="L3471" s="85">
        <v>6</v>
      </c>
      <c r="N3471" s="1" t="s">
        <v>44</v>
      </c>
    </row>
    <row r="3472" spans="1:14">
      <c r="A3472" s="36" t="s">
        <v>33</v>
      </c>
      <c r="B3472" s="37">
        <v>45141</v>
      </c>
      <c r="C3472" s="36" t="s">
        <v>1381</v>
      </c>
      <c r="D3472" s="36" t="s">
        <v>1340</v>
      </c>
      <c r="E3472" s="36" t="s">
        <v>77</v>
      </c>
      <c r="J3472" s="38">
        <v>198000</v>
      </c>
      <c r="K3472" s="85">
        <v>2023</v>
      </c>
      <c r="L3472" s="85">
        <v>7</v>
      </c>
      <c r="N3472" s="1" t="s">
        <v>44</v>
      </c>
    </row>
    <row r="3473" spans="1:14">
      <c r="A3473" s="36" t="s">
        <v>33</v>
      </c>
      <c r="B3473" s="37">
        <v>45141</v>
      </c>
      <c r="C3473" s="36" t="s">
        <v>1328</v>
      </c>
      <c r="D3473" s="36" t="s">
        <v>1330</v>
      </c>
      <c r="E3473" s="36" t="s">
        <v>1522</v>
      </c>
      <c r="G3473" s="87">
        <v>976900</v>
      </c>
      <c r="H3473" s="87">
        <v>97690</v>
      </c>
      <c r="I3473" s="87">
        <v>1074590</v>
      </c>
      <c r="K3473" s="85">
        <v>2023</v>
      </c>
      <c r="L3473" s="85">
        <v>8</v>
      </c>
      <c r="N3473" s="1" t="s">
        <v>44</v>
      </c>
    </row>
    <row r="3474" spans="1:14">
      <c r="A3474" s="36" t="s">
        <v>32</v>
      </c>
      <c r="B3474" s="37">
        <v>45143</v>
      </c>
      <c r="C3474" s="36" t="s">
        <v>183</v>
      </c>
      <c r="D3474" s="36" t="s">
        <v>1547</v>
      </c>
      <c r="E3474" s="36" t="s">
        <v>78</v>
      </c>
      <c r="G3474" s="87">
        <v>-17400000</v>
      </c>
      <c r="H3474" s="87">
        <v>-1740000</v>
      </c>
      <c r="I3474" s="87">
        <v>-19140000</v>
      </c>
      <c r="K3474" s="85">
        <v>2023</v>
      </c>
      <c r="L3474" s="85">
        <v>7</v>
      </c>
      <c r="N3474" s="1" t="s">
        <v>44</v>
      </c>
    </row>
    <row r="3475" spans="1:14">
      <c r="A3475" s="36" t="s">
        <v>32</v>
      </c>
      <c r="B3475" s="37">
        <v>45148</v>
      </c>
      <c r="C3475" s="36" t="s">
        <v>1467</v>
      </c>
      <c r="D3475" s="36" t="s">
        <v>1478</v>
      </c>
      <c r="E3475" s="36" t="s">
        <v>1530</v>
      </c>
      <c r="J3475" s="87">
        <v>10200300</v>
      </c>
      <c r="K3475" s="85">
        <v>2023</v>
      </c>
      <c r="L3475" s="85">
        <v>6</v>
      </c>
      <c r="N3475" s="1" t="s">
        <v>44</v>
      </c>
    </row>
    <row r="3476" spans="1:14">
      <c r="A3476" s="36" t="s">
        <v>32</v>
      </c>
      <c r="B3476" s="37">
        <v>45148</v>
      </c>
      <c r="C3476" s="36" t="s">
        <v>1049</v>
      </c>
      <c r="D3476" s="36" t="s">
        <v>790</v>
      </c>
      <c r="E3476" s="36" t="s">
        <v>77</v>
      </c>
      <c r="J3476" s="38">
        <v>1644500</v>
      </c>
      <c r="K3476" s="85">
        <v>2023</v>
      </c>
      <c r="L3476" s="85">
        <v>7</v>
      </c>
      <c r="N3476" s="1" t="s">
        <v>44</v>
      </c>
    </row>
    <row r="3477" spans="1:14">
      <c r="A3477" s="36" t="s">
        <v>32</v>
      </c>
      <c r="B3477" s="37">
        <v>45149</v>
      </c>
      <c r="C3477" s="36" t="s">
        <v>664</v>
      </c>
      <c r="D3477" s="36" t="s">
        <v>1489</v>
      </c>
      <c r="E3477" s="36" t="s">
        <v>1530</v>
      </c>
      <c r="J3477" s="87">
        <v>31900000</v>
      </c>
      <c r="K3477" s="85">
        <v>2023</v>
      </c>
      <c r="L3477" s="85">
        <v>6</v>
      </c>
      <c r="N3477" s="1" t="s">
        <v>44</v>
      </c>
    </row>
    <row r="3478" spans="1:14">
      <c r="A3478" s="36" t="s">
        <v>32</v>
      </c>
      <c r="B3478" s="37">
        <v>45149</v>
      </c>
      <c r="C3478" s="36" t="s">
        <v>209</v>
      </c>
      <c r="D3478" s="36" t="s">
        <v>1412</v>
      </c>
      <c r="E3478" s="36" t="s">
        <v>77</v>
      </c>
      <c r="J3478" s="38">
        <v>63602000</v>
      </c>
      <c r="K3478" s="85">
        <v>2023</v>
      </c>
      <c r="L3478" s="85">
        <v>7</v>
      </c>
      <c r="N3478" s="1" t="s">
        <v>44</v>
      </c>
    </row>
    <row r="3479" spans="1:14">
      <c r="A3479" s="36" t="s">
        <v>32</v>
      </c>
      <c r="B3479" s="37">
        <v>45149</v>
      </c>
      <c r="C3479" s="36" t="s">
        <v>1198</v>
      </c>
      <c r="D3479" s="36" t="s">
        <v>1546</v>
      </c>
      <c r="E3479" s="36" t="s">
        <v>77</v>
      </c>
      <c r="J3479" s="38">
        <v>3849120</v>
      </c>
      <c r="K3479" s="85">
        <v>2023</v>
      </c>
      <c r="L3479" s="85">
        <v>7</v>
      </c>
      <c r="N3479" s="1" t="s">
        <v>44</v>
      </c>
    </row>
    <row r="3480" spans="1:14">
      <c r="A3480" s="36" t="s">
        <v>32</v>
      </c>
      <c r="B3480" s="37">
        <v>45152</v>
      </c>
      <c r="C3480" s="36" t="s">
        <v>760</v>
      </c>
      <c r="D3480" s="36" t="s">
        <v>1541</v>
      </c>
      <c r="E3480" s="36" t="s">
        <v>77</v>
      </c>
      <c r="J3480" s="38">
        <v>1848000</v>
      </c>
      <c r="K3480" s="85">
        <v>2023</v>
      </c>
      <c r="L3480" s="85">
        <v>7</v>
      </c>
      <c r="N3480" s="1" t="s">
        <v>44</v>
      </c>
    </row>
    <row r="3481" spans="1:14">
      <c r="A3481" s="36" t="s">
        <v>32</v>
      </c>
      <c r="B3481" s="37">
        <v>45152</v>
      </c>
      <c r="C3481" s="36" t="s">
        <v>1463</v>
      </c>
      <c r="D3481" s="36" t="s">
        <v>1472</v>
      </c>
      <c r="E3481" s="36" t="s">
        <v>77</v>
      </c>
      <c r="J3481" s="38">
        <v>5756850</v>
      </c>
      <c r="K3481" s="85">
        <v>2023</v>
      </c>
      <c r="L3481" s="85">
        <v>7</v>
      </c>
      <c r="N3481" s="1" t="s">
        <v>44</v>
      </c>
    </row>
    <row r="3482" spans="1:14">
      <c r="A3482" s="36" t="s">
        <v>32</v>
      </c>
      <c r="B3482" s="37">
        <v>45154</v>
      </c>
      <c r="C3482" s="36" t="s">
        <v>209</v>
      </c>
      <c r="D3482" s="36" t="s">
        <v>1048</v>
      </c>
      <c r="E3482" s="36" t="s">
        <v>77</v>
      </c>
      <c r="J3482" s="38">
        <v>7010740</v>
      </c>
      <c r="K3482" s="85">
        <v>2023</v>
      </c>
      <c r="L3482" s="85">
        <v>7</v>
      </c>
      <c r="N3482" s="1" t="s">
        <v>44</v>
      </c>
    </row>
    <row r="3483" spans="1:14">
      <c r="A3483" s="36" t="s">
        <v>32</v>
      </c>
      <c r="B3483" s="37">
        <v>45154</v>
      </c>
      <c r="C3483" s="36" t="s">
        <v>552</v>
      </c>
      <c r="D3483" s="36" t="s">
        <v>1529</v>
      </c>
      <c r="E3483" s="36" t="s">
        <v>77</v>
      </c>
      <c r="J3483" s="38">
        <v>30828820</v>
      </c>
      <c r="K3483" s="85">
        <v>2023</v>
      </c>
      <c r="L3483" s="85">
        <v>7</v>
      </c>
      <c r="N3483" s="1" t="s">
        <v>44</v>
      </c>
    </row>
    <row r="3484" spans="1:14">
      <c r="A3484" s="36" t="s">
        <v>32</v>
      </c>
      <c r="B3484" s="37">
        <v>45154</v>
      </c>
      <c r="C3484" s="36" t="s">
        <v>1468</v>
      </c>
      <c r="D3484" s="36" t="s">
        <v>1479</v>
      </c>
      <c r="E3484" s="36" t="s">
        <v>77</v>
      </c>
      <c r="J3484" s="38">
        <v>15960780</v>
      </c>
      <c r="K3484" s="85">
        <v>2023</v>
      </c>
      <c r="L3484" s="85">
        <v>7</v>
      </c>
      <c r="N3484" s="1" t="s">
        <v>44</v>
      </c>
    </row>
    <row r="3485" spans="1:14">
      <c r="A3485" s="36" t="s">
        <v>33</v>
      </c>
      <c r="B3485" s="37">
        <v>45154</v>
      </c>
      <c r="C3485" s="36" t="s">
        <v>971</v>
      </c>
      <c r="D3485" s="36" t="s">
        <v>1254</v>
      </c>
      <c r="E3485" s="36" t="s">
        <v>1552</v>
      </c>
      <c r="G3485" s="87">
        <v>2762400</v>
      </c>
      <c r="H3485" s="87">
        <v>276240</v>
      </c>
      <c r="I3485" s="87">
        <v>3038640</v>
      </c>
      <c r="K3485" s="85">
        <v>2023</v>
      </c>
      <c r="L3485" s="85">
        <v>8</v>
      </c>
      <c r="N3485" s="1" t="s">
        <v>44</v>
      </c>
    </row>
    <row r="3486" spans="1:14">
      <c r="A3486" s="36" t="s">
        <v>32</v>
      </c>
      <c r="B3486" s="37">
        <v>45156</v>
      </c>
      <c r="C3486" s="36" t="s">
        <v>677</v>
      </c>
      <c r="D3486" s="36" t="s">
        <v>678</v>
      </c>
      <c r="E3486" s="36" t="s">
        <v>1553</v>
      </c>
      <c r="J3486" s="87">
        <v>18837500</v>
      </c>
      <c r="K3486" s="85">
        <v>2023</v>
      </c>
      <c r="L3486" s="85">
        <v>7</v>
      </c>
      <c r="N3486" s="1" t="s">
        <v>44</v>
      </c>
    </row>
    <row r="3487" spans="1:14">
      <c r="A3487" s="36" t="s">
        <v>32</v>
      </c>
      <c r="B3487" s="37">
        <v>45156</v>
      </c>
      <c r="C3487" s="36" t="s">
        <v>677</v>
      </c>
      <c r="D3487" s="36" t="s">
        <v>825</v>
      </c>
      <c r="E3487" s="36" t="s">
        <v>1553</v>
      </c>
      <c r="J3487" s="87">
        <v>1093950</v>
      </c>
      <c r="K3487" s="85">
        <v>2023</v>
      </c>
      <c r="L3487" s="85">
        <v>7</v>
      </c>
      <c r="N3487" s="1" t="s">
        <v>44</v>
      </c>
    </row>
    <row r="3488" spans="1:14">
      <c r="A3488" s="36" t="s">
        <v>33</v>
      </c>
      <c r="B3488" s="37">
        <v>45156</v>
      </c>
      <c r="C3488" s="36" t="s">
        <v>971</v>
      </c>
      <c r="D3488" s="36" t="s">
        <v>1254</v>
      </c>
      <c r="E3488" s="36" t="s">
        <v>1631</v>
      </c>
      <c r="J3488" s="87">
        <v>3038640</v>
      </c>
      <c r="K3488" s="85">
        <v>2023</v>
      </c>
      <c r="L3488" s="85">
        <v>8</v>
      </c>
      <c r="N3488" s="1" t="s">
        <v>44</v>
      </c>
    </row>
    <row r="3489" spans="1:14">
      <c r="A3489" s="36" t="s">
        <v>32</v>
      </c>
      <c r="B3489" s="37">
        <v>45156</v>
      </c>
      <c r="C3489" s="36" t="s">
        <v>987</v>
      </c>
      <c r="D3489" s="36" t="s">
        <v>1590</v>
      </c>
      <c r="E3489" s="36" t="s">
        <v>77</v>
      </c>
      <c r="J3489" s="38">
        <v>4620000</v>
      </c>
      <c r="K3489" s="85">
        <v>2023</v>
      </c>
      <c r="L3489" s="85">
        <v>8</v>
      </c>
      <c r="N3489" s="1" t="s">
        <v>44</v>
      </c>
    </row>
    <row r="3490" spans="1:14">
      <c r="A3490" s="36" t="s">
        <v>33</v>
      </c>
      <c r="B3490" s="37">
        <v>45158</v>
      </c>
      <c r="C3490" s="36" t="s">
        <v>1569</v>
      </c>
      <c r="D3490" s="36" t="s">
        <v>1412</v>
      </c>
      <c r="E3490" s="36" t="s">
        <v>1570</v>
      </c>
      <c r="G3490" s="87">
        <v>2900300</v>
      </c>
      <c r="H3490" s="87">
        <v>290030</v>
      </c>
      <c r="I3490" s="87">
        <v>3190330</v>
      </c>
      <c r="K3490" s="85">
        <v>2023</v>
      </c>
      <c r="L3490" s="85">
        <v>8</v>
      </c>
      <c r="N3490" s="1" t="s">
        <v>44</v>
      </c>
    </row>
    <row r="3491" spans="1:14">
      <c r="A3491" s="36" t="s">
        <v>32</v>
      </c>
      <c r="B3491" s="37">
        <v>45158</v>
      </c>
      <c r="C3491" s="36" t="s">
        <v>183</v>
      </c>
      <c r="D3491" s="36" t="s">
        <v>1605</v>
      </c>
      <c r="E3491" s="36" t="s">
        <v>76</v>
      </c>
      <c r="G3491" s="87">
        <v>3605000</v>
      </c>
      <c r="H3491" s="87">
        <v>360500</v>
      </c>
      <c r="I3491" s="87">
        <v>3965500</v>
      </c>
      <c r="K3491" s="85">
        <v>2023</v>
      </c>
      <c r="L3491" s="85">
        <v>8</v>
      </c>
      <c r="M3491" s="36" t="s">
        <v>1623</v>
      </c>
      <c r="N3491" s="1" t="s">
        <v>44</v>
      </c>
    </row>
    <row r="3492" spans="1:14">
      <c r="A3492" s="36" t="s">
        <v>32</v>
      </c>
      <c r="B3492" s="37">
        <v>45158</v>
      </c>
      <c r="C3492" s="36" t="s">
        <v>183</v>
      </c>
      <c r="D3492" s="36" t="s">
        <v>1606</v>
      </c>
      <c r="E3492" s="36" t="s">
        <v>76</v>
      </c>
      <c r="G3492" s="87">
        <v>13905000</v>
      </c>
      <c r="H3492" s="87">
        <v>1390500</v>
      </c>
      <c r="I3492" s="87">
        <v>15295500</v>
      </c>
      <c r="K3492" s="85">
        <v>2023</v>
      </c>
      <c r="L3492" s="85">
        <v>8</v>
      </c>
      <c r="M3492" s="36" t="s">
        <v>1623</v>
      </c>
      <c r="N3492" s="1" t="s">
        <v>44</v>
      </c>
    </row>
    <row r="3493" spans="1:14">
      <c r="A3493" s="36" t="s">
        <v>33</v>
      </c>
      <c r="B3493" s="37">
        <v>45159</v>
      </c>
      <c r="C3493" s="36" t="s">
        <v>955</v>
      </c>
      <c r="D3493" s="36" t="s">
        <v>1566</v>
      </c>
      <c r="E3493" s="36" t="s">
        <v>957</v>
      </c>
      <c r="G3493" s="87">
        <v>1000000</v>
      </c>
      <c r="H3493" s="87">
        <v>100000</v>
      </c>
      <c r="I3493" s="87">
        <v>1100000</v>
      </c>
      <c r="K3493" s="85">
        <v>2023</v>
      </c>
      <c r="L3493" s="85">
        <v>8</v>
      </c>
      <c r="N3493" s="1" t="s">
        <v>44</v>
      </c>
    </row>
    <row r="3494" spans="1:14">
      <c r="A3494" s="36" t="s">
        <v>32</v>
      </c>
      <c r="B3494" s="37">
        <v>45161</v>
      </c>
      <c r="C3494" s="36" t="s">
        <v>1584</v>
      </c>
      <c r="D3494" s="36" t="s">
        <v>1539</v>
      </c>
      <c r="E3494" s="36" t="s">
        <v>1554</v>
      </c>
      <c r="J3494" s="87">
        <v>2283600</v>
      </c>
      <c r="K3494" s="85">
        <v>2023</v>
      </c>
      <c r="L3494" s="85">
        <v>7</v>
      </c>
      <c r="N3494" s="1" t="s">
        <v>44</v>
      </c>
    </row>
    <row r="3495" spans="1:14">
      <c r="A3495" s="36" t="s">
        <v>32</v>
      </c>
      <c r="B3495" s="37">
        <v>45161</v>
      </c>
      <c r="C3495" s="36" t="s">
        <v>1584</v>
      </c>
      <c r="D3495" s="36" t="s">
        <v>1540</v>
      </c>
      <c r="E3495" s="36" t="s">
        <v>1554</v>
      </c>
      <c r="J3495" s="87">
        <v>2282940</v>
      </c>
      <c r="K3495" s="85">
        <v>2023</v>
      </c>
      <c r="L3495" s="85">
        <v>7</v>
      </c>
      <c r="N3495" s="1" t="s">
        <v>44</v>
      </c>
    </row>
    <row r="3496" spans="1:14">
      <c r="A3496" s="36" t="s">
        <v>32</v>
      </c>
      <c r="B3496" s="37">
        <v>45161</v>
      </c>
      <c r="C3496" s="36" t="s">
        <v>1469</v>
      </c>
      <c r="D3496" s="36" t="s">
        <v>1481</v>
      </c>
      <c r="E3496" s="36" t="s">
        <v>1554</v>
      </c>
      <c r="J3496" s="87">
        <v>13622400</v>
      </c>
      <c r="K3496" s="85">
        <v>2023</v>
      </c>
      <c r="L3496" s="85">
        <v>6</v>
      </c>
      <c r="N3496" s="1" t="s">
        <v>44</v>
      </c>
    </row>
    <row r="3497" spans="1:14">
      <c r="A3497" s="36" t="s">
        <v>32</v>
      </c>
      <c r="B3497" s="37">
        <v>45162</v>
      </c>
      <c r="C3497" s="36" t="s">
        <v>552</v>
      </c>
      <c r="D3497" s="36" t="s">
        <v>1011</v>
      </c>
      <c r="E3497" s="36" t="s">
        <v>77</v>
      </c>
      <c r="J3497" s="87">
        <v>30109446</v>
      </c>
      <c r="K3497" s="85">
        <v>2023</v>
      </c>
      <c r="L3497" s="85">
        <v>7</v>
      </c>
      <c r="N3497" s="1" t="s">
        <v>44</v>
      </c>
    </row>
    <row r="3498" spans="1:14">
      <c r="A3498" s="36" t="s">
        <v>33</v>
      </c>
      <c r="B3498" s="37">
        <v>45162</v>
      </c>
      <c r="C3498" s="36" t="s">
        <v>171</v>
      </c>
      <c r="D3498" s="36" t="s">
        <v>1555</v>
      </c>
      <c r="E3498" s="36" t="s">
        <v>1556</v>
      </c>
      <c r="G3498" s="87">
        <v>4644000</v>
      </c>
      <c r="H3498" s="87">
        <v>464400</v>
      </c>
      <c r="I3498" s="87">
        <v>5108400</v>
      </c>
      <c r="K3498" s="85">
        <v>2023</v>
      </c>
      <c r="L3498" s="85">
        <v>8</v>
      </c>
      <c r="N3498" s="1" t="s">
        <v>44</v>
      </c>
    </row>
    <row r="3499" spans="1:14">
      <c r="A3499" s="36" t="s">
        <v>33</v>
      </c>
      <c r="B3499" s="37">
        <v>45162</v>
      </c>
      <c r="C3499" s="36" t="s">
        <v>171</v>
      </c>
      <c r="D3499" s="36" t="s">
        <v>1555</v>
      </c>
      <c r="E3499" s="36" t="s">
        <v>1558</v>
      </c>
      <c r="J3499" s="38">
        <v>5108400</v>
      </c>
      <c r="K3499" s="85">
        <v>2023</v>
      </c>
      <c r="L3499" s="85">
        <v>8</v>
      </c>
      <c r="N3499" s="1" t="s">
        <v>44</v>
      </c>
    </row>
    <row r="3500" spans="1:14">
      <c r="A3500" s="36" t="s">
        <v>32</v>
      </c>
      <c r="B3500" s="37">
        <v>45163</v>
      </c>
      <c r="C3500" s="36" t="s">
        <v>1332</v>
      </c>
      <c r="D3500" s="36" t="s">
        <v>1341</v>
      </c>
      <c r="E3500" s="36" t="s">
        <v>1557</v>
      </c>
      <c r="J3500" s="87">
        <v>52866000</v>
      </c>
      <c r="K3500" s="85">
        <v>2023</v>
      </c>
      <c r="L3500" s="85">
        <v>7</v>
      </c>
      <c r="N3500" s="1" t="s">
        <v>44</v>
      </c>
    </row>
    <row r="3501" spans="1:14">
      <c r="A3501" s="36" t="s">
        <v>32</v>
      </c>
      <c r="B3501" s="37">
        <v>45168</v>
      </c>
      <c r="C3501" s="36" t="s">
        <v>209</v>
      </c>
      <c r="D3501" s="36" t="s">
        <v>1537</v>
      </c>
      <c r="E3501" s="36" t="s">
        <v>77</v>
      </c>
      <c r="J3501" s="264">
        <v>12125300</v>
      </c>
      <c r="K3501" s="85">
        <v>2023</v>
      </c>
      <c r="L3501" s="85">
        <v>7</v>
      </c>
      <c r="M3501" s="269" t="s">
        <v>2715</v>
      </c>
      <c r="N3501" s="1" t="s">
        <v>44</v>
      </c>
    </row>
    <row r="3502" spans="1:14">
      <c r="A3502" s="36" t="s">
        <v>32</v>
      </c>
      <c r="B3502" s="37">
        <v>45168</v>
      </c>
      <c r="C3502" s="36" t="s">
        <v>209</v>
      </c>
      <c r="D3502" s="36" t="s">
        <v>1545</v>
      </c>
      <c r="E3502" s="36" t="s">
        <v>77</v>
      </c>
      <c r="J3502" s="264">
        <v>29364720</v>
      </c>
      <c r="K3502" s="85">
        <v>2023</v>
      </c>
      <c r="L3502" s="85">
        <v>7</v>
      </c>
      <c r="M3502" s="269" t="s">
        <v>1559</v>
      </c>
      <c r="N3502" s="1" t="s">
        <v>44</v>
      </c>
    </row>
    <row r="3503" spans="1:14">
      <c r="A3503" s="36" t="s">
        <v>32</v>
      </c>
      <c r="B3503" s="37">
        <v>45168</v>
      </c>
      <c r="C3503" s="36" t="s">
        <v>209</v>
      </c>
      <c r="D3503" s="36" t="s">
        <v>1699</v>
      </c>
      <c r="E3503" s="36" t="s">
        <v>77</v>
      </c>
      <c r="J3503" s="264">
        <v>50339520</v>
      </c>
      <c r="K3503" s="85">
        <v>2023</v>
      </c>
      <c r="L3503" s="85">
        <v>7</v>
      </c>
      <c r="M3503" s="269" t="s">
        <v>1559</v>
      </c>
      <c r="N3503" s="1" t="s">
        <v>44</v>
      </c>
    </row>
    <row r="3504" spans="1:14">
      <c r="A3504" s="36" t="s">
        <v>32</v>
      </c>
      <c r="B3504" s="37">
        <v>45168</v>
      </c>
      <c r="C3504" s="36" t="s">
        <v>209</v>
      </c>
      <c r="D3504" s="36" t="s">
        <v>1048</v>
      </c>
      <c r="E3504" s="36" t="s">
        <v>77</v>
      </c>
      <c r="J3504" s="265">
        <v>105600</v>
      </c>
      <c r="K3504" s="85">
        <v>2023</v>
      </c>
      <c r="L3504" s="85">
        <v>7</v>
      </c>
      <c r="M3504" s="269" t="s">
        <v>1559</v>
      </c>
      <c r="N3504" s="1" t="s">
        <v>44</v>
      </c>
    </row>
    <row r="3505" spans="1:14">
      <c r="A3505" s="36" t="s">
        <v>32</v>
      </c>
      <c r="B3505" s="37">
        <v>45168</v>
      </c>
      <c r="C3505" s="36" t="s">
        <v>209</v>
      </c>
      <c r="D3505" s="36" t="s">
        <v>1411</v>
      </c>
      <c r="E3505" s="36" t="s">
        <v>77</v>
      </c>
      <c r="J3505" s="264">
        <v>52569000</v>
      </c>
      <c r="K3505" s="85">
        <v>2023</v>
      </c>
      <c r="L3505" s="85">
        <v>7</v>
      </c>
      <c r="M3505" s="269" t="s">
        <v>1559</v>
      </c>
      <c r="N3505" s="1" t="s">
        <v>44</v>
      </c>
    </row>
    <row r="3506" spans="1:14">
      <c r="A3506" s="36" t="s">
        <v>33</v>
      </c>
      <c r="B3506" s="37">
        <v>45168</v>
      </c>
      <c r="C3506" s="36" t="s">
        <v>1218</v>
      </c>
      <c r="D3506" s="36" t="s">
        <v>1581</v>
      </c>
      <c r="E3506" s="36" t="s">
        <v>1560</v>
      </c>
      <c r="G3506" s="87">
        <v>2356200</v>
      </c>
      <c r="H3506" s="87">
        <v>235620</v>
      </c>
      <c r="I3506" s="87">
        <v>2591820</v>
      </c>
      <c r="K3506" s="85">
        <v>2023</v>
      </c>
      <c r="L3506" s="85">
        <v>8</v>
      </c>
      <c r="N3506" s="1" t="s">
        <v>44</v>
      </c>
    </row>
    <row r="3507" spans="1:14">
      <c r="A3507" s="36" t="s">
        <v>33</v>
      </c>
      <c r="B3507" s="37">
        <v>45168</v>
      </c>
      <c r="C3507" s="36" t="s">
        <v>1391</v>
      </c>
      <c r="D3507" s="36" t="s">
        <v>1227</v>
      </c>
      <c r="E3507" s="36" t="s">
        <v>1558</v>
      </c>
      <c r="J3507" s="87">
        <v>18362850</v>
      </c>
      <c r="K3507" s="85">
        <v>2023</v>
      </c>
      <c r="L3507" s="85">
        <v>7</v>
      </c>
      <c r="N3507" s="1" t="s">
        <v>44</v>
      </c>
    </row>
    <row r="3508" spans="1:14">
      <c r="A3508" s="36" t="s">
        <v>32</v>
      </c>
      <c r="B3508" s="37">
        <v>45169</v>
      </c>
      <c r="C3508" s="36" t="s">
        <v>760</v>
      </c>
      <c r="D3508" s="36" t="s">
        <v>1589</v>
      </c>
      <c r="E3508" s="36" t="s">
        <v>77</v>
      </c>
      <c r="J3508" s="38">
        <v>2277000</v>
      </c>
      <c r="K3508" s="85">
        <v>2023</v>
      </c>
      <c r="L3508" s="85">
        <v>8</v>
      </c>
      <c r="N3508" s="1" t="s">
        <v>44</v>
      </c>
    </row>
    <row r="3509" spans="1:14">
      <c r="A3509" s="36" t="s">
        <v>32</v>
      </c>
      <c r="B3509" s="37">
        <v>45169</v>
      </c>
      <c r="C3509" s="36" t="s">
        <v>664</v>
      </c>
      <c r="D3509" s="36" t="s">
        <v>1330</v>
      </c>
      <c r="E3509" s="36" t="s">
        <v>148</v>
      </c>
      <c r="J3509" s="87">
        <v>13748900</v>
      </c>
      <c r="K3509" s="85">
        <v>2023</v>
      </c>
      <c r="L3509" s="85">
        <v>7</v>
      </c>
      <c r="N3509" s="1" t="s">
        <v>44</v>
      </c>
    </row>
    <row r="3510" spans="1:14">
      <c r="A3510" s="36" t="s">
        <v>32</v>
      </c>
      <c r="B3510" s="37">
        <v>45169</v>
      </c>
      <c r="C3510" s="36" t="s">
        <v>664</v>
      </c>
      <c r="D3510" s="36" t="s">
        <v>1330</v>
      </c>
      <c r="E3510" s="36" t="s">
        <v>267</v>
      </c>
      <c r="G3510" s="87">
        <v>17951940</v>
      </c>
      <c r="H3510" s="87">
        <v>1795194</v>
      </c>
      <c r="I3510" s="87">
        <v>19747134</v>
      </c>
      <c r="K3510" s="85">
        <v>2023</v>
      </c>
      <c r="L3510" s="85">
        <v>8</v>
      </c>
      <c r="N3510" s="1" t="s">
        <v>44</v>
      </c>
    </row>
    <row r="3511" spans="1:14">
      <c r="A3511" s="36" t="s">
        <v>32</v>
      </c>
      <c r="B3511" s="37">
        <v>45169</v>
      </c>
      <c r="C3511" s="36" t="s">
        <v>174</v>
      </c>
      <c r="D3511" s="36" t="s">
        <v>1155</v>
      </c>
      <c r="E3511" s="36" t="s">
        <v>76</v>
      </c>
      <c r="G3511" s="87">
        <v>9720000</v>
      </c>
      <c r="H3511" s="87">
        <v>972000</v>
      </c>
      <c r="I3511" s="87">
        <v>10692000</v>
      </c>
      <c r="K3511" s="85">
        <v>2023</v>
      </c>
      <c r="L3511" s="85">
        <v>8</v>
      </c>
      <c r="N3511" s="1" t="s">
        <v>44</v>
      </c>
    </row>
    <row r="3512" spans="1:14">
      <c r="A3512" s="36" t="s">
        <v>32</v>
      </c>
      <c r="B3512" s="37">
        <v>45169</v>
      </c>
      <c r="C3512" s="36" t="s">
        <v>209</v>
      </c>
      <c r="D3512" s="36" t="s">
        <v>1885</v>
      </c>
      <c r="E3512" s="36" t="s">
        <v>1551</v>
      </c>
      <c r="G3512" s="87">
        <v>4128600</v>
      </c>
      <c r="H3512" s="87">
        <v>412860</v>
      </c>
      <c r="I3512" s="87">
        <v>4541460</v>
      </c>
      <c r="K3512" s="85">
        <v>2023</v>
      </c>
      <c r="L3512" s="85">
        <v>8</v>
      </c>
      <c r="N3512" s="1" t="s">
        <v>44</v>
      </c>
    </row>
    <row r="3513" spans="1:14">
      <c r="A3513" s="36" t="s">
        <v>32</v>
      </c>
      <c r="B3513" s="37">
        <v>45169</v>
      </c>
      <c r="C3513" s="36" t="s">
        <v>209</v>
      </c>
      <c r="D3513" s="36" t="s">
        <v>1699</v>
      </c>
      <c r="E3513" s="36" t="s">
        <v>76</v>
      </c>
      <c r="G3513" s="87">
        <v>22667400</v>
      </c>
      <c r="H3513" s="87">
        <v>2266740</v>
      </c>
      <c r="I3513" s="87">
        <v>24934140</v>
      </c>
      <c r="K3513" s="85">
        <v>2023</v>
      </c>
      <c r="L3513" s="85">
        <v>8</v>
      </c>
      <c r="N3513" s="1" t="s">
        <v>44</v>
      </c>
    </row>
    <row r="3514" spans="1:14">
      <c r="A3514" s="36" t="s">
        <v>32</v>
      </c>
      <c r="B3514" s="37">
        <v>45169</v>
      </c>
      <c r="C3514" s="36" t="s">
        <v>209</v>
      </c>
      <c r="D3514" s="36" t="s">
        <v>2001</v>
      </c>
      <c r="E3514" s="36" t="s">
        <v>76</v>
      </c>
      <c r="G3514" s="87">
        <v>4932000</v>
      </c>
      <c r="H3514" s="87">
        <v>493200</v>
      </c>
      <c r="I3514" s="87">
        <v>5425200</v>
      </c>
      <c r="K3514" s="85">
        <v>2023</v>
      </c>
      <c r="L3514" s="85">
        <v>8</v>
      </c>
      <c r="N3514" s="1" t="s">
        <v>44</v>
      </c>
    </row>
    <row r="3515" spans="1:14">
      <c r="A3515" s="36" t="s">
        <v>32</v>
      </c>
      <c r="B3515" s="37">
        <v>45169</v>
      </c>
      <c r="C3515" s="36" t="s">
        <v>209</v>
      </c>
      <c r="D3515" s="36" t="s">
        <v>1411</v>
      </c>
      <c r="E3515" s="36" t="s">
        <v>76</v>
      </c>
      <c r="G3515" s="87">
        <v>36045000</v>
      </c>
      <c r="H3515" s="87">
        <v>3604500</v>
      </c>
      <c r="I3515" s="87">
        <v>39649500</v>
      </c>
      <c r="K3515" s="85">
        <v>2023</v>
      </c>
      <c r="L3515" s="85">
        <v>8</v>
      </c>
      <c r="N3515" s="1" t="s">
        <v>44</v>
      </c>
    </row>
    <row r="3516" spans="1:14">
      <c r="A3516" s="36" t="s">
        <v>32</v>
      </c>
      <c r="B3516" s="37">
        <v>45169</v>
      </c>
      <c r="C3516" s="36" t="s">
        <v>209</v>
      </c>
      <c r="D3516" s="36" t="s">
        <v>1412</v>
      </c>
      <c r="E3516" s="36" t="s">
        <v>76</v>
      </c>
      <c r="G3516" s="87">
        <v>61740000</v>
      </c>
      <c r="H3516" s="87">
        <v>6174000</v>
      </c>
      <c r="I3516" s="87">
        <v>67914000</v>
      </c>
      <c r="K3516" s="85">
        <v>2023</v>
      </c>
      <c r="L3516" s="85">
        <v>8</v>
      </c>
      <c r="N3516" s="1" t="s">
        <v>44</v>
      </c>
    </row>
    <row r="3517" spans="1:14">
      <c r="A3517" s="36" t="s">
        <v>32</v>
      </c>
      <c r="B3517" s="37">
        <v>45169</v>
      </c>
      <c r="C3517" s="36" t="s">
        <v>209</v>
      </c>
      <c r="D3517" s="36" t="s">
        <v>1412</v>
      </c>
      <c r="E3517" s="36" t="s">
        <v>1621</v>
      </c>
      <c r="G3517" s="87">
        <v>2900300</v>
      </c>
      <c r="H3517" s="87">
        <v>290030</v>
      </c>
      <c r="I3517" s="87">
        <v>3190330</v>
      </c>
      <c r="K3517" s="85">
        <v>2023</v>
      </c>
      <c r="L3517" s="85">
        <v>8</v>
      </c>
      <c r="N3517" s="1" t="s">
        <v>44</v>
      </c>
    </row>
    <row r="3518" spans="1:14">
      <c r="A3518" s="36" t="s">
        <v>32</v>
      </c>
      <c r="B3518" s="37">
        <v>45169</v>
      </c>
      <c r="C3518" s="36" t="s">
        <v>209</v>
      </c>
      <c r="D3518" s="36" t="s">
        <v>1048</v>
      </c>
      <c r="E3518" s="36" t="s">
        <v>76</v>
      </c>
      <c r="G3518" s="87">
        <v>2682500</v>
      </c>
      <c r="H3518" s="87">
        <v>268250</v>
      </c>
      <c r="I3518" s="87">
        <v>2950750</v>
      </c>
      <c r="K3518" s="85">
        <v>2023</v>
      </c>
      <c r="L3518" s="85">
        <v>8</v>
      </c>
      <c r="N3518" s="1" t="s">
        <v>44</v>
      </c>
    </row>
    <row r="3519" spans="1:14">
      <c r="A3519" s="36" t="s">
        <v>33</v>
      </c>
      <c r="B3519" s="37">
        <v>45169</v>
      </c>
      <c r="C3519" s="36" t="s">
        <v>1439</v>
      </c>
      <c r="D3519" s="36" t="s">
        <v>1048</v>
      </c>
      <c r="E3519" s="36" t="s">
        <v>1561</v>
      </c>
      <c r="J3519" s="87">
        <v>308000</v>
      </c>
      <c r="K3519" s="85">
        <v>2023</v>
      </c>
      <c r="L3519" s="85">
        <v>7</v>
      </c>
      <c r="N3519" s="1" t="s">
        <v>44</v>
      </c>
    </row>
    <row r="3520" spans="1:14">
      <c r="A3520" s="36" t="s">
        <v>33</v>
      </c>
      <c r="B3520" s="37">
        <v>45169</v>
      </c>
      <c r="C3520" s="36" t="s">
        <v>1439</v>
      </c>
      <c r="D3520" s="36" t="s">
        <v>1048</v>
      </c>
      <c r="E3520" s="36" t="s">
        <v>157</v>
      </c>
      <c r="G3520" s="87">
        <v>140000</v>
      </c>
      <c r="H3520" s="87">
        <v>14000</v>
      </c>
      <c r="I3520" s="87">
        <v>154000</v>
      </c>
      <c r="K3520" s="85">
        <v>2023</v>
      </c>
      <c r="L3520" s="85">
        <v>8</v>
      </c>
      <c r="N3520" s="1" t="s">
        <v>44</v>
      </c>
    </row>
    <row r="3521" spans="1:14">
      <c r="A3521" s="36" t="s">
        <v>33</v>
      </c>
      <c r="B3521" s="37">
        <v>45169</v>
      </c>
      <c r="C3521" s="36" t="s">
        <v>1572</v>
      </c>
      <c r="D3521" s="36" t="s">
        <v>1573</v>
      </c>
      <c r="E3521" s="36" t="s">
        <v>1574</v>
      </c>
      <c r="G3521" s="87">
        <v>860000</v>
      </c>
      <c r="H3521" s="87">
        <v>86000</v>
      </c>
      <c r="I3521" s="87">
        <v>946000</v>
      </c>
      <c r="K3521" s="85">
        <v>2023</v>
      </c>
      <c r="L3521" s="85">
        <v>8</v>
      </c>
      <c r="M3521" s="36" t="s">
        <v>1641</v>
      </c>
      <c r="N3521" s="1" t="s">
        <v>44</v>
      </c>
    </row>
    <row r="3522" spans="1:14">
      <c r="A3522" s="36" t="s">
        <v>33</v>
      </c>
      <c r="B3522" s="37">
        <v>45169</v>
      </c>
      <c r="C3522" s="36" t="s">
        <v>1572</v>
      </c>
      <c r="D3522" s="36" t="s">
        <v>1575</v>
      </c>
      <c r="E3522" s="36" t="s">
        <v>1574</v>
      </c>
      <c r="G3522" s="87">
        <v>710000</v>
      </c>
      <c r="H3522" s="87">
        <v>71000</v>
      </c>
      <c r="I3522" s="87">
        <v>781000</v>
      </c>
      <c r="K3522" s="85">
        <v>2023</v>
      </c>
      <c r="L3522" s="85">
        <v>8</v>
      </c>
      <c r="M3522" s="36" t="s">
        <v>1641</v>
      </c>
      <c r="N3522" s="1" t="s">
        <v>44</v>
      </c>
    </row>
    <row r="3523" spans="1:14">
      <c r="A3523" s="36" t="s">
        <v>33</v>
      </c>
      <c r="B3523" s="37">
        <v>45169</v>
      </c>
      <c r="C3523" s="36" t="s">
        <v>96</v>
      </c>
      <c r="D3523" s="36" t="s">
        <v>1527</v>
      </c>
      <c r="E3523" s="36" t="s">
        <v>1561</v>
      </c>
      <c r="J3523" s="87">
        <v>880000</v>
      </c>
      <c r="K3523" s="85">
        <v>2023</v>
      </c>
      <c r="L3523" s="85">
        <v>7</v>
      </c>
      <c r="N3523" s="1" t="s">
        <v>44</v>
      </c>
    </row>
    <row r="3524" spans="1:14">
      <c r="A3524" s="36" t="s">
        <v>33</v>
      </c>
      <c r="B3524" s="37">
        <v>45169</v>
      </c>
      <c r="C3524" s="36" t="s">
        <v>96</v>
      </c>
      <c r="D3524" s="36" t="s">
        <v>1580</v>
      </c>
      <c r="E3524" s="36" t="s">
        <v>1580</v>
      </c>
      <c r="G3524" s="87">
        <v>190000</v>
      </c>
      <c r="H3524" s="87">
        <v>19000</v>
      </c>
      <c r="I3524" s="87">
        <v>209000</v>
      </c>
      <c r="K3524" s="85">
        <v>2023</v>
      </c>
      <c r="L3524" s="85">
        <v>8</v>
      </c>
      <c r="N3524" s="1" t="s">
        <v>44</v>
      </c>
    </row>
    <row r="3525" spans="1:14">
      <c r="A3525" s="36" t="s">
        <v>32</v>
      </c>
      <c r="B3525" s="37">
        <v>45169</v>
      </c>
      <c r="C3525" s="36" t="s">
        <v>672</v>
      </c>
      <c r="D3525" s="36" t="s">
        <v>1596</v>
      </c>
      <c r="E3525" s="36" t="s">
        <v>76</v>
      </c>
      <c r="G3525" s="87">
        <v>14000000</v>
      </c>
      <c r="H3525" s="87">
        <v>1400000</v>
      </c>
      <c r="I3525" s="87">
        <v>15400000</v>
      </c>
      <c r="K3525" s="85">
        <v>2023</v>
      </c>
      <c r="L3525" s="85">
        <v>8</v>
      </c>
      <c r="N3525" s="1" t="s">
        <v>44</v>
      </c>
    </row>
    <row r="3526" spans="1:14">
      <c r="A3526" s="36" t="s">
        <v>32</v>
      </c>
      <c r="B3526" s="37">
        <v>45169</v>
      </c>
      <c r="C3526" s="36" t="s">
        <v>1588</v>
      </c>
      <c r="D3526" s="36" t="s">
        <v>1610</v>
      </c>
      <c r="E3526" s="36" t="s">
        <v>76</v>
      </c>
      <c r="G3526" s="87">
        <v>19997000</v>
      </c>
      <c r="H3526" s="87">
        <v>1999700</v>
      </c>
      <c r="I3526" s="87">
        <v>21996700</v>
      </c>
      <c r="K3526" s="85">
        <v>2023</v>
      </c>
      <c r="L3526" s="85">
        <v>8</v>
      </c>
      <c r="N3526" s="1" t="s">
        <v>44</v>
      </c>
    </row>
    <row r="3527" spans="1:14">
      <c r="A3527" s="36" t="s">
        <v>32</v>
      </c>
      <c r="B3527" s="37">
        <v>45169</v>
      </c>
      <c r="C3527" s="36" t="s">
        <v>1588</v>
      </c>
      <c r="D3527" s="36" t="s">
        <v>1611</v>
      </c>
      <c r="E3527" s="36" t="s">
        <v>76</v>
      </c>
      <c r="G3527" s="87">
        <v>49826500</v>
      </c>
      <c r="H3527" s="87">
        <v>4982650</v>
      </c>
      <c r="I3527" s="87">
        <v>54809150</v>
      </c>
      <c r="K3527" s="85">
        <v>2023</v>
      </c>
      <c r="L3527" s="85">
        <v>8</v>
      </c>
      <c r="N3527" s="1" t="s">
        <v>44</v>
      </c>
    </row>
    <row r="3528" spans="1:14">
      <c r="A3528" s="36" t="s">
        <v>32</v>
      </c>
      <c r="B3528" s="37">
        <v>45169</v>
      </c>
      <c r="C3528" s="36" t="s">
        <v>1332</v>
      </c>
      <c r="D3528" s="36" t="s">
        <v>1341</v>
      </c>
      <c r="E3528" s="36" t="s">
        <v>76</v>
      </c>
      <c r="G3528" s="87">
        <v>44280000</v>
      </c>
      <c r="H3528" s="87">
        <v>4428000</v>
      </c>
      <c r="I3528" s="87">
        <v>48708000</v>
      </c>
      <c r="K3528" s="85">
        <v>2023</v>
      </c>
      <c r="L3528" s="85">
        <v>8</v>
      </c>
      <c r="N3528" s="1" t="s">
        <v>44</v>
      </c>
    </row>
    <row r="3529" spans="1:14">
      <c r="A3529" s="36" t="s">
        <v>32</v>
      </c>
      <c r="B3529" s="37">
        <v>45169</v>
      </c>
      <c r="C3529" s="36" t="s">
        <v>204</v>
      </c>
      <c r="D3529" s="36" t="s">
        <v>1482</v>
      </c>
      <c r="E3529" s="36" t="s">
        <v>1561</v>
      </c>
      <c r="J3529" s="87">
        <v>6000500</v>
      </c>
      <c r="K3529" s="85">
        <v>2023</v>
      </c>
      <c r="L3529" s="85">
        <v>7</v>
      </c>
      <c r="N3529" s="1" t="s">
        <v>44</v>
      </c>
    </row>
    <row r="3530" spans="1:14">
      <c r="A3530" s="36" t="s">
        <v>32</v>
      </c>
      <c r="B3530" s="37">
        <v>45169</v>
      </c>
      <c r="C3530" s="36" t="s">
        <v>204</v>
      </c>
      <c r="D3530" s="36" t="s">
        <v>1482</v>
      </c>
      <c r="E3530" s="36" t="s">
        <v>267</v>
      </c>
      <c r="G3530" s="87">
        <v>5322200</v>
      </c>
      <c r="H3530" s="87">
        <v>532220</v>
      </c>
      <c r="I3530" s="87">
        <v>5854420</v>
      </c>
      <c r="K3530" s="85">
        <v>2023</v>
      </c>
      <c r="L3530" s="85">
        <v>8</v>
      </c>
      <c r="N3530" s="1" t="s">
        <v>44</v>
      </c>
    </row>
    <row r="3531" spans="1:14">
      <c r="A3531" s="36" t="s">
        <v>32</v>
      </c>
      <c r="B3531" s="37">
        <v>45169</v>
      </c>
      <c r="C3531" s="36" t="s">
        <v>925</v>
      </c>
      <c r="D3531" s="36" t="s">
        <v>926</v>
      </c>
      <c r="E3531" s="36" t="s">
        <v>76</v>
      </c>
      <c r="G3531" s="87">
        <v>4816600</v>
      </c>
      <c r="H3531" s="87">
        <v>481660</v>
      </c>
      <c r="I3531" s="87">
        <v>5298260</v>
      </c>
      <c r="K3531" s="85">
        <v>2023</v>
      </c>
      <c r="L3531" s="85">
        <v>8</v>
      </c>
      <c r="M3531" s="36" t="s">
        <v>1613</v>
      </c>
      <c r="N3531" s="1" t="s">
        <v>44</v>
      </c>
    </row>
    <row r="3532" spans="1:14">
      <c r="A3532" s="36" t="s">
        <v>32</v>
      </c>
      <c r="B3532" s="37">
        <v>45169</v>
      </c>
      <c r="C3532" s="36" t="s">
        <v>1470</v>
      </c>
      <c r="D3532" s="36" t="s">
        <v>1487</v>
      </c>
      <c r="E3532" s="36" t="s">
        <v>1563</v>
      </c>
      <c r="J3532" s="87">
        <v>174603132</v>
      </c>
      <c r="K3532" s="85">
        <v>2023</v>
      </c>
      <c r="L3532" s="85">
        <v>7</v>
      </c>
      <c r="N3532" s="1" t="s">
        <v>44</v>
      </c>
    </row>
    <row r="3533" spans="1:14">
      <c r="A3533" s="36" t="s">
        <v>32</v>
      </c>
      <c r="B3533" s="37">
        <v>45169</v>
      </c>
      <c r="C3533" s="36" t="s">
        <v>1470</v>
      </c>
      <c r="D3533" s="36" t="s">
        <v>1487</v>
      </c>
      <c r="E3533" s="36" t="s">
        <v>76</v>
      </c>
      <c r="G3533" s="87">
        <v>86694520</v>
      </c>
      <c r="H3533" s="87">
        <v>8669452</v>
      </c>
      <c r="I3533" s="87">
        <v>95363972</v>
      </c>
      <c r="K3533" s="85">
        <v>2023</v>
      </c>
      <c r="L3533" s="85">
        <v>8</v>
      </c>
      <c r="N3533" s="1" t="s">
        <v>44</v>
      </c>
    </row>
    <row r="3534" spans="1:14">
      <c r="A3534" s="36" t="s">
        <v>32</v>
      </c>
      <c r="B3534" s="37">
        <v>45169</v>
      </c>
      <c r="C3534" s="36" t="s">
        <v>1584</v>
      </c>
      <c r="D3534" s="36" t="s">
        <v>1540</v>
      </c>
      <c r="E3534" s="36" t="s">
        <v>76</v>
      </c>
      <c r="G3534" s="87">
        <v>1589200</v>
      </c>
      <c r="H3534" s="87">
        <v>158920</v>
      </c>
      <c r="I3534" s="87">
        <v>1748120</v>
      </c>
      <c r="K3534" s="85">
        <v>2023</v>
      </c>
      <c r="L3534" s="85">
        <v>8</v>
      </c>
      <c r="N3534" s="1" t="s">
        <v>44</v>
      </c>
    </row>
    <row r="3535" spans="1:14">
      <c r="A3535" s="36" t="s">
        <v>32</v>
      </c>
      <c r="B3535" s="37">
        <v>45169</v>
      </c>
      <c r="C3535" s="36" t="s">
        <v>1622</v>
      </c>
      <c r="D3535" s="36" t="s">
        <v>1600</v>
      </c>
      <c r="E3535" s="36" t="s">
        <v>76</v>
      </c>
      <c r="G3535" s="87">
        <v>1280000</v>
      </c>
      <c r="H3535" s="87">
        <v>128000</v>
      </c>
      <c r="I3535" s="87">
        <v>1408000</v>
      </c>
      <c r="K3535" s="85">
        <v>2023</v>
      </c>
      <c r="L3535" s="85">
        <v>8</v>
      </c>
      <c r="N3535" s="1" t="s">
        <v>44</v>
      </c>
    </row>
    <row r="3536" spans="1:14">
      <c r="A3536" s="36" t="s">
        <v>32</v>
      </c>
      <c r="B3536" s="37">
        <v>45169</v>
      </c>
      <c r="C3536" s="36" t="s">
        <v>334</v>
      </c>
      <c r="D3536" s="36" t="s">
        <v>1340</v>
      </c>
      <c r="E3536" s="36" t="s">
        <v>1561</v>
      </c>
      <c r="J3536" s="87">
        <v>10789900</v>
      </c>
      <c r="K3536" s="85">
        <v>2023</v>
      </c>
      <c r="L3536" s="85">
        <v>7</v>
      </c>
      <c r="N3536" s="1" t="s">
        <v>44</v>
      </c>
    </row>
    <row r="3537" spans="1:14">
      <c r="A3537" s="36" t="s">
        <v>32</v>
      </c>
      <c r="B3537" s="37">
        <v>45169</v>
      </c>
      <c r="C3537" s="36" t="s">
        <v>334</v>
      </c>
      <c r="D3537" s="36" t="s">
        <v>1598</v>
      </c>
      <c r="E3537" s="36" t="s">
        <v>267</v>
      </c>
      <c r="G3537" s="87">
        <v>5680000</v>
      </c>
      <c r="H3537" s="87">
        <v>568000</v>
      </c>
      <c r="I3537" s="87">
        <v>6248000</v>
      </c>
      <c r="K3537" s="85">
        <v>2023</v>
      </c>
      <c r="L3537" s="85">
        <v>8</v>
      </c>
      <c r="N3537" s="1" t="s">
        <v>44</v>
      </c>
    </row>
    <row r="3538" spans="1:14">
      <c r="A3538" s="36" t="s">
        <v>32</v>
      </c>
      <c r="B3538" s="37">
        <v>45169</v>
      </c>
      <c r="C3538" s="36" t="s">
        <v>334</v>
      </c>
      <c r="D3538" s="36" t="s">
        <v>1604</v>
      </c>
      <c r="E3538" s="36" t="s">
        <v>267</v>
      </c>
      <c r="G3538" s="87">
        <v>8928480</v>
      </c>
      <c r="H3538" s="87">
        <v>892848</v>
      </c>
      <c r="I3538" s="87">
        <v>9821328</v>
      </c>
      <c r="K3538" s="85">
        <v>2023</v>
      </c>
      <c r="L3538" s="85">
        <v>8</v>
      </c>
      <c r="N3538" s="1" t="s">
        <v>44</v>
      </c>
    </row>
    <row r="3539" spans="1:14">
      <c r="A3539" s="36" t="s">
        <v>33</v>
      </c>
      <c r="B3539" s="37">
        <v>45169</v>
      </c>
      <c r="C3539" s="36" t="s">
        <v>1262</v>
      </c>
      <c r="D3539" s="36" t="s">
        <v>886</v>
      </c>
      <c r="E3539" s="36" t="s">
        <v>1561</v>
      </c>
      <c r="J3539" s="87">
        <v>5313000</v>
      </c>
      <c r="K3539" s="85">
        <v>2023</v>
      </c>
      <c r="L3539" s="85">
        <v>7</v>
      </c>
      <c r="N3539" s="1" t="s">
        <v>44</v>
      </c>
    </row>
    <row r="3540" spans="1:14">
      <c r="A3540" s="36" t="s">
        <v>33</v>
      </c>
      <c r="B3540" s="37">
        <v>45169</v>
      </c>
      <c r="C3540" s="36" t="s">
        <v>771</v>
      </c>
      <c r="D3540" s="36" t="s">
        <v>772</v>
      </c>
      <c r="E3540" s="36" t="s">
        <v>1561</v>
      </c>
      <c r="J3540" s="87">
        <v>1265000</v>
      </c>
      <c r="K3540" s="85">
        <v>2023</v>
      </c>
      <c r="L3540" s="85">
        <v>7</v>
      </c>
      <c r="N3540" s="1" t="s">
        <v>44</v>
      </c>
    </row>
    <row r="3541" spans="1:14">
      <c r="A3541" s="36" t="s">
        <v>32</v>
      </c>
      <c r="B3541" s="37">
        <v>45169</v>
      </c>
      <c r="C3541" s="36" t="s">
        <v>677</v>
      </c>
      <c r="D3541" s="36" t="s">
        <v>825</v>
      </c>
      <c r="E3541" s="36" t="s">
        <v>76</v>
      </c>
      <c r="G3541" s="87">
        <v>510000</v>
      </c>
      <c r="H3541" s="87">
        <v>51000</v>
      </c>
      <c r="I3541" s="87">
        <v>561000</v>
      </c>
      <c r="K3541" s="85">
        <v>2023</v>
      </c>
      <c r="L3541" s="85">
        <v>8</v>
      </c>
      <c r="N3541" s="1" t="s">
        <v>44</v>
      </c>
    </row>
    <row r="3542" spans="1:14">
      <c r="A3542" s="36" t="s">
        <v>32</v>
      </c>
      <c r="B3542" s="37">
        <v>45169</v>
      </c>
      <c r="C3542" s="36" t="s">
        <v>677</v>
      </c>
      <c r="D3542" s="36" t="s">
        <v>924</v>
      </c>
      <c r="E3542" s="36" t="s">
        <v>76</v>
      </c>
      <c r="G3542" s="87">
        <v>3060000</v>
      </c>
      <c r="H3542" s="87">
        <v>306000</v>
      </c>
      <c r="I3542" s="87">
        <v>3366000</v>
      </c>
      <c r="K3542" s="85">
        <v>2023</v>
      </c>
      <c r="L3542" s="85">
        <v>8</v>
      </c>
      <c r="N3542" s="1" t="s">
        <v>44</v>
      </c>
    </row>
    <row r="3543" spans="1:14">
      <c r="A3543" s="36" t="s">
        <v>32</v>
      </c>
      <c r="B3543" s="37">
        <v>45169</v>
      </c>
      <c r="C3543" s="36" t="s">
        <v>677</v>
      </c>
      <c r="D3543" s="36" t="s">
        <v>678</v>
      </c>
      <c r="E3543" s="36" t="s">
        <v>76</v>
      </c>
      <c r="G3543" s="87">
        <v>12250000</v>
      </c>
      <c r="H3543" s="87">
        <v>1225000</v>
      </c>
      <c r="I3543" s="87">
        <v>13475000</v>
      </c>
      <c r="K3543" s="85">
        <v>2023</v>
      </c>
      <c r="L3543" s="85">
        <v>8</v>
      </c>
      <c r="N3543" s="1" t="s">
        <v>44</v>
      </c>
    </row>
    <row r="3544" spans="1:14">
      <c r="A3544" s="36" t="s">
        <v>32</v>
      </c>
      <c r="B3544" s="37">
        <v>45169</v>
      </c>
      <c r="C3544" s="36" t="s">
        <v>1467</v>
      </c>
      <c r="D3544" s="36" t="s">
        <v>1593</v>
      </c>
      <c r="E3544" s="36" t="s">
        <v>76</v>
      </c>
      <c r="G3544" s="87">
        <v>4681200</v>
      </c>
      <c r="H3544" s="87">
        <v>468120</v>
      </c>
      <c r="I3544" s="87">
        <v>5149320</v>
      </c>
      <c r="K3544" s="85">
        <v>2023</v>
      </c>
      <c r="L3544" s="85">
        <v>8</v>
      </c>
      <c r="N3544" s="1" t="s">
        <v>44</v>
      </c>
    </row>
    <row r="3545" spans="1:14">
      <c r="A3545" s="36" t="s">
        <v>32</v>
      </c>
      <c r="B3545" s="37">
        <v>45169</v>
      </c>
      <c r="C3545" s="36" t="s">
        <v>1467</v>
      </c>
      <c r="D3545" s="36" t="s">
        <v>1594</v>
      </c>
      <c r="E3545" s="36" t="s">
        <v>76</v>
      </c>
      <c r="G3545" s="87">
        <v>6684000</v>
      </c>
      <c r="H3545" s="87">
        <v>668400</v>
      </c>
      <c r="I3545" s="87">
        <v>7352400</v>
      </c>
      <c r="K3545" s="85">
        <v>2023</v>
      </c>
      <c r="L3545" s="85">
        <v>8</v>
      </c>
      <c r="N3545" s="1" t="s">
        <v>44</v>
      </c>
    </row>
    <row r="3546" spans="1:14">
      <c r="A3546" s="36" t="s">
        <v>33</v>
      </c>
      <c r="B3546" s="37">
        <v>45169</v>
      </c>
      <c r="C3546" s="36" t="s">
        <v>119</v>
      </c>
      <c r="D3546" s="36" t="s">
        <v>1800</v>
      </c>
      <c r="E3546" s="36" t="s">
        <v>1561</v>
      </c>
      <c r="J3546" s="87">
        <v>13300650</v>
      </c>
      <c r="K3546" s="85">
        <v>2023</v>
      </c>
      <c r="L3546" s="85">
        <v>7</v>
      </c>
      <c r="N3546" s="1" t="s">
        <v>44</v>
      </c>
    </row>
    <row r="3547" spans="1:14">
      <c r="A3547" s="36" t="s">
        <v>33</v>
      </c>
      <c r="B3547" s="37">
        <v>45169</v>
      </c>
      <c r="C3547" s="36" t="s">
        <v>119</v>
      </c>
      <c r="D3547" s="36" t="s">
        <v>1048</v>
      </c>
      <c r="E3547" s="36" t="s">
        <v>1561</v>
      </c>
      <c r="J3547" s="87">
        <v>5972111.2000000002</v>
      </c>
      <c r="K3547" s="85">
        <v>2023</v>
      </c>
      <c r="L3547" s="85">
        <v>7</v>
      </c>
      <c r="N3547" s="1" t="s">
        <v>44</v>
      </c>
    </row>
    <row r="3548" spans="1:14">
      <c r="A3548" s="36" t="s">
        <v>33</v>
      </c>
      <c r="B3548" s="37">
        <v>45169</v>
      </c>
      <c r="C3548" s="36" t="s">
        <v>119</v>
      </c>
      <c r="D3548" s="36" t="s">
        <v>1800</v>
      </c>
      <c r="E3548" s="36" t="s">
        <v>76</v>
      </c>
      <c r="G3548" s="87">
        <v>8980740</v>
      </c>
      <c r="H3548" s="87">
        <v>898074</v>
      </c>
      <c r="I3548" s="87">
        <v>9878814</v>
      </c>
      <c r="K3548" s="85">
        <v>2023</v>
      </c>
      <c r="L3548" s="85">
        <v>8</v>
      </c>
      <c r="N3548" s="1" t="s">
        <v>44</v>
      </c>
    </row>
    <row r="3549" spans="1:14">
      <c r="A3549" s="36" t="s">
        <v>33</v>
      </c>
      <c r="B3549" s="37">
        <v>45169</v>
      </c>
      <c r="C3549" s="36" t="s">
        <v>119</v>
      </c>
      <c r="D3549" s="36" t="s">
        <v>1048</v>
      </c>
      <c r="E3549" s="36" t="s">
        <v>76</v>
      </c>
      <c r="G3549" s="87">
        <v>2682500</v>
      </c>
      <c r="H3549" s="87">
        <v>268250</v>
      </c>
      <c r="I3549" s="87">
        <v>2950750</v>
      </c>
      <c r="K3549" s="85">
        <v>2023</v>
      </c>
      <c r="L3549" s="85">
        <v>8</v>
      </c>
      <c r="N3549" s="1" t="s">
        <v>44</v>
      </c>
    </row>
    <row r="3550" spans="1:14">
      <c r="A3550" s="36" t="s">
        <v>32</v>
      </c>
      <c r="B3550" s="37">
        <v>45169</v>
      </c>
      <c r="C3550" s="36" t="s">
        <v>264</v>
      </c>
      <c r="D3550" s="36" t="s">
        <v>1612</v>
      </c>
      <c r="E3550" s="36" t="s">
        <v>76</v>
      </c>
      <c r="G3550" s="87">
        <v>16600000</v>
      </c>
      <c r="H3550" s="87">
        <v>1660000</v>
      </c>
      <c r="I3550" s="87">
        <v>18260000</v>
      </c>
      <c r="K3550" s="85">
        <v>2023</v>
      </c>
      <c r="L3550" s="85">
        <v>8</v>
      </c>
      <c r="N3550" s="1" t="s">
        <v>44</v>
      </c>
    </row>
    <row r="3551" spans="1:14">
      <c r="A3551" s="36" t="s">
        <v>33</v>
      </c>
      <c r="B3551" s="37">
        <v>45169</v>
      </c>
      <c r="C3551" s="36" t="s">
        <v>1150</v>
      </c>
      <c r="D3551" s="36" t="s">
        <v>1416</v>
      </c>
      <c r="E3551" s="36" t="s">
        <v>1567</v>
      </c>
      <c r="G3551" s="87">
        <v>165400</v>
      </c>
      <c r="H3551" s="87">
        <v>16540</v>
      </c>
      <c r="I3551" s="87">
        <v>181940</v>
      </c>
      <c r="K3551" s="85">
        <v>2023</v>
      </c>
      <c r="L3551" s="85">
        <v>8</v>
      </c>
      <c r="N3551" s="1" t="s">
        <v>44</v>
      </c>
    </row>
    <row r="3552" spans="1:14">
      <c r="A3552" s="36" t="s">
        <v>32</v>
      </c>
      <c r="B3552" s="37">
        <v>45169</v>
      </c>
      <c r="C3552" s="36" t="s">
        <v>552</v>
      </c>
      <c r="D3552" s="36" t="s">
        <v>1529</v>
      </c>
      <c r="E3552" s="36" t="s">
        <v>76</v>
      </c>
      <c r="G3552" s="87">
        <v>69121800</v>
      </c>
      <c r="H3552" s="87">
        <v>6912180</v>
      </c>
      <c r="I3552" s="87">
        <v>76033980</v>
      </c>
      <c r="K3552" s="85">
        <v>2023</v>
      </c>
      <c r="L3552" s="85">
        <v>8</v>
      </c>
      <c r="N3552" s="1" t="s">
        <v>44</v>
      </c>
    </row>
    <row r="3553" spans="1:14">
      <c r="A3553" s="36" t="s">
        <v>32</v>
      </c>
      <c r="B3553" s="37">
        <v>45169</v>
      </c>
      <c r="C3553" s="36" t="s">
        <v>552</v>
      </c>
      <c r="D3553" s="36" t="s">
        <v>1011</v>
      </c>
      <c r="E3553" s="36" t="s">
        <v>76</v>
      </c>
      <c r="G3553" s="87">
        <v>53519209</v>
      </c>
      <c r="H3553" s="87">
        <v>5351920</v>
      </c>
      <c r="I3553" s="87">
        <v>58871129</v>
      </c>
      <c r="K3553" s="85">
        <v>2023</v>
      </c>
      <c r="L3553" s="85">
        <v>8</v>
      </c>
      <c r="N3553" s="1" t="s">
        <v>44</v>
      </c>
    </row>
    <row r="3554" spans="1:14">
      <c r="A3554" s="36" t="s">
        <v>32</v>
      </c>
      <c r="B3554" s="37">
        <v>45169</v>
      </c>
      <c r="C3554" s="36" t="s">
        <v>552</v>
      </c>
      <c r="D3554" s="36" t="s">
        <v>1011</v>
      </c>
      <c r="E3554" s="36" t="s">
        <v>76</v>
      </c>
      <c r="G3554" s="87">
        <v>-53519209</v>
      </c>
      <c r="H3554" s="87">
        <v>-5351920</v>
      </c>
      <c r="I3554" s="87">
        <v>-58871129</v>
      </c>
      <c r="K3554" s="85">
        <v>2023</v>
      </c>
      <c r="L3554" s="85">
        <v>8</v>
      </c>
      <c r="N3554" s="1" t="s">
        <v>44</v>
      </c>
    </row>
    <row r="3555" spans="1:14">
      <c r="A3555" s="36" t="s">
        <v>32</v>
      </c>
      <c r="B3555" s="37">
        <v>45169</v>
      </c>
      <c r="C3555" s="36" t="s">
        <v>552</v>
      </c>
      <c r="D3555" s="36" t="s">
        <v>1011</v>
      </c>
      <c r="E3555" s="36" t="s">
        <v>76</v>
      </c>
      <c r="G3555" s="87">
        <v>51053664</v>
      </c>
      <c r="H3555" s="87">
        <v>5105366</v>
      </c>
      <c r="I3555" s="87">
        <v>56159030</v>
      </c>
      <c r="K3555" s="85">
        <v>2023</v>
      </c>
      <c r="L3555" s="85">
        <v>8</v>
      </c>
      <c r="N3555" s="1" t="s">
        <v>44</v>
      </c>
    </row>
    <row r="3556" spans="1:14">
      <c r="A3556" s="36" t="s">
        <v>32</v>
      </c>
      <c r="B3556" s="37">
        <v>45169</v>
      </c>
      <c r="C3556" s="36" t="s">
        <v>206</v>
      </c>
      <c r="D3556" s="36" t="s">
        <v>1544</v>
      </c>
      <c r="E3556" s="36" t="s">
        <v>76</v>
      </c>
      <c r="G3556" s="87">
        <v>4743600</v>
      </c>
      <c r="H3556" s="87">
        <v>474360</v>
      </c>
      <c r="I3556" s="87">
        <v>5217960</v>
      </c>
      <c r="K3556" s="85">
        <v>2023</v>
      </c>
      <c r="L3556" s="85">
        <v>8</v>
      </c>
      <c r="N3556" s="1" t="s">
        <v>44</v>
      </c>
    </row>
    <row r="3557" spans="1:14">
      <c r="A3557" s="36" t="s">
        <v>33</v>
      </c>
      <c r="B3557" s="37">
        <v>45169</v>
      </c>
      <c r="C3557" s="36" t="s">
        <v>1393</v>
      </c>
      <c r="D3557" s="36" t="s">
        <v>1414</v>
      </c>
      <c r="E3557" s="36" t="s">
        <v>1576</v>
      </c>
      <c r="G3557" s="87">
        <v>8806000</v>
      </c>
      <c r="H3557" s="87">
        <v>880600</v>
      </c>
      <c r="I3557" s="87">
        <v>9686600</v>
      </c>
      <c r="K3557" s="85">
        <v>2023</v>
      </c>
      <c r="L3557" s="85">
        <v>8</v>
      </c>
      <c r="N3557" s="1" t="s">
        <v>44</v>
      </c>
    </row>
    <row r="3558" spans="1:14">
      <c r="A3558" s="36" t="s">
        <v>32</v>
      </c>
      <c r="B3558" s="37">
        <v>45169</v>
      </c>
      <c r="C3558" s="36" t="s">
        <v>1583</v>
      </c>
      <c r="D3558" s="36" t="s">
        <v>1602</v>
      </c>
      <c r="E3558" s="36" t="s">
        <v>76</v>
      </c>
      <c r="G3558" s="87">
        <v>4951000</v>
      </c>
      <c r="H3558" s="87">
        <v>495100</v>
      </c>
      <c r="I3558" s="87">
        <v>5446100</v>
      </c>
      <c r="K3558" s="85">
        <v>2023</v>
      </c>
      <c r="L3558" s="85">
        <v>8</v>
      </c>
      <c r="N3558" s="1" t="s">
        <v>44</v>
      </c>
    </row>
    <row r="3559" spans="1:14">
      <c r="A3559" s="36" t="s">
        <v>32</v>
      </c>
      <c r="B3559" s="37">
        <v>45169</v>
      </c>
      <c r="C3559" s="36" t="s">
        <v>1198</v>
      </c>
      <c r="D3559" s="36" t="s">
        <v>1614</v>
      </c>
      <c r="E3559" s="36" t="s">
        <v>267</v>
      </c>
      <c r="G3559" s="87">
        <v>1894000</v>
      </c>
      <c r="H3559" s="87">
        <v>189400</v>
      </c>
      <c r="I3559" s="87">
        <v>2083400</v>
      </c>
      <c r="K3559" s="85">
        <v>2023</v>
      </c>
      <c r="L3559" s="85">
        <v>8</v>
      </c>
      <c r="N3559" s="1" t="s">
        <v>44</v>
      </c>
    </row>
    <row r="3560" spans="1:14">
      <c r="A3560" s="36" t="s">
        <v>32</v>
      </c>
      <c r="B3560" s="37">
        <v>45169</v>
      </c>
      <c r="C3560" s="36" t="s">
        <v>1198</v>
      </c>
      <c r="D3560" s="36" t="s">
        <v>1615</v>
      </c>
      <c r="E3560" s="36" t="s">
        <v>267</v>
      </c>
      <c r="G3560" s="87">
        <v>5100000</v>
      </c>
      <c r="H3560" s="87">
        <v>510000</v>
      </c>
      <c r="I3560" s="87">
        <v>5610000</v>
      </c>
      <c r="K3560" s="85">
        <v>2023</v>
      </c>
      <c r="L3560" s="85">
        <v>8</v>
      </c>
      <c r="N3560" s="1" t="s">
        <v>44</v>
      </c>
    </row>
    <row r="3561" spans="1:14">
      <c r="A3561" s="36" t="s">
        <v>32</v>
      </c>
      <c r="B3561" s="37">
        <v>45169</v>
      </c>
      <c r="C3561" s="36" t="s">
        <v>1198</v>
      </c>
      <c r="D3561" s="36" t="s">
        <v>1616</v>
      </c>
      <c r="E3561" s="36" t="s">
        <v>267</v>
      </c>
      <c r="G3561" s="87">
        <v>5945600</v>
      </c>
      <c r="H3561" s="87">
        <v>594560</v>
      </c>
      <c r="I3561" s="87">
        <v>6540160</v>
      </c>
      <c r="K3561" s="85">
        <v>2023</v>
      </c>
      <c r="L3561" s="85">
        <v>8</v>
      </c>
      <c r="N3561" s="1" t="s">
        <v>44</v>
      </c>
    </row>
    <row r="3562" spans="1:14">
      <c r="A3562" s="36" t="s">
        <v>32</v>
      </c>
      <c r="B3562" s="37">
        <v>45169</v>
      </c>
      <c r="C3562" s="36" t="s">
        <v>1198</v>
      </c>
      <c r="D3562" s="36" t="s">
        <v>1617</v>
      </c>
      <c r="E3562" s="36" t="s">
        <v>267</v>
      </c>
      <c r="G3562" s="87">
        <v>6196800</v>
      </c>
      <c r="H3562" s="87">
        <v>619680</v>
      </c>
      <c r="I3562" s="87">
        <v>6816480</v>
      </c>
      <c r="K3562" s="85">
        <v>2023</v>
      </c>
      <c r="L3562" s="85">
        <v>8</v>
      </c>
      <c r="N3562" s="1" t="s">
        <v>44</v>
      </c>
    </row>
    <row r="3563" spans="1:14">
      <c r="A3563" s="36" t="s">
        <v>32</v>
      </c>
      <c r="B3563" s="37">
        <v>45169</v>
      </c>
      <c r="C3563" s="36" t="s">
        <v>1198</v>
      </c>
      <c r="D3563" s="36" t="s">
        <v>1618</v>
      </c>
      <c r="E3563" s="36" t="s">
        <v>267</v>
      </c>
      <c r="G3563" s="87">
        <v>7192500</v>
      </c>
      <c r="H3563" s="87">
        <v>719250</v>
      </c>
      <c r="I3563" s="87">
        <v>7911750</v>
      </c>
      <c r="K3563" s="85">
        <v>2023</v>
      </c>
      <c r="L3563" s="85">
        <v>8</v>
      </c>
      <c r="N3563" s="1" t="s">
        <v>44</v>
      </c>
    </row>
    <row r="3564" spans="1:14">
      <c r="A3564" s="36" t="s">
        <v>32</v>
      </c>
      <c r="B3564" s="37">
        <v>45169</v>
      </c>
      <c r="C3564" s="36" t="s">
        <v>1468</v>
      </c>
      <c r="D3564" s="36" t="s">
        <v>1479</v>
      </c>
      <c r="E3564" s="36" t="s">
        <v>76</v>
      </c>
      <c r="G3564" s="87">
        <v>12969818</v>
      </c>
      <c r="H3564" s="87">
        <v>1296981.8</v>
      </c>
      <c r="I3564" s="87">
        <v>14266799.800000001</v>
      </c>
      <c r="K3564" s="85">
        <v>2023</v>
      </c>
      <c r="L3564" s="85">
        <v>8</v>
      </c>
      <c r="N3564" s="1" t="s">
        <v>44</v>
      </c>
    </row>
    <row r="3565" spans="1:14">
      <c r="A3565" s="36" t="s">
        <v>32</v>
      </c>
      <c r="B3565" s="37">
        <v>45169</v>
      </c>
      <c r="C3565" s="36" t="s">
        <v>1585</v>
      </c>
      <c r="D3565" s="36" t="s">
        <v>1607</v>
      </c>
      <c r="E3565" s="36" t="s">
        <v>267</v>
      </c>
      <c r="G3565" s="87">
        <v>1450000</v>
      </c>
      <c r="H3565" s="87">
        <v>145000</v>
      </c>
      <c r="I3565" s="87">
        <v>1595000</v>
      </c>
      <c r="K3565" s="85">
        <v>2023</v>
      </c>
      <c r="L3565" s="85">
        <v>8</v>
      </c>
      <c r="N3565" s="1" t="s">
        <v>44</v>
      </c>
    </row>
    <row r="3566" spans="1:14">
      <c r="A3566" s="36" t="s">
        <v>32</v>
      </c>
      <c r="B3566" s="37">
        <v>45169</v>
      </c>
      <c r="C3566" s="36" t="s">
        <v>1534</v>
      </c>
      <c r="D3566" s="36" t="s">
        <v>1601</v>
      </c>
      <c r="E3566" s="36" t="s">
        <v>76</v>
      </c>
      <c r="G3566" s="87">
        <v>4370000</v>
      </c>
      <c r="H3566" s="87">
        <v>437000</v>
      </c>
      <c r="I3566" s="87">
        <v>4807000</v>
      </c>
      <c r="K3566" s="85">
        <v>2023</v>
      </c>
      <c r="L3566" s="85">
        <v>8</v>
      </c>
      <c r="N3566" s="1" t="s">
        <v>44</v>
      </c>
    </row>
    <row r="3567" spans="1:14">
      <c r="A3567" s="36" t="s">
        <v>32</v>
      </c>
      <c r="B3567" s="37">
        <v>45169</v>
      </c>
      <c r="C3567" s="36" t="s">
        <v>1534</v>
      </c>
      <c r="D3567" s="36" t="s">
        <v>1601</v>
      </c>
      <c r="E3567" s="36" t="s">
        <v>76</v>
      </c>
      <c r="G3567" s="87">
        <v>1380000</v>
      </c>
      <c r="H3567" s="87">
        <v>138000</v>
      </c>
      <c r="I3567" s="87">
        <v>1518000</v>
      </c>
      <c r="K3567" s="85">
        <v>2023</v>
      </c>
      <c r="L3567" s="85">
        <v>8</v>
      </c>
      <c r="N3567" s="1" t="s">
        <v>44</v>
      </c>
    </row>
    <row r="3568" spans="1:14">
      <c r="A3568" s="36" t="s">
        <v>32</v>
      </c>
      <c r="B3568" s="37">
        <v>45169</v>
      </c>
      <c r="C3568" s="36" t="s">
        <v>183</v>
      </c>
      <c r="D3568" s="36" t="s">
        <v>1619</v>
      </c>
      <c r="E3568" s="36" t="s">
        <v>267</v>
      </c>
      <c r="G3568" s="87">
        <v>19599000</v>
      </c>
      <c r="H3568" s="87">
        <v>1959900</v>
      </c>
      <c r="I3568" s="87">
        <v>21558900</v>
      </c>
      <c r="K3568" s="85">
        <v>2023</v>
      </c>
      <c r="L3568" s="85">
        <v>8</v>
      </c>
      <c r="N3568" s="1" t="s">
        <v>44</v>
      </c>
    </row>
    <row r="3569" spans="1:14">
      <c r="A3569" s="36" t="s">
        <v>32</v>
      </c>
      <c r="B3569" s="37">
        <v>45169</v>
      </c>
      <c r="C3569" s="36" t="s">
        <v>183</v>
      </c>
      <c r="D3569" s="36" t="s">
        <v>1606</v>
      </c>
      <c r="E3569" s="36" t="s">
        <v>267</v>
      </c>
      <c r="G3569" s="87">
        <v>23231000</v>
      </c>
      <c r="H3569" s="87">
        <v>2323100</v>
      </c>
      <c r="I3569" s="87">
        <v>25554100</v>
      </c>
      <c r="K3569" s="85">
        <v>2023</v>
      </c>
      <c r="L3569" s="85">
        <v>8</v>
      </c>
      <c r="N3569" s="1" t="s">
        <v>44</v>
      </c>
    </row>
    <row r="3570" spans="1:14">
      <c r="A3570" s="36" t="s">
        <v>32</v>
      </c>
      <c r="B3570" s="37">
        <v>45169</v>
      </c>
      <c r="C3570" s="36" t="s">
        <v>183</v>
      </c>
      <c r="D3570" s="36" t="s">
        <v>1620</v>
      </c>
      <c r="E3570" s="36" t="s">
        <v>267</v>
      </c>
      <c r="G3570" s="87">
        <v>2520000</v>
      </c>
      <c r="H3570" s="87">
        <v>252000</v>
      </c>
      <c r="I3570" s="87">
        <v>2772000</v>
      </c>
      <c r="K3570" s="85">
        <v>2023</v>
      </c>
      <c r="L3570" s="85">
        <v>8</v>
      </c>
      <c r="N3570" s="1" t="s">
        <v>44</v>
      </c>
    </row>
    <row r="3571" spans="1:14">
      <c r="A3571" s="36" t="s">
        <v>32</v>
      </c>
      <c r="B3571" s="37">
        <v>45169</v>
      </c>
      <c r="C3571" s="36" t="s">
        <v>288</v>
      </c>
      <c r="D3571" s="36" t="s">
        <v>1548</v>
      </c>
      <c r="E3571" s="36" t="s">
        <v>76</v>
      </c>
      <c r="G3571" s="87">
        <v>7328500</v>
      </c>
      <c r="H3571" s="87">
        <v>732850</v>
      </c>
      <c r="I3571" s="87">
        <v>8061350</v>
      </c>
      <c r="K3571" s="85">
        <v>2023</v>
      </c>
      <c r="L3571" s="85">
        <v>8</v>
      </c>
      <c r="N3571" s="1" t="s">
        <v>44</v>
      </c>
    </row>
    <row r="3572" spans="1:14">
      <c r="A3572" s="36" t="s">
        <v>32</v>
      </c>
      <c r="B3572" s="37">
        <v>45169</v>
      </c>
      <c r="C3572" s="36" t="s">
        <v>288</v>
      </c>
      <c r="D3572" s="36" t="s">
        <v>1414</v>
      </c>
      <c r="E3572" s="36" t="s">
        <v>76</v>
      </c>
      <c r="G3572" s="87">
        <v>17734400</v>
      </c>
      <c r="H3572" s="87">
        <v>1773440</v>
      </c>
      <c r="I3572" s="87">
        <v>19507840</v>
      </c>
      <c r="K3572" s="85">
        <v>2023</v>
      </c>
      <c r="L3572" s="85">
        <v>8</v>
      </c>
      <c r="N3572" s="1" t="s">
        <v>44</v>
      </c>
    </row>
    <row r="3573" spans="1:14">
      <c r="A3573" s="36" t="s">
        <v>33</v>
      </c>
      <c r="B3573" s="37">
        <v>45169</v>
      </c>
      <c r="C3573" s="36" t="s">
        <v>590</v>
      </c>
      <c r="D3573" s="36" t="s">
        <v>1529</v>
      </c>
      <c r="E3573" s="36" t="s">
        <v>1561</v>
      </c>
      <c r="J3573" s="87">
        <v>3289000</v>
      </c>
      <c r="K3573" s="85">
        <v>2023</v>
      </c>
      <c r="L3573" s="85">
        <v>7</v>
      </c>
      <c r="N3573" s="1" t="s">
        <v>44</v>
      </c>
    </row>
    <row r="3574" spans="1:14">
      <c r="A3574" s="36" t="s">
        <v>33</v>
      </c>
      <c r="B3574" s="37">
        <v>45169</v>
      </c>
      <c r="C3574" s="36" t="s">
        <v>590</v>
      </c>
      <c r="D3574" s="36" t="s">
        <v>1011</v>
      </c>
      <c r="E3574" s="36" t="s">
        <v>1561</v>
      </c>
      <c r="J3574" s="87">
        <v>30109431</v>
      </c>
      <c r="K3574" s="85">
        <v>2023</v>
      </c>
      <c r="L3574" s="85">
        <v>7</v>
      </c>
      <c r="N3574" s="1" t="s">
        <v>44</v>
      </c>
    </row>
    <row r="3575" spans="1:14">
      <c r="A3575" s="36" t="s">
        <v>33</v>
      </c>
      <c r="B3575" s="37">
        <v>45169</v>
      </c>
      <c r="C3575" s="36" t="s">
        <v>590</v>
      </c>
      <c r="D3575" s="36" t="s">
        <v>1011</v>
      </c>
      <c r="E3575" s="36" t="s">
        <v>1578</v>
      </c>
      <c r="G3575" s="87">
        <v>51053664</v>
      </c>
      <c r="H3575" s="87">
        <v>5105366.4000000004</v>
      </c>
      <c r="I3575" s="87">
        <v>56159030.399999999</v>
      </c>
      <c r="K3575" s="85">
        <v>2023</v>
      </c>
      <c r="L3575" s="85">
        <v>8</v>
      </c>
      <c r="N3575" s="1" t="s">
        <v>44</v>
      </c>
    </row>
    <row r="3576" spans="1:14">
      <c r="A3576" s="36" t="s">
        <v>32</v>
      </c>
      <c r="B3576" s="37">
        <v>45169</v>
      </c>
      <c r="C3576" s="36" t="s">
        <v>188</v>
      </c>
      <c r="D3576" s="36" t="s">
        <v>1321</v>
      </c>
      <c r="E3576" s="36" t="s">
        <v>148</v>
      </c>
      <c r="J3576" s="87">
        <v>801350</v>
      </c>
      <c r="K3576" s="85">
        <v>2023</v>
      </c>
      <c r="L3576" s="85">
        <v>1</v>
      </c>
      <c r="N3576" s="1" t="s">
        <v>44</v>
      </c>
    </row>
    <row r="3577" spans="1:14">
      <c r="A3577" s="36" t="s">
        <v>32</v>
      </c>
      <c r="B3577" s="37">
        <v>45169</v>
      </c>
      <c r="C3577" s="36" t="s">
        <v>188</v>
      </c>
      <c r="D3577" s="36" t="s">
        <v>1288</v>
      </c>
      <c r="E3577" s="36" t="s">
        <v>148</v>
      </c>
      <c r="J3577" s="87">
        <v>723800</v>
      </c>
      <c r="K3577" s="85">
        <v>2023</v>
      </c>
      <c r="L3577" s="85">
        <v>4</v>
      </c>
      <c r="N3577" s="1" t="s">
        <v>44</v>
      </c>
    </row>
    <row r="3578" spans="1:14">
      <c r="A3578" s="36" t="s">
        <v>32</v>
      </c>
      <c r="B3578" s="37">
        <v>45169</v>
      </c>
      <c r="C3578" s="36" t="s">
        <v>188</v>
      </c>
      <c r="D3578" s="36" t="s">
        <v>1289</v>
      </c>
      <c r="E3578" s="36" t="s">
        <v>148</v>
      </c>
      <c r="J3578" s="87">
        <v>801350</v>
      </c>
      <c r="K3578" s="85">
        <v>2023</v>
      </c>
      <c r="L3578" s="85">
        <v>4</v>
      </c>
      <c r="N3578" s="1" t="s">
        <v>44</v>
      </c>
    </row>
    <row r="3579" spans="1:14">
      <c r="A3579" s="36" t="s">
        <v>32</v>
      </c>
      <c r="B3579" s="37">
        <v>45169</v>
      </c>
      <c r="C3579" s="36" t="s">
        <v>188</v>
      </c>
      <c r="D3579" s="36" t="s">
        <v>1321</v>
      </c>
      <c r="E3579" s="36" t="s">
        <v>148</v>
      </c>
      <c r="J3579" s="87">
        <v>801350</v>
      </c>
      <c r="K3579" s="85">
        <v>2022</v>
      </c>
      <c r="L3579" s="85">
        <v>10</v>
      </c>
      <c r="N3579" s="1" t="s">
        <v>44</v>
      </c>
    </row>
    <row r="3580" spans="1:14">
      <c r="A3580" s="36" t="s">
        <v>32</v>
      </c>
      <c r="B3580" s="37">
        <v>45169</v>
      </c>
      <c r="C3580" s="36" t="s">
        <v>188</v>
      </c>
      <c r="D3580" s="36" t="s">
        <v>1321</v>
      </c>
      <c r="E3580" s="36" t="s">
        <v>148</v>
      </c>
      <c r="J3580" s="87">
        <v>775500</v>
      </c>
      <c r="K3580" s="85">
        <v>2022</v>
      </c>
      <c r="L3580" s="85">
        <v>11</v>
      </c>
      <c r="M3580" s="36" t="s">
        <v>1121</v>
      </c>
      <c r="N3580" s="1" t="s">
        <v>44</v>
      </c>
    </row>
    <row r="3581" spans="1:14">
      <c r="A3581" s="36" t="s">
        <v>32</v>
      </c>
      <c r="B3581" s="37">
        <v>45169</v>
      </c>
      <c r="C3581" s="36" t="s">
        <v>188</v>
      </c>
      <c r="D3581" s="36" t="s">
        <v>1321</v>
      </c>
      <c r="E3581" s="36" t="s">
        <v>148</v>
      </c>
      <c r="J3581" s="87">
        <v>801350</v>
      </c>
      <c r="K3581" s="85">
        <v>2022</v>
      </c>
      <c r="L3581" s="85">
        <v>12</v>
      </c>
      <c r="N3581" s="1" t="s">
        <v>44</v>
      </c>
    </row>
    <row r="3582" spans="1:14">
      <c r="A3582" s="36" t="s">
        <v>32</v>
      </c>
      <c r="B3582" s="37">
        <v>45169</v>
      </c>
      <c r="C3582" s="36" t="s">
        <v>307</v>
      </c>
      <c r="D3582" s="36" t="s">
        <v>1424</v>
      </c>
      <c r="E3582" s="36" t="s">
        <v>1561</v>
      </c>
      <c r="J3582" s="38">
        <v>2500000</v>
      </c>
      <c r="K3582" s="85">
        <v>2023</v>
      </c>
      <c r="L3582" s="85">
        <v>7</v>
      </c>
      <c r="N3582" s="1" t="s">
        <v>44</v>
      </c>
    </row>
    <row r="3583" spans="1:14">
      <c r="A3583" s="36" t="s">
        <v>32</v>
      </c>
      <c r="B3583" s="37">
        <v>45169</v>
      </c>
      <c r="C3583" s="36" t="s">
        <v>307</v>
      </c>
      <c r="D3583" s="36" t="s">
        <v>1488</v>
      </c>
      <c r="E3583" s="36" t="s">
        <v>76</v>
      </c>
      <c r="G3583" s="87">
        <v>24302000</v>
      </c>
      <c r="H3583" s="87">
        <v>2430200</v>
      </c>
      <c r="I3583" s="87">
        <v>26732200</v>
      </c>
      <c r="K3583" s="85">
        <v>2023</v>
      </c>
      <c r="L3583" s="85">
        <v>8</v>
      </c>
      <c r="N3583" s="1" t="s">
        <v>44</v>
      </c>
    </row>
    <row r="3584" spans="1:14">
      <c r="A3584" s="36" t="s">
        <v>32</v>
      </c>
      <c r="B3584" s="37">
        <v>45169</v>
      </c>
      <c r="C3584" s="36" t="s">
        <v>307</v>
      </c>
      <c r="D3584" s="36" t="s">
        <v>1603</v>
      </c>
      <c r="E3584" s="36" t="s">
        <v>267</v>
      </c>
      <c r="G3584" s="87">
        <v>2800000</v>
      </c>
      <c r="H3584" s="87">
        <v>280000</v>
      </c>
      <c r="I3584" s="87">
        <v>3080000</v>
      </c>
      <c r="K3584" s="85">
        <v>2023</v>
      </c>
      <c r="L3584" s="85">
        <v>8</v>
      </c>
      <c r="N3584" s="1" t="s">
        <v>44</v>
      </c>
    </row>
    <row r="3585" spans="1:14">
      <c r="A3585" s="36" t="s">
        <v>32</v>
      </c>
      <c r="B3585" s="37">
        <v>45169</v>
      </c>
      <c r="C3585" s="36" t="s">
        <v>175</v>
      </c>
      <c r="D3585" s="36" t="s">
        <v>1480</v>
      </c>
      <c r="E3585" s="36" t="s">
        <v>148</v>
      </c>
      <c r="J3585" s="87">
        <v>9451200</v>
      </c>
      <c r="K3585" s="85">
        <v>2023</v>
      </c>
      <c r="L3585" s="85">
        <v>7</v>
      </c>
      <c r="N3585" s="1" t="s">
        <v>44</v>
      </c>
    </row>
    <row r="3586" spans="1:14">
      <c r="A3586" s="36" t="s">
        <v>32</v>
      </c>
      <c r="B3586" s="37">
        <v>45169</v>
      </c>
      <c r="C3586" s="36" t="s">
        <v>175</v>
      </c>
      <c r="D3586" s="36" t="s">
        <v>1597</v>
      </c>
      <c r="E3586" s="36" t="s">
        <v>76</v>
      </c>
      <c r="G3586" s="87">
        <v>3676000</v>
      </c>
      <c r="H3586" s="87">
        <v>367600</v>
      </c>
      <c r="I3586" s="87">
        <v>4043600</v>
      </c>
      <c r="K3586" s="85">
        <v>2023</v>
      </c>
      <c r="L3586" s="85">
        <v>8</v>
      </c>
      <c r="N3586" s="1" t="s">
        <v>44</v>
      </c>
    </row>
    <row r="3587" spans="1:14">
      <c r="A3587" s="36" t="s">
        <v>32</v>
      </c>
      <c r="B3587" s="37">
        <v>45169</v>
      </c>
      <c r="C3587" s="36" t="s">
        <v>667</v>
      </c>
      <c r="D3587" s="36" t="s">
        <v>1595</v>
      </c>
      <c r="E3587" s="36" t="s">
        <v>267</v>
      </c>
      <c r="G3587" s="87">
        <v>540000</v>
      </c>
      <c r="H3587" s="87">
        <v>54000</v>
      </c>
      <c r="I3587" s="87">
        <v>594000</v>
      </c>
      <c r="K3587" s="85">
        <v>2023</v>
      </c>
      <c r="L3587" s="85">
        <v>8</v>
      </c>
      <c r="N3587" s="1" t="s">
        <v>44</v>
      </c>
    </row>
    <row r="3588" spans="1:14">
      <c r="A3588" s="36" t="s">
        <v>32</v>
      </c>
      <c r="B3588" s="37">
        <v>45169</v>
      </c>
      <c r="C3588" s="36" t="s">
        <v>1465</v>
      </c>
      <c r="D3588" s="36" t="s">
        <v>1475</v>
      </c>
      <c r="E3588" s="36" t="s">
        <v>1561</v>
      </c>
      <c r="J3588" s="87">
        <v>11187000</v>
      </c>
      <c r="K3588" s="85">
        <v>2023</v>
      </c>
      <c r="L3588" s="85">
        <v>7</v>
      </c>
      <c r="N3588" s="1" t="s">
        <v>44</v>
      </c>
    </row>
    <row r="3589" spans="1:14">
      <c r="A3589" s="36" t="s">
        <v>32</v>
      </c>
      <c r="B3589" s="37">
        <v>45169</v>
      </c>
      <c r="C3589" s="36" t="s">
        <v>1465</v>
      </c>
      <c r="D3589" s="36" t="s">
        <v>1599</v>
      </c>
      <c r="E3589" s="36" t="s">
        <v>76</v>
      </c>
      <c r="G3589" s="87">
        <v>6780000</v>
      </c>
      <c r="H3589" s="87">
        <v>678000</v>
      </c>
      <c r="I3589" s="87">
        <v>7458000</v>
      </c>
      <c r="K3589" s="85">
        <v>2023</v>
      </c>
      <c r="L3589" s="85">
        <v>8</v>
      </c>
      <c r="N3589" s="1" t="s">
        <v>44</v>
      </c>
    </row>
    <row r="3590" spans="1:14">
      <c r="A3590" s="36" t="s">
        <v>32</v>
      </c>
      <c r="B3590" s="37">
        <v>45169</v>
      </c>
      <c r="C3590" s="36" t="s">
        <v>1586</v>
      </c>
      <c r="D3590" s="36" t="s">
        <v>1608</v>
      </c>
      <c r="E3590" s="36" t="s">
        <v>76</v>
      </c>
      <c r="G3590" s="87">
        <v>10000000</v>
      </c>
      <c r="H3590" s="87">
        <v>1000000</v>
      </c>
      <c r="I3590" s="87">
        <v>11000000</v>
      </c>
      <c r="K3590" s="85">
        <v>2023</v>
      </c>
      <c r="L3590" s="85">
        <v>8</v>
      </c>
      <c r="N3590" s="1" t="s">
        <v>44</v>
      </c>
    </row>
    <row r="3591" spans="1:14">
      <c r="A3591" s="36" t="s">
        <v>33</v>
      </c>
      <c r="B3591" s="37">
        <v>45169</v>
      </c>
      <c r="C3591" s="36" t="s">
        <v>1391</v>
      </c>
      <c r="D3591" s="36" t="s">
        <v>1227</v>
      </c>
      <c r="E3591" s="36" t="s">
        <v>1577</v>
      </c>
      <c r="G3591" s="87">
        <v>2470500</v>
      </c>
      <c r="H3591" s="87">
        <v>247050</v>
      </c>
      <c r="I3591" s="87">
        <v>2717550</v>
      </c>
      <c r="K3591" s="85">
        <v>2023</v>
      </c>
      <c r="L3591" s="85">
        <v>8</v>
      </c>
      <c r="N3591" s="1" t="s">
        <v>44</v>
      </c>
    </row>
    <row r="3592" spans="1:14">
      <c r="A3592" s="36" t="s">
        <v>33</v>
      </c>
      <c r="B3592" s="37">
        <v>45169</v>
      </c>
      <c r="C3592" s="36" t="s">
        <v>1257</v>
      </c>
      <c r="D3592" s="36" t="s">
        <v>1258</v>
      </c>
      <c r="E3592" s="36" t="s">
        <v>1561</v>
      </c>
      <c r="J3592" s="87">
        <v>4048000</v>
      </c>
      <c r="K3592" s="85">
        <v>2023</v>
      </c>
      <c r="L3592" s="85">
        <v>7</v>
      </c>
      <c r="N3592" s="1" t="s">
        <v>44</v>
      </c>
    </row>
    <row r="3593" spans="1:14">
      <c r="A3593" s="36" t="s">
        <v>33</v>
      </c>
      <c r="B3593" s="37">
        <v>45169</v>
      </c>
      <c r="C3593" s="36" t="s">
        <v>1257</v>
      </c>
      <c r="D3593" s="36" t="s">
        <v>1258</v>
      </c>
      <c r="E3593" s="36" t="s">
        <v>76</v>
      </c>
      <c r="G3593" s="87">
        <v>230000</v>
      </c>
      <c r="H3593" s="87">
        <v>23000</v>
      </c>
      <c r="I3593" s="87">
        <v>253000</v>
      </c>
      <c r="K3593" s="85">
        <v>2023</v>
      </c>
      <c r="L3593" s="85">
        <v>8</v>
      </c>
      <c r="N3593" s="1" t="s">
        <v>44</v>
      </c>
    </row>
    <row r="3594" spans="1:14">
      <c r="A3594" s="36" t="s">
        <v>32</v>
      </c>
      <c r="B3594" s="37">
        <v>45169</v>
      </c>
      <c r="C3594" s="36" t="s">
        <v>1531</v>
      </c>
      <c r="D3594" s="36" t="s">
        <v>1590</v>
      </c>
      <c r="E3594" s="36" t="s">
        <v>973</v>
      </c>
      <c r="G3594" s="87">
        <v>8180000</v>
      </c>
      <c r="H3594" s="87">
        <v>818000</v>
      </c>
      <c r="I3594" s="87">
        <v>8998000</v>
      </c>
      <c r="K3594" s="85">
        <v>2023</v>
      </c>
      <c r="L3594" s="85">
        <v>8</v>
      </c>
      <c r="N3594" s="1" t="s">
        <v>44</v>
      </c>
    </row>
    <row r="3595" spans="1:14">
      <c r="A3595" s="36" t="s">
        <v>32</v>
      </c>
      <c r="B3595" s="37">
        <v>45169</v>
      </c>
      <c r="C3595" s="36" t="s">
        <v>1531</v>
      </c>
      <c r="D3595" s="36" t="s">
        <v>1590</v>
      </c>
      <c r="E3595" s="36" t="s">
        <v>1771</v>
      </c>
      <c r="J3595" s="87">
        <v>8998000</v>
      </c>
      <c r="K3595" s="85">
        <v>2023</v>
      </c>
      <c r="L3595" s="85">
        <v>8</v>
      </c>
      <c r="N3595" s="1" t="s">
        <v>44</v>
      </c>
    </row>
    <row r="3596" spans="1:14">
      <c r="A3596" s="36" t="s">
        <v>32</v>
      </c>
      <c r="B3596" s="37">
        <v>45169</v>
      </c>
      <c r="C3596" s="36" t="s">
        <v>834</v>
      </c>
      <c r="D3596" s="36" t="s">
        <v>2028</v>
      </c>
      <c r="E3596" s="36" t="s">
        <v>76</v>
      </c>
      <c r="G3596" s="87">
        <v>155523200</v>
      </c>
      <c r="H3596" s="87">
        <v>15552320</v>
      </c>
      <c r="I3596" s="87">
        <v>171075520</v>
      </c>
      <c r="K3596" s="85">
        <v>2023</v>
      </c>
      <c r="L3596" s="85">
        <v>8</v>
      </c>
      <c r="N3596" s="1" t="s">
        <v>44</v>
      </c>
    </row>
    <row r="3597" spans="1:14">
      <c r="A3597" s="36" t="s">
        <v>32</v>
      </c>
      <c r="B3597" s="37">
        <v>45169</v>
      </c>
      <c r="C3597" s="36" t="s">
        <v>1336</v>
      </c>
      <c r="D3597" s="36" t="s">
        <v>1591</v>
      </c>
      <c r="E3597" s="36" t="s">
        <v>267</v>
      </c>
      <c r="G3597" s="87">
        <v>7020000</v>
      </c>
      <c r="H3597" s="87">
        <v>702000</v>
      </c>
      <c r="I3597" s="87">
        <v>7722000</v>
      </c>
      <c r="K3597" s="85">
        <v>2023</v>
      </c>
      <c r="L3597" s="85">
        <v>8</v>
      </c>
      <c r="N3597" s="1" t="s">
        <v>44</v>
      </c>
    </row>
    <row r="3598" spans="1:14">
      <c r="A3598" s="36" t="s">
        <v>32</v>
      </c>
      <c r="B3598" s="37">
        <v>45169</v>
      </c>
      <c r="C3598" s="36" t="s">
        <v>1336</v>
      </c>
      <c r="D3598" s="36" t="s">
        <v>1592</v>
      </c>
      <c r="E3598" s="36" t="s">
        <v>267</v>
      </c>
      <c r="G3598" s="87">
        <v>14850000</v>
      </c>
      <c r="H3598" s="87">
        <v>1485000</v>
      </c>
      <c r="I3598" s="87">
        <v>16335000</v>
      </c>
      <c r="K3598" s="85">
        <v>2023</v>
      </c>
      <c r="L3598" s="85">
        <v>8</v>
      </c>
      <c r="N3598" s="1" t="s">
        <v>44</v>
      </c>
    </row>
    <row r="3599" spans="1:14">
      <c r="A3599" s="36" t="s">
        <v>32</v>
      </c>
      <c r="B3599" s="37">
        <v>45169</v>
      </c>
      <c r="C3599" s="36" t="s">
        <v>1336</v>
      </c>
      <c r="D3599" s="36" t="s">
        <v>1591</v>
      </c>
      <c r="E3599" s="36" t="s">
        <v>77</v>
      </c>
      <c r="J3599" s="38">
        <v>7722000</v>
      </c>
      <c r="K3599" s="85">
        <v>2023</v>
      </c>
      <c r="L3599" s="85">
        <v>8</v>
      </c>
      <c r="N3599" s="1" t="s">
        <v>44</v>
      </c>
    </row>
    <row r="3600" spans="1:14">
      <c r="A3600" s="36" t="s">
        <v>32</v>
      </c>
      <c r="B3600" s="37">
        <v>45169</v>
      </c>
      <c r="C3600" s="36" t="s">
        <v>1336</v>
      </c>
      <c r="D3600" s="36" t="s">
        <v>1592</v>
      </c>
      <c r="E3600" s="36" t="s">
        <v>77</v>
      </c>
      <c r="J3600" s="38">
        <v>16335000</v>
      </c>
      <c r="K3600" s="85">
        <v>2023</v>
      </c>
      <c r="L3600" s="85">
        <v>8</v>
      </c>
      <c r="N3600" s="1" t="s">
        <v>44</v>
      </c>
    </row>
    <row r="3601" spans="1:14">
      <c r="A3601" s="36" t="s">
        <v>32</v>
      </c>
      <c r="B3601" s="37">
        <v>45169</v>
      </c>
      <c r="C3601" s="36" t="s">
        <v>654</v>
      </c>
      <c r="D3601" s="36" t="s">
        <v>1156</v>
      </c>
      <c r="E3601" s="36" t="s">
        <v>1561</v>
      </c>
      <c r="J3601" s="87">
        <v>2635871</v>
      </c>
      <c r="K3601" s="85">
        <v>2023</v>
      </c>
      <c r="L3601" s="85">
        <v>6</v>
      </c>
      <c r="N3601" s="1" t="s">
        <v>44</v>
      </c>
    </row>
    <row r="3602" spans="1:14">
      <c r="A3602" s="36" t="s">
        <v>32</v>
      </c>
      <c r="B3602" s="37">
        <v>45169</v>
      </c>
      <c r="C3602" s="36" t="s">
        <v>654</v>
      </c>
      <c r="D3602" s="36" t="s">
        <v>1156</v>
      </c>
      <c r="E3602" s="36" t="s">
        <v>1561</v>
      </c>
      <c r="J3602" s="87">
        <v>23226489</v>
      </c>
      <c r="K3602" s="85">
        <v>2023</v>
      </c>
      <c r="L3602" s="85">
        <v>7</v>
      </c>
      <c r="M3602" s="36" t="s">
        <v>1562</v>
      </c>
      <c r="N3602" s="1" t="s">
        <v>44</v>
      </c>
    </row>
    <row r="3603" spans="1:14">
      <c r="A3603" s="36" t="s">
        <v>32</v>
      </c>
      <c r="B3603" s="37">
        <v>45169</v>
      </c>
      <c r="C3603" s="36" t="s">
        <v>654</v>
      </c>
      <c r="D3603" s="36" t="s">
        <v>1337</v>
      </c>
      <c r="E3603" s="36" t="s">
        <v>76</v>
      </c>
      <c r="G3603" s="87">
        <v>5337600</v>
      </c>
      <c r="H3603" s="87">
        <v>533760</v>
      </c>
      <c r="I3603" s="87">
        <v>5871360</v>
      </c>
      <c r="K3603" s="85">
        <v>2023</v>
      </c>
      <c r="L3603" s="85">
        <v>8</v>
      </c>
      <c r="N3603" s="1" t="s">
        <v>44</v>
      </c>
    </row>
    <row r="3604" spans="1:14">
      <c r="A3604" s="36" t="s">
        <v>32</v>
      </c>
      <c r="B3604" s="37">
        <v>45169</v>
      </c>
      <c r="C3604" s="36" t="s">
        <v>654</v>
      </c>
      <c r="D3604" s="36" t="s">
        <v>1156</v>
      </c>
      <c r="E3604" s="36" t="s">
        <v>76</v>
      </c>
      <c r="G3604" s="87">
        <v>2240000</v>
      </c>
      <c r="H3604" s="87">
        <v>224000</v>
      </c>
      <c r="I3604" s="87">
        <v>2464000</v>
      </c>
      <c r="K3604" s="85">
        <v>2023</v>
      </c>
      <c r="L3604" s="85">
        <v>8</v>
      </c>
      <c r="N3604" s="1" t="s">
        <v>44</v>
      </c>
    </row>
    <row r="3605" spans="1:14">
      <c r="A3605" s="36" t="s">
        <v>33</v>
      </c>
      <c r="B3605" s="37">
        <v>45169</v>
      </c>
      <c r="C3605" s="36" t="s">
        <v>1335</v>
      </c>
      <c r="D3605" s="36" t="s">
        <v>1523</v>
      </c>
      <c r="E3605" s="36" t="s">
        <v>1561</v>
      </c>
      <c r="J3605" s="87">
        <v>21469800</v>
      </c>
      <c r="K3605" s="85">
        <v>2023</v>
      </c>
      <c r="L3605" s="85">
        <v>7</v>
      </c>
      <c r="N3605" s="1" t="s">
        <v>44</v>
      </c>
    </row>
    <row r="3606" spans="1:14">
      <c r="A3606" s="36" t="s">
        <v>33</v>
      </c>
      <c r="B3606" s="37">
        <v>45169</v>
      </c>
      <c r="C3606" s="36" t="s">
        <v>1335</v>
      </c>
      <c r="D3606" s="36" t="s">
        <v>1523</v>
      </c>
      <c r="E3606" s="36" t="s">
        <v>78</v>
      </c>
      <c r="G3606" s="87">
        <v>2875000</v>
      </c>
      <c r="H3606" s="87">
        <v>287500</v>
      </c>
      <c r="I3606" s="87">
        <v>3162500</v>
      </c>
      <c r="K3606" s="85">
        <v>2023</v>
      </c>
      <c r="L3606" s="85">
        <v>8</v>
      </c>
      <c r="N3606" s="1" t="s">
        <v>44</v>
      </c>
    </row>
    <row r="3607" spans="1:14">
      <c r="A3607" s="36" t="s">
        <v>33</v>
      </c>
      <c r="B3607" s="37">
        <v>45169</v>
      </c>
      <c r="C3607" s="36" t="s">
        <v>912</v>
      </c>
      <c r="D3607" s="36" t="s">
        <v>1579</v>
      </c>
      <c r="E3607" s="36" t="s">
        <v>447</v>
      </c>
      <c r="G3607" s="87">
        <v>8599875</v>
      </c>
      <c r="H3607" s="87">
        <v>859987</v>
      </c>
      <c r="I3607" s="87">
        <v>9459862</v>
      </c>
      <c r="K3607" s="85">
        <v>2023</v>
      </c>
      <c r="L3607" s="85">
        <v>8</v>
      </c>
      <c r="N3607" s="1" t="s">
        <v>44</v>
      </c>
    </row>
    <row r="3608" spans="1:14">
      <c r="A3608" s="36" t="s">
        <v>32</v>
      </c>
      <c r="B3608" s="37">
        <v>45169</v>
      </c>
      <c r="C3608" s="36" t="s">
        <v>1587</v>
      </c>
      <c r="D3608" s="36" t="s">
        <v>1609</v>
      </c>
      <c r="E3608" s="36" t="s">
        <v>76</v>
      </c>
      <c r="G3608" s="87">
        <v>10512000</v>
      </c>
      <c r="H3608" s="87">
        <v>1051200</v>
      </c>
      <c r="I3608" s="87">
        <v>11563200</v>
      </c>
      <c r="K3608" s="85">
        <v>2023</v>
      </c>
      <c r="L3608" s="85">
        <v>8</v>
      </c>
      <c r="N3608" s="1" t="s">
        <v>44</v>
      </c>
    </row>
    <row r="3609" spans="1:14">
      <c r="A3609" s="36" t="s">
        <v>32</v>
      </c>
      <c r="B3609" s="37">
        <v>45170</v>
      </c>
      <c r="C3609" s="36" t="s">
        <v>664</v>
      </c>
      <c r="D3609" s="36" t="s">
        <v>797</v>
      </c>
      <c r="E3609" s="36" t="s">
        <v>267</v>
      </c>
      <c r="G3609" s="87">
        <v>11764706</v>
      </c>
      <c r="H3609" s="87">
        <v>1176470</v>
      </c>
      <c r="I3609" s="87">
        <v>12941176</v>
      </c>
      <c r="K3609" s="85">
        <v>2023</v>
      </c>
      <c r="L3609" s="85">
        <v>9</v>
      </c>
      <c r="N3609" s="1" t="s">
        <v>44</v>
      </c>
    </row>
    <row r="3610" spans="1:14">
      <c r="A3610" s="36" t="s">
        <v>32</v>
      </c>
      <c r="B3610" s="37">
        <v>45170</v>
      </c>
      <c r="C3610" s="36" t="s">
        <v>174</v>
      </c>
      <c r="D3610" s="36" t="s">
        <v>1155</v>
      </c>
      <c r="E3610" s="36" t="s">
        <v>1564</v>
      </c>
      <c r="J3610" s="87">
        <v>10395000</v>
      </c>
      <c r="K3610" s="85">
        <v>2023</v>
      </c>
      <c r="L3610" s="85">
        <v>6</v>
      </c>
      <c r="N3610" s="1" t="s">
        <v>44</v>
      </c>
    </row>
    <row r="3611" spans="1:14">
      <c r="A3611" s="36" t="s">
        <v>32</v>
      </c>
      <c r="B3611" s="37">
        <v>45170</v>
      </c>
      <c r="C3611" s="36" t="s">
        <v>204</v>
      </c>
      <c r="D3611" s="36" t="s">
        <v>1273</v>
      </c>
      <c r="E3611" s="36" t="s">
        <v>76</v>
      </c>
      <c r="G3611" s="87">
        <v>21851000</v>
      </c>
      <c r="H3611" s="87">
        <v>2185100</v>
      </c>
      <c r="I3611" s="87">
        <v>24036100</v>
      </c>
      <c r="K3611" s="85">
        <v>2023</v>
      </c>
      <c r="L3611" s="85">
        <v>9</v>
      </c>
      <c r="N3611" s="1" t="s">
        <v>44</v>
      </c>
    </row>
    <row r="3612" spans="1:14">
      <c r="A3612" s="36" t="s">
        <v>32</v>
      </c>
      <c r="B3612" s="37">
        <v>45170</v>
      </c>
      <c r="C3612" s="36" t="s">
        <v>1622</v>
      </c>
      <c r="D3612" s="36" t="s">
        <v>1600</v>
      </c>
      <c r="E3612" s="36" t="s">
        <v>77</v>
      </c>
      <c r="J3612" s="38">
        <v>1408000</v>
      </c>
      <c r="K3612" s="85">
        <v>2023</v>
      </c>
      <c r="L3612" s="85">
        <v>8</v>
      </c>
      <c r="N3612" s="1" t="s">
        <v>44</v>
      </c>
    </row>
    <row r="3613" spans="1:14">
      <c r="A3613" s="36" t="s">
        <v>33</v>
      </c>
      <c r="B3613" s="37">
        <v>45170</v>
      </c>
      <c r="C3613" s="36" t="s">
        <v>1218</v>
      </c>
      <c r="D3613" s="36" t="s">
        <v>1581</v>
      </c>
      <c r="E3613" s="36" t="s">
        <v>1582</v>
      </c>
      <c r="G3613" s="87">
        <v>1495800</v>
      </c>
      <c r="H3613" s="87">
        <v>149580</v>
      </c>
      <c r="I3613" s="87">
        <v>1645380</v>
      </c>
      <c r="K3613" s="85">
        <v>2023</v>
      </c>
      <c r="L3613" s="85">
        <v>9</v>
      </c>
      <c r="N3613" s="1" t="s">
        <v>44</v>
      </c>
    </row>
    <row r="3614" spans="1:14">
      <c r="A3614" s="36" t="s">
        <v>32</v>
      </c>
      <c r="B3614" s="37">
        <v>45170</v>
      </c>
      <c r="C3614" s="36" t="s">
        <v>654</v>
      </c>
      <c r="D3614" s="36" t="s">
        <v>1219</v>
      </c>
      <c r="E3614" s="36" t="s">
        <v>1565</v>
      </c>
      <c r="J3614" s="305">
        <v>77617200</v>
      </c>
      <c r="K3614" s="85">
        <v>2023</v>
      </c>
      <c r="L3614" s="85">
        <v>7</v>
      </c>
      <c r="N3614" s="1" t="s">
        <v>44</v>
      </c>
    </row>
    <row r="3615" spans="1:14">
      <c r="A3615" s="36" t="s">
        <v>32</v>
      </c>
      <c r="B3615" s="37">
        <v>45170</v>
      </c>
      <c r="C3615" s="36" t="s">
        <v>654</v>
      </c>
      <c r="D3615" s="36" t="s">
        <v>1219</v>
      </c>
      <c r="E3615" s="36" t="s">
        <v>1565</v>
      </c>
      <c r="J3615" s="305">
        <v>14000000</v>
      </c>
      <c r="K3615" s="85">
        <v>2023</v>
      </c>
      <c r="L3615" s="85">
        <v>7</v>
      </c>
      <c r="M3615" s="87"/>
      <c r="N3615" s="1" t="s">
        <v>44</v>
      </c>
    </row>
    <row r="3616" spans="1:14">
      <c r="A3616" s="36" t="s">
        <v>32</v>
      </c>
      <c r="B3616" s="37">
        <v>45170</v>
      </c>
      <c r="C3616" s="36" t="s">
        <v>654</v>
      </c>
      <c r="D3616" s="36" t="s">
        <v>1337</v>
      </c>
      <c r="E3616" s="36" t="s">
        <v>1565</v>
      </c>
      <c r="J3616" s="230">
        <v>13801260</v>
      </c>
      <c r="K3616" s="85">
        <v>2023</v>
      </c>
      <c r="L3616" s="85">
        <v>7</v>
      </c>
      <c r="N3616" s="1" t="s">
        <v>44</v>
      </c>
    </row>
    <row r="3617" spans="1:14">
      <c r="A3617" s="36" t="s">
        <v>32</v>
      </c>
      <c r="B3617" s="37">
        <v>45170</v>
      </c>
      <c r="C3617" s="36" t="s">
        <v>654</v>
      </c>
      <c r="D3617" s="36" t="s">
        <v>1219</v>
      </c>
      <c r="E3617" s="36" t="s">
        <v>1645</v>
      </c>
      <c r="G3617" s="87">
        <v>-4966000</v>
      </c>
      <c r="H3617" s="87">
        <v>-496600</v>
      </c>
      <c r="I3617" s="87">
        <v>-5462600</v>
      </c>
      <c r="K3617" s="85">
        <v>2023</v>
      </c>
      <c r="L3617" s="85">
        <v>7</v>
      </c>
      <c r="N3617" s="1" t="s">
        <v>44</v>
      </c>
    </row>
    <row r="3618" spans="1:14">
      <c r="A3618" s="36" t="s">
        <v>32</v>
      </c>
      <c r="B3618" s="37">
        <v>45170</v>
      </c>
      <c r="C3618" s="36" t="s">
        <v>1660</v>
      </c>
      <c r="D3618" s="36" t="s">
        <v>1407</v>
      </c>
      <c r="E3618" s="36" t="s">
        <v>76</v>
      </c>
      <c r="G3618" s="87">
        <v>600000</v>
      </c>
      <c r="H3618" s="87">
        <v>60000</v>
      </c>
      <c r="I3618" s="87">
        <v>660000</v>
      </c>
      <c r="K3618" s="85">
        <v>2023</v>
      </c>
      <c r="L3618" s="85">
        <v>9</v>
      </c>
      <c r="N3618" s="1" t="s">
        <v>44</v>
      </c>
    </row>
    <row r="3619" spans="1:14">
      <c r="A3619" s="36" t="s">
        <v>32</v>
      </c>
      <c r="B3619" s="37">
        <v>45173</v>
      </c>
      <c r="C3619" s="36" t="s">
        <v>677</v>
      </c>
      <c r="D3619" s="36" t="s">
        <v>924</v>
      </c>
      <c r="E3619" s="36" t="s">
        <v>148</v>
      </c>
      <c r="J3619" s="87">
        <v>5329500</v>
      </c>
      <c r="K3619" s="85">
        <v>2023</v>
      </c>
      <c r="L3619" s="85">
        <v>7</v>
      </c>
      <c r="N3619" s="1" t="s">
        <v>44</v>
      </c>
    </row>
    <row r="3620" spans="1:14">
      <c r="A3620" s="36" t="s">
        <v>33</v>
      </c>
      <c r="B3620" s="37">
        <v>45173</v>
      </c>
      <c r="C3620" s="36" t="s">
        <v>912</v>
      </c>
      <c r="D3620" s="36" t="s">
        <v>1918</v>
      </c>
      <c r="E3620" s="36" t="s">
        <v>1565</v>
      </c>
      <c r="J3620" s="87">
        <v>7240161</v>
      </c>
      <c r="K3620" s="85">
        <v>2023</v>
      </c>
      <c r="L3620" s="85">
        <v>7</v>
      </c>
      <c r="M3620" s="36" t="s">
        <v>1376</v>
      </c>
      <c r="N3620" s="1" t="s">
        <v>44</v>
      </c>
    </row>
    <row r="3621" spans="1:14">
      <c r="A3621" s="36" t="s">
        <v>32</v>
      </c>
      <c r="B3621" s="37">
        <v>45174</v>
      </c>
      <c r="C3621" s="36" t="s">
        <v>206</v>
      </c>
      <c r="D3621" s="36" t="s">
        <v>1544</v>
      </c>
      <c r="E3621" s="36" t="s">
        <v>1568</v>
      </c>
      <c r="J3621" s="87">
        <v>1650000</v>
      </c>
      <c r="K3621" s="85">
        <v>2023</v>
      </c>
      <c r="L3621" s="85">
        <v>7</v>
      </c>
      <c r="N3621" s="1" t="s">
        <v>44</v>
      </c>
    </row>
    <row r="3622" spans="1:14">
      <c r="A3622" s="36" t="s">
        <v>32</v>
      </c>
      <c r="B3622" s="37">
        <v>45174</v>
      </c>
      <c r="C3622" s="36" t="s">
        <v>206</v>
      </c>
      <c r="D3622" s="36" t="s">
        <v>1157</v>
      </c>
      <c r="E3622" s="36" t="s">
        <v>1568</v>
      </c>
      <c r="J3622" s="87">
        <v>825000</v>
      </c>
      <c r="K3622" s="85">
        <v>2023</v>
      </c>
      <c r="L3622" s="85">
        <v>7</v>
      </c>
      <c r="N3622" s="1" t="s">
        <v>44</v>
      </c>
    </row>
    <row r="3623" spans="1:14">
      <c r="A3623" s="36" t="s">
        <v>32</v>
      </c>
      <c r="B3623" s="37">
        <v>45174</v>
      </c>
      <c r="C3623" s="36" t="s">
        <v>1534</v>
      </c>
      <c r="D3623" s="36" t="s">
        <v>1542</v>
      </c>
      <c r="E3623" s="36" t="s">
        <v>1568</v>
      </c>
      <c r="J3623" s="87">
        <v>2150500</v>
      </c>
      <c r="K3623" s="85">
        <v>2023</v>
      </c>
      <c r="L3623" s="85">
        <v>7</v>
      </c>
      <c r="N3623" s="1" t="s">
        <v>44</v>
      </c>
    </row>
    <row r="3624" spans="1:14">
      <c r="A3624" s="36" t="s">
        <v>32</v>
      </c>
      <c r="B3624" s="37">
        <v>45174</v>
      </c>
      <c r="C3624" s="36" t="s">
        <v>183</v>
      </c>
      <c r="D3624" s="36" t="s">
        <v>1605</v>
      </c>
      <c r="E3624" s="36" t="s">
        <v>77</v>
      </c>
      <c r="J3624" s="38">
        <v>3965500</v>
      </c>
      <c r="K3624" s="85">
        <v>2023</v>
      </c>
      <c r="L3624" s="85">
        <v>8</v>
      </c>
      <c r="M3624" s="36" t="s">
        <v>1623</v>
      </c>
      <c r="N3624" s="1" t="s">
        <v>44</v>
      </c>
    </row>
    <row r="3625" spans="1:14">
      <c r="A3625" s="36" t="s">
        <v>32</v>
      </c>
      <c r="B3625" s="37">
        <v>45174</v>
      </c>
      <c r="C3625" s="36" t="s">
        <v>183</v>
      </c>
      <c r="D3625" s="36" t="s">
        <v>1606</v>
      </c>
      <c r="E3625" s="36" t="s">
        <v>77</v>
      </c>
      <c r="J3625" s="38">
        <v>15295500</v>
      </c>
      <c r="K3625" s="85">
        <v>2023</v>
      </c>
      <c r="L3625" s="85">
        <v>8</v>
      </c>
      <c r="M3625" s="36" t="s">
        <v>1623</v>
      </c>
      <c r="N3625" s="1" t="s">
        <v>44</v>
      </c>
    </row>
    <row r="3626" spans="1:14">
      <c r="A3626" s="36" t="s">
        <v>32</v>
      </c>
      <c r="B3626" s="37">
        <v>45176</v>
      </c>
      <c r="C3626" s="36" t="s">
        <v>1225</v>
      </c>
      <c r="D3626" s="36" t="s">
        <v>1234</v>
      </c>
      <c r="E3626" s="36" t="s">
        <v>77</v>
      </c>
      <c r="J3626" s="38">
        <v>1485000</v>
      </c>
      <c r="K3626" s="85">
        <v>2023</v>
      </c>
      <c r="L3626" s="85">
        <v>2</v>
      </c>
      <c r="N3626" s="1" t="s">
        <v>44</v>
      </c>
    </row>
    <row r="3627" spans="1:14">
      <c r="A3627" s="36" t="s">
        <v>33</v>
      </c>
      <c r="B3627" s="37">
        <v>45177</v>
      </c>
      <c r="C3627" s="36" t="s">
        <v>1569</v>
      </c>
      <c r="D3627" s="36" t="s">
        <v>1412</v>
      </c>
      <c r="E3627" s="36" t="s">
        <v>77</v>
      </c>
      <c r="J3627" s="38">
        <v>1904760</v>
      </c>
      <c r="K3627" s="85">
        <v>2023</v>
      </c>
      <c r="L3627" s="85">
        <v>7</v>
      </c>
      <c r="N3627" s="1" t="s">
        <v>44</v>
      </c>
    </row>
    <row r="3628" spans="1:14">
      <c r="A3628" s="36" t="s">
        <v>33</v>
      </c>
      <c r="B3628" s="37">
        <v>45180</v>
      </c>
      <c r="C3628" s="36" t="s">
        <v>1572</v>
      </c>
      <c r="D3628" s="36" t="s">
        <v>1573</v>
      </c>
      <c r="E3628" s="36" t="s">
        <v>77</v>
      </c>
      <c r="J3628" s="38">
        <v>946000</v>
      </c>
      <c r="K3628" s="85">
        <v>2023</v>
      </c>
      <c r="L3628" s="85">
        <v>8</v>
      </c>
      <c r="N3628" s="1" t="s">
        <v>44</v>
      </c>
    </row>
    <row r="3629" spans="1:14">
      <c r="A3629" s="36" t="s">
        <v>32</v>
      </c>
      <c r="B3629" s="37">
        <v>45180</v>
      </c>
      <c r="C3629" s="36" t="s">
        <v>1286</v>
      </c>
      <c r="D3629" s="36" t="s">
        <v>1287</v>
      </c>
      <c r="E3629" s="36" t="s">
        <v>1571</v>
      </c>
      <c r="J3629" s="87">
        <v>3850000</v>
      </c>
      <c r="K3629" s="85">
        <v>2023</v>
      </c>
      <c r="L3629" s="85">
        <v>4</v>
      </c>
      <c r="N3629" s="1" t="s">
        <v>44</v>
      </c>
    </row>
    <row r="3630" spans="1:14">
      <c r="A3630" s="36" t="s">
        <v>33</v>
      </c>
      <c r="B3630" s="37">
        <v>45180</v>
      </c>
      <c r="C3630" s="36" t="s">
        <v>1150</v>
      </c>
      <c r="D3630" s="36" t="s">
        <v>1524</v>
      </c>
      <c r="E3630" s="36" t="s">
        <v>1571</v>
      </c>
      <c r="J3630" s="87">
        <v>2725800</v>
      </c>
      <c r="K3630" s="85">
        <v>2023</v>
      </c>
      <c r="L3630" s="85">
        <v>7</v>
      </c>
      <c r="N3630" s="1" t="s">
        <v>44</v>
      </c>
    </row>
    <row r="3631" spans="1:14">
      <c r="A3631" s="36" t="s">
        <v>33</v>
      </c>
      <c r="B3631" s="37">
        <v>45180</v>
      </c>
      <c r="C3631" s="36" t="s">
        <v>1218</v>
      </c>
      <c r="D3631" s="36" t="s">
        <v>1581</v>
      </c>
      <c r="E3631" s="36" t="s">
        <v>1571</v>
      </c>
      <c r="J3631" s="87">
        <v>2591820</v>
      </c>
      <c r="K3631" s="85">
        <v>2023</v>
      </c>
      <c r="L3631" s="85">
        <v>8</v>
      </c>
      <c r="N3631" s="1" t="s">
        <v>44</v>
      </c>
    </row>
    <row r="3632" spans="1:14">
      <c r="A3632" s="36" t="s">
        <v>32</v>
      </c>
      <c r="B3632" s="37">
        <v>45180</v>
      </c>
      <c r="C3632" s="36" t="s">
        <v>1198</v>
      </c>
      <c r="D3632" s="36" t="s">
        <v>1616</v>
      </c>
      <c r="E3632" s="36" t="s">
        <v>77</v>
      </c>
      <c r="J3632" s="38">
        <v>6540160</v>
      </c>
      <c r="K3632" s="85">
        <v>2023</v>
      </c>
      <c r="L3632" s="85">
        <v>8</v>
      </c>
      <c r="N3632" s="1" t="s">
        <v>44</v>
      </c>
    </row>
    <row r="3633" spans="1:14">
      <c r="A3633" s="36" t="s">
        <v>32</v>
      </c>
      <c r="B3633" s="37">
        <v>45180</v>
      </c>
      <c r="C3633" s="36" t="s">
        <v>1198</v>
      </c>
      <c r="D3633" s="36" t="s">
        <v>1618</v>
      </c>
      <c r="E3633" s="36" t="s">
        <v>77</v>
      </c>
      <c r="J3633" s="38">
        <v>7911750</v>
      </c>
      <c r="K3633" s="85">
        <v>2023</v>
      </c>
      <c r="L3633" s="85">
        <v>8</v>
      </c>
      <c r="N3633" s="1" t="s">
        <v>44</v>
      </c>
    </row>
    <row r="3634" spans="1:14">
      <c r="A3634" s="36" t="s">
        <v>32</v>
      </c>
      <c r="B3634" s="37">
        <v>45181</v>
      </c>
      <c r="C3634" s="36" t="s">
        <v>209</v>
      </c>
      <c r="D3634" s="36" t="s">
        <v>1048</v>
      </c>
      <c r="E3634" s="36" t="s">
        <v>77</v>
      </c>
      <c r="J3634" s="38">
        <v>2950750</v>
      </c>
      <c r="K3634" s="85">
        <v>2023</v>
      </c>
      <c r="L3634" s="85">
        <v>8</v>
      </c>
      <c r="N3634" s="1" t="s">
        <v>44</v>
      </c>
    </row>
    <row r="3635" spans="1:14">
      <c r="A3635" s="36" t="s">
        <v>32</v>
      </c>
      <c r="B3635" s="37">
        <v>45181</v>
      </c>
      <c r="C3635" s="36" t="s">
        <v>1533</v>
      </c>
      <c r="D3635" s="36" t="s">
        <v>1538</v>
      </c>
      <c r="E3635" s="36" t="s">
        <v>1625</v>
      </c>
      <c r="J3635" s="87">
        <v>7587360</v>
      </c>
      <c r="K3635" s="85">
        <v>2023</v>
      </c>
      <c r="L3635" s="85">
        <v>7</v>
      </c>
      <c r="N3635" s="1" t="s">
        <v>44</v>
      </c>
    </row>
    <row r="3636" spans="1:14">
      <c r="A3636" s="36" t="s">
        <v>33</v>
      </c>
      <c r="B3636" s="37">
        <v>45182</v>
      </c>
      <c r="C3636" s="36" t="s">
        <v>96</v>
      </c>
      <c r="D3636" s="36" t="s">
        <v>1580</v>
      </c>
      <c r="E3636" s="36" t="s">
        <v>1624</v>
      </c>
      <c r="J3636" s="87">
        <v>209000</v>
      </c>
      <c r="K3636" s="85">
        <v>2023</v>
      </c>
      <c r="L3636" s="85">
        <v>8</v>
      </c>
      <c r="N3636" s="1" t="s">
        <v>44</v>
      </c>
    </row>
    <row r="3637" spans="1:14">
      <c r="A3637" s="36" t="s">
        <v>32</v>
      </c>
      <c r="B3637" s="37">
        <v>45182</v>
      </c>
      <c r="C3637" s="36" t="s">
        <v>1531</v>
      </c>
      <c r="D3637" s="36" t="s">
        <v>1535</v>
      </c>
      <c r="E3637" s="36" t="s">
        <v>1625</v>
      </c>
      <c r="J3637" s="87">
        <v>25329040</v>
      </c>
      <c r="K3637" s="85">
        <v>2023</v>
      </c>
      <c r="L3637" s="85">
        <v>7</v>
      </c>
      <c r="N3637" s="1" t="s">
        <v>44</v>
      </c>
    </row>
    <row r="3638" spans="1:14">
      <c r="A3638" s="36" t="s">
        <v>33</v>
      </c>
      <c r="B3638" s="37">
        <v>45183</v>
      </c>
      <c r="C3638" s="36" t="s">
        <v>1150</v>
      </c>
      <c r="D3638" s="36" t="s">
        <v>1416</v>
      </c>
      <c r="E3638" s="36" t="s">
        <v>148</v>
      </c>
      <c r="J3638" s="87">
        <v>6512000</v>
      </c>
      <c r="K3638" s="85">
        <v>2023</v>
      </c>
      <c r="L3638" s="85">
        <v>6</v>
      </c>
      <c r="N3638" s="1" t="s">
        <v>44</v>
      </c>
    </row>
    <row r="3639" spans="1:14">
      <c r="A3639" s="36" t="s">
        <v>32</v>
      </c>
      <c r="B3639" s="37">
        <v>45184</v>
      </c>
      <c r="C3639" s="36" t="s">
        <v>677</v>
      </c>
      <c r="D3639" s="36" t="s">
        <v>825</v>
      </c>
      <c r="E3639" s="36" t="s">
        <v>1626</v>
      </c>
      <c r="J3639" s="87">
        <v>561000</v>
      </c>
      <c r="K3639" s="85">
        <v>2023</v>
      </c>
      <c r="L3639" s="85">
        <v>8</v>
      </c>
      <c r="N3639" s="1" t="s">
        <v>44</v>
      </c>
    </row>
    <row r="3640" spans="1:14">
      <c r="A3640" s="36" t="s">
        <v>32</v>
      </c>
      <c r="B3640" s="37">
        <v>45184</v>
      </c>
      <c r="C3640" s="36" t="s">
        <v>677</v>
      </c>
      <c r="D3640" s="36" t="s">
        <v>678</v>
      </c>
      <c r="E3640" s="36" t="s">
        <v>1627</v>
      </c>
      <c r="J3640" s="87">
        <v>13475000</v>
      </c>
      <c r="K3640" s="85">
        <v>2023</v>
      </c>
      <c r="L3640" s="85">
        <v>8</v>
      </c>
      <c r="N3640" s="1" t="s">
        <v>44</v>
      </c>
    </row>
    <row r="3641" spans="1:14">
      <c r="A3641" s="36" t="s">
        <v>32</v>
      </c>
      <c r="B3641" s="37">
        <v>45184</v>
      </c>
      <c r="C3641" s="36" t="s">
        <v>654</v>
      </c>
      <c r="D3641" s="36" t="s">
        <v>1219</v>
      </c>
      <c r="E3641" s="36" t="s">
        <v>1565</v>
      </c>
      <c r="J3641" s="87">
        <v>924000</v>
      </c>
      <c r="K3641" s="85">
        <v>2023</v>
      </c>
      <c r="L3641" s="85">
        <v>6</v>
      </c>
      <c r="M3641" s="87"/>
      <c r="N3641" s="1" t="s">
        <v>44</v>
      </c>
    </row>
    <row r="3642" spans="1:14">
      <c r="A3642" s="36" t="s">
        <v>32</v>
      </c>
      <c r="B3642" s="37">
        <v>45187</v>
      </c>
      <c r="C3642" s="36" t="s">
        <v>209</v>
      </c>
      <c r="D3642" s="36" t="s">
        <v>1412</v>
      </c>
      <c r="E3642" s="36" t="s">
        <v>77</v>
      </c>
      <c r="J3642" s="87">
        <v>67914000</v>
      </c>
      <c r="K3642" s="85">
        <v>2023</v>
      </c>
      <c r="L3642" s="85">
        <v>8</v>
      </c>
      <c r="N3642" s="1" t="s">
        <v>44</v>
      </c>
    </row>
    <row r="3643" spans="1:14">
      <c r="A3643" s="36" t="s">
        <v>32</v>
      </c>
      <c r="B3643" s="37">
        <v>45187</v>
      </c>
      <c r="C3643" s="36" t="s">
        <v>204</v>
      </c>
      <c r="D3643" s="36" t="s">
        <v>1273</v>
      </c>
      <c r="E3643" s="36" t="s">
        <v>1627</v>
      </c>
      <c r="J3643" s="87">
        <v>14480400</v>
      </c>
      <c r="K3643" s="85">
        <v>2023</v>
      </c>
      <c r="L3643" s="85">
        <v>7</v>
      </c>
      <c r="N3643" s="1" t="s">
        <v>44</v>
      </c>
    </row>
    <row r="3644" spans="1:14">
      <c r="A3644" s="36" t="s">
        <v>33</v>
      </c>
      <c r="B3644" s="37">
        <v>45187</v>
      </c>
      <c r="C3644" s="36" t="s">
        <v>119</v>
      </c>
      <c r="D3644" s="36" t="s">
        <v>1800</v>
      </c>
      <c r="E3644" s="36" t="s">
        <v>1627</v>
      </c>
      <c r="J3644" s="87">
        <v>9878814</v>
      </c>
      <c r="K3644" s="85">
        <v>2023</v>
      </c>
      <c r="L3644" s="85">
        <v>8</v>
      </c>
      <c r="N3644" s="1" t="s">
        <v>44</v>
      </c>
    </row>
    <row r="3645" spans="1:14">
      <c r="A3645" s="36" t="s">
        <v>32</v>
      </c>
      <c r="B3645" s="37">
        <v>45187</v>
      </c>
      <c r="C3645" s="36" t="s">
        <v>552</v>
      </c>
      <c r="D3645" s="36" t="s">
        <v>1529</v>
      </c>
      <c r="E3645" s="36" t="s">
        <v>1628</v>
      </c>
      <c r="J3645" s="38">
        <v>76033980</v>
      </c>
      <c r="K3645" s="85">
        <v>2023</v>
      </c>
      <c r="L3645" s="85">
        <v>8</v>
      </c>
      <c r="N3645" s="1" t="s">
        <v>44</v>
      </c>
    </row>
    <row r="3646" spans="1:14">
      <c r="A3646" s="36" t="s">
        <v>32</v>
      </c>
      <c r="B3646" s="37">
        <v>45187</v>
      </c>
      <c r="C3646" s="36" t="s">
        <v>1468</v>
      </c>
      <c r="D3646" s="36" t="s">
        <v>1479</v>
      </c>
      <c r="E3646" s="36" t="s">
        <v>1627</v>
      </c>
      <c r="J3646" s="87">
        <v>14266799.800000001</v>
      </c>
      <c r="K3646" s="85">
        <v>2023</v>
      </c>
      <c r="L3646" s="85">
        <v>8</v>
      </c>
      <c r="N3646" s="1" t="s">
        <v>44</v>
      </c>
    </row>
    <row r="3647" spans="1:14">
      <c r="A3647" s="36" t="s">
        <v>32</v>
      </c>
      <c r="B3647" s="37">
        <v>45188</v>
      </c>
      <c r="C3647" s="36" t="s">
        <v>664</v>
      </c>
      <c r="D3647" s="36" t="s">
        <v>797</v>
      </c>
      <c r="E3647" s="36" t="s">
        <v>77</v>
      </c>
      <c r="J3647" s="38">
        <v>12941176</v>
      </c>
      <c r="K3647" s="85">
        <v>2023</v>
      </c>
      <c r="L3647" s="85">
        <v>9</v>
      </c>
      <c r="N3647" s="1" t="s">
        <v>44</v>
      </c>
    </row>
    <row r="3648" spans="1:14">
      <c r="A3648" s="36" t="s">
        <v>32</v>
      </c>
      <c r="B3648" s="37">
        <v>45189</v>
      </c>
      <c r="C3648" s="36" t="s">
        <v>552</v>
      </c>
      <c r="D3648" s="36" t="s">
        <v>1011</v>
      </c>
      <c r="E3648" s="36" t="s">
        <v>1629</v>
      </c>
      <c r="J3648" s="38">
        <v>57771129</v>
      </c>
      <c r="K3648" s="85">
        <v>2023</v>
      </c>
      <c r="L3648" s="85">
        <v>8</v>
      </c>
      <c r="N3648" s="1" t="s">
        <v>44</v>
      </c>
    </row>
    <row r="3649" spans="1:14">
      <c r="A3649" s="36" t="s">
        <v>32</v>
      </c>
      <c r="B3649" s="37">
        <v>45191</v>
      </c>
      <c r="C3649" s="36" t="s">
        <v>677</v>
      </c>
      <c r="D3649" s="36" t="s">
        <v>924</v>
      </c>
      <c r="E3649" s="36" t="s">
        <v>148</v>
      </c>
      <c r="J3649" s="87">
        <v>3366000</v>
      </c>
      <c r="K3649" s="85">
        <v>2023</v>
      </c>
      <c r="L3649" s="85">
        <v>8</v>
      </c>
      <c r="N3649" s="1" t="s">
        <v>44</v>
      </c>
    </row>
    <row r="3650" spans="1:14">
      <c r="A3650" s="36" t="s">
        <v>33</v>
      </c>
      <c r="B3650" s="37">
        <v>45191</v>
      </c>
      <c r="C3650" s="36" t="s">
        <v>1257</v>
      </c>
      <c r="D3650" s="36" t="s">
        <v>1258</v>
      </c>
      <c r="E3650" s="36" t="s">
        <v>1631</v>
      </c>
      <c r="J3650" s="87">
        <v>253000</v>
      </c>
      <c r="K3650" s="85">
        <v>2023</v>
      </c>
      <c r="L3650" s="85">
        <v>8</v>
      </c>
      <c r="N3650" s="1" t="s">
        <v>44</v>
      </c>
    </row>
    <row r="3651" spans="1:14">
      <c r="A3651" s="36" t="s">
        <v>32</v>
      </c>
      <c r="B3651" s="37">
        <v>45194</v>
      </c>
      <c r="C3651" s="36" t="s">
        <v>1332</v>
      </c>
      <c r="D3651" s="36" t="s">
        <v>1341</v>
      </c>
      <c r="E3651" s="36" t="s">
        <v>1633</v>
      </c>
      <c r="J3651" s="87">
        <v>48708000</v>
      </c>
      <c r="K3651" s="85">
        <v>2023</v>
      </c>
      <c r="L3651" s="85">
        <v>8</v>
      </c>
      <c r="N3651" s="1" t="s">
        <v>44</v>
      </c>
    </row>
    <row r="3652" spans="1:14">
      <c r="A3652" s="36" t="s">
        <v>32</v>
      </c>
      <c r="B3652" s="37">
        <v>45194</v>
      </c>
      <c r="C3652" s="36" t="s">
        <v>264</v>
      </c>
      <c r="D3652" s="36" t="s">
        <v>1612</v>
      </c>
      <c r="E3652" s="36" t="s">
        <v>1632</v>
      </c>
      <c r="J3652" s="87">
        <v>18260000</v>
      </c>
      <c r="K3652" s="85">
        <v>2023</v>
      </c>
      <c r="L3652" s="85">
        <v>8</v>
      </c>
      <c r="N3652" s="1" t="s">
        <v>44</v>
      </c>
    </row>
    <row r="3653" spans="1:14">
      <c r="A3653" s="36" t="s">
        <v>32</v>
      </c>
      <c r="B3653" s="37">
        <v>45195</v>
      </c>
      <c r="C3653" s="36" t="s">
        <v>209</v>
      </c>
      <c r="D3653" s="36" t="s">
        <v>1885</v>
      </c>
      <c r="E3653" s="36" t="s">
        <v>77</v>
      </c>
      <c r="J3653" s="87">
        <v>4541460</v>
      </c>
      <c r="K3653" s="85">
        <v>2023</v>
      </c>
      <c r="L3653" s="85">
        <v>8</v>
      </c>
      <c r="N3653" s="1" t="s">
        <v>44</v>
      </c>
    </row>
    <row r="3654" spans="1:14">
      <c r="A3654" s="36" t="s">
        <v>32</v>
      </c>
      <c r="B3654" s="37">
        <v>45195</v>
      </c>
      <c r="C3654" s="36" t="s">
        <v>209</v>
      </c>
      <c r="D3654" s="36" t="s">
        <v>1699</v>
      </c>
      <c r="E3654" s="36" t="s">
        <v>77</v>
      </c>
      <c r="J3654" s="87">
        <v>24934140</v>
      </c>
      <c r="K3654" s="85">
        <v>2023</v>
      </c>
      <c r="L3654" s="85">
        <v>8</v>
      </c>
      <c r="N3654" s="1" t="s">
        <v>44</v>
      </c>
    </row>
    <row r="3655" spans="1:14">
      <c r="A3655" s="36" t="s">
        <v>32</v>
      </c>
      <c r="B3655" s="37">
        <v>45195</v>
      </c>
      <c r="C3655" s="36" t="s">
        <v>209</v>
      </c>
      <c r="D3655" s="36" t="s">
        <v>2001</v>
      </c>
      <c r="E3655" s="36" t="s">
        <v>77</v>
      </c>
      <c r="J3655" s="87">
        <v>5425200</v>
      </c>
      <c r="K3655" s="85">
        <v>2023</v>
      </c>
      <c r="L3655" s="85">
        <v>8</v>
      </c>
      <c r="N3655" s="1" t="s">
        <v>44</v>
      </c>
    </row>
    <row r="3656" spans="1:14">
      <c r="A3656" s="36" t="s">
        <v>32</v>
      </c>
      <c r="B3656" s="37">
        <v>45195</v>
      </c>
      <c r="C3656" s="36" t="s">
        <v>209</v>
      </c>
      <c r="D3656" s="36" t="s">
        <v>1411</v>
      </c>
      <c r="E3656" s="36" t="s">
        <v>77</v>
      </c>
      <c r="J3656" s="87">
        <v>39649500</v>
      </c>
      <c r="K3656" s="85">
        <v>2023</v>
      </c>
      <c r="L3656" s="85">
        <v>8</v>
      </c>
      <c r="N3656" s="1" t="s">
        <v>44</v>
      </c>
    </row>
    <row r="3657" spans="1:14">
      <c r="A3657" s="36" t="s">
        <v>32</v>
      </c>
      <c r="B3657" s="37">
        <v>45195</v>
      </c>
      <c r="C3657" s="36" t="s">
        <v>209</v>
      </c>
      <c r="D3657" s="36" t="s">
        <v>1412</v>
      </c>
      <c r="E3657" s="36" t="s">
        <v>77</v>
      </c>
      <c r="J3657" s="87">
        <v>3190330</v>
      </c>
      <c r="K3657" s="85">
        <v>2023</v>
      </c>
      <c r="L3657" s="85">
        <v>8</v>
      </c>
      <c r="N3657" s="1" t="s">
        <v>44</v>
      </c>
    </row>
    <row r="3658" spans="1:14">
      <c r="A3658" s="36" t="s">
        <v>33</v>
      </c>
      <c r="B3658" s="37">
        <v>45195</v>
      </c>
      <c r="C3658" s="36" t="s">
        <v>1439</v>
      </c>
      <c r="D3658" s="36" t="s">
        <v>1048</v>
      </c>
      <c r="E3658" s="36" t="s">
        <v>1634</v>
      </c>
      <c r="J3658" s="87">
        <v>154000</v>
      </c>
      <c r="K3658" s="85">
        <v>2023</v>
      </c>
      <c r="L3658" s="85">
        <v>8</v>
      </c>
      <c r="N3658" s="1" t="s">
        <v>44</v>
      </c>
    </row>
    <row r="3659" spans="1:14">
      <c r="A3659" s="36" t="s">
        <v>32</v>
      </c>
      <c r="B3659" s="37">
        <v>45195</v>
      </c>
      <c r="C3659" s="36" t="s">
        <v>1588</v>
      </c>
      <c r="D3659" s="36" t="s">
        <v>1610</v>
      </c>
      <c r="E3659" s="36" t="s">
        <v>1634</v>
      </c>
      <c r="J3659" s="87">
        <v>21996700</v>
      </c>
      <c r="K3659" s="85">
        <v>2023</v>
      </c>
      <c r="L3659" s="85">
        <v>8</v>
      </c>
      <c r="N3659" s="1" t="s">
        <v>44</v>
      </c>
    </row>
    <row r="3660" spans="1:14">
      <c r="A3660" s="36" t="s">
        <v>32</v>
      </c>
      <c r="B3660" s="37">
        <v>45195</v>
      </c>
      <c r="C3660" s="36" t="s">
        <v>1588</v>
      </c>
      <c r="D3660" s="36" t="s">
        <v>1611</v>
      </c>
      <c r="E3660" s="36" t="s">
        <v>1634</v>
      </c>
      <c r="J3660" s="87">
        <v>54809150</v>
      </c>
      <c r="K3660" s="85">
        <v>2023</v>
      </c>
      <c r="L3660" s="85">
        <v>8</v>
      </c>
      <c r="N3660" s="1" t="s">
        <v>44</v>
      </c>
    </row>
    <row r="3661" spans="1:14">
      <c r="A3661" s="36" t="s">
        <v>33</v>
      </c>
      <c r="B3661" s="37">
        <v>45195</v>
      </c>
      <c r="C3661" s="36" t="s">
        <v>119</v>
      </c>
      <c r="D3661" s="36" t="s">
        <v>1048</v>
      </c>
      <c r="E3661" s="36" t="s">
        <v>1637</v>
      </c>
      <c r="J3661" s="87">
        <v>2950750</v>
      </c>
      <c r="K3661" s="85">
        <v>2023</v>
      </c>
      <c r="L3661" s="85">
        <v>8</v>
      </c>
      <c r="N3661" s="1" t="s">
        <v>44</v>
      </c>
    </row>
    <row r="3662" spans="1:14">
      <c r="A3662" s="36" t="s">
        <v>32</v>
      </c>
      <c r="B3662" s="37">
        <v>45195</v>
      </c>
      <c r="C3662" s="36" t="s">
        <v>1198</v>
      </c>
      <c r="D3662" s="36" t="s">
        <v>1614</v>
      </c>
      <c r="E3662" s="36" t="s">
        <v>77</v>
      </c>
      <c r="J3662" s="87">
        <v>2083400</v>
      </c>
      <c r="K3662" s="85">
        <v>2023</v>
      </c>
      <c r="L3662" s="85">
        <v>8</v>
      </c>
      <c r="N3662" s="1" t="s">
        <v>44</v>
      </c>
    </row>
    <row r="3663" spans="1:14">
      <c r="A3663" s="36" t="s">
        <v>32</v>
      </c>
      <c r="B3663" s="37">
        <v>45195</v>
      </c>
      <c r="C3663" s="36" t="s">
        <v>1198</v>
      </c>
      <c r="D3663" s="36" t="s">
        <v>1617</v>
      </c>
      <c r="E3663" s="36" t="s">
        <v>77</v>
      </c>
      <c r="J3663" s="87">
        <v>6816480</v>
      </c>
      <c r="K3663" s="85">
        <v>2023</v>
      </c>
      <c r="L3663" s="85">
        <v>8</v>
      </c>
      <c r="N3663" s="1" t="s">
        <v>44</v>
      </c>
    </row>
    <row r="3664" spans="1:14">
      <c r="A3664" s="36" t="s">
        <v>32</v>
      </c>
      <c r="B3664" s="37">
        <v>45195</v>
      </c>
      <c r="C3664" s="36" t="s">
        <v>288</v>
      </c>
      <c r="D3664" s="36" t="s">
        <v>1548</v>
      </c>
      <c r="E3664" s="36" t="s">
        <v>1571</v>
      </c>
      <c r="J3664" s="87">
        <v>18888650</v>
      </c>
      <c r="K3664" s="85">
        <v>2023</v>
      </c>
      <c r="L3664" s="85">
        <v>7</v>
      </c>
      <c r="N3664" s="1" t="s">
        <v>44</v>
      </c>
    </row>
    <row r="3665" spans="1:14">
      <c r="A3665" s="36" t="s">
        <v>32</v>
      </c>
      <c r="B3665" s="37">
        <v>45195</v>
      </c>
      <c r="C3665" s="36" t="s">
        <v>288</v>
      </c>
      <c r="D3665" s="36" t="s">
        <v>1548</v>
      </c>
      <c r="E3665" s="36" t="s">
        <v>1630</v>
      </c>
      <c r="J3665" s="87">
        <v>8061350</v>
      </c>
      <c r="K3665" s="85">
        <v>2023</v>
      </c>
      <c r="L3665" s="85">
        <v>8</v>
      </c>
      <c r="N3665" s="1" t="s">
        <v>44</v>
      </c>
    </row>
    <row r="3666" spans="1:14">
      <c r="A3666" s="36" t="s">
        <v>33</v>
      </c>
      <c r="B3666" s="37">
        <v>45195</v>
      </c>
      <c r="C3666" s="36" t="s">
        <v>590</v>
      </c>
      <c r="D3666" s="36" t="s">
        <v>1011</v>
      </c>
      <c r="E3666" s="36" t="s">
        <v>1634</v>
      </c>
      <c r="J3666" s="87">
        <v>56159030.399999999</v>
      </c>
      <c r="K3666" s="85">
        <v>2023</v>
      </c>
      <c r="L3666" s="85">
        <v>8</v>
      </c>
      <c r="N3666" s="1" t="s">
        <v>44</v>
      </c>
    </row>
    <row r="3667" spans="1:14">
      <c r="A3667" s="36" t="s">
        <v>32</v>
      </c>
      <c r="B3667" s="37">
        <v>45195</v>
      </c>
      <c r="C3667" s="36" t="s">
        <v>1465</v>
      </c>
      <c r="D3667" s="36" t="s">
        <v>1599</v>
      </c>
      <c r="E3667" s="36" t="s">
        <v>1634</v>
      </c>
      <c r="J3667" s="87">
        <v>7458000</v>
      </c>
      <c r="K3667" s="85">
        <v>2023</v>
      </c>
      <c r="L3667" s="85">
        <v>8</v>
      </c>
      <c r="N3667" s="1" t="s">
        <v>44</v>
      </c>
    </row>
    <row r="3668" spans="1:14">
      <c r="A3668" s="36" t="s">
        <v>33</v>
      </c>
      <c r="B3668" s="37">
        <v>45195</v>
      </c>
      <c r="C3668" s="36" t="s">
        <v>1335</v>
      </c>
      <c r="D3668" s="36" t="s">
        <v>1523</v>
      </c>
      <c r="E3668" s="36" t="s">
        <v>1634</v>
      </c>
      <c r="J3668" s="87">
        <v>3162500</v>
      </c>
      <c r="K3668" s="85">
        <v>2023</v>
      </c>
      <c r="L3668" s="85">
        <v>8</v>
      </c>
      <c r="N3668" s="1" t="s">
        <v>44</v>
      </c>
    </row>
    <row r="3669" spans="1:14">
      <c r="A3669" s="36" t="s">
        <v>33</v>
      </c>
      <c r="B3669" s="37">
        <v>45195</v>
      </c>
      <c r="C3669" s="36" t="s">
        <v>912</v>
      </c>
      <c r="D3669" s="36" t="s">
        <v>1579</v>
      </c>
      <c r="E3669" s="36" t="s">
        <v>1634</v>
      </c>
      <c r="J3669" s="87">
        <v>9459862</v>
      </c>
      <c r="K3669" s="85">
        <v>2023</v>
      </c>
      <c r="L3669" s="85">
        <v>8</v>
      </c>
      <c r="N3669" s="1" t="s">
        <v>44</v>
      </c>
    </row>
    <row r="3670" spans="1:14">
      <c r="A3670" s="36" t="s">
        <v>32</v>
      </c>
      <c r="B3670" s="37">
        <v>45195</v>
      </c>
      <c r="C3670" s="36" t="s">
        <v>1587</v>
      </c>
      <c r="D3670" s="36" t="s">
        <v>1609</v>
      </c>
      <c r="E3670" s="36" t="s">
        <v>1640</v>
      </c>
      <c r="J3670" s="87">
        <v>11563200</v>
      </c>
      <c r="K3670" s="85">
        <v>2023</v>
      </c>
      <c r="L3670" s="85">
        <v>8</v>
      </c>
      <c r="N3670" s="1" t="s">
        <v>44</v>
      </c>
    </row>
    <row r="3671" spans="1:14">
      <c r="A3671" s="36" t="s">
        <v>33</v>
      </c>
      <c r="B3671" s="37">
        <v>45195</v>
      </c>
      <c r="C3671" s="36" t="s">
        <v>955</v>
      </c>
      <c r="D3671" s="36" t="s">
        <v>1566</v>
      </c>
      <c r="E3671" s="36" t="s">
        <v>1634</v>
      </c>
      <c r="J3671" s="87">
        <v>1100000</v>
      </c>
      <c r="K3671" s="85">
        <v>2023</v>
      </c>
      <c r="L3671" s="85">
        <v>8</v>
      </c>
      <c r="N3671" s="1" t="s">
        <v>44</v>
      </c>
    </row>
    <row r="3672" spans="1:14">
      <c r="A3672" s="36" t="s">
        <v>32</v>
      </c>
      <c r="B3672" s="37">
        <v>45196</v>
      </c>
      <c r="C3672" s="36" t="s">
        <v>174</v>
      </c>
      <c r="D3672" s="36" t="s">
        <v>1155</v>
      </c>
      <c r="E3672" s="36" t="s">
        <v>1644</v>
      </c>
      <c r="J3672" s="87">
        <v>8910000</v>
      </c>
      <c r="K3672" s="85">
        <v>2023</v>
      </c>
      <c r="L3672" s="85">
        <v>7</v>
      </c>
      <c r="N3672" s="1" t="s">
        <v>44</v>
      </c>
    </row>
    <row r="3673" spans="1:14">
      <c r="A3673" s="36" t="s">
        <v>33</v>
      </c>
      <c r="B3673" s="37">
        <v>45196</v>
      </c>
      <c r="C3673" s="36" t="s">
        <v>1572</v>
      </c>
      <c r="D3673" s="36" t="s">
        <v>1575</v>
      </c>
      <c r="E3673" s="36" t="s">
        <v>1640</v>
      </c>
      <c r="J3673" s="87">
        <v>781000</v>
      </c>
      <c r="K3673" s="85">
        <v>2023</v>
      </c>
      <c r="L3673" s="85">
        <v>8</v>
      </c>
      <c r="N3673" s="1" t="s">
        <v>44</v>
      </c>
    </row>
    <row r="3674" spans="1:14">
      <c r="A3674" s="36" t="s">
        <v>32</v>
      </c>
      <c r="B3674" s="37">
        <v>45196</v>
      </c>
      <c r="C3674" s="36" t="s">
        <v>204</v>
      </c>
      <c r="D3674" s="36" t="s">
        <v>1482</v>
      </c>
      <c r="E3674" s="36" t="s">
        <v>148</v>
      </c>
      <c r="J3674" s="87">
        <v>5854420</v>
      </c>
      <c r="K3674" s="85">
        <v>2023</v>
      </c>
      <c r="L3674" s="85">
        <v>8</v>
      </c>
      <c r="N3674" s="1" t="s">
        <v>44</v>
      </c>
    </row>
    <row r="3675" spans="1:14">
      <c r="A3675" s="36" t="s">
        <v>32</v>
      </c>
      <c r="B3675" s="37">
        <v>45196</v>
      </c>
      <c r="C3675" s="36" t="s">
        <v>204</v>
      </c>
      <c r="D3675" s="36" t="s">
        <v>1273</v>
      </c>
      <c r="E3675" s="36" t="s">
        <v>77</v>
      </c>
      <c r="J3675" s="38">
        <v>24036100</v>
      </c>
      <c r="K3675" s="85">
        <v>2023</v>
      </c>
      <c r="L3675" s="85">
        <v>9</v>
      </c>
      <c r="N3675" s="1" t="s">
        <v>44</v>
      </c>
    </row>
    <row r="3676" spans="1:14">
      <c r="A3676" s="36" t="s">
        <v>32</v>
      </c>
      <c r="B3676" s="37">
        <v>45196</v>
      </c>
      <c r="C3676" s="36" t="s">
        <v>925</v>
      </c>
      <c r="D3676" s="36" t="s">
        <v>926</v>
      </c>
      <c r="E3676" s="36" t="s">
        <v>77</v>
      </c>
      <c r="J3676" s="87">
        <v>5298260</v>
      </c>
      <c r="K3676" s="85">
        <v>2023</v>
      </c>
      <c r="L3676" s="85">
        <v>8</v>
      </c>
      <c r="M3676" s="36" t="s">
        <v>1613</v>
      </c>
      <c r="N3676" s="1" t="s">
        <v>44</v>
      </c>
    </row>
    <row r="3677" spans="1:14">
      <c r="A3677" s="36" t="s">
        <v>32</v>
      </c>
      <c r="B3677" s="37">
        <v>45196</v>
      </c>
      <c r="C3677" s="36" t="s">
        <v>1470</v>
      </c>
      <c r="D3677" s="36" t="s">
        <v>1487</v>
      </c>
      <c r="E3677" s="36" t="s">
        <v>1640</v>
      </c>
      <c r="J3677" s="87">
        <v>95363972</v>
      </c>
      <c r="K3677" s="85">
        <v>2023</v>
      </c>
      <c r="L3677" s="85">
        <v>8</v>
      </c>
      <c r="N3677" s="1" t="s">
        <v>44</v>
      </c>
    </row>
    <row r="3678" spans="1:14">
      <c r="A3678" s="36" t="s">
        <v>32</v>
      </c>
      <c r="B3678" s="37">
        <v>45196</v>
      </c>
      <c r="C3678" s="36" t="s">
        <v>334</v>
      </c>
      <c r="D3678" s="36" t="s">
        <v>1598</v>
      </c>
      <c r="E3678" s="36" t="s">
        <v>1640</v>
      </c>
      <c r="J3678" s="87">
        <v>6248000</v>
      </c>
      <c r="K3678" s="85">
        <v>2023</v>
      </c>
      <c r="L3678" s="85">
        <v>8</v>
      </c>
      <c r="N3678" s="1" t="s">
        <v>44</v>
      </c>
    </row>
    <row r="3679" spans="1:14">
      <c r="A3679" s="36" t="s">
        <v>32</v>
      </c>
      <c r="B3679" s="37">
        <v>45196</v>
      </c>
      <c r="C3679" s="36" t="s">
        <v>334</v>
      </c>
      <c r="D3679" s="36" t="s">
        <v>1604</v>
      </c>
      <c r="E3679" s="36" t="s">
        <v>1640</v>
      </c>
      <c r="J3679" s="87">
        <v>9821328</v>
      </c>
      <c r="K3679" s="85">
        <v>2023</v>
      </c>
      <c r="L3679" s="85">
        <v>8</v>
      </c>
      <c r="N3679" s="1" t="s">
        <v>44</v>
      </c>
    </row>
    <row r="3680" spans="1:14">
      <c r="A3680" s="36" t="s">
        <v>32</v>
      </c>
      <c r="B3680" s="37">
        <v>45196</v>
      </c>
      <c r="C3680" s="36" t="s">
        <v>1467</v>
      </c>
      <c r="D3680" s="36" t="s">
        <v>1593</v>
      </c>
      <c r="E3680" s="36" t="s">
        <v>1640</v>
      </c>
      <c r="J3680" s="87">
        <v>5149320</v>
      </c>
      <c r="K3680" s="85">
        <v>2023</v>
      </c>
      <c r="L3680" s="85">
        <v>8</v>
      </c>
      <c r="M3680" s="36" t="s">
        <v>1643</v>
      </c>
      <c r="N3680" s="1" t="s">
        <v>44</v>
      </c>
    </row>
    <row r="3681" spans="1:14">
      <c r="A3681" s="36" t="s">
        <v>32</v>
      </c>
      <c r="B3681" s="37">
        <v>45196</v>
      </c>
      <c r="C3681" s="36" t="s">
        <v>1467</v>
      </c>
      <c r="D3681" s="36" t="s">
        <v>1594</v>
      </c>
      <c r="E3681" s="36" t="s">
        <v>1640</v>
      </c>
      <c r="J3681" s="87">
        <v>7352400</v>
      </c>
      <c r="K3681" s="85">
        <v>2023</v>
      </c>
      <c r="L3681" s="85">
        <v>8</v>
      </c>
      <c r="M3681" s="36" t="s">
        <v>1643</v>
      </c>
      <c r="N3681" s="1" t="s">
        <v>44</v>
      </c>
    </row>
    <row r="3682" spans="1:14">
      <c r="A3682" s="36" t="s">
        <v>33</v>
      </c>
      <c r="B3682" s="37">
        <v>45196</v>
      </c>
      <c r="C3682" s="36" t="s">
        <v>1218</v>
      </c>
      <c r="D3682" s="36" t="s">
        <v>1581</v>
      </c>
      <c r="E3682" s="36" t="s">
        <v>1640</v>
      </c>
      <c r="J3682" s="87">
        <v>1645380</v>
      </c>
      <c r="K3682" s="85">
        <v>2023</v>
      </c>
      <c r="L3682" s="85">
        <v>9</v>
      </c>
      <c r="N3682" s="1" t="s">
        <v>44</v>
      </c>
    </row>
    <row r="3683" spans="1:14">
      <c r="A3683" s="36" t="s">
        <v>32</v>
      </c>
      <c r="B3683" s="37">
        <v>45196</v>
      </c>
      <c r="C3683" s="36" t="s">
        <v>1395</v>
      </c>
      <c r="D3683" s="36" t="s">
        <v>1665</v>
      </c>
      <c r="E3683" s="36" t="s">
        <v>1690</v>
      </c>
      <c r="G3683" s="87">
        <v>8454545</v>
      </c>
      <c r="H3683" s="87">
        <v>845455</v>
      </c>
      <c r="I3683" s="87">
        <v>9300000</v>
      </c>
      <c r="K3683" s="85">
        <v>2023</v>
      </c>
      <c r="L3683" s="85">
        <v>9</v>
      </c>
      <c r="N3683" s="1" t="s">
        <v>44</v>
      </c>
    </row>
    <row r="3684" spans="1:14">
      <c r="A3684" s="36" t="s">
        <v>32</v>
      </c>
      <c r="B3684" s="37">
        <v>45196</v>
      </c>
      <c r="C3684" s="36" t="s">
        <v>1395</v>
      </c>
      <c r="D3684" s="36" t="s">
        <v>1666</v>
      </c>
      <c r="E3684" s="36" t="s">
        <v>1690</v>
      </c>
      <c r="G3684" s="87">
        <v>9363636</v>
      </c>
      <c r="H3684" s="87">
        <v>936364</v>
      </c>
      <c r="I3684" s="87">
        <v>10299999.6</v>
      </c>
      <c r="K3684" s="85">
        <v>2023</v>
      </c>
      <c r="L3684" s="85">
        <v>9</v>
      </c>
      <c r="N3684" s="1" t="s">
        <v>44</v>
      </c>
    </row>
    <row r="3685" spans="1:14">
      <c r="A3685" s="36" t="s">
        <v>32</v>
      </c>
      <c r="B3685" s="37">
        <v>45196</v>
      </c>
      <c r="C3685" s="36" t="s">
        <v>1395</v>
      </c>
      <c r="D3685" s="36" t="s">
        <v>1667</v>
      </c>
      <c r="E3685" s="36" t="s">
        <v>1690</v>
      </c>
      <c r="G3685" s="87">
        <v>10363636</v>
      </c>
      <c r="H3685" s="87">
        <v>1036364</v>
      </c>
      <c r="I3685" s="87">
        <v>11400000</v>
      </c>
      <c r="K3685" s="85">
        <v>2023</v>
      </c>
      <c r="L3685" s="85">
        <v>9</v>
      </c>
      <c r="N3685" s="1" t="s">
        <v>44</v>
      </c>
    </row>
    <row r="3686" spans="1:14">
      <c r="A3686" s="36" t="s">
        <v>32</v>
      </c>
      <c r="B3686" s="37">
        <v>45196</v>
      </c>
      <c r="C3686" s="36" t="s">
        <v>1395</v>
      </c>
      <c r="D3686" s="36" t="s">
        <v>1665</v>
      </c>
      <c r="E3686" s="36" t="s">
        <v>77</v>
      </c>
      <c r="J3686" s="38">
        <v>9300000</v>
      </c>
      <c r="K3686" s="85">
        <v>2023</v>
      </c>
      <c r="L3686" s="85">
        <v>9</v>
      </c>
      <c r="N3686" s="1" t="s">
        <v>44</v>
      </c>
    </row>
    <row r="3687" spans="1:14">
      <c r="A3687" s="36" t="s">
        <v>32</v>
      </c>
      <c r="B3687" s="37">
        <v>45196</v>
      </c>
      <c r="C3687" s="36" t="s">
        <v>1395</v>
      </c>
      <c r="D3687" s="36" t="s">
        <v>1666</v>
      </c>
      <c r="E3687" s="36" t="s">
        <v>77</v>
      </c>
      <c r="J3687" s="38">
        <v>10300000</v>
      </c>
      <c r="K3687" s="85">
        <v>2023</v>
      </c>
      <c r="L3687" s="85">
        <v>9</v>
      </c>
      <c r="N3687" s="1" t="s">
        <v>44</v>
      </c>
    </row>
    <row r="3688" spans="1:14">
      <c r="A3688" s="36" t="s">
        <v>32</v>
      </c>
      <c r="B3688" s="37">
        <v>45196</v>
      </c>
      <c r="C3688" s="36" t="s">
        <v>1395</v>
      </c>
      <c r="D3688" s="36" t="s">
        <v>1667</v>
      </c>
      <c r="E3688" s="36" t="s">
        <v>77</v>
      </c>
      <c r="J3688" s="38">
        <v>11400000</v>
      </c>
      <c r="K3688" s="85">
        <v>2023</v>
      </c>
      <c r="L3688" s="85">
        <v>9</v>
      </c>
      <c r="N3688" s="1" t="s">
        <v>44</v>
      </c>
    </row>
    <row r="3689" spans="1:14">
      <c r="A3689" s="36" t="s">
        <v>32</v>
      </c>
      <c r="B3689" s="37">
        <v>45196</v>
      </c>
      <c r="C3689" s="36" t="s">
        <v>206</v>
      </c>
      <c r="D3689" s="36" t="s">
        <v>1544</v>
      </c>
      <c r="E3689" s="36" t="s">
        <v>1640</v>
      </c>
      <c r="J3689" s="87">
        <v>5217960</v>
      </c>
      <c r="K3689" s="85">
        <v>2023</v>
      </c>
      <c r="L3689" s="85">
        <v>8</v>
      </c>
      <c r="N3689" s="1" t="s">
        <v>44</v>
      </c>
    </row>
    <row r="3690" spans="1:14">
      <c r="A3690" s="36" t="s">
        <v>19</v>
      </c>
      <c r="B3690" s="37">
        <v>45196</v>
      </c>
      <c r="C3690" s="36" t="s">
        <v>1449</v>
      </c>
      <c r="D3690" s="36" t="s">
        <v>1414</v>
      </c>
      <c r="E3690" s="36" t="s">
        <v>1640</v>
      </c>
      <c r="J3690" s="87">
        <v>1472240</v>
      </c>
      <c r="K3690" s="85">
        <v>2023</v>
      </c>
      <c r="L3690" s="85">
        <v>6</v>
      </c>
      <c r="N3690" s="1" t="s">
        <v>84</v>
      </c>
    </row>
    <row r="3691" spans="1:14">
      <c r="A3691" s="36" t="s">
        <v>33</v>
      </c>
      <c r="B3691" s="37">
        <v>45196</v>
      </c>
      <c r="C3691" s="36" t="s">
        <v>1393</v>
      </c>
      <c r="D3691" s="36" t="s">
        <v>1414</v>
      </c>
      <c r="E3691" s="36" t="s">
        <v>1640</v>
      </c>
      <c r="J3691" s="87">
        <v>9686600</v>
      </c>
      <c r="K3691" s="85">
        <v>2023</v>
      </c>
      <c r="L3691" s="85">
        <v>8</v>
      </c>
      <c r="N3691" s="1" t="s">
        <v>44</v>
      </c>
    </row>
    <row r="3692" spans="1:14">
      <c r="A3692" s="36" t="s">
        <v>32</v>
      </c>
      <c r="B3692" s="37">
        <v>45196</v>
      </c>
      <c r="C3692" s="36" t="s">
        <v>1534</v>
      </c>
      <c r="D3692" s="36" t="s">
        <v>1601</v>
      </c>
      <c r="E3692" s="36" t="s">
        <v>1640</v>
      </c>
      <c r="J3692" s="87">
        <v>4807000</v>
      </c>
      <c r="K3692" s="85">
        <v>2023</v>
      </c>
      <c r="L3692" s="85">
        <v>8</v>
      </c>
      <c r="N3692" s="1" t="s">
        <v>44</v>
      </c>
    </row>
    <row r="3693" spans="1:14">
      <c r="A3693" s="36" t="s">
        <v>32</v>
      </c>
      <c r="B3693" s="37">
        <v>45196</v>
      </c>
      <c r="C3693" s="36" t="s">
        <v>1534</v>
      </c>
      <c r="D3693" s="36" t="s">
        <v>1601</v>
      </c>
      <c r="E3693" s="36" t="s">
        <v>1640</v>
      </c>
      <c r="J3693" s="87">
        <v>1518000</v>
      </c>
      <c r="K3693" s="85">
        <v>2023</v>
      </c>
      <c r="L3693" s="85">
        <v>8</v>
      </c>
      <c r="N3693" s="1" t="s">
        <v>44</v>
      </c>
    </row>
    <row r="3694" spans="1:14">
      <c r="A3694" s="36" t="s">
        <v>32</v>
      </c>
      <c r="B3694" s="37">
        <v>45196</v>
      </c>
      <c r="C3694" s="36" t="s">
        <v>183</v>
      </c>
      <c r="D3694" s="36" t="s">
        <v>1606</v>
      </c>
      <c r="E3694" s="36" t="s">
        <v>77</v>
      </c>
      <c r="J3694" s="87">
        <v>25554100</v>
      </c>
      <c r="K3694" s="85">
        <v>2023</v>
      </c>
      <c r="L3694" s="85">
        <v>8</v>
      </c>
      <c r="N3694" s="1" t="s">
        <v>44</v>
      </c>
    </row>
    <row r="3695" spans="1:14">
      <c r="A3695" s="36" t="s">
        <v>32</v>
      </c>
      <c r="B3695" s="37">
        <v>45196</v>
      </c>
      <c r="C3695" s="36" t="s">
        <v>183</v>
      </c>
      <c r="D3695" s="36" t="s">
        <v>1620</v>
      </c>
      <c r="E3695" s="36" t="s">
        <v>77</v>
      </c>
      <c r="J3695" s="87">
        <v>2772000</v>
      </c>
      <c r="K3695" s="85">
        <v>2023</v>
      </c>
      <c r="L3695" s="85">
        <v>8</v>
      </c>
      <c r="N3695" s="1" t="s">
        <v>44</v>
      </c>
    </row>
    <row r="3696" spans="1:14">
      <c r="A3696" s="36" t="s">
        <v>32</v>
      </c>
      <c r="B3696" s="37">
        <v>45196</v>
      </c>
      <c r="C3696" s="36" t="s">
        <v>183</v>
      </c>
      <c r="D3696" s="36" t="s">
        <v>1619</v>
      </c>
      <c r="E3696" s="36" t="s">
        <v>77</v>
      </c>
      <c r="J3696" s="87">
        <v>21558900</v>
      </c>
      <c r="K3696" s="85">
        <v>2023</v>
      </c>
      <c r="L3696" s="85">
        <v>8</v>
      </c>
      <c r="N3696" s="1" t="s">
        <v>44</v>
      </c>
    </row>
    <row r="3697" spans="1:14">
      <c r="A3697" s="36" t="s">
        <v>32</v>
      </c>
      <c r="B3697" s="37">
        <v>45196</v>
      </c>
      <c r="C3697" s="36" t="s">
        <v>288</v>
      </c>
      <c r="D3697" s="36" t="s">
        <v>1414</v>
      </c>
      <c r="E3697" s="36" t="s">
        <v>148</v>
      </c>
      <c r="J3697" s="87">
        <v>5407600</v>
      </c>
      <c r="K3697" s="85">
        <v>2023</v>
      </c>
      <c r="L3697" s="85">
        <v>6</v>
      </c>
      <c r="N3697" s="1" t="s">
        <v>44</v>
      </c>
    </row>
    <row r="3698" spans="1:14">
      <c r="A3698" s="36" t="s">
        <v>32</v>
      </c>
      <c r="B3698" s="37">
        <v>45196</v>
      </c>
      <c r="C3698" s="36" t="s">
        <v>288</v>
      </c>
      <c r="D3698" s="36" t="s">
        <v>1414</v>
      </c>
      <c r="E3698" s="36" t="s">
        <v>148</v>
      </c>
      <c r="J3698" s="87">
        <v>19507840</v>
      </c>
      <c r="K3698" s="85">
        <v>2023</v>
      </c>
      <c r="L3698" s="85">
        <v>8</v>
      </c>
      <c r="N3698" s="1" t="s">
        <v>44</v>
      </c>
    </row>
    <row r="3699" spans="1:14">
      <c r="A3699" s="36" t="s">
        <v>32</v>
      </c>
      <c r="B3699" s="37">
        <v>45196</v>
      </c>
      <c r="C3699" s="36" t="s">
        <v>1462</v>
      </c>
      <c r="D3699" s="36" t="s">
        <v>1471</v>
      </c>
      <c r="E3699" s="36" t="s">
        <v>148</v>
      </c>
      <c r="J3699" s="38">
        <v>5000000</v>
      </c>
      <c r="K3699" s="85">
        <v>2023</v>
      </c>
      <c r="L3699" s="85">
        <v>6</v>
      </c>
      <c r="N3699" s="1" t="s">
        <v>44</v>
      </c>
    </row>
    <row r="3700" spans="1:14">
      <c r="A3700" s="36" t="s">
        <v>32</v>
      </c>
      <c r="B3700" s="37">
        <v>45196</v>
      </c>
      <c r="C3700" s="36" t="s">
        <v>307</v>
      </c>
      <c r="D3700" s="36" t="s">
        <v>1424</v>
      </c>
      <c r="E3700" s="36" t="s">
        <v>148</v>
      </c>
      <c r="J3700" s="38">
        <v>2582000</v>
      </c>
      <c r="K3700" s="85">
        <v>2023</v>
      </c>
      <c r="L3700" s="85">
        <v>7</v>
      </c>
      <c r="N3700" s="1" t="s">
        <v>44</v>
      </c>
    </row>
    <row r="3701" spans="1:14">
      <c r="A3701" s="36" t="s">
        <v>32</v>
      </c>
      <c r="B3701" s="37">
        <v>45196</v>
      </c>
      <c r="C3701" s="36" t="s">
        <v>307</v>
      </c>
      <c r="D3701" s="36" t="s">
        <v>1488</v>
      </c>
      <c r="E3701" s="36" t="s">
        <v>1640</v>
      </c>
      <c r="J3701" s="87">
        <v>16732200</v>
      </c>
      <c r="K3701" s="85">
        <v>2023</v>
      </c>
      <c r="L3701" s="85">
        <v>8</v>
      </c>
      <c r="N3701" s="1" t="s">
        <v>44</v>
      </c>
    </row>
    <row r="3702" spans="1:14">
      <c r="A3702" s="36" t="s">
        <v>32</v>
      </c>
      <c r="B3702" s="37">
        <v>45196</v>
      </c>
      <c r="C3702" s="36" t="s">
        <v>307</v>
      </c>
      <c r="D3702" s="36" t="s">
        <v>1603</v>
      </c>
      <c r="E3702" s="36" t="s">
        <v>1640</v>
      </c>
      <c r="J3702" s="87">
        <v>3080000</v>
      </c>
      <c r="K3702" s="85">
        <v>2023</v>
      </c>
      <c r="L3702" s="85">
        <v>8</v>
      </c>
      <c r="N3702" s="1" t="s">
        <v>44</v>
      </c>
    </row>
    <row r="3703" spans="1:14">
      <c r="A3703" s="36" t="s">
        <v>32</v>
      </c>
      <c r="B3703" s="37">
        <v>45196</v>
      </c>
      <c r="C3703" s="36" t="s">
        <v>175</v>
      </c>
      <c r="D3703" s="36" t="s">
        <v>1597</v>
      </c>
      <c r="E3703" s="36" t="s">
        <v>1640</v>
      </c>
      <c r="J3703" s="87">
        <v>4043600</v>
      </c>
      <c r="K3703" s="85">
        <v>2023</v>
      </c>
      <c r="L3703" s="85">
        <v>8</v>
      </c>
      <c r="N3703" s="1" t="s">
        <v>44</v>
      </c>
    </row>
    <row r="3704" spans="1:14">
      <c r="A3704" s="36" t="s">
        <v>33</v>
      </c>
      <c r="B3704" s="37">
        <v>45196</v>
      </c>
      <c r="C3704" s="36" t="s">
        <v>971</v>
      </c>
      <c r="D3704" s="36" t="s">
        <v>1648</v>
      </c>
      <c r="E3704" s="36" t="s">
        <v>1647</v>
      </c>
      <c r="G3704" s="87">
        <v>380000</v>
      </c>
      <c r="H3704" s="87">
        <v>38000</v>
      </c>
      <c r="I3704" s="87">
        <v>418000</v>
      </c>
      <c r="K3704" s="85">
        <v>2023</v>
      </c>
      <c r="L3704" s="85">
        <v>9</v>
      </c>
      <c r="N3704" s="1" t="s">
        <v>44</v>
      </c>
    </row>
    <row r="3705" spans="1:14">
      <c r="A3705" s="36" t="s">
        <v>32</v>
      </c>
      <c r="B3705" s="37">
        <v>45196</v>
      </c>
      <c r="C3705" s="36" t="s">
        <v>667</v>
      </c>
      <c r="D3705" s="36" t="s">
        <v>1595</v>
      </c>
      <c r="E3705" s="36" t="s">
        <v>1640</v>
      </c>
      <c r="J3705" s="87">
        <v>594000</v>
      </c>
      <c r="K3705" s="85">
        <v>2023</v>
      </c>
      <c r="L3705" s="85">
        <v>7</v>
      </c>
      <c r="N3705" s="1" t="s">
        <v>44</v>
      </c>
    </row>
    <row r="3706" spans="1:14">
      <c r="A3706" s="36" t="s">
        <v>32</v>
      </c>
      <c r="B3706" s="37">
        <v>45196</v>
      </c>
      <c r="C3706" s="36" t="s">
        <v>667</v>
      </c>
      <c r="D3706" s="36" t="s">
        <v>1595</v>
      </c>
      <c r="E3706" s="36" t="s">
        <v>1640</v>
      </c>
      <c r="J3706" s="87">
        <v>594000</v>
      </c>
      <c r="K3706" s="85">
        <v>2023</v>
      </c>
      <c r="L3706" s="85">
        <v>8</v>
      </c>
      <c r="N3706" s="1" t="s">
        <v>44</v>
      </c>
    </row>
    <row r="3707" spans="1:14">
      <c r="A3707" s="36" t="s">
        <v>32</v>
      </c>
      <c r="B3707" s="37">
        <v>45196</v>
      </c>
      <c r="C3707" s="36" t="s">
        <v>1586</v>
      </c>
      <c r="D3707" s="36" t="s">
        <v>1608</v>
      </c>
      <c r="E3707" s="36" t="s">
        <v>1640</v>
      </c>
      <c r="J3707" s="87">
        <v>11000000</v>
      </c>
      <c r="K3707" s="85">
        <v>2023</v>
      </c>
      <c r="L3707" s="85">
        <v>8</v>
      </c>
      <c r="N3707" s="1" t="s">
        <v>44</v>
      </c>
    </row>
    <row r="3708" spans="1:14">
      <c r="A3708" s="36" t="s">
        <v>33</v>
      </c>
      <c r="B3708" s="37">
        <v>45196</v>
      </c>
      <c r="C3708" s="36" t="s">
        <v>1391</v>
      </c>
      <c r="D3708" s="36" t="s">
        <v>1227</v>
      </c>
      <c r="E3708" s="36" t="s">
        <v>1640</v>
      </c>
      <c r="J3708" s="87">
        <v>2717550</v>
      </c>
      <c r="K3708" s="85">
        <v>2023</v>
      </c>
      <c r="L3708" s="85">
        <v>8</v>
      </c>
      <c r="N3708" s="1" t="s">
        <v>44</v>
      </c>
    </row>
    <row r="3709" spans="1:14">
      <c r="A3709" s="36" t="s">
        <v>32</v>
      </c>
      <c r="B3709" s="37">
        <v>45196</v>
      </c>
      <c r="C3709" s="36" t="s">
        <v>834</v>
      </c>
      <c r="D3709" s="36" t="s">
        <v>2028</v>
      </c>
      <c r="E3709" s="36" t="s">
        <v>1640</v>
      </c>
      <c r="J3709" s="38">
        <v>141276800</v>
      </c>
      <c r="K3709" s="85">
        <v>2023</v>
      </c>
      <c r="L3709" s="85">
        <v>8</v>
      </c>
      <c r="N3709" s="1" t="s">
        <v>44</v>
      </c>
    </row>
    <row r="3710" spans="1:14">
      <c r="A3710" s="36" t="s">
        <v>32</v>
      </c>
      <c r="B3710" s="37">
        <v>45196</v>
      </c>
      <c r="C3710" s="36" t="s">
        <v>834</v>
      </c>
      <c r="D3710" s="36" t="s">
        <v>2028</v>
      </c>
      <c r="E3710" s="36" t="s">
        <v>148</v>
      </c>
      <c r="J3710" s="38">
        <v>29798720</v>
      </c>
      <c r="K3710" s="85">
        <v>2023</v>
      </c>
      <c r="L3710" s="85">
        <v>8</v>
      </c>
      <c r="M3710" s="36" t="s">
        <v>1717</v>
      </c>
      <c r="N3710" s="1" t="s">
        <v>44</v>
      </c>
    </row>
    <row r="3711" spans="1:14">
      <c r="A3711" s="36" t="s">
        <v>32</v>
      </c>
      <c r="B3711" s="37">
        <v>45196</v>
      </c>
      <c r="C3711" s="36" t="s">
        <v>654</v>
      </c>
      <c r="D3711" s="36" t="s">
        <v>1219</v>
      </c>
      <c r="E3711" s="36" t="s">
        <v>148</v>
      </c>
      <c r="J3711" s="305">
        <v>9161720</v>
      </c>
      <c r="K3711" s="85">
        <v>2023</v>
      </c>
      <c r="L3711" s="85">
        <v>7</v>
      </c>
      <c r="M3711" s="87"/>
      <c r="N3711" s="1" t="s">
        <v>44</v>
      </c>
    </row>
    <row r="3712" spans="1:14">
      <c r="A3712" s="36" t="s">
        <v>32</v>
      </c>
      <c r="B3712" s="37">
        <v>45196</v>
      </c>
      <c r="C3712" s="36" t="s">
        <v>654</v>
      </c>
      <c r="D3712" s="36" t="s">
        <v>1156</v>
      </c>
      <c r="E3712" s="36" t="s">
        <v>1640</v>
      </c>
      <c r="J3712" s="87">
        <v>2464000</v>
      </c>
      <c r="K3712" s="85">
        <v>2023</v>
      </c>
      <c r="L3712" s="85">
        <v>8</v>
      </c>
      <c r="N3712" s="1" t="s">
        <v>44</v>
      </c>
    </row>
    <row r="3713" spans="1:14">
      <c r="A3713" s="36" t="s">
        <v>32</v>
      </c>
      <c r="B3713" s="37">
        <v>45196</v>
      </c>
      <c r="C3713" s="36" t="s">
        <v>654</v>
      </c>
      <c r="D3713" s="36" t="s">
        <v>1337</v>
      </c>
      <c r="E3713" s="36" t="s">
        <v>148</v>
      </c>
      <c r="J3713" s="87">
        <v>5871360</v>
      </c>
      <c r="K3713" s="85">
        <v>2023</v>
      </c>
      <c r="L3713" s="85">
        <v>8</v>
      </c>
      <c r="N3713" s="1" t="s">
        <v>44</v>
      </c>
    </row>
    <row r="3714" spans="1:14">
      <c r="A3714" s="36" t="s">
        <v>32</v>
      </c>
      <c r="B3714" s="37">
        <v>45196</v>
      </c>
      <c r="C3714" s="36" t="s">
        <v>1396</v>
      </c>
      <c r="D3714" s="36" t="s">
        <v>1418</v>
      </c>
      <c r="E3714" s="36" t="s">
        <v>1640</v>
      </c>
      <c r="J3714" s="38">
        <v>8800000</v>
      </c>
      <c r="K3714" s="85">
        <v>2023</v>
      </c>
      <c r="L3714" s="85">
        <v>5</v>
      </c>
      <c r="N3714" s="1" t="s">
        <v>44</v>
      </c>
    </row>
    <row r="3715" spans="1:14">
      <c r="A3715" s="36" t="s">
        <v>32</v>
      </c>
      <c r="B3715" s="37">
        <v>45196</v>
      </c>
      <c r="C3715" s="36" t="s">
        <v>1396</v>
      </c>
      <c r="D3715" s="36" t="s">
        <v>1418</v>
      </c>
      <c r="E3715" s="36" t="s">
        <v>1640</v>
      </c>
      <c r="J3715" s="87">
        <v>3850000</v>
      </c>
      <c r="K3715" s="85">
        <v>2023</v>
      </c>
      <c r="L3715" s="85">
        <v>7</v>
      </c>
      <c r="N3715" s="1" t="s">
        <v>44</v>
      </c>
    </row>
    <row r="3716" spans="1:14">
      <c r="A3716" s="36" t="s">
        <v>32</v>
      </c>
      <c r="B3716" s="37">
        <v>45199</v>
      </c>
      <c r="C3716" s="36" t="s">
        <v>760</v>
      </c>
      <c r="D3716" s="36" t="s">
        <v>1678</v>
      </c>
      <c r="E3716" s="36" t="s">
        <v>76</v>
      </c>
      <c r="G3716" s="87">
        <v>920000</v>
      </c>
      <c r="H3716" s="87">
        <v>92000</v>
      </c>
      <c r="I3716" s="87">
        <v>1012000</v>
      </c>
      <c r="K3716" s="85">
        <v>2023</v>
      </c>
      <c r="L3716" s="85">
        <v>9</v>
      </c>
      <c r="N3716" s="1" t="s">
        <v>44</v>
      </c>
    </row>
    <row r="3717" spans="1:14">
      <c r="A3717" s="36" t="s">
        <v>32</v>
      </c>
      <c r="B3717" s="37">
        <v>45199</v>
      </c>
      <c r="C3717" s="36" t="s">
        <v>174</v>
      </c>
      <c r="D3717" s="36" t="s">
        <v>1670</v>
      </c>
      <c r="E3717" s="36" t="s">
        <v>76</v>
      </c>
      <c r="G3717" s="87">
        <v>6834600</v>
      </c>
      <c r="H3717" s="87">
        <v>683460</v>
      </c>
      <c r="I3717" s="87">
        <v>7518060</v>
      </c>
      <c r="K3717" s="85">
        <v>2023</v>
      </c>
      <c r="L3717" s="85">
        <v>9</v>
      </c>
      <c r="N3717" s="1" t="s">
        <v>44</v>
      </c>
    </row>
    <row r="3718" spans="1:14">
      <c r="A3718" s="36" t="s">
        <v>32</v>
      </c>
      <c r="B3718" s="37">
        <v>45199</v>
      </c>
      <c r="C3718" s="36" t="s">
        <v>209</v>
      </c>
      <c r="D3718" s="36" t="s">
        <v>1699</v>
      </c>
      <c r="E3718" s="36" t="s">
        <v>76</v>
      </c>
      <c r="G3718" s="87">
        <v>28584700</v>
      </c>
      <c r="H3718" s="87">
        <v>2858470</v>
      </c>
      <c r="I3718" s="87">
        <v>31443170</v>
      </c>
      <c r="K3718" s="85">
        <v>2023</v>
      </c>
      <c r="L3718" s="85">
        <v>9</v>
      </c>
      <c r="N3718" s="1" t="s">
        <v>44</v>
      </c>
    </row>
    <row r="3719" spans="1:14">
      <c r="A3719" s="36" t="s">
        <v>32</v>
      </c>
      <c r="B3719" s="37">
        <v>45199</v>
      </c>
      <c r="C3719" s="36" t="s">
        <v>209</v>
      </c>
      <c r="D3719" s="36" t="s">
        <v>1885</v>
      </c>
      <c r="E3719" s="36" t="s">
        <v>1551</v>
      </c>
      <c r="G3719" s="87">
        <v>9786700</v>
      </c>
      <c r="H3719" s="87">
        <v>978670</v>
      </c>
      <c r="I3719" s="87">
        <v>10765370</v>
      </c>
      <c r="K3719" s="85">
        <v>2023</v>
      </c>
      <c r="L3719" s="85">
        <v>9</v>
      </c>
      <c r="N3719" s="1" t="s">
        <v>44</v>
      </c>
    </row>
    <row r="3720" spans="1:14">
      <c r="A3720" s="36" t="s">
        <v>32</v>
      </c>
      <c r="B3720" s="37">
        <v>45199</v>
      </c>
      <c r="C3720" s="36" t="s">
        <v>209</v>
      </c>
      <c r="D3720" s="36" t="s">
        <v>2001</v>
      </c>
      <c r="E3720" s="36" t="s">
        <v>267</v>
      </c>
      <c r="G3720" s="87">
        <v>2646000</v>
      </c>
      <c r="H3720" s="87">
        <v>264600</v>
      </c>
      <c r="I3720" s="87">
        <v>2910600</v>
      </c>
      <c r="K3720" s="85">
        <v>2023</v>
      </c>
      <c r="L3720" s="85">
        <v>9</v>
      </c>
      <c r="N3720" s="1" t="s">
        <v>44</v>
      </c>
    </row>
    <row r="3721" spans="1:14">
      <c r="A3721" s="36" t="s">
        <v>32</v>
      </c>
      <c r="B3721" s="37">
        <v>45199</v>
      </c>
      <c r="C3721" s="36" t="s">
        <v>209</v>
      </c>
      <c r="D3721" s="36" t="s">
        <v>2001</v>
      </c>
      <c r="E3721" s="36" t="s">
        <v>76</v>
      </c>
      <c r="G3721" s="87">
        <v>822000</v>
      </c>
      <c r="H3721" s="87">
        <v>82200</v>
      </c>
      <c r="I3721" s="87">
        <v>904200</v>
      </c>
      <c r="K3721" s="85">
        <v>2023</v>
      </c>
      <c r="L3721" s="85">
        <v>9</v>
      </c>
      <c r="N3721" s="1" t="s">
        <v>44</v>
      </c>
    </row>
    <row r="3722" spans="1:14">
      <c r="A3722" s="36" t="s">
        <v>32</v>
      </c>
      <c r="B3722" s="37">
        <v>45199</v>
      </c>
      <c r="C3722" s="36" t="s">
        <v>209</v>
      </c>
      <c r="D3722" s="36" t="s">
        <v>1412</v>
      </c>
      <c r="E3722" s="36" t="s">
        <v>76</v>
      </c>
      <c r="G3722" s="87">
        <v>68040000</v>
      </c>
      <c r="H3722" s="87">
        <v>6804000</v>
      </c>
      <c r="I3722" s="87">
        <v>74844000</v>
      </c>
      <c r="K3722" s="85">
        <v>2023</v>
      </c>
      <c r="L3722" s="85">
        <v>9</v>
      </c>
      <c r="N3722" s="1" t="s">
        <v>44</v>
      </c>
    </row>
    <row r="3723" spans="1:14">
      <c r="A3723" s="36" t="s">
        <v>32</v>
      </c>
      <c r="B3723" s="37">
        <v>45199</v>
      </c>
      <c r="C3723" s="36" t="s">
        <v>209</v>
      </c>
      <c r="D3723" s="36" t="s">
        <v>1412</v>
      </c>
      <c r="E3723" s="36" t="s">
        <v>1688</v>
      </c>
      <c r="G3723" s="87">
        <v>1731600</v>
      </c>
      <c r="H3723" s="87">
        <v>173160</v>
      </c>
      <c r="I3723" s="87">
        <v>1904760</v>
      </c>
      <c r="K3723" s="85">
        <v>2023</v>
      </c>
      <c r="L3723" s="85">
        <v>9</v>
      </c>
      <c r="N3723" s="1" t="s">
        <v>44</v>
      </c>
    </row>
    <row r="3724" spans="1:14">
      <c r="A3724" s="36" t="s">
        <v>32</v>
      </c>
      <c r="B3724" s="37">
        <v>45199</v>
      </c>
      <c r="C3724" s="36" t="s">
        <v>209</v>
      </c>
      <c r="D3724" s="36" t="s">
        <v>1412</v>
      </c>
      <c r="E3724" s="36" t="s">
        <v>1689</v>
      </c>
      <c r="G3724" s="87">
        <v>24516400</v>
      </c>
      <c r="H3724" s="87">
        <v>2451640</v>
      </c>
      <c r="I3724" s="87">
        <v>26968040</v>
      </c>
      <c r="K3724" s="85">
        <v>2023</v>
      </c>
      <c r="L3724" s="85">
        <v>9</v>
      </c>
      <c r="N3724" s="1" t="s">
        <v>44</v>
      </c>
    </row>
    <row r="3725" spans="1:14">
      <c r="A3725" s="36" t="s">
        <v>32</v>
      </c>
      <c r="B3725" s="37">
        <v>45199</v>
      </c>
      <c r="C3725" s="36" t="s">
        <v>209</v>
      </c>
      <c r="D3725" s="36" t="s">
        <v>1537</v>
      </c>
      <c r="E3725" s="36" t="s">
        <v>1491</v>
      </c>
      <c r="G3725" s="87">
        <v>6048800</v>
      </c>
      <c r="H3725" s="87">
        <v>604880</v>
      </c>
      <c r="I3725" s="87">
        <v>6653680</v>
      </c>
      <c r="K3725" s="85">
        <v>2023</v>
      </c>
      <c r="L3725" s="85">
        <v>9</v>
      </c>
      <c r="N3725" s="1" t="s">
        <v>44</v>
      </c>
    </row>
    <row r="3726" spans="1:14">
      <c r="A3726" s="36" t="s">
        <v>32</v>
      </c>
      <c r="B3726" s="37">
        <v>45199</v>
      </c>
      <c r="C3726" s="36" t="s">
        <v>1266</v>
      </c>
      <c r="D3726" s="36" t="s">
        <v>1277</v>
      </c>
      <c r="E3726" s="36" t="s">
        <v>1693</v>
      </c>
      <c r="G3726" s="87">
        <v>851000</v>
      </c>
      <c r="H3726" s="87">
        <v>85100</v>
      </c>
      <c r="I3726" s="87">
        <v>936100</v>
      </c>
      <c r="K3726" s="85">
        <v>2023</v>
      </c>
      <c r="L3726" s="85">
        <v>9</v>
      </c>
      <c r="N3726" s="1" t="s">
        <v>44</v>
      </c>
    </row>
    <row r="3727" spans="1:14">
      <c r="A3727" s="36" t="s">
        <v>33</v>
      </c>
      <c r="B3727" s="37">
        <v>45199</v>
      </c>
      <c r="C3727" s="36" t="s">
        <v>96</v>
      </c>
      <c r="D3727" s="36" t="s">
        <v>1655</v>
      </c>
      <c r="E3727" s="36" t="s">
        <v>1656</v>
      </c>
      <c r="G3727" s="87">
        <v>130000</v>
      </c>
      <c r="H3727" s="87">
        <v>13000</v>
      </c>
      <c r="I3727" s="87">
        <v>143000</v>
      </c>
      <c r="K3727" s="85">
        <v>2023</v>
      </c>
      <c r="L3727" s="85">
        <v>9</v>
      </c>
      <c r="N3727" s="1" t="s">
        <v>44</v>
      </c>
    </row>
    <row r="3728" spans="1:14">
      <c r="A3728" s="36" t="s">
        <v>33</v>
      </c>
      <c r="B3728" s="37">
        <v>45199</v>
      </c>
      <c r="C3728" s="36" t="s">
        <v>96</v>
      </c>
      <c r="D3728" s="36" t="s">
        <v>1657</v>
      </c>
      <c r="E3728" s="36" t="s">
        <v>1656</v>
      </c>
      <c r="G3728" s="87">
        <v>250000</v>
      </c>
      <c r="H3728" s="87">
        <v>25000</v>
      </c>
      <c r="I3728" s="87">
        <v>275000</v>
      </c>
      <c r="K3728" s="85">
        <v>2023</v>
      </c>
      <c r="L3728" s="85">
        <v>9</v>
      </c>
      <c r="N3728" s="1" t="s">
        <v>44</v>
      </c>
    </row>
    <row r="3729" spans="1:14">
      <c r="A3729" s="36" t="s">
        <v>33</v>
      </c>
      <c r="B3729" s="37">
        <v>45199</v>
      </c>
      <c r="C3729" s="36" t="s">
        <v>96</v>
      </c>
      <c r="D3729" s="36" t="s">
        <v>1657</v>
      </c>
      <c r="E3729" s="36" t="s">
        <v>1656</v>
      </c>
      <c r="G3729" s="87">
        <v>-250000</v>
      </c>
      <c r="H3729" s="87">
        <v>-25000</v>
      </c>
      <c r="I3729" s="87">
        <v>-275000</v>
      </c>
      <c r="K3729" s="85">
        <v>2023</v>
      </c>
      <c r="L3729" s="85">
        <v>9</v>
      </c>
      <c r="N3729" s="1" t="s">
        <v>44</v>
      </c>
    </row>
    <row r="3730" spans="1:14">
      <c r="A3730" s="36" t="s">
        <v>32</v>
      </c>
      <c r="B3730" s="37">
        <v>45199</v>
      </c>
      <c r="C3730" s="36" t="s">
        <v>1661</v>
      </c>
      <c r="D3730" s="36" t="s">
        <v>1674</v>
      </c>
      <c r="E3730" s="36" t="s">
        <v>267</v>
      </c>
      <c r="G3730" s="87">
        <v>600000</v>
      </c>
      <c r="H3730" s="87">
        <v>60000</v>
      </c>
      <c r="I3730" s="87">
        <v>660000</v>
      </c>
      <c r="K3730" s="85">
        <v>2023</v>
      </c>
      <c r="L3730" s="85">
        <v>9</v>
      </c>
      <c r="N3730" s="1" t="s">
        <v>44</v>
      </c>
    </row>
    <row r="3731" spans="1:14">
      <c r="A3731" s="36" t="s">
        <v>32</v>
      </c>
      <c r="B3731" s="37">
        <v>45199</v>
      </c>
      <c r="C3731" s="36" t="s">
        <v>1332</v>
      </c>
      <c r="D3731" s="36" t="s">
        <v>1341</v>
      </c>
      <c r="E3731" s="36" t="s">
        <v>76</v>
      </c>
      <c r="G3731" s="87">
        <v>34290000</v>
      </c>
      <c r="H3731" s="87">
        <v>3429000</v>
      </c>
      <c r="I3731" s="87">
        <v>37719000</v>
      </c>
      <c r="K3731" s="85">
        <v>2023</v>
      </c>
      <c r="L3731" s="85">
        <v>9</v>
      </c>
      <c r="N3731" s="1" t="s">
        <v>44</v>
      </c>
    </row>
    <row r="3732" spans="1:14">
      <c r="A3732" s="36" t="s">
        <v>32</v>
      </c>
      <c r="B3732" s="37">
        <v>45199</v>
      </c>
      <c r="C3732" s="36" t="s">
        <v>204</v>
      </c>
      <c r="D3732" s="36" t="s">
        <v>1482</v>
      </c>
      <c r="E3732" s="36" t="s">
        <v>267</v>
      </c>
      <c r="G3732" s="87">
        <v>511200</v>
      </c>
      <c r="H3732" s="87">
        <v>51120</v>
      </c>
      <c r="I3732" s="87">
        <v>562320</v>
      </c>
      <c r="K3732" s="85">
        <v>2023</v>
      </c>
      <c r="L3732" s="85">
        <v>9</v>
      </c>
      <c r="N3732" s="1" t="s">
        <v>44</v>
      </c>
    </row>
    <row r="3733" spans="1:14">
      <c r="A3733" s="36" t="s">
        <v>32</v>
      </c>
      <c r="B3733" s="37">
        <v>45199</v>
      </c>
      <c r="C3733" s="36" t="s">
        <v>204</v>
      </c>
      <c r="D3733" s="36" t="s">
        <v>1273</v>
      </c>
      <c r="E3733" s="36" t="s">
        <v>76</v>
      </c>
      <c r="G3733" s="87">
        <v>9323000</v>
      </c>
      <c r="H3733" s="87">
        <v>932300</v>
      </c>
      <c r="I3733" s="87">
        <v>10255300</v>
      </c>
      <c r="K3733" s="85">
        <v>2023</v>
      </c>
      <c r="L3733" s="85">
        <v>9</v>
      </c>
      <c r="N3733" s="1" t="s">
        <v>44</v>
      </c>
    </row>
    <row r="3734" spans="1:14">
      <c r="A3734" s="36" t="s">
        <v>32</v>
      </c>
      <c r="B3734" s="37">
        <v>45199</v>
      </c>
      <c r="C3734" s="36" t="s">
        <v>1533</v>
      </c>
      <c r="D3734" s="36" t="s">
        <v>1538</v>
      </c>
      <c r="E3734" s="36" t="s">
        <v>76</v>
      </c>
      <c r="G3734" s="87">
        <v>1555200</v>
      </c>
      <c r="H3734" s="87">
        <v>155520</v>
      </c>
      <c r="I3734" s="87">
        <v>1710720</v>
      </c>
      <c r="K3734" s="85">
        <v>2023</v>
      </c>
      <c r="L3734" s="85">
        <v>9</v>
      </c>
      <c r="N3734" s="1" t="s">
        <v>44</v>
      </c>
    </row>
    <row r="3735" spans="1:14">
      <c r="A3735" s="36" t="s">
        <v>32</v>
      </c>
      <c r="B3735" s="37">
        <v>45199</v>
      </c>
      <c r="C3735" s="36" t="s">
        <v>925</v>
      </c>
      <c r="D3735" s="36" t="s">
        <v>926</v>
      </c>
      <c r="E3735" s="36" t="s">
        <v>1736</v>
      </c>
      <c r="G3735" s="87">
        <v>1655150</v>
      </c>
      <c r="H3735" s="87">
        <v>165515</v>
      </c>
      <c r="I3735" s="87">
        <v>1820665</v>
      </c>
      <c r="K3735" s="85">
        <v>2023</v>
      </c>
      <c r="L3735" s="85">
        <v>9</v>
      </c>
      <c r="N3735" s="1" t="s">
        <v>44</v>
      </c>
    </row>
    <row r="3736" spans="1:14">
      <c r="A3736" s="36" t="s">
        <v>32</v>
      </c>
      <c r="B3736" s="37">
        <v>45199</v>
      </c>
      <c r="C3736" s="36" t="s">
        <v>1470</v>
      </c>
      <c r="D3736" s="36" t="s">
        <v>1487</v>
      </c>
      <c r="E3736" s="36" t="s">
        <v>76</v>
      </c>
      <c r="G3736" s="87">
        <v>71032220</v>
      </c>
      <c r="H3736" s="87">
        <v>7103222</v>
      </c>
      <c r="I3736" s="87">
        <v>78135442</v>
      </c>
      <c r="K3736" s="85">
        <v>2023</v>
      </c>
      <c r="L3736" s="85">
        <v>9</v>
      </c>
      <c r="N3736" s="1" t="s">
        <v>44</v>
      </c>
    </row>
    <row r="3737" spans="1:14">
      <c r="A3737" s="36" t="s">
        <v>32</v>
      </c>
      <c r="B3737" s="37">
        <v>45199</v>
      </c>
      <c r="C3737" s="36" t="s">
        <v>1584</v>
      </c>
      <c r="D3737" s="36" t="s">
        <v>1540</v>
      </c>
      <c r="E3737" s="36" t="s">
        <v>267</v>
      </c>
      <c r="G3737" s="87">
        <v>1107000</v>
      </c>
      <c r="H3737" s="87">
        <v>110700</v>
      </c>
      <c r="I3737" s="87">
        <v>1217700</v>
      </c>
      <c r="K3737" s="85">
        <v>2023</v>
      </c>
      <c r="L3737" s="85">
        <v>9</v>
      </c>
      <c r="N3737" s="1" t="s">
        <v>44</v>
      </c>
    </row>
    <row r="3738" spans="1:14">
      <c r="A3738" s="36" t="s">
        <v>32</v>
      </c>
      <c r="B3738" s="37">
        <v>45199</v>
      </c>
      <c r="C3738" s="36" t="s">
        <v>1584</v>
      </c>
      <c r="D3738" s="36" t="s">
        <v>1539</v>
      </c>
      <c r="E3738" s="36" t="s">
        <v>267</v>
      </c>
      <c r="G3738" s="87">
        <v>1344600</v>
      </c>
      <c r="H3738" s="87">
        <v>134460</v>
      </c>
      <c r="I3738" s="87">
        <v>1479060</v>
      </c>
      <c r="K3738" s="85">
        <v>2023</v>
      </c>
      <c r="L3738" s="85">
        <v>9</v>
      </c>
      <c r="N3738" s="1" t="s">
        <v>44</v>
      </c>
    </row>
    <row r="3739" spans="1:14">
      <c r="A3739" s="36" t="s">
        <v>32</v>
      </c>
      <c r="B3739" s="37">
        <v>45199</v>
      </c>
      <c r="C3739" s="36" t="s">
        <v>334</v>
      </c>
      <c r="D3739" s="36" t="s">
        <v>1685</v>
      </c>
      <c r="E3739" s="36" t="s">
        <v>267</v>
      </c>
      <c r="G3739" s="87">
        <v>1763400</v>
      </c>
      <c r="H3739" s="87">
        <v>176340</v>
      </c>
      <c r="I3739" s="87">
        <v>1939740</v>
      </c>
      <c r="K3739" s="85">
        <v>2023</v>
      </c>
      <c r="L3739" s="85">
        <v>9</v>
      </c>
      <c r="N3739" s="1" t="s">
        <v>44</v>
      </c>
    </row>
    <row r="3740" spans="1:14">
      <c r="A3740" s="36" t="s">
        <v>33</v>
      </c>
      <c r="B3740" s="37">
        <v>45199</v>
      </c>
      <c r="C3740" s="36" t="s">
        <v>1262</v>
      </c>
      <c r="D3740" s="36" t="s">
        <v>886</v>
      </c>
      <c r="E3740" s="36" t="s">
        <v>76</v>
      </c>
      <c r="G3740" s="87">
        <v>2300000</v>
      </c>
      <c r="H3740" s="87">
        <v>230000</v>
      </c>
      <c r="I3740" s="87">
        <v>2530000</v>
      </c>
      <c r="K3740" s="85">
        <v>2023</v>
      </c>
      <c r="L3740" s="85">
        <v>9</v>
      </c>
      <c r="N3740" s="1" t="s">
        <v>44</v>
      </c>
    </row>
    <row r="3741" spans="1:14">
      <c r="A3741" s="36" t="s">
        <v>32</v>
      </c>
      <c r="B3741" s="37">
        <v>45199</v>
      </c>
      <c r="C3741" s="36" t="s">
        <v>677</v>
      </c>
      <c r="D3741" s="36" t="s">
        <v>825</v>
      </c>
      <c r="E3741" s="36" t="s">
        <v>267</v>
      </c>
      <c r="G3741" s="87">
        <v>12877500</v>
      </c>
      <c r="H3741" s="87">
        <v>1287750</v>
      </c>
      <c r="I3741" s="87">
        <v>14165250</v>
      </c>
      <c r="K3741" s="85">
        <v>2023</v>
      </c>
      <c r="L3741" s="85">
        <v>9</v>
      </c>
      <c r="N3741" s="1" t="s">
        <v>44</v>
      </c>
    </row>
    <row r="3742" spans="1:14">
      <c r="A3742" s="36" t="s">
        <v>32</v>
      </c>
      <c r="B3742" s="37">
        <v>45199</v>
      </c>
      <c r="C3742" s="36" t="s">
        <v>677</v>
      </c>
      <c r="D3742" s="36" t="s">
        <v>678</v>
      </c>
      <c r="E3742" s="36" t="s">
        <v>76</v>
      </c>
      <c r="G3742" s="87">
        <v>1250000</v>
      </c>
      <c r="H3742" s="87">
        <v>125000</v>
      </c>
      <c r="I3742" s="87">
        <v>1375000</v>
      </c>
      <c r="K3742" s="85">
        <v>2023</v>
      </c>
      <c r="L3742" s="85">
        <v>9</v>
      </c>
      <c r="N3742" s="1" t="s">
        <v>44</v>
      </c>
    </row>
    <row r="3743" spans="1:14">
      <c r="A3743" s="36" t="s">
        <v>32</v>
      </c>
      <c r="B3743" s="37">
        <v>45199</v>
      </c>
      <c r="C3743" s="36" t="s">
        <v>1467</v>
      </c>
      <c r="D3743" s="36" t="s">
        <v>1593</v>
      </c>
      <c r="E3743" s="36" t="s">
        <v>76</v>
      </c>
      <c r="G3743" s="87">
        <v>2760800</v>
      </c>
      <c r="H3743" s="87">
        <v>276080</v>
      </c>
      <c r="I3743" s="87">
        <v>3036880</v>
      </c>
      <c r="K3743" s="85">
        <v>2023</v>
      </c>
      <c r="L3743" s="85">
        <v>9</v>
      </c>
      <c r="N3743" s="1" t="s">
        <v>44</v>
      </c>
    </row>
    <row r="3744" spans="1:14">
      <c r="A3744" s="36" t="s">
        <v>32</v>
      </c>
      <c r="B3744" s="37">
        <v>45199</v>
      </c>
      <c r="C3744" s="36" t="s">
        <v>1467</v>
      </c>
      <c r="D3744" s="36" t="s">
        <v>1594</v>
      </c>
      <c r="E3744" s="36" t="s">
        <v>76</v>
      </c>
      <c r="G3744" s="87">
        <v>750000</v>
      </c>
      <c r="H3744" s="87">
        <v>75000</v>
      </c>
      <c r="I3744" s="87">
        <v>825000</v>
      </c>
      <c r="K3744" s="85">
        <v>2023</v>
      </c>
      <c r="L3744" s="85">
        <v>9</v>
      </c>
      <c r="N3744" s="1" t="s">
        <v>44</v>
      </c>
    </row>
    <row r="3745" spans="1:14">
      <c r="A3745" s="36" t="s">
        <v>32</v>
      </c>
      <c r="B3745" s="37">
        <v>45199</v>
      </c>
      <c r="C3745" s="36" t="s">
        <v>1467</v>
      </c>
      <c r="D3745" s="36" t="s">
        <v>1676</v>
      </c>
      <c r="E3745" s="36" t="s">
        <v>76</v>
      </c>
      <c r="G3745" s="87">
        <v>5550000</v>
      </c>
      <c r="H3745" s="87">
        <v>555000</v>
      </c>
      <c r="I3745" s="87">
        <v>6105000</v>
      </c>
      <c r="K3745" s="85">
        <v>2023</v>
      </c>
      <c r="L3745" s="85">
        <v>9</v>
      </c>
      <c r="N3745" s="1" t="s">
        <v>44</v>
      </c>
    </row>
    <row r="3746" spans="1:14">
      <c r="A3746" s="36" t="s">
        <v>33</v>
      </c>
      <c r="B3746" s="37">
        <v>45199</v>
      </c>
      <c r="C3746" s="36" t="s">
        <v>119</v>
      </c>
      <c r="D3746" s="36" t="s">
        <v>1658</v>
      </c>
      <c r="E3746" s="36" t="s">
        <v>76</v>
      </c>
      <c r="G3746" s="87">
        <v>27405000</v>
      </c>
      <c r="H3746" s="87">
        <v>2740500</v>
      </c>
      <c r="I3746" s="87">
        <v>30145500</v>
      </c>
      <c r="K3746" s="85">
        <v>2023</v>
      </c>
      <c r="L3746" s="85">
        <v>9</v>
      </c>
      <c r="N3746" s="1" t="s">
        <v>44</v>
      </c>
    </row>
    <row r="3747" spans="1:14">
      <c r="A3747" s="36" t="s">
        <v>32</v>
      </c>
      <c r="B3747" s="37">
        <v>45199</v>
      </c>
      <c r="C3747" s="36" t="s">
        <v>264</v>
      </c>
      <c r="D3747" s="36" t="s">
        <v>1679</v>
      </c>
      <c r="E3747" s="36" t="s">
        <v>76</v>
      </c>
      <c r="G3747" s="87">
        <v>17400000</v>
      </c>
      <c r="H3747" s="87">
        <v>1740000</v>
      </c>
      <c r="I3747" s="87">
        <v>19140000</v>
      </c>
      <c r="K3747" s="85">
        <v>2023</v>
      </c>
      <c r="L3747" s="85">
        <v>9</v>
      </c>
      <c r="N3747" s="1" t="s">
        <v>44</v>
      </c>
    </row>
    <row r="3748" spans="1:14">
      <c r="A3748" s="36" t="s">
        <v>32</v>
      </c>
      <c r="B3748" s="37">
        <v>45199</v>
      </c>
      <c r="C3748" s="36" t="s">
        <v>1662</v>
      </c>
      <c r="D3748" s="36" t="s">
        <v>1819</v>
      </c>
      <c r="E3748" s="36" t="s">
        <v>267</v>
      </c>
      <c r="G3748" s="87">
        <v>2582300</v>
      </c>
      <c r="H3748" s="87">
        <v>258230</v>
      </c>
      <c r="I3748" s="87">
        <v>2840530</v>
      </c>
      <c r="K3748" s="85">
        <v>2023</v>
      </c>
      <c r="L3748" s="85">
        <v>9</v>
      </c>
      <c r="N3748" s="1" t="s">
        <v>44</v>
      </c>
    </row>
    <row r="3749" spans="1:14">
      <c r="A3749" s="36" t="s">
        <v>32</v>
      </c>
      <c r="B3749" s="37">
        <v>45199</v>
      </c>
      <c r="C3749" s="36" t="s">
        <v>1663</v>
      </c>
      <c r="D3749" s="36" t="s">
        <v>1681</v>
      </c>
      <c r="E3749" s="36" t="s">
        <v>267</v>
      </c>
      <c r="G3749" s="87">
        <v>3736800</v>
      </c>
      <c r="H3749" s="87">
        <v>373680</v>
      </c>
      <c r="I3749" s="87">
        <v>4110480</v>
      </c>
      <c r="K3749" s="85">
        <v>2023</v>
      </c>
      <c r="L3749" s="85">
        <v>9</v>
      </c>
      <c r="N3749" s="1" t="s">
        <v>44</v>
      </c>
    </row>
    <row r="3750" spans="1:14">
      <c r="A3750" s="36" t="s">
        <v>32</v>
      </c>
      <c r="B3750" s="37">
        <v>45199</v>
      </c>
      <c r="C3750" s="36" t="s">
        <v>552</v>
      </c>
      <c r="D3750" s="36" t="s">
        <v>1529</v>
      </c>
      <c r="E3750" s="36" t="s">
        <v>76</v>
      </c>
      <c r="G3750" s="87">
        <v>38210800</v>
      </c>
      <c r="H3750" s="87">
        <v>3821080</v>
      </c>
      <c r="I3750" s="87">
        <v>42031880</v>
      </c>
      <c r="K3750" s="85">
        <v>2023</v>
      </c>
      <c r="L3750" s="85">
        <v>9</v>
      </c>
      <c r="N3750" s="1" t="s">
        <v>44</v>
      </c>
    </row>
    <row r="3751" spans="1:14">
      <c r="A3751" s="36" t="s">
        <v>32</v>
      </c>
      <c r="B3751" s="37">
        <v>45199</v>
      </c>
      <c r="C3751" s="36" t="s">
        <v>552</v>
      </c>
      <c r="D3751" s="36" t="s">
        <v>1668</v>
      </c>
      <c r="E3751" s="36" t="s">
        <v>76</v>
      </c>
      <c r="G3751" s="87">
        <v>33424272</v>
      </c>
      <c r="H3751" s="87">
        <v>3342427.2</v>
      </c>
      <c r="I3751" s="87">
        <v>36766699.200000003</v>
      </c>
      <c r="K3751" s="85">
        <v>2023</v>
      </c>
      <c r="L3751" s="85">
        <v>9</v>
      </c>
      <c r="N3751" s="1" t="s">
        <v>44</v>
      </c>
    </row>
    <row r="3752" spans="1:14">
      <c r="A3752" s="36" t="s">
        <v>33</v>
      </c>
      <c r="B3752" s="37">
        <v>45199</v>
      </c>
      <c r="C3752" s="36" t="s">
        <v>1569</v>
      </c>
      <c r="D3752" s="36" t="s">
        <v>1412</v>
      </c>
      <c r="E3752" s="36" t="s">
        <v>1653</v>
      </c>
      <c r="G3752" s="87">
        <v>21242600</v>
      </c>
      <c r="H3752" s="87">
        <v>2124260</v>
      </c>
      <c r="I3752" s="87">
        <v>23366860</v>
      </c>
      <c r="K3752" s="85">
        <v>2023</v>
      </c>
      <c r="L3752" s="85">
        <v>9</v>
      </c>
      <c r="N3752" s="1" t="s">
        <v>44</v>
      </c>
    </row>
    <row r="3753" spans="1:14">
      <c r="A3753" s="36" t="s">
        <v>32</v>
      </c>
      <c r="B3753" s="37">
        <v>45199</v>
      </c>
      <c r="C3753" s="36" t="s">
        <v>206</v>
      </c>
      <c r="D3753" s="36" t="s">
        <v>1675</v>
      </c>
      <c r="E3753" s="36" t="s">
        <v>76</v>
      </c>
      <c r="G3753" s="87">
        <v>2786400</v>
      </c>
      <c r="H3753" s="87">
        <v>278640</v>
      </c>
      <c r="I3753" s="87">
        <v>3065040</v>
      </c>
      <c r="K3753" s="85">
        <v>2023</v>
      </c>
      <c r="L3753" s="85">
        <v>9</v>
      </c>
      <c r="N3753" s="1" t="s">
        <v>44</v>
      </c>
    </row>
    <row r="3754" spans="1:14">
      <c r="A3754" s="36" t="s">
        <v>32</v>
      </c>
      <c r="B3754" s="37">
        <v>45199</v>
      </c>
      <c r="C3754" s="36" t="s">
        <v>1198</v>
      </c>
      <c r="D3754" s="36" t="s">
        <v>1682</v>
      </c>
      <c r="E3754" s="36" t="s">
        <v>267</v>
      </c>
      <c r="G3754" s="87">
        <v>6705600</v>
      </c>
      <c r="H3754" s="87">
        <v>670560</v>
      </c>
      <c r="I3754" s="87">
        <v>7376160</v>
      </c>
      <c r="K3754" s="85">
        <v>2023</v>
      </c>
      <c r="L3754" s="85">
        <v>9</v>
      </c>
      <c r="N3754" s="1" t="s">
        <v>44</v>
      </c>
    </row>
    <row r="3755" spans="1:14">
      <c r="A3755" s="36" t="s">
        <v>32</v>
      </c>
      <c r="B3755" s="37">
        <v>45199</v>
      </c>
      <c r="C3755" s="36" t="s">
        <v>1198</v>
      </c>
      <c r="D3755" s="36" t="s">
        <v>1683</v>
      </c>
      <c r="E3755" s="36" t="s">
        <v>267</v>
      </c>
      <c r="G3755" s="87">
        <v>6958900</v>
      </c>
      <c r="H3755" s="87">
        <v>695890</v>
      </c>
      <c r="I3755" s="87">
        <v>7654790</v>
      </c>
      <c r="K3755" s="85">
        <v>2023</v>
      </c>
      <c r="L3755" s="85">
        <v>9</v>
      </c>
      <c r="N3755" s="1" t="s">
        <v>44</v>
      </c>
    </row>
    <row r="3756" spans="1:14">
      <c r="A3756" s="36" t="s">
        <v>32</v>
      </c>
      <c r="B3756" s="37">
        <v>45199</v>
      </c>
      <c r="C3756" s="36" t="s">
        <v>1198</v>
      </c>
      <c r="D3756" s="36" t="s">
        <v>1684</v>
      </c>
      <c r="E3756" s="36" t="s">
        <v>267</v>
      </c>
      <c r="G3756" s="87">
        <v>1800000</v>
      </c>
      <c r="H3756" s="87">
        <v>180000</v>
      </c>
      <c r="I3756" s="87">
        <v>1980000</v>
      </c>
      <c r="K3756" s="85">
        <v>2023</v>
      </c>
      <c r="L3756" s="85">
        <v>9</v>
      </c>
      <c r="N3756" s="1" t="s">
        <v>44</v>
      </c>
    </row>
    <row r="3757" spans="1:14">
      <c r="A3757" s="36" t="s">
        <v>32</v>
      </c>
      <c r="B3757" s="37">
        <v>45199</v>
      </c>
      <c r="C3757" s="36" t="s">
        <v>1468</v>
      </c>
      <c r="D3757" s="36" t="s">
        <v>1677</v>
      </c>
      <c r="E3757" s="36" t="s">
        <v>267</v>
      </c>
      <c r="G3757" s="87">
        <v>28420000</v>
      </c>
      <c r="H3757" s="87">
        <v>2842000</v>
      </c>
      <c r="I3757" s="87">
        <v>31262000</v>
      </c>
      <c r="K3757" s="85">
        <v>2023</v>
      </c>
      <c r="L3757" s="85">
        <v>9</v>
      </c>
      <c r="N3757" s="1" t="s">
        <v>44</v>
      </c>
    </row>
    <row r="3758" spans="1:14">
      <c r="A3758" s="36" t="s">
        <v>32</v>
      </c>
      <c r="B3758" s="37">
        <v>45199</v>
      </c>
      <c r="C3758" s="36" t="s">
        <v>1664</v>
      </c>
      <c r="D3758" s="36" t="s">
        <v>1687</v>
      </c>
      <c r="E3758" s="36" t="s">
        <v>76</v>
      </c>
      <c r="G3758" s="87">
        <v>2910600</v>
      </c>
      <c r="H3758" s="87">
        <v>291060</v>
      </c>
      <c r="I3758" s="87">
        <v>3201660</v>
      </c>
      <c r="K3758" s="85">
        <v>2023</v>
      </c>
      <c r="L3758" s="85">
        <v>9</v>
      </c>
      <c r="N3758" s="1" t="s">
        <v>44</v>
      </c>
    </row>
    <row r="3759" spans="1:14">
      <c r="A3759" s="36" t="s">
        <v>32</v>
      </c>
      <c r="B3759" s="37">
        <v>45199</v>
      </c>
      <c r="C3759" s="36" t="s">
        <v>183</v>
      </c>
      <c r="D3759" s="36" t="s">
        <v>1686</v>
      </c>
      <c r="E3759" s="36" t="s">
        <v>267</v>
      </c>
      <c r="G3759" s="87">
        <v>14000000</v>
      </c>
      <c r="H3759" s="87">
        <v>1400000</v>
      </c>
      <c r="I3759" s="87">
        <v>15400000</v>
      </c>
      <c r="K3759" s="85">
        <v>2023</v>
      </c>
      <c r="L3759" s="85">
        <v>9</v>
      </c>
      <c r="N3759" s="1" t="s">
        <v>44</v>
      </c>
    </row>
    <row r="3760" spans="1:14">
      <c r="A3760" s="36" t="s">
        <v>32</v>
      </c>
      <c r="B3760" s="37">
        <v>45199</v>
      </c>
      <c r="C3760" s="36" t="s">
        <v>183</v>
      </c>
      <c r="D3760" s="36" t="s">
        <v>1606</v>
      </c>
      <c r="E3760" s="36" t="s">
        <v>267</v>
      </c>
      <c r="G3760" s="87">
        <v>18810000</v>
      </c>
      <c r="H3760" s="87">
        <v>1881000</v>
      </c>
      <c r="I3760" s="87">
        <v>20691000</v>
      </c>
      <c r="K3760" s="85">
        <v>2023</v>
      </c>
      <c r="L3760" s="85">
        <v>9</v>
      </c>
      <c r="N3760" s="1" t="s">
        <v>44</v>
      </c>
    </row>
    <row r="3761" spans="1:14">
      <c r="A3761" s="36" t="s">
        <v>33</v>
      </c>
      <c r="B3761" s="37">
        <v>45199</v>
      </c>
      <c r="C3761" s="36" t="s">
        <v>590</v>
      </c>
      <c r="D3761" s="36" t="s">
        <v>1011</v>
      </c>
      <c r="E3761" s="36" t="s">
        <v>1253</v>
      </c>
      <c r="G3761" s="87">
        <v>33424272</v>
      </c>
      <c r="H3761" s="87">
        <v>3342427.2</v>
      </c>
      <c r="I3761" s="87">
        <v>36766699.200000003</v>
      </c>
      <c r="K3761" s="85">
        <v>2023</v>
      </c>
      <c r="L3761" s="85">
        <v>9</v>
      </c>
      <c r="N3761" s="1" t="s">
        <v>44</v>
      </c>
    </row>
    <row r="3762" spans="1:14">
      <c r="A3762" s="36" t="s">
        <v>32</v>
      </c>
      <c r="B3762" s="37">
        <v>45199</v>
      </c>
      <c r="C3762" s="36" t="s">
        <v>307</v>
      </c>
      <c r="D3762" s="36" t="s">
        <v>1603</v>
      </c>
      <c r="E3762" s="36" t="s">
        <v>267</v>
      </c>
      <c r="G3762" s="87">
        <v>1400000</v>
      </c>
      <c r="H3762" s="87">
        <v>140000</v>
      </c>
      <c r="I3762" s="87">
        <v>1540000</v>
      </c>
      <c r="K3762" s="85">
        <v>2023</v>
      </c>
      <c r="L3762" s="85">
        <v>9</v>
      </c>
      <c r="N3762" s="1" t="s">
        <v>44</v>
      </c>
    </row>
    <row r="3763" spans="1:14">
      <c r="A3763" s="36" t="s">
        <v>32</v>
      </c>
      <c r="B3763" s="37">
        <v>45199</v>
      </c>
      <c r="C3763" s="36" t="s">
        <v>307</v>
      </c>
      <c r="D3763" s="36" t="s">
        <v>1488</v>
      </c>
      <c r="E3763" s="36" t="s">
        <v>76</v>
      </c>
      <c r="G3763" s="87">
        <v>5939400</v>
      </c>
      <c r="H3763" s="87">
        <v>593940</v>
      </c>
      <c r="I3763" s="87">
        <v>6533340</v>
      </c>
      <c r="K3763" s="85">
        <v>2023</v>
      </c>
      <c r="L3763" s="85">
        <v>9</v>
      </c>
      <c r="N3763" s="1" t="s">
        <v>44</v>
      </c>
    </row>
    <row r="3764" spans="1:14">
      <c r="A3764" s="36" t="s">
        <v>32</v>
      </c>
      <c r="B3764" s="37">
        <v>45199</v>
      </c>
      <c r="C3764" s="36" t="s">
        <v>175</v>
      </c>
      <c r="D3764" s="36" t="s">
        <v>1669</v>
      </c>
      <c r="E3764" s="36" t="s">
        <v>76</v>
      </c>
      <c r="G3764" s="87">
        <v>46721400</v>
      </c>
      <c r="H3764" s="87">
        <v>4672140</v>
      </c>
      <c r="I3764" s="87">
        <v>51393540</v>
      </c>
      <c r="K3764" s="85">
        <v>2023</v>
      </c>
      <c r="L3764" s="85">
        <v>9</v>
      </c>
      <c r="N3764" s="1" t="s">
        <v>44</v>
      </c>
    </row>
    <row r="3765" spans="1:14">
      <c r="A3765" s="36" t="s">
        <v>32</v>
      </c>
      <c r="B3765" s="37">
        <v>45199</v>
      </c>
      <c r="C3765" s="36" t="s">
        <v>1586</v>
      </c>
      <c r="D3765" s="36" t="s">
        <v>1680</v>
      </c>
      <c r="E3765" s="36" t="s">
        <v>76</v>
      </c>
      <c r="G3765" s="87">
        <v>20000000</v>
      </c>
      <c r="H3765" s="87">
        <v>2000000</v>
      </c>
      <c r="I3765" s="87">
        <v>22000000</v>
      </c>
      <c r="K3765" s="85">
        <v>2023</v>
      </c>
      <c r="L3765" s="85">
        <v>9</v>
      </c>
      <c r="N3765" s="1" t="s">
        <v>44</v>
      </c>
    </row>
    <row r="3766" spans="1:14">
      <c r="A3766" s="36" t="s">
        <v>33</v>
      </c>
      <c r="B3766" s="37">
        <v>45199</v>
      </c>
      <c r="C3766" s="36" t="s">
        <v>1391</v>
      </c>
      <c r="D3766" s="36" t="s">
        <v>1227</v>
      </c>
      <c r="E3766" s="36" t="s">
        <v>198</v>
      </c>
      <c r="G3766" s="87">
        <v>7872750</v>
      </c>
      <c r="H3766" s="87">
        <v>787275</v>
      </c>
      <c r="I3766" s="87">
        <v>8660025</v>
      </c>
      <c r="K3766" s="85">
        <v>2023</v>
      </c>
      <c r="L3766" s="85">
        <v>9</v>
      </c>
      <c r="N3766" s="1" t="s">
        <v>44</v>
      </c>
    </row>
    <row r="3767" spans="1:14">
      <c r="A3767" s="36" t="s">
        <v>32</v>
      </c>
      <c r="B3767" s="37">
        <v>45199</v>
      </c>
      <c r="C3767" s="36" t="s">
        <v>1257</v>
      </c>
      <c r="D3767" s="36" t="s">
        <v>1258</v>
      </c>
      <c r="E3767" s="36" t="s">
        <v>76</v>
      </c>
      <c r="G3767" s="87">
        <v>2530000</v>
      </c>
      <c r="H3767" s="87">
        <v>253000</v>
      </c>
      <c r="I3767" s="87">
        <v>2783000</v>
      </c>
      <c r="K3767" s="85">
        <v>2023</v>
      </c>
      <c r="L3767" s="85">
        <v>9</v>
      </c>
      <c r="M3767" s="36" t="s">
        <v>1709</v>
      </c>
      <c r="N3767" s="1" t="s">
        <v>44</v>
      </c>
    </row>
    <row r="3768" spans="1:14">
      <c r="A3768" s="36" t="s">
        <v>33</v>
      </c>
      <c r="B3768" s="37">
        <v>45199</v>
      </c>
      <c r="C3768" s="36" t="s">
        <v>1650</v>
      </c>
      <c r="D3768" s="36" t="s">
        <v>790</v>
      </c>
      <c r="E3768" s="36" t="s">
        <v>1651</v>
      </c>
      <c r="G3768" s="87">
        <v>1150000</v>
      </c>
      <c r="H3768" s="87">
        <v>115000</v>
      </c>
      <c r="I3768" s="87">
        <v>1265000</v>
      </c>
      <c r="K3768" s="85">
        <v>2023</v>
      </c>
      <c r="L3768" s="85">
        <v>9</v>
      </c>
      <c r="N3768" s="1" t="s">
        <v>44</v>
      </c>
    </row>
    <row r="3769" spans="1:14">
      <c r="A3769" s="36" t="s">
        <v>32</v>
      </c>
      <c r="B3769" s="37">
        <v>45199</v>
      </c>
      <c r="C3769" s="36" t="s">
        <v>1336</v>
      </c>
      <c r="D3769" s="36" t="s">
        <v>1671</v>
      </c>
      <c r="E3769" s="36" t="s">
        <v>267</v>
      </c>
      <c r="G3769" s="87">
        <v>10640000</v>
      </c>
      <c r="H3769" s="87">
        <v>1064000</v>
      </c>
      <c r="I3769" s="87">
        <v>11704000</v>
      </c>
      <c r="K3769" s="85">
        <v>2023</v>
      </c>
      <c r="L3769" s="85">
        <v>9</v>
      </c>
      <c r="N3769" s="1" t="s">
        <v>44</v>
      </c>
    </row>
    <row r="3770" spans="1:14">
      <c r="A3770" s="36" t="s">
        <v>32</v>
      </c>
      <c r="B3770" s="37">
        <v>45199</v>
      </c>
      <c r="C3770" s="36" t="s">
        <v>654</v>
      </c>
      <c r="D3770" s="36" t="s">
        <v>1672</v>
      </c>
      <c r="E3770" s="36" t="s">
        <v>76</v>
      </c>
      <c r="G3770" s="87">
        <v>5798400</v>
      </c>
      <c r="H3770" s="87">
        <v>579840</v>
      </c>
      <c r="I3770" s="87">
        <v>6378240</v>
      </c>
      <c r="K3770" s="85">
        <v>2023</v>
      </c>
      <c r="L3770" s="85">
        <v>9</v>
      </c>
      <c r="N3770" s="1" t="s">
        <v>44</v>
      </c>
    </row>
    <row r="3771" spans="1:14">
      <c r="A3771" s="36" t="s">
        <v>32</v>
      </c>
      <c r="B3771" s="37">
        <v>45199</v>
      </c>
      <c r="C3771" s="36" t="s">
        <v>654</v>
      </c>
      <c r="D3771" s="36" t="s">
        <v>1673</v>
      </c>
      <c r="E3771" s="36" t="s">
        <v>76</v>
      </c>
      <c r="G3771" s="87">
        <v>71520000</v>
      </c>
      <c r="H3771" s="87">
        <v>7152000</v>
      </c>
      <c r="I3771" s="87">
        <v>78672000</v>
      </c>
      <c r="K3771" s="85">
        <v>2023</v>
      </c>
      <c r="L3771" s="85">
        <v>9</v>
      </c>
      <c r="N3771" s="1" t="s">
        <v>44</v>
      </c>
    </row>
    <row r="3772" spans="1:14">
      <c r="A3772" s="36" t="s">
        <v>32</v>
      </c>
      <c r="B3772" s="37">
        <v>45199</v>
      </c>
      <c r="C3772" s="36" t="s">
        <v>1587</v>
      </c>
      <c r="D3772" s="36" t="s">
        <v>1609</v>
      </c>
      <c r="E3772" s="36" t="s">
        <v>76</v>
      </c>
      <c r="G3772" s="87">
        <v>6030000</v>
      </c>
      <c r="H3772" s="87">
        <v>603000</v>
      </c>
      <c r="I3772" s="87">
        <v>6633000</v>
      </c>
      <c r="K3772" s="85">
        <v>2023</v>
      </c>
      <c r="L3772" s="85">
        <v>9</v>
      </c>
      <c r="N3772" s="1" t="s">
        <v>44</v>
      </c>
    </row>
    <row r="3773" spans="1:14">
      <c r="A3773" s="36" t="s">
        <v>1712</v>
      </c>
      <c r="B3773" s="37">
        <v>45200</v>
      </c>
      <c r="C3773" s="36" t="s">
        <v>1713</v>
      </c>
      <c r="D3773" s="36" t="s">
        <v>1669</v>
      </c>
      <c r="E3773" s="36" t="s">
        <v>1714</v>
      </c>
      <c r="G3773" s="87">
        <v>-1151400</v>
      </c>
      <c r="H3773" s="87">
        <v>-115140</v>
      </c>
      <c r="I3773" s="87">
        <v>-1266540</v>
      </c>
      <c r="K3773" s="85">
        <v>2023</v>
      </c>
      <c r="L3773" s="85">
        <v>9</v>
      </c>
      <c r="N3773" s="1" t="s">
        <v>1715</v>
      </c>
    </row>
    <row r="3774" spans="1:14">
      <c r="A3774" s="36" t="s">
        <v>32</v>
      </c>
      <c r="B3774" s="37">
        <v>45203</v>
      </c>
      <c r="C3774" s="36" t="s">
        <v>174</v>
      </c>
      <c r="D3774" s="36" t="s">
        <v>1155</v>
      </c>
      <c r="E3774" s="36" t="s">
        <v>148</v>
      </c>
      <c r="J3774" s="87">
        <v>10692000</v>
      </c>
      <c r="K3774" s="85">
        <v>2023</v>
      </c>
      <c r="L3774" s="85">
        <v>8</v>
      </c>
      <c r="N3774" s="1" t="s">
        <v>44</v>
      </c>
    </row>
    <row r="3775" spans="1:14">
      <c r="A3775" s="36" t="s">
        <v>32</v>
      </c>
      <c r="B3775" s="37">
        <v>45203</v>
      </c>
      <c r="C3775" s="36" t="s">
        <v>1585</v>
      </c>
      <c r="D3775" s="36" t="s">
        <v>1607</v>
      </c>
      <c r="E3775" s="36" t="s">
        <v>1646</v>
      </c>
      <c r="J3775" s="87">
        <v>1595000</v>
      </c>
      <c r="K3775" s="85">
        <v>2023</v>
      </c>
      <c r="L3775" s="85">
        <v>8</v>
      </c>
      <c r="N3775" s="1" t="s">
        <v>44</v>
      </c>
    </row>
    <row r="3776" spans="1:14">
      <c r="A3776" s="36" t="s">
        <v>33</v>
      </c>
      <c r="B3776" s="37">
        <v>45203</v>
      </c>
      <c r="C3776" s="36" t="s">
        <v>971</v>
      </c>
      <c r="D3776" s="36" t="s">
        <v>1648</v>
      </c>
      <c r="E3776" s="36" t="s">
        <v>1649</v>
      </c>
      <c r="G3776" s="87">
        <v>4748950</v>
      </c>
      <c r="H3776" s="87">
        <v>474895</v>
      </c>
      <c r="I3776" s="87">
        <v>5223845</v>
      </c>
      <c r="K3776" s="85">
        <v>2023</v>
      </c>
      <c r="L3776" s="85">
        <v>10</v>
      </c>
      <c r="N3776" s="1" t="s">
        <v>44</v>
      </c>
    </row>
    <row r="3777" spans="1:14">
      <c r="A3777" s="36" t="s">
        <v>32</v>
      </c>
      <c r="B3777" s="37">
        <v>45204</v>
      </c>
      <c r="C3777" s="36" t="s">
        <v>1584</v>
      </c>
      <c r="D3777" s="36" t="s">
        <v>1540</v>
      </c>
      <c r="E3777" s="36" t="s">
        <v>1652</v>
      </c>
      <c r="J3777" s="87">
        <v>1748120</v>
      </c>
      <c r="K3777" s="85">
        <v>2023</v>
      </c>
      <c r="L3777" s="85">
        <v>8</v>
      </c>
      <c r="N3777" s="1" t="s">
        <v>44</v>
      </c>
    </row>
    <row r="3778" spans="1:14">
      <c r="A3778" s="36" t="s">
        <v>32</v>
      </c>
      <c r="B3778" s="37">
        <v>45205</v>
      </c>
      <c r="C3778" s="36" t="s">
        <v>1198</v>
      </c>
      <c r="D3778" s="36" t="s">
        <v>1615</v>
      </c>
      <c r="E3778" s="36" t="s">
        <v>1652</v>
      </c>
      <c r="J3778" s="87">
        <v>5610000</v>
      </c>
      <c r="K3778" s="85">
        <v>2023</v>
      </c>
      <c r="L3778" s="85">
        <v>8</v>
      </c>
      <c r="N3778" s="1" t="s">
        <v>44</v>
      </c>
    </row>
    <row r="3779" spans="1:14">
      <c r="A3779" s="36" t="s">
        <v>32</v>
      </c>
      <c r="B3779" s="37">
        <v>45209</v>
      </c>
      <c r="C3779" s="36" t="s">
        <v>664</v>
      </c>
      <c r="D3779" s="36" t="s">
        <v>1330</v>
      </c>
      <c r="E3779" s="36" t="s">
        <v>1654</v>
      </c>
      <c r="J3779" s="87">
        <v>19747134</v>
      </c>
      <c r="K3779" s="85">
        <v>2023</v>
      </c>
      <c r="L3779" s="85">
        <v>8</v>
      </c>
      <c r="N3779" s="1" t="s">
        <v>44</v>
      </c>
    </row>
    <row r="3780" spans="1:14">
      <c r="A3780" s="36" t="s">
        <v>33</v>
      </c>
      <c r="B3780" s="37">
        <v>45209</v>
      </c>
      <c r="C3780" s="36" t="s">
        <v>1569</v>
      </c>
      <c r="D3780" s="36" t="s">
        <v>1412</v>
      </c>
      <c r="E3780" s="36" t="s">
        <v>1654</v>
      </c>
      <c r="J3780" s="87">
        <v>3190330</v>
      </c>
      <c r="K3780" s="85">
        <v>2023</v>
      </c>
      <c r="L3780" s="85">
        <v>8</v>
      </c>
      <c r="N3780" s="1" t="s">
        <v>44</v>
      </c>
    </row>
    <row r="3781" spans="1:14">
      <c r="A3781" s="36" t="s">
        <v>32</v>
      </c>
      <c r="B3781" s="37">
        <v>45209</v>
      </c>
      <c r="C3781" s="36" t="s">
        <v>1198</v>
      </c>
      <c r="D3781" s="36" t="s">
        <v>1684</v>
      </c>
      <c r="E3781" s="36" t="s">
        <v>77</v>
      </c>
      <c r="J3781" s="38">
        <v>1980000</v>
      </c>
      <c r="K3781" s="85">
        <v>2023</v>
      </c>
      <c r="L3781" s="85">
        <v>9</v>
      </c>
      <c r="N3781" s="1" t="s">
        <v>44</v>
      </c>
    </row>
    <row r="3782" spans="1:14">
      <c r="A3782" s="36" t="s">
        <v>32</v>
      </c>
      <c r="B3782" s="37">
        <v>45209</v>
      </c>
      <c r="C3782" s="36" t="s">
        <v>667</v>
      </c>
      <c r="D3782" s="36" t="s">
        <v>1409</v>
      </c>
      <c r="E3782" s="36" t="s">
        <v>148</v>
      </c>
      <c r="J3782" s="87">
        <v>6732000</v>
      </c>
      <c r="K3782" s="85">
        <v>2023</v>
      </c>
      <c r="L3782" s="85">
        <v>5</v>
      </c>
      <c r="N3782" s="1" t="s">
        <v>44</v>
      </c>
    </row>
    <row r="3783" spans="1:14">
      <c r="A3783" s="36" t="s">
        <v>32</v>
      </c>
      <c r="B3783" s="37">
        <v>45210</v>
      </c>
      <c r="C3783" s="36" t="s">
        <v>209</v>
      </c>
      <c r="D3783" s="36" t="s">
        <v>1537</v>
      </c>
      <c r="E3783" s="36" t="s">
        <v>77</v>
      </c>
      <c r="J3783" s="38">
        <v>6653680</v>
      </c>
      <c r="K3783" s="85">
        <v>2023</v>
      </c>
      <c r="L3783" s="85">
        <v>9</v>
      </c>
      <c r="N3783" s="1" t="s">
        <v>44</v>
      </c>
    </row>
    <row r="3784" spans="1:14">
      <c r="A3784" s="36" t="s">
        <v>33</v>
      </c>
      <c r="B3784" s="37">
        <v>45210</v>
      </c>
      <c r="C3784" s="36" t="s">
        <v>1429</v>
      </c>
      <c r="D3784" s="36" t="s">
        <v>1431</v>
      </c>
      <c r="E3784" s="36" t="s">
        <v>1659</v>
      </c>
      <c r="G3784" s="87">
        <v>4597138</v>
      </c>
      <c r="H3784" s="87">
        <v>459713</v>
      </c>
      <c r="I3784" s="87">
        <v>5056851</v>
      </c>
      <c r="K3784" s="85">
        <v>2023</v>
      </c>
      <c r="L3784" s="85">
        <v>10</v>
      </c>
      <c r="N3784" s="1" t="s">
        <v>44</v>
      </c>
    </row>
    <row r="3785" spans="1:14">
      <c r="A3785" s="36" t="s">
        <v>33</v>
      </c>
      <c r="B3785" s="37">
        <v>45210</v>
      </c>
      <c r="C3785" s="36" t="s">
        <v>1429</v>
      </c>
      <c r="D3785" s="36" t="s">
        <v>1431</v>
      </c>
      <c r="E3785" s="36" t="s">
        <v>77</v>
      </c>
      <c r="J3785" s="38">
        <v>5056851</v>
      </c>
      <c r="K3785" s="85">
        <v>2023</v>
      </c>
      <c r="L3785" s="85">
        <v>10</v>
      </c>
      <c r="N3785" s="1" t="s">
        <v>44</v>
      </c>
    </row>
    <row r="3786" spans="1:14">
      <c r="A3786" s="36" t="s">
        <v>32</v>
      </c>
      <c r="B3786" s="37">
        <v>45211</v>
      </c>
      <c r="C3786" s="36" t="s">
        <v>834</v>
      </c>
      <c r="D3786" s="36" t="s">
        <v>2028</v>
      </c>
      <c r="E3786" s="36" t="s">
        <v>148</v>
      </c>
      <c r="J3786" s="38">
        <v>201280</v>
      </c>
      <c r="K3786" s="85">
        <v>2023</v>
      </c>
      <c r="L3786" s="85">
        <v>10</v>
      </c>
      <c r="N3786" s="1" t="s">
        <v>44</v>
      </c>
    </row>
    <row r="3787" spans="1:14">
      <c r="A3787" s="36" t="s">
        <v>32</v>
      </c>
      <c r="B3787" s="37">
        <v>45212</v>
      </c>
      <c r="C3787" s="36" t="s">
        <v>209</v>
      </c>
      <c r="D3787" s="36" t="s">
        <v>1412</v>
      </c>
      <c r="E3787" s="36" t="s">
        <v>1691</v>
      </c>
      <c r="J3787" s="87">
        <v>74844000</v>
      </c>
      <c r="K3787" s="85">
        <v>2023</v>
      </c>
      <c r="L3787" s="85">
        <v>9</v>
      </c>
      <c r="N3787" s="1" t="s">
        <v>44</v>
      </c>
    </row>
    <row r="3788" spans="1:14">
      <c r="A3788" s="36" t="s">
        <v>32</v>
      </c>
      <c r="B3788" s="37">
        <v>45215</v>
      </c>
      <c r="C3788" s="36" t="s">
        <v>1266</v>
      </c>
      <c r="D3788" s="36" t="s">
        <v>1277</v>
      </c>
      <c r="E3788" s="36" t="s">
        <v>1692</v>
      </c>
      <c r="J3788" s="87">
        <v>936100</v>
      </c>
      <c r="K3788" s="85">
        <v>2023</v>
      </c>
      <c r="L3788" s="85">
        <v>9</v>
      </c>
      <c r="N3788" s="1" t="s">
        <v>44</v>
      </c>
    </row>
    <row r="3789" spans="1:14">
      <c r="A3789" s="36" t="s">
        <v>32</v>
      </c>
      <c r="B3789" s="37">
        <v>45215</v>
      </c>
      <c r="C3789" s="36" t="s">
        <v>1738</v>
      </c>
      <c r="D3789" s="36" t="s">
        <v>1743</v>
      </c>
      <c r="E3789" s="36" t="s">
        <v>76</v>
      </c>
      <c r="G3789" s="87">
        <v>20000000</v>
      </c>
      <c r="H3789" s="87">
        <v>2000000</v>
      </c>
      <c r="I3789" s="87">
        <v>22000000</v>
      </c>
      <c r="K3789" s="85">
        <v>2023</v>
      </c>
      <c r="L3789" s="85">
        <v>10</v>
      </c>
      <c r="N3789" s="1" t="s">
        <v>44</v>
      </c>
    </row>
    <row r="3790" spans="1:14">
      <c r="A3790" s="36" t="s">
        <v>32</v>
      </c>
      <c r="B3790" s="37">
        <v>45215</v>
      </c>
      <c r="C3790" s="36" t="s">
        <v>1738</v>
      </c>
      <c r="D3790" s="36" t="s">
        <v>1743</v>
      </c>
      <c r="E3790" s="36" t="s">
        <v>77</v>
      </c>
      <c r="J3790" s="38">
        <v>22000000</v>
      </c>
      <c r="K3790" s="85">
        <v>2023</v>
      </c>
      <c r="L3790" s="85">
        <v>10</v>
      </c>
      <c r="N3790" s="1" t="s">
        <v>44</v>
      </c>
    </row>
    <row r="3791" spans="1:14">
      <c r="A3791" s="36" t="s">
        <v>32</v>
      </c>
      <c r="B3791" s="37">
        <v>45215</v>
      </c>
      <c r="C3791" s="36" t="s">
        <v>677</v>
      </c>
      <c r="D3791" s="36" t="s">
        <v>825</v>
      </c>
      <c r="E3791" s="36" t="s">
        <v>1692</v>
      </c>
      <c r="J3791" s="87">
        <v>14165250</v>
      </c>
      <c r="K3791" s="85">
        <v>2023</v>
      </c>
      <c r="L3791" s="85">
        <v>9</v>
      </c>
      <c r="N3791" s="1" t="s">
        <v>44</v>
      </c>
    </row>
    <row r="3792" spans="1:14">
      <c r="A3792" s="36" t="s">
        <v>32</v>
      </c>
      <c r="B3792" s="37">
        <v>45215</v>
      </c>
      <c r="C3792" s="36" t="s">
        <v>1468</v>
      </c>
      <c r="D3792" s="36" t="s">
        <v>1677</v>
      </c>
      <c r="E3792" s="36" t="s">
        <v>1692</v>
      </c>
      <c r="J3792" s="87">
        <v>31262000</v>
      </c>
      <c r="K3792" s="85">
        <v>2023</v>
      </c>
      <c r="L3792" s="85">
        <v>9</v>
      </c>
      <c r="N3792" s="1" t="s">
        <v>44</v>
      </c>
    </row>
    <row r="3793" spans="1:14">
      <c r="A3793" s="36" t="s">
        <v>33</v>
      </c>
      <c r="B3793" s="37">
        <v>45215</v>
      </c>
      <c r="C3793" s="36" t="s">
        <v>971</v>
      </c>
      <c r="D3793" s="36" t="s">
        <v>1015</v>
      </c>
      <c r="E3793" s="36" t="s">
        <v>1552</v>
      </c>
      <c r="G3793" s="87">
        <v>1946000</v>
      </c>
      <c r="H3793" s="87">
        <v>194600</v>
      </c>
      <c r="I3793" s="87">
        <v>2140600</v>
      </c>
      <c r="K3793" s="85">
        <v>2023</v>
      </c>
      <c r="L3793" s="85">
        <v>10</v>
      </c>
      <c r="N3793" s="1" t="s">
        <v>44</v>
      </c>
    </row>
    <row r="3794" spans="1:14">
      <c r="A3794" s="36" t="s">
        <v>32</v>
      </c>
      <c r="B3794" s="37">
        <v>45216</v>
      </c>
      <c r="C3794" s="36" t="s">
        <v>1661</v>
      </c>
      <c r="D3794" s="36" t="s">
        <v>1674</v>
      </c>
      <c r="E3794" s="36" t="s">
        <v>1694</v>
      </c>
      <c r="J3794" s="87">
        <v>660000</v>
      </c>
      <c r="K3794" s="85">
        <v>2023</v>
      </c>
      <c r="L3794" s="85">
        <v>9</v>
      </c>
      <c r="N3794" s="1" t="s">
        <v>44</v>
      </c>
    </row>
    <row r="3795" spans="1:14">
      <c r="A3795" s="36" t="s">
        <v>32</v>
      </c>
      <c r="B3795" s="37">
        <v>45216</v>
      </c>
      <c r="C3795" s="36" t="s">
        <v>552</v>
      </c>
      <c r="D3795" s="36" t="s">
        <v>1529</v>
      </c>
      <c r="E3795" s="36" t="s">
        <v>1694</v>
      </c>
      <c r="J3795" s="87">
        <v>42031880</v>
      </c>
      <c r="K3795" s="85">
        <v>2023</v>
      </c>
      <c r="L3795" s="85">
        <v>9</v>
      </c>
      <c r="N3795" s="1" t="s">
        <v>44</v>
      </c>
    </row>
    <row r="3796" spans="1:14">
      <c r="A3796" s="36" t="s">
        <v>32</v>
      </c>
      <c r="B3796" s="37">
        <v>45218</v>
      </c>
      <c r="C3796" s="36" t="s">
        <v>987</v>
      </c>
      <c r="D3796" s="36" t="s">
        <v>1015</v>
      </c>
      <c r="E3796" s="36" t="s">
        <v>1767</v>
      </c>
      <c r="G3796" s="87">
        <v>3278000</v>
      </c>
      <c r="H3796" s="87">
        <v>327800</v>
      </c>
      <c r="I3796" s="87">
        <v>3605800</v>
      </c>
      <c r="K3796" s="85">
        <v>2023</v>
      </c>
      <c r="L3796" s="85">
        <v>10</v>
      </c>
      <c r="N3796" s="1" t="s">
        <v>44</v>
      </c>
    </row>
    <row r="3797" spans="1:14">
      <c r="A3797" s="36" t="s">
        <v>33</v>
      </c>
      <c r="B3797" s="37">
        <v>45219</v>
      </c>
      <c r="C3797" s="36" t="s">
        <v>1262</v>
      </c>
      <c r="D3797" s="36" t="s">
        <v>886</v>
      </c>
      <c r="E3797" s="36" t="s">
        <v>1695</v>
      </c>
      <c r="J3797" s="87">
        <v>2530000</v>
      </c>
      <c r="K3797" s="85">
        <v>2023</v>
      </c>
      <c r="L3797" s="85">
        <v>9</v>
      </c>
      <c r="N3797" s="1" t="s">
        <v>44</v>
      </c>
    </row>
    <row r="3798" spans="1:14">
      <c r="A3798" s="36" t="s">
        <v>32</v>
      </c>
      <c r="B3798" s="37">
        <v>45219</v>
      </c>
      <c r="C3798" s="36" t="s">
        <v>677</v>
      </c>
      <c r="D3798" s="36" t="s">
        <v>678</v>
      </c>
      <c r="E3798" s="36" t="s">
        <v>148</v>
      </c>
      <c r="J3798" s="87">
        <v>1375000</v>
      </c>
      <c r="K3798" s="85">
        <v>2023</v>
      </c>
      <c r="L3798" s="85">
        <v>9</v>
      </c>
      <c r="N3798" s="1" t="s">
        <v>44</v>
      </c>
    </row>
    <row r="3799" spans="1:14">
      <c r="A3799" s="36" t="s">
        <v>32</v>
      </c>
      <c r="B3799" s="37">
        <v>45219</v>
      </c>
      <c r="C3799" s="36" t="s">
        <v>1663</v>
      </c>
      <c r="D3799" s="36" t="s">
        <v>1681</v>
      </c>
      <c r="E3799" s="36" t="s">
        <v>1695</v>
      </c>
      <c r="J3799" s="87">
        <v>4110480</v>
      </c>
      <c r="K3799" s="85">
        <v>2023</v>
      </c>
      <c r="L3799" s="85">
        <v>9</v>
      </c>
      <c r="N3799" s="1" t="s">
        <v>44</v>
      </c>
    </row>
    <row r="3800" spans="1:14">
      <c r="A3800" s="36" t="s">
        <v>32</v>
      </c>
      <c r="B3800" s="37">
        <v>45219</v>
      </c>
      <c r="C3800" s="36" t="s">
        <v>1739</v>
      </c>
      <c r="D3800" s="36" t="s">
        <v>1735</v>
      </c>
      <c r="E3800" s="36" t="s">
        <v>76</v>
      </c>
      <c r="G3800" s="87">
        <v>7500000</v>
      </c>
      <c r="H3800" s="87">
        <v>750000</v>
      </c>
      <c r="I3800" s="87">
        <v>8250000</v>
      </c>
      <c r="K3800" s="85">
        <v>2023</v>
      </c>
      <c r="L3800" s="85">
        <v>10</v>
      </c>
      <c r="N3800" s="1" t="s">
        <v>44</v>
      </c>
    </row>
    <row r="3801" spans="1:14">
      <c r="A3801" s="36" t="s">
        <v>1700</v>
      </c>
      <c r="B3801" s="37">
        <v>45219</v>
      </c>
      <c r="C3801" s="36" t="s">
        <v>1705</v>
      </c>
      <c r="D3801" s="36" t="s">
        <v>1706</v>
      </c>
      <c r="E3801" s="36" t="s">
        <v>1707</v>
      </c>
      <c r="G3801" s="87">
        <v>3700000</v>
      </c>
      <c r="H3801" s="87">
        <v>370000</v>
      </c>
      <c r="I3801" s="87">
        <v>4070000</v>
      </c>
      <c r="K3801" s="85">
        <v>2023</v>
      </c>
      <c r="L3801" s="85">
        <v>10</v>
      </c>
      <c r="N3801" s="1" t="s">
        <v>1704</v>
      </c>
    </row>
    <row r="3802" spans="1:14">
      <c r="A3802" s="36" t="s">
        <v>32</v>
      </c>
      <c r="B3802" s="37">
        <v>45219</v>
      </c>
      <c r="C3802" s="36" t="s">
        <v>1587</v>
      </c>
      <c r="D3802" s="36" t="s">
        <v>1609</v>
      </c>
      <c r="E3802" s="36" t="s">
        <v>1696</v>
      </c>
      <c r="J3802" s="38">
        <v>3916480</v>
      </c>
      <c r="K3802" s="85">
        <v>2023</v>
      </c>
      <c r="L3802" s="85">
        <v>9</v>
      </c>
      <c r="N3802" s="1" t="s">
        <v>44</v>
      </c>
    </row>
    <row r="3803" spans="1:14">
      <c r="A3803" s="36" t="s">
        <v>32</v>
      </c>
      <c r="B3803" s="37">
        <v>45221</v>
      </c>
      <c r="C3803" s="36" t="s">
        <v>1587</v>
      </c>
      <c r="D3803" s="36" t="s">
        <v>1609</v>
      </c>
      <c r="E3803" s="36" t="s">
        <v>1696</v>
      </c>
      <c r="J3803" s="38">
        <v>2716520</v>
      </c>
      <c r="K3803" s="85">
        <v>2023</v>
      </c>
      <c r="L3803" s="85">
        <v>9</v>
      </c>
      <c r="N3803" s="1" t="s">
        <v>44</v>
      </c>
    </row>
    <row r="3804" spans="1:14">
      <c r="A3804" s="36" t="s">
        <v>32</v>
      </c>
      <c r="B3804" s="37">
        <v>45223</v>
      </c>
      <c r="C3804" s="36" t="s">
        <v>552</v>
      </c>
      <c r="D3804" s="36" t="s">
        <v>1668</v>
      </c>
      <c r="E3804" s="36" t="s">
        <v>1697</v>
      </c>
      <c r="J3804" s="87">
        <v>36766699.200000003</v>
      </c>
      <c r="K3804" s="85">
        <v>2023</v>
      </c>
      <c r="L3804" s="85">
        <v>9</v>
      </c>
      <c r="N3804" s="1" t="s">
        <v>44</v>
      </c>
    </row>
    <row r="3805" spans="1:14">
      <c r="A3805" s="36" t="s">
        <v>32</v>
      </c>
      <c r="B3805" s="37">
        <v>45224</v>
      </c>
      <c r="C3805" s="36" t="s">
        <v>1332</v>
      </c>
      <c r="D3805" s="36" t="s">
        <v>1341</v>
      </c>
      <c r="E3805" s="36" t="s">
        <v>1698</v>
      </c>
      <c r="J3805" s="87">
        <v>37719000</v>
      </c>
      <c r="K3805" s="85">
        <v>2023</v>
      </c>
      <c r="L3805" s="85">
        <v>9</v>
      </c>
      <c r="N3805" s="1" t="s">
        <v>44</v>
      </c>
    </row>
    <row r="3806" spans="1:14">
      <c r="A3806" s="36" t="s">
        <v>32</v>
      </c>
      <c r="B3806" s="37">
        <v>45224</v>
      </c>
      <c r="C3806" s="36" t="s">
        <v>1740</v>
      </c>
      <c r="D3806" s="36" t="s">
        <v>1744</v>
      </c>
      <c r="E3806" s="36" t="s">
        <v>78</v>
      </c>
      <c r="G3806" s="87">
        <v>16500000</v>
      </c>
      <c r="H3806" s="87">
        <v>1650000</v>
      </c>
      <c r="I3806" s="87">
        <v>18150000</v>
      </c>
      <c r="K3806" s="85">
        <v>2023</v>
      </c>
      <c r="L3806" s="85">
        <v>10</v>
      </c>
      <c r="N3806" s="1" t="s">
        <v>44</v>
      </c>
    </row>
    <row r="3807" spans="1:14">
      <c r="A3807" s="36" t="s">
        <v>32</v>
      </c>
      <c r="B3807" s="37">
        <v>45224</v>
      </c>
      <c r="C3807" s="36" t="s">
        <v>1741</v>
      </c>
      <c r="D3807" s="36" t="s">
        <v>1745</v>
      </c>
      <c r="E3807" s="36" t="s">
        <v>78</v>
      </c>
      <c r="G3807" s="87">
        <v>900000</v>
      </c>
      <c r="H3807" s="87">
        <v>90000</v>
      </c>
      <c r="I3807" s="87">
        <v>990000</v>
      </c>
      <c r="K3807" s="85">
        <v>2023</v>
      </c>
      <c r="L3807" s="85">
        <v>10</v>
      </c>
      <c r="N3807" s="1" t="s">
        <v>44</v>
      </c>
    </row>
    <row r="3808" spans="1:14">
      <c r="A3808" s="36" t="s">
        <v>32</v>
      </c>
      <c r="B3808" s="37">
        <v>45224</v>
      </c>
      <c r="C3808" s="36" t="s">
        <v>667</v>
      </c>
      <c r="D3808" s="36" t="s">
        <v>1474</v>
      </c>
      <c r="E3808" s="36" t="s">
        <v>148</v>
      </c>
      <c r="J3808" s="87">
        <v>13349600</v>
      </c>
      <c r="K3808" s="85">
        <v>2023</v>
      </c>
      <c r="L3808" s="85">
        <v>6</v>
      </c>
      <c r="N3808" s="1" t="s">
        <v>44</v>
      </c>
    </row>
    <row r="3809" spans="1:14">
      <c r="A3809" s="36" t="s">
        <v>32</v>
      </c>
      <c r="B3809" s="37">
        <v>45224</v>
      </c>
      <c r="C3809" s="36" t="s">
        <v>987</v>
      </c>
      <c r="D3809" s="36" t="s">
        <v>1015</v>
      </c>
      <c r="E3809" s="36" t="s">
        <v>77</v>
      </c>
      <c r="J3809" s="38">
        <v>3605800</v>
      </c>
      <c r="K3809" s="85">
        <v>2023</v>
      </c>
      <c r="L3809" s="85">
        <v>10</v>
      </c>
      <c r="N3809" s="1" t="s">
        <v>44</v>
      </c>
    </row>
    <row r="3810" spans="1:14">
      <c r="A3810" s="36" t="s">
        <v>33</v>
      </c>
      <c r="B3810" s="37">
        <v>45226</v>
      </c>
      <c r="C3810" s="36" t="s">
        <v>971</v>
      </c>
      <c r="D3810" s="36" t="s">
        <v>1015</v>
      </c>
      <c r="E3810" s="36" t="s">
        <v>148</v>
      </c>
      <c r="J3810" s="87">
        <v>2140600</v>
      </c>
      <c r="K3810" s="85">
        <v>2023</v>
      </c>
      <c r="L3810" s="85">
        <v>10</v>
      </c>
      <c r="N3810" s="1" t="s">
        <v>44</v>
      </c>
    </row>
    <row r="3811" spans="1:14">
      <c r="A3811" s="36" t="s">
        <v>32</v>
      </c>
      <c r="B3811" s="37">
        <v>45229</v>
      </c>
      <c r="C3811" s="36" t="s">
        <v>209</v>
      </c>
      <c r="D3811" s="36" t="s">
        <v>1699</v>
      </c>
      <c r="E3811" s="36" t="s">
        <v>148</v>
      </c>
      <c r="J3811" s="38">
        <v>31443170</v>
      </c>
      <c r="K3811" s="85">
        <v>2023</v>
      </c>
      <c r="L3811" s="85">
        <v>9</v>
      </c>
      <c r="N3811" s="1" t="s">
        <v>44</v>
      </c>
    </row>
    <row r="3812" spans="1:14">
      <c r="A3812" s="36" t="s">
        <v>32</v>
      </c>
      <c r="B3812" s="37">
        <v>45229</v>
      </c>
      <c r="C3812" s="36" t="s">
        <v>209</v>
      </c>
      <c r="D3812" s="36" t="s">
        <v>1885</v>
      </c>
      <c r="E3812" s="36" t="s">
        <v>148</v>
      </c>
      <c r="J3812" s="38">
        <v>10765370</v>
      </c>
      <c r="K3812" s="85">
        <v>2023</v>
      </c>
      <c r="L3812" s="85">
        <v>9</v>
      </c>
      <c r="N3812" s="1" t="s">
        <v>44</v>
      </c>
    </row>
    <row r="3813" spans="1:14">
      <c r="A3813" s="36" t="s">
        <v>32</v>
      </c>
      <c r="B3813" s="37">
        <v>45229</v>
      </c>
      <c r="C3813" s="36" t="s">
        <v>209</v>
      </c>
      <c r="D3813" s="36" t="s">
        <v>2001</v>
      </c>
      <c r="E3813" s="36" t="s">
        <v>148</v>
      </c>
      <c r="J3813" s="38">
        <v>2910600</v>
      </c>
      <c r="K3813" s="85">
        <v>2023</v>
      </c>
      <c r="L3813" s="85">
        <v>9</v>
      </c>
      <c r="N3813" s="1" t="s">
        <v>44</v>
      </c>
    </row>
    <row r="3814" spans="1:14">
      <c r="A3814" s="36" t="s">
        <v>32</v>
      </c>
      <c r="B3814" s="37">
        <v>45229</v>
      </c>
      <c r="C3814" s="36" t="s">
        <v>209</v>
      </c>
      <c r="D3814" s="36" t="s">
        <v>2001</v>
      </c>
      <c r="E3814" s="36" t="s">
        <v>148</v>
      </c>
      <c r="J3814" s="38">
        <v>904200</v>
      </c>
      <c r="K3814" s="85">
        <v>2023</v>
      </c>
      <c r="L3814" s="85">
        <v>9</v>
      </c>
      <c r="N3814" s="1" t="s">
        <v>44</v>
      </c>
    </row>
    <row r="3815" spans="1:14">
      <c r="A3815" s="36" t="s">
        <v>32</v>
      </c>
      <c r="B3815" s="37">
        <v>45229</v>
      </c>
      <c r="C3815" s="36" t="s">
        <v>209</v>
      </c>
      <c r="D3815" s="36" t="s">
        <v>1412</v>
      </c>
      <c r="E3815" s="36" t="s">
        <v>148</v>
      </c>
      <c r="J3815" s="38">
        <v>1904760</v>
      </c>
      <c r="K3815" s="85">
        <v>2023</v>
      </c>
      <c r="L3815" s="85">
        <v>9</v>
      </c>
      <c r="N3815" s="1" t="s">
        <v>44</v>
      </c>
    </row>
    <row r="3816" spans="1:14">
      <c r="A3816" s="36" t="s">
        <v>32</v>
      </c>
      <c r="B3816" s="37">
        <v>45229</v>
      </c>
      <c r="C3816" s="36" t="s">
        <v>209</v>
      </c>
      <c r="D3816" s="36" t="s">
        <v>1412</v>
      </c>
      <c r="E3816" s="36" t="s">
        <v>148</v>
      </c>
      <c r="J3816" s="38">
        <v>26968040</v>
      </c>
      <c r="K3816" s="85">
        <v>2023</v>
      </c>
      <c r="L3816" s="85">
        <v>9</v>
      </c>
      <c r="N3816" s="1" t="s">
        <v>44</v>
      </c>
    </row>
    <row r="3817" spans="1:14">
      <c r="A3817" s="36" t="s">
        <v>1700</v>
      </c>
      <c r="B3817" s="37">
        <v>45229</v>
      </c>
      <c r="C3817" s="36" t="s">
        <v>1701</v>
      </c>
      <c r="D3817" s="36" t="s">
        <v>1702</v>
      </c>
      <c r="E3817" s="36" t="s">
        <v>1703</v>
      </c>
      <c r="G3817" s="87">
        <v>8572500</v>
      </c>
      <c r="H3817" s="87">
        <v>857250</v>
      </c>
      <c r="I3817" s="87">
        <v>9429750</v>
      </c>
      <c r="K3817" s="85">
        <v>2023</v>
      </c>
      <c r="L3817" s="85">
        <v>10</v>
      </c>
      <c r="N3817" s="1" t="s">
        <v>1704</v>
      </c>
    </row>
    <row r="3818" spans="1:14">
      <c r="A3818" s="36" t="s">
        <v>32</v>
      </c>
      <c r="B3818" s="37">
        <v>45230</v>
      </c>
      <c r="C3818" s="36" t="s">
        <v>760</v>
      </c>
      <c r="D3818" s="36" t="s">
        <v>1678</v>
      </c>
      <c r="E3818" s="36" t="s">
        <v>1710</v>
      </c>
      <c r="J3818" s="87">
        <v>1012000</v>
      </c>
      <c r="K3818" s="85">
        <v>2023</v>
      </c>
      <c r="L3818" s="85">
        <v>9</v>
      </c>
      <c r="N3818" s="1" t="s">
        <v>44</v>
      </c>
    </row>
    <row r="3819" spans="1:14">
      <c r="A3819" s="36" t="s">
        <v>32</v>
      </c>
      <c r="B3819" s="37">
        <v>45230</v>
      </c>
      <c r="C3819" s="36" t="s">
        <v>664</v>
      </c>
      <c r="D3819" s="36" t="s">
        <v>1746</v>
      </c>
      <c r="E3819" s="36" t="s">
        <v>76</v>
      </c>
      <c r="G3819" s="87">
        <v>11967960</v>
      </c>
      <c r="H3819" s="87">
        <v>1196796</v>
      </c>
      <c r="I3819" s="87">
        <v>13164756</v>
      </c>
      <c r="K3819" s="85">
        <v>2023</v>
      </c>
      <c r="L3819" s="85">
        <v>10</v>
      </c>
      <c r="N3819" s="1" t="s">
        <v>44</v>
      </c>
    </row>
    <row r="3820" spans="1:14">
      <c r="A3820" s="36" t="s">
        <v>32</v>
      </c>
      <c r="B3820" s="37">
        <v>45230</v>
      </c>
      <c r="C3820" s="36" t="s">
        <v>174</v>
      </c>
      <c r="D3820" s="36" t="s">
        <v>1747</v>
      </c>
      <c r="E3820" s="36" t="s">
        <v>76</v>
      </c>
      <c r="G3820" s="87">
        <v>8707600</v>
      </c>
      <c r="H3820" s="87">
        <v>870760</v>
      </c>
      <c r="I3820" s="87">
        <v>9578360</v>
      </c>
      <c r="K3820" s="85">
        <v>2023</v>
      </c>
      <c r="L3820" s="85">
        <v>10</v>
      </c>
      <c r="N3820" s="1" t="s">
        <v>44</v>
      </c>
    </row>
    <row r="3821" spans="1:14">
      <c r="A3821" s="36" t="s">
        <v>32</v>
      </c>
      <c r="B3821" s="37">
        <v>45230</v>
      </c>
      <c r="C3821" s="36" t="s">
        <v>209</v>
      </c>
      <c r="D3821" s="36" t="s">
        <v>1699</v>
      </c>
      <c r="E3821" s="36" t="s">
        <v>76</v>
      </c>
      <c r="G3821" s="87">
        <v>60172500</v>
      </c>
      <c r="H3821" s="87">
        <v>6017250</v>
      </c>
      <c r="I3821" s="87">
        <v>66189750</v>
      </c>
      <c r="K3821" s="85">
        <v>2023</v>
      </c>
      <c r="L3821" s="85">
        <v>10</v>
      </c>
      <c r="N3821" s="1" t="s">
        <v>44</v>
      </c>
    </row>
    <row r="3822" spans="1:14">
      <c r="A3822" s="36" t="s">
        <v>32</v>
      </c>
      <c r="B3822" s="37">
        <v>45230</v>
      </c>
      <c r="C3822" s="36" t="s">
        <v>209</v>
      </c>
      <c r="D3822" s="36" t="s">
        <v>1885</v>
      </c>
      <c r="E3822" s="36" t="s">
        <v>1551</v>
      </c>
      <c r="G3822" s="87">
        <v>22537200</v>
      </c>
      <c r="H3822" s="87">
        <v>2253720</v>
      </c>
      <c r="I3822" s="87">
        <v>24790920</v>
      </c>
      <c r="K3822" s="85">
        <v>2023</v>
      </c>
      <c r="L3822" s="85">
        <v>10</v>
      </c>
      <c r="N3822" s="1" t="s">
        <v>44</v>
      </c>
    </row>
    <row r="3823" spans="1:14">
      <c r="A3823" s="36" t="s">
        <v>32</v>
      </c>
      <c r="B3823" s="37">
        <v>45230</v>
      </c>
      <c r="C3823" s="36" t="s">
        <v>209</v>
      </c>
      <c r="D3823" s="36" t="s">
        <v>2001</v>
      </c>
      <c r="E3823" s="36" t="s">
        <v>76</v>
      </c>
      <c r="G3823" s="87">
        <v>4510000</v>
      </c>
      <c r="H3823" s="87">
        <v>451000</v>
      </c>
      <c r="I3823" s="87">
        <v>4961000</v>
      </c>
      <c r="K3823" s="85">
        <v>2023</v>
      </c>
      <c r="L3823" s="85">
        <v>10</v>
      </c>
      <c r="N3823" s="1" t="s">
        <v>44</v>
      </c>
    </row>
    <row r="3824" spans="1:14">
      <c r="A3824" s="36" t="s">
        <v>32</v>
      </c>
      <c r="B3824" s="37">
        <v>45230</v>
      </c>
      <c r="C3824" s="36" t="s">
        <v>209</v>
      </c>
      <c r="D3824" s="36" t="s">
        <v>1892</v>
      </c>
      <c r="E3824" s="36" t="s">
        <v>102</v>
      </c>
      <c r="G3824" s="87">
        <v>33081300</v>
      </c>
      <c r="H3824" s="87">
        <v>3308130</v>
      </c>
      <c r="I3824" s="87">
        <v>36389430</v>
      </c>
      <c r="K3824" s="85">
        <v>2023</v>
      </c>
      <c r="L3824" s="85">
        <v>10</v>
      </c>
      <c r="N3824" s="1" t="s">
        <v>44</v>
      </c>
    </row>
    <row r="3825" spans="1:14">
      <c r="A3825" s="36" t="s">
        <v>32</v>
      </c>
      <c r="B3825" s="37">
        <v>45230</v>
      </c>
      <c r="C3825" s="36" t="s">
        <v>209</v>
      </c>
      <c r="D3825" s="36" t="s">
        <v>1412</v>
      </c>
      <c r="E3825" s="36" t="s">
        <v>76</v>
      </c>
      <c r="G3825" s="87">
        <v>156660000</v>
      </c>
      <c r="H3825" s="87">
        <v>15666000</v>
      </c>
      <c r="I3825" s="87">
        <v>172326000</v>
      </c>
      <c r="K3825" s="85">
        <v>2023</v>
      </c>
      <c r="L3825" s="85">
        <v>10</v>
      </c>
      <c r="N3825" s="1" t="s">
        <v>44</v>
      </c>
    </row>
    <row r="3826" spans="1:14">
      <c r="A3826" s="36" t="s">
        <v>33</v>
      </c>
      <c r="B3826" s="37">
        <v>45230</v>
      </c>
      <c r="C3826" s="36" t="s">
        <v>96</v>
      </c>
      <c r="D3826" s="36" t="s">
        <v>1655</v>
      </c>
      <c r="E3826" s="36" t="s">
        <v>1708</v>
      </c>
      <c r="J3826" s="87">
        <v>143000</v>
      </c>
      <c r="K3826" s="85">
        <v>2023</v>
      </c>
      <c r="L3826" s="85">
        <v>9</v>
      </c>
      <c r="N3826" s="1" t="s">
        <v>44</v>
      </c>
    </row>
    <row r="3827" spans="1:14">
      <c r="A3827" s="36" t="s">
        <v>33</v>
      </c>
      <c r="B3827" s="37">
        <v>45230</v>
      </c>
      <c r="C3827" s="36" t="s">
        <v>96</v>
      </c>
      <c r="D3827" s="36" t="s">
        <v>1733</v>
      </c>
      <c r="E3827" s="36" t="s">
        <v>1656</v>
      </c>
      <c r="G3827" s="87">
        <v>160000</v>
      </c>
      <c r="H3827" s="87">
        <v>16000</v>
      </c>
      <c r="I3827" s="87">
        <v>176000</v>
      </c>
      <c r="K3827" s="85">
        <v>2023</v>
      </c>
      <c r="L3827" s="85">
        <v>10</v>
      </c>
      <c r="N3827" s="1" t="s">
        <v>44</v>
      </c>
    </row>
    <row r="3828" spans="1:14">
      <c r="A3828" s="36" t="s">
        <v>32</v>
      </c>
      <c r="B3828" s="37">
        <v>45230</v>
      </c>
      <c r="C3828" s="36" t="s">
        <v>1332</v>
      </c>
      <c r="D3828" s="36" t="s">
        <v>1341</v>
      </c>
      <c r="E3828" s="36" t="s">
        <v>76</v>
      </c>
      <c r="G3828" s="87">
        <v>36720000</v>
      </c>
      <c r="H3828" s="87">
        <v>3672000</v>
      </c>
      <c r="I3828" s="87">
        <v>40392000</v>
      </c>
      <c r="K3828" s="85">
        <v>2023</v>
      </c>
      <c r="L3828" s="85">
        <v>10</v>
      </c>
      <c r="N3828" s="1" t="s">
        <v>44</v>
      </c>
    </row>
    <row r="3829" spans="1:14">
      <c r="A3829" s="36" t="s">
        <v>32</v>
      </c>
      <c r="B3829" s="37">
        <v>45230</v>
      </c>
      <c r="C3829" s="36" t="s">
        <v>1742</v>
      </c>
      <c r="D3829" s="36" t="s">
        <v>1764</v>
      </c>
      <c r="E3829" s="36" t="s">
        <v>76</v>
      </c>
      <c r="G3829" s="87">
        <v>9000000</v>
      </c>
      <c r="H3829" s="87">
        <v>900000</v>
      </c>
      <c r="I3829" s="87">
        <v>9900000</v>
      </c>
      <c r="K3829" s="85">
        <v>2023</v>
      </c>
      <c r="L3829" s="85">
        <v>10</v>
      </c>
      <c r="N3829" s="1" t="s">
        <v>44</v>
      </c>
    </row>
    <row r="3830" spans="1:14">
      <c r="A3830" s="36" t="s">
        <v>32</v>
      </c>
      <c r="B3830" s="37">
        <v>45230</v>
      </c>
      <c r="C3830" s="36" t="s">
        <v>204</v>
      </c>
      <c r="D3830" s="36" t="s">
        <v>1482</v>
      </c>
      <c r="E3830" s="36" t="s">
        <v>1708</v>
      </c>
      <c r="J3830" s="87">
        <v>562320</v>
      </c>
      <c r="K3830" s="85">
        <v>2023</v>
      </c>
      <c r="L3830" s="85">
        <v>9</v>
      </c>
      <c r="N3830" s="1" t="s">
        <v>44</v>
      </c>
    </row>
    <row r="3831" spans="1:14">
      <c r="A3831" s="36" t="s">
        <v>32</v>
      </c>
      <c r="B3831" s="37">
        <v>45230</v>
      </c>
      <c r="C3831" s="36" t="s">
        <v>1470</v>
      </c>
      <c r="D3831" s="36" t="s">
        <v>1487</v>
      </c>
      <c r="E3831" s="36" t="s">
        <v>1710</v>
      </c>
      <c r="J3831" s="87">
        <v>78135442</v>
      </c>
      <c r="K3831" s="85">
        <v>2023</v>
      </c>
      <c r="L3831" s="85">
        <v>9</v>
      </c>
      <c r="N3831" s="1" t="s">
        <v>44</v>
      </c>
    </row>
    <row r="3832" spans="1:14">
      <c r="A3832" s="36" t="s">
        <v>32</v>
      </c>
      <c r="B3832" s="37">
        <v>45230</v>
      </c>
      <c r="C3832" s="36" t="s">
        <v>1470</v>
      </c>
      <c r="D3832" s="36" t="s">
        <v>1487</v>
      </c>
      <c r="E3832" s="36" t="s">
        <v>76</v>
      </c>
      <c r="G3832" s="87">
        <v>153855600</v>
      </c>
      <c r="H3832" s="87">
        <v>15385560</v>
      </c>
      <c r="I3832" s="87">
        <v>169241160</v>
      </c>
      <c r="K3832" s="85">
        <v>2023</v>
      </c>
      <c r="L3832" s="85">
        <v>10</v>
      </c>
      <c r="N3832" s="1" t="s">
        <v>44</v>
      </c>
    </row>
    <row r="3833" spans="1:14">
      <c r="A3833" s="36" t="s">
        <v>33</v>
      </c>
      <c r="B3833" s="37">
        <v>45230</v>
      </c>
      <c r="C3833" s="36" t="s">
        <v>838</v>
      </c>
      <c r="D3833" s="36" t="s">
        <v>1487</v>
      </c>
      <c r="E3833" s="36" t="s">
        <v>165</v>
      </c>
      <c r="G3833" s="87">
        <v>4350000</v>
      </c>
      <c r="H3833" s="87">
        <v>435000</v>
      </c>
      <c r="I3833" s="87">
        <v>4785000</v>
      </c>
      <c r="K3833" s="85">
        <v>2023</v>
      </c>
      <c r="L3833" s="85">
        <v>10</v>
      </c>
      <c r="N3833" s="1" t="s">
        <v>44</v>
      </c>
    </row>
    <row r="3834" spans="1:14">
      <c r="A3834" s="36" t="s">
        <v>32</v>
      </c>
      <c r="B3834" s="37">
        <v>45230</v>
      </c>
      <c r="C3834" s="36" t="s">
        <v>334</v>
      </c>
      <c r="D3834" s="36" t="s">
        <v>1760</v>
      </c>
      <c r="E3834" s="36" t="s">
        <v>76</v>
      </c>
      <c r="G3834" s="87">
        <v>5952320</v>
      </c>
      <c r="H3834" s="87">
        <v>595232</v>
      </c>
      <c r="I3834" s="87">
        <v>6547552</v>
      </c>
      <c r="K3834" s="85">
        <v>2023</v>
      </c>
      <c r="L3834" s="85">
        <v>10</v>
      </c>
      <c r="N3834" s="1" t="s">
        <v>44</v>
      </c>
    </row>
    <row r="3835" spans="1:14">
      <c r="A3835" s="36" t="s">
        <v>32</v>
      </c>
      <c r="B3835" s="37">
        <v>45230</v>
      </c>
      <c r="C3835" s="36" t="s">
        <v>334</v>
      </c>
      <c r="D3835" s="36" t="s">
        <v>1761</v>
      </c>
      <c r="E3835" s="36" t="s">
        <v>78</v>
      </c>
      <c r="G3835" s="87">
        <v>905600</v>
      </c>
      <c r="H3835" s="87">
        <v>90560</v>
      </c>
      <c r="I3835" s="87">
        <v>996160</v>
      </c>
      <c r="K3835" s="85">
        <v>2023</v>
      </c>
      <c r="L3835" s="85">
        <v>10</v>
      </c>
      <c r="N3835" s="1" t="s">
        <v>44</v>
      </c>
    </row>
    <row r="3836" spans="1:14">
      <c r="A3836" s="36" t="s">
        <v>33</v>
      </c>
      <c r="B3836" s="37">
        <v>45230</v>
      </c>
      <c r="C3836" s="36" t="s">
        <v>1262</v>
      </c>
      <c r="D3836" s="36" t="s">
        <v>886</v>
      </c>
      <c r="E3836" s="36" t="s">
        <v>1722</v>
      </c>
      <c r="G3836" s="87">
        <v>6785000</v>
      </c>
      <c r="H3836" s="87">
        <v>678500</v>
      </c>
      <c r="I3836" s="87">
        <v>7463500</v>
      </c>
      <c r="K3836" s="85">
        <v>2023</v>
      </c>
      <c r="L3836" s="85">
        <v>10</v>
      </c>
      <c r="N3836" s="1" t="s">
        <v>44</v>
      </c>
    </row>
    <row r="3837" spans="1:14">
      <c r="A3837" s="36" t="s">
        <v>33</v>
      </c>
      <c r="B3837" s="37">
        <v>45230</v>
      </c>
      <c r="C3837" s="36" t="s">
        <v>771</v>
      </c>
      <c r="D3837" s="36" t="s">
        <v>772</v>
      </c>
      <c r="E3837" s="36" t="s">
        <v>1719</v>
      </c>
      <c r="G3837" s="87">
        <v>1610000</v>
      </c>
      <c r="H3837" s="87">
        <v>161000</v>
      </c>
      <c r="I3837" s="87">
        <v>1771000</v>
      </c>
      <c r="K3837" s="85">
        <v>2023</v>
      </c>
      <c r="L3837" s="85">
        <v>10</v>
      </c>
      <c r="N3837" s="1" t="s">
        <v>44</v>
      </c>
    </row>
    <row r="3838" spans="1:14">
      <c r="A3838" s="36" t="s">
        <v>32</v>
      </c>
      <c r="B3838" s="37">
        <v>45230</v>
      </c>
      <c r="C3838" s="36" t="s">
        <v>677</v>
      </c>
      <c r="D3838" s="36" t="s">
        <v>1755</v>
      </c>
      <c r="E3838" s="36" t="s">
        <v>76</v>
      </c>
      <c r="G3838" s="87">
        <v>750000</v>
      </c>
      <c r="H3838" s="87">
        <v>75000</v>
      </c>
      <c r="I3838" s="87">
        <v>825000</v>
      </c>
      <c r="K3838" s="85">
        <v>2023</v>
      </c>
      <c r="L3838" s="85">
        <v>10</v>
      </c>
      <c r="N3838" s="1" t="s">
        <v>44</v>
      </c>
    </row>
    <row r="3839" spans="1:14">
      <c r="A3839" s="36" t="s">
        <v>32</v>
      </c>
      <c r="B3839" s="37">
        <v>45230</v>
      </c>
      <c r="C3839" s="36" t="s">
        <v>677</v>
      </c>
      <c r="D3839" s="36" t="s">
        <v>824</v>
      </c>
      <c r="E3839" s="36" t="s">
        <v>76</v>
      </c>
      <c r="G3839" s="87">
        <v>8250000</v>
      </c>
      <c r="H3839" s="87">
        <v>825000</v>
      </c>
      <c r="I3839" s="87">
        <v>9075000</v>
      </c>
      <c r="K3839" s="85">
        <v>2023</v>
      </c>
      <c r="L3839" s="85">
        <v>10</v>
      </c>
      <c r="N3839" s="1" t="s">
        <v>44</v>
      </c>
    </row>
    <row r="3840" spans="1:14">
      <c r="A3840" s="36" t="s">
        <v>32</v>
      </c>
      <c r="B3840" s="37">
        <v>45230</v>
      </c>
      <c r="C3840" s="36" t="s">
        <v>677</v>
      </c>
      <c r="D3840" s="36" t="s">
        <v>873</v>
      </c>
      <c r="E3840" s="36" t="s">
        <v>76</v>
      </c>
      <c r="G3840" s="87">
        <v>13642500</v>
      </c>
      <c r="H3840" s="87">
        <v>1364250</v>
      </c>
      <c r="I3840" s="87">
        <v>15006750</v>
      </c>
      <c r="K3840" s="85">
        <v>2023</v>
      </c>
      <c r="L3840" s="85">
        <v>10</v>
      </c>
      <c r="N3840" s="1" t="s">
        <v>44</v>
      </c>
    </row>
    <row r="3841" spans="1:14">
      <c r="A3841" s="36" t="s">
        <v>32</v>
      </c>
      <c r="B3841" s="37">
        <v>45230</v>
      </c>
      <c r="C3841" s="36" t="s">
        <v>1467</v>
      </c>
      <c r="D3841" s="36" t="s">
        <v>1748</v>
      </c>
      <c r="E3841" s="36" t="s">
        <v>76</v>
      </c>
      <c r="G3841" s="87">
        <v>9273000</v>
      </c>
      <c r="H3841" s="87">
        <v>927300</v>
      </c>
      <c r="I3841" s="87">
        <v>10200300</v>
      </c>
      <c r="K3841" s="85">
        <v>2023</v>
      </c>
      <c r="L3841" s="85">
        <v>10</v>
      </c>
      <c r="N3841" s="1" t="s">
        <v>44</v>
      </c>
    </row>
    <row r="3842" spans="1:14">
      <c r="A3842" s="36" t="s">
        <v>32</v>
      </c>
      <c r="B3842" s="37">
        <v>45230</v>
      </c>
      <c r="C3842" s="36" t="s">
        <v>1467</v>
      </c>
      <c r="D3842" s="36" t="s">
        <v>1749</v>
      </c>
      <c r="E3842" s="36" t="s">
        <v>76</v>
      </c>
      <c r="G3842" s="87">
        <v>5420800</v>
      </c>
      <c r="H3842" s="87">
        <v>542080</v>
      </c>
      <c r="I3842" s="87">
        <v>5962880</v>
      </c>
      <c r="K3842" s="85">
        <v>2023</v>
      </c>
      <c r="L3842" s="85">
        <v>10</v>
      </c>
      <c r="N3842" s="1" t="s">
        <v>44</v>
      </c>
    </row>
    <row r="3843" spans="1:14">
      <c r="A3843" s="36" t="s">
        <v>32</v>
      </c>
      <c r="B3843" s="37">
        <v>45230</v>
      </c>
      <c r="C3843" s="36" t="s">
        <v>1467</v>
      </c>
      <c r="D3843" s="36" t="s">
        <v>1750</v>
      </c>
      <c r="E3843" s="36" t="s">
        <v>76</v>
      </c>
      <c r="G3843" s="87">
        <v>8103600</v>
      </c>
      <c r="H3843" s="87">
        <v>810360</v>
      </c>
      <c r="I3843" s="87">
        <v>8913960</v>
      </c>
      <c r="K3843" s="85">
        <v>2023</v>
      </c>
      <c r="L3843" s="85">
        <v>10</v>
      </c>
      <c r="N3843" s="1" t="s">
        <v>44</v>
      </c>
    </row>
    <row r="3844" spans="1:14">
      <c r="A3844" s="36" t="s">
        <v>33</v>
      </c>
      <c r="B3844" s="37">
        <v>45230</v>
      </c>
      <c r="C3844" s="36" t="s">
        <v>119</v>
      </c>
      <c r="D3844" s="36" t="s">
        <v>1658</v>
      </c>
      <c r="E3844" s="36" t="s">
        <v>1708</v>
      </c>
      <c r="J3844" s="87">
        <v>30145500</v>
      </c>
      <c r="K3844" s="85">
        <v>2023</v>
      </c>
      <c r="L3844" s="85">
        <v>9</v>
      </c>
      <c r="N3844" s="1" t="s">
        <v>44</v>
      </c>
    </row>
    <row r="3845" spans="1:14">
      <c r="A3845" s="36" t="s">
        <v>33</v>
      </c>
      <c r="B3845" s="37">
        <v>45230</v>
      </c>
      <c r="C3845" s="36" t="s">
        <v>119</v>
      </c>
      <c r="D3845" s="36" t="s">
        <v>374</v>
      </c>
      <c r="E3845" s="36" t="s">
        <v>1718</v>
      </c>
      <c r="G3845" s="87">
        <v>6900000</v>
      </c>
      <c r="H3845" s="87">
        <v>690000</v>
      </c>
      <c r="I3845" s="87">
        <v>7590000</v>
      </c>
      <c r="K3845" s="85">
        <v>2023</v>
      </c>
      <c r="L3845" s="85">
        <v>10</v>
      </c>
      <c r="N3845" s="1" t="s">
        <v>44</v>
      </c>
    </row>
    <row r="3846" spans="1:14">
      <c r="A3846" s="36" t="s">
        <v>33</v>
      </c>
      <c r="B3846" s="37">
        <v>45230</v>
      </c>
      <c r="C3846" s="36" t="s">
        <v>119</v>
      </c>
      <c r="D3846" s="36" t="s">
        <v>1735</v>
      </c>
      <c r="E3846" s="36" t="s">
        <v>267</v>
      </c>
      <c r="G3846" s="87">
        <v>3320000</v>
      </c>
      <c r="H3846" s="87">
        <v>332000</v>
      </c>
      <c r="I3846" s="87">
        <v>3652000</v>
      </c>
      <c r="K3846" s="85">
        <v>2023</v>
      </c>
      <c r="L3846" s="85">
        <v>10</v>
      </c>
      <c r="N3846" s="1" t="s">
        <v>44</v>
      </c>
    </row>
    <row r="3847" spans="1:14">
      <c r="A3847" s="36" t="s">
        <v>32</v>
      </c>
      <c r="B3847" s="37">
        <v>45230</v>
      </c>
      <c r="C3847" s="36" t="s">
        <v>264</v>
      </c>
      <c r="D3847" s="36" t="s">
        <v>1679</v>
      </c>
      <c r="E3847" s="36" t="s">
        <v>1708</v>
      </c>
      <c r="J3847" s="87">
        <v>19140000</v>
      </c>
      <c r="K3847" s="85">
        <v>2023</v>
      </c>
      <c r="L3847" s="85">
        <v>9</v>
      </c>
      <c r="N3847" s="1" t="s">
        <v>44</v>
      </c>
    </row>
    <row r="3848" spans="1:14">
      <c r="A3848" s="36" t="s">
        <v>32</v>
      </c>
      <c r="B3848" s="37">
        <v>45230</v>
      </c>
      <c r="C3848" s="36" t="s">
        <v>264</v>
      </c>
      <c r="D3848" s="36" t="s">
        <v>1765</v>
      </c>
      <c r="E3848" s="36" t="s">
        <v>76</v>
      </c>
      <c r="G3848" s="87">
        <v>18000000</v>
      </c>
      <c r="H3848" s="87">
        <v>1800000</v>
      </c>
      <c r="I3848" s="87">
        <v>19800000</v>
      </c>
      <c r="K3848" s="85">
        <v>2023</v>
      </c>
      <c r="L3848" s="85">
        <v>10</v>
      </c>
      <c r="N3848" s="1" t="s">
        <v>44</v>
      </c>
    </row>
    <row r="3849" spans="1:14">
      <c r="A3849" s="36" t="s">
        <v>32</v>
      </c>
      <c r="B3849" s="37">
        <v>45230</v>
      </c>
      <c r="C3849" s="36" t="s">
        <v>552</v>
      </c>
      <c r="D3849" s="36" t="s">
        <v>1011</v>
      </c>
      <c r="E3849" s="36" t="s">
        <v>76</v>
      </c>
      <c r="G3849" s="87">
        <v>8028537</v>
      </c>
      <c r="H3849" s="87">
        <v>802853.70000000007</v>
      </c>
      <c r="I3849" s="87">
        <v>8831390.6999999993</v>
      </c>
      <c r="K3849" s="85">
        <v>2023</v>
      </c>
      <c r="L3849" s="85">
        <v>10</v>
      </c>
      <c r="N3849" s="1" t="s">
        <v>44</v>
      </c>
    </row>
    <row r="3850" spans="1:14">
      <c r="A3850" s="36" t="s">
        <v>32</v>
      </c>
      <c r="B3850" s="37">
        <v>45230</v>
      </c>
      <c r="C3850" s="36" t="s">
        <v>552</v>
      </c>
      <c r="D3850" s="36" t="s">
        <v>1529</v>
      </c>
      <c r="E3850" s="36" t="s">
        <v>76</v>
      </c>
      <c r="G3850" s="87">
        <v>30822500</v>
      </c>
      <c r="H3850" s="87">
        <v>3082250</v>
      </c>
      <c r="I3850" s="87">
        <v>33904750</v>
      </c>
      <c r="K3850" s="85">
        <v>2023</v>
      </c>
      <c r="L3850" s="85">
        <v>10</v>
      </c>
      <c r="N3850" s="1" t="s">
        <v>44</v>
      </c>
    </row>
    <row r="3851" spans="1:14">
      <c r="A3851" s="36" t="s">
        <v>33</v>
      </c>
      <c r="B3851" s="37">
        <v>45230</v>
      </c>
      <c r="C3851" s="36" t="s">
        <v>1853</v>
      </c>
      <c r="D3851" s="36" t="s">
        <v>1854</v>
      </c>
      <c r="E3851" s="36" t="s">
        <v>583</v>
      </c>
      <c r="G3851" s="87">
        <v>532000</v>
      </c>
      <c r="H3851" s="87">
        <v>53200</v>
      </c>
      <c r="I3851" s="87">
        <v>585200</v>
      </c>
      <c r="K3851" s="85">
        <v>2023</v>
      </c>
      <c r="L3851" s="85">
        <v>10</v>
      </c>
      <c r="N3851" s="1" t="s">
        <v>44</v>
      </c>
    </row>
    <row r="3852" spans="1:14">
      <c r="A3852" s="36" t="s">
        <v>33</v>
      </c>
      <c r="B3852" s="37">
        <v>45230</v>
      </c>
      <c r="C3852" s="36" t="s">
        <v>1720</v>
      </c>
      <c r="D3852" s="36" t="s">
        <v>865</v>
      </c>
      <c r="E3852" s="36" t="s">
        <v>1721</v>
      </c>
      <c r="G3852" s="87">
        <v>8280000</v>
      </c>
      <c r="H3852" s="87">
        <v>828000</v>
      </c>
      <c r="I3852" s="87">
        <v>9108000</v>
      </c>
      <c r="K3852" s="85">
        <v>2023</v>
      </c>
      <c r="L3852" s="85">
        <v>10</v>
      </c>
      <c r="N3852" s="1" t="s">
        <v>44</v>
      </c>
    </row>
    <row r="3853" spans="1:14">
      <c r="A3853" s="36" t="s">
        <v>33</v>
      </c>
      <c r="B3853" s="37">
        <v>45230</v>
      </c>
      <c r="C3853" s="36" t="s">
        <v>1569</v>
      </c>
      <c r="D3853" s="36" t="s">
        <v>1412</v>
      </c>
      <c r="E3853" s="36" t="s">
        <v>1732</v>
      </c>
      <c r="G3853" s="87">
        <v>17781600</v>
      </c>
      <c r="H3853" s="87">
        <v>1778160</v>
      </c>
      <c r="I3853" s="87">
        <v>19559760</v>
      </c>
      <c r="K3853" s="85">
        <v>2023</v>
      </c>
      <c r="L3853" s="85">
        <v>10</v>
      </c>
      <c r="N3853" s="1" t="s">
        <v>44</v>
      </c>
    </row>
    <row r="3854" spans="1:14">
      <c r="A3854" s="36" t="s">
        <v>32</v>
      </c>
      <c r="B3854" s="37">
        <v>45230</v>
      </c>
      <c r="C3854" s="36" t="s">
        <v>206</v>
      </c>
      <c r="D3854" s="36" t="s">
        <v>1675</v>
      </c>
      <c r="E3854" s="36" t="s">
        <v>148</v>
      </c>
      <c r="J3854" s="87">
        <v>3065040</v>
      </c>
      <c r="K3854" s="85">
        <v>2023</v>
      </c>
      <c r="L3854" s="85">
        <v>9</v>
      </c>
      <c r="N3854" s="1" t="s">
        <v>44</v>
      </c>
    </row>
    <row r="3855" spans="1:14">
      <c r="A3855" s="36" t="s">
        <v>32</v>
      </c>
      <c r="B3855" s="37">
        <v>45230</v>
      </c>
      <c r="C3855" s="36" t="s">
        <v>206</v>
      </c>
      <c r="D3855" s="36" t="s">
        <v>1762</v>
      </c>
      <c r="E3855" s="36" t="s">
        <v>78</v>
      </c>
      <c r="G3855" s="87">
        <v>6957700</v>
      </c>
      <c r="H3855" s="87">
        <v>695770</v>
      </c>
      <c r="I3855" s="87">
        <v>7653470</v>
      </c>
      <c r="K3855" s="85">
        <v>2023</v>
      </c>
      <c r="L3855" s="85">
        <v>10</v>
      </c>
      <c r="N3855" s="1" t="s">
        <v>44</v>
      </c>
    </row>
    <row r="3856" spans="1:14">
      <c r="A3856" s="36" t="s">
        <v>32</v>
      </c>
      <c r="B3856" s="37">
        <v>45230</v>
      </c>
      <c r="C3856" s="36" t="s">
        <v>206</v>
      </c>
      <c r="D3856" s="36" t="s">
        <v>1157</v>
      </c>
      <c r="E3856" s="36" t="s">
        <v>76</v>
      </c>
      <c r="G3856" s="87">
        <v>15336000</v>
      </c>
      <c r="H3856" s="87">
        <v>1533600</v>
      </c>
      <c r="I3856" s="87">
        <v>16869600</v>
      </c>
      <c r="K3856" s="85">
        <v>2023</v>
      </c>
      <c r="L3856" s="85">
        <v>10</v>
      </c>
      <c r="N3856" s="1" t="s">
        <v>44</v>
      </c>
    </row>
    <row r="3857" spans="1:14">
      <c r="A3857" s="36" t="s">
        <v>32</v>
      </c>
      <c r="B3857" s="37">
        <v>45230</v>
      </c>
      <c r="C3857" s="36" t="s">
        <v>1198</v>
      </c>
      <c r="D3857" s="36" t="s">
        <v>1756</v>
      </c>
      <c r="E3857" s="36" t="s">
        <v>78</v>
      </c>
      <c r="G3857" s="87">
        <v>1961000</v>
      </c>
      <c r="H3857" s="87">
        <v>196100</v>
      </c>
      <c r="I3857" s="87">
        <v>2157100</v>
      </c>
      <c r="K3857" s="85">
        <v>2023</v>
      </c>
      <c r="L3857" s="85">
        <v>10</v>
      </c>
      <c r="N3857" s="1" t="s">
        <v>44</v>
      </c>
    </row>
    <row r="3858" spans="1:14">
      <c r="A3858" s="36" t="s">
        <v>32</v>
      </c>
      <c r="B3858" s="37">
        <v>45230</v>
      </c>
      <c r="C3858" s="36" t="s">
        <v>1198</v>
      </c>
      <c r="D3858" s="36" t="s">
        <v>1683</v>
      </c>
      <c r="E3858" s="36" t="s">
        <v>78</v>
      </c>
      <c r="G3858" s="87">
        <v>5671000</v>
      </c>
      <c r="H3858" s="87">
        <v>567100</v>
      </c>
      <c r="I3858" s="87">
        <v>6238100</v>
      </c>
      <c r="K3858" s="85">
        <v>2023</v>
      </c>
      <c r="L3858" s="85">
        <v>10</v>
      </c>
      <c r="N3858" s="1" t="s">
        <v>44</v>
      </c>
    </row>
    <row r="3859" spans="1:14">
      <c r="A3859" s="36" t="s">
        <v>32</v>
      </c>
      <c r="B3859" s="37">
        <v>45230</v>
      </c>
      <c r="C3859" s="36" t="s">
        <v>1198</v>
      </c>
      <c r="D3859" s="36" t="s">
        <v>1757</v>
      </c>
      <c r="E3859" s="36" t="s">
        <v>78</v>
      </c>
      <c r="G3859" s="87">
        <v>5152500</v>
      </c>
      <c r="H3859" s="87">
        <v>515250</v>
      </c>
      <c r="I3859" s="87">
        <v>5667750</v>
      </c>
      <c r="K3859" s="85">
        <v>2023</v>
      </c>
      <c r="L3859" s="85">
        <v>10</v>
      </c>
      <c r="N3859" s="1" t="s">
        <v>44</v>
      </c>
    </row>
    <row r="3860" spans="1:14">
      <c r="A3860" s="36" t="s">
        <v>32</v>
      </c>
      <c r="B3860" s="37">
        <v>45230</v>
      </c>
      <c r="C3860" s="36" t="s">
        <v>1198</v>
      </c>
      <c r="D3860" s="36" t="s">
        <v>1758</v>
      </c>
      <c r="E3860" s="36" t="s">
        <v>78</v>
      </c>
      <c r="G3860" s="87">
        <v>9252500</v>
      </c>
      <c r="H3860" s="87">
        <v>925250</v>
      </c>
      <c r="I3860" s="87">
        <v>10177750</v>
      </c>
      <c r="K3860" s="85">
        <v>2023</v>
      </c>
      <c r="L3860" s="85">
        <v>10</v>
      </c>
      <c r="N3860" s="1" t="s">
        <v>44</v>
      </c>
    </row>
    <row r="3861" spans="1:14">
      <c r="A3861" s="36" t="s">
        <v>32</v>
      </c>
      <c r="B3861" s="37">
        <v>45230</v>
      </c>
      <c r="C3861" s="36" t="s">
        <v>1198</v>
      </c>
      <c r="D3861" s="36" t="s">
        <v>1684</v>
      </c>
      <c r="E3861" s="36" t="s">
        <v>78</v>
      </c>
      <c r="G3861" s="87">
        <v>1800000</v>
      </c>
      <c r="H3861" s="87">
        <v>180000</v>
      </c>
      <c r="I3861" s="87">
        <v>1980000</v>
      </c>
      <c r="K3861" s="85">
        <v>2023</v>
      </c>
      <c r="L3861" s="85">
        <v>10</v>
      </c>
      <c r="N3861" s="1" t="s">
        <v>44</v>
      </c>
    </row>
    <row r="3862" spans="1:14">
      <c r="A3862" s="36" t="s">
        <v>32</v>
      </c>
      <c r="B3862" s="37">
        <v>45230</v>
      </c>
      <c r="C3862" s="36" t="s">
        <v>1198</v>
      </c>
      <c r="D3862" s="36" t="s">
        <v>1759</v>
      </c>
      <c r="E3862" s="36" t="s">
        <v>78</v>
      </c>
      <c r="G3862" s="87">
        <v>3663000</v>
      </c>
      <c r="H3862" s="87">
        <v>366300</v>
      </c>
      <c r="I3862" s="87">
        <v>4029300</v>
      </c>
      <c r="K3862" s="85">
        <v>2023</v>
      </c>
      <c r="L3862" s="85">
        <v>10</v>
      </c>
      <c r="N3862" s="1" t="s">
        <v>44</v>
      </c>
    </row>
    <row r="3863" spans="1:14">
      <c r="A3863" s="36" t="s">
        <v>32</v>
      </c>
      <c r="B3863" s="37">
        <v>45230</v>
      </c>
      <c r="C3863" s="36" t="s">
        <v>1198</v>
      </c>
      <c r="D3863" s="36" t="s">
        <v>1757</v>
      </c>
      <c r="E3863" s="36" t="s">
        <v>77</v>
      </c>
      <c r="J3863" s="87">
        <v>5667750</v>
      </c>
      <c r="K3863" s="85">
        <v>2023</v>
      </c>
      <c r="L3863" s="85">
        <v>10</v>
      </c>
      <c r="N3863" s="1" t="s">
        <v>44</v>
      </c>
    </row>
    <row r="3864" spans="1:14">
      <c r="A3864" s="36" t="s">
        <v>32</v>
      </c>
      <c r="B3864" s="37">
        <v>45230</v>
      </c>
      <c r="C3864" s="36" t="s">
        <v>1468</v>
      </c>
      <c r="D3864" s="36" t="s">
        <v>1751</v>
      </c>
      <c r="E3864" s="36" t="s">
        <v>78</v>
      </c>
      <c r="G3864" s="87">
        <v>1120000</v>
      </c>
      <c r="H3864" s="87">
        <v>112000</v>
      </c>
      <c r="I3864" s="87">
        <v>1232000</v>
      </c>
      <c r="K3864" s="85">
        <v>2023</v>
      </c>
      <c r="L3864" s="85">
        <v>10</v>
      </c>
      <c r="N3864" s="1" t="s">
        <v>44</v>
      </c>
    </row>
    <row r="3865" spans="1:14">
      <c r="A3865" s="36" t="s">
        <v>32</v>
      </c>
      <c r="B3865" s="37">
        <v>45230</v>
      </c>
      <c r="C3865" s="36" t="s">
        <v>1468</v>
      </c>
      <c r="D3865" s="36" t="s">
        <v>1751</v>
      </c>
      <c r="E3865" s="36" t="s">
        <v>1772</v>
      </c>
      <c r="J3865" s="87">
        <v>1232000</v>
      </c>
      <c r="K3865" s="85">
        <v>2023</v>
      </c>
      <c r="L3865" s="85">
        <v>10</v>
      </c>
      <c r="N3865" s="1" t="s">
        <v>44</v>
      </c>
    </row>
    <row r="3866" spans="1:14">
      <c r="A3866" s="36" t="s">
        <v>33</v>
      </c>
      <c r="B3866" s="37">
        <v>45230</v>
      </c>
      <c r="C3866" s="36" t="s">
        <v>1723</v>
      </c>
      <c r="D3866" s="36" t="s">
        <v>1724</v>
      </c>
      <c r="E3866" s="36" t="s">
        <v>1725</v>
      </c>
      <c r="G3866" s="87">
        <v>920000</v>
      </c>
      <c r="H3866" s="87">
        <v>92000</v>
      </c>
      <c r="I3866" s="87">
        <v>1012000</v>
      </c>
      <c r="K3866" s="85">
        <v>2023</v>
      </c>
      <c r="L3866" s="85">
        <v>10</v>
      </c>
      <c r="N3866" s="1" t="s">
        <v>44</v>
      </c>
    </row>
    <row r="3867" spans="1:14">
      <c r="A3867" s="36" t="s">
        <v>32</v>
      </c>
      <c r="B3867" s="37">
        <v>45230</v>
      </c>
      <c r="C3867" s="36" t="s">
        <v>1664</v>
      </c>
      <c r="D3867" s="36" t="s">
        <v>1766</v>
      </c>
      <c r="E3867" s="36" t="s">
        <v>76</v>
      </c>
      <c r="G3867" s="87">
        <v>3566600</v>
      </c>
      <c r="H3867" s="87">
        <v>356660</v>
      </c>
      <c r="I3867" s="87">
        <v>3923260</v>
      </c>
      <c r="K3867" s="85">
        <v>2023</v>
      </c>
      <c r="L3867" s="85">
        <v>10</v>
      </c>
      <c r="N3867" s="1" t="s">
        <v>44</v>
      </c>
    </row>
    <row r="3868" spans="1:14">
      <c r="A3868" s="36" t="s">
        <v>32</v>
      </c>
      <c r="B3868" s="37">
        <v>45230</v>
      </c>
      <c r="C3868" s="36" t="s">
        <v>183</v>
      </c>
      <c r="D3868" s="36" t="s">
        <v>1606</v>
      </c>
      <c r="E3868" s="36" t="s">
        <v>1708</v>
      </c>
      <c r="J3868" s="87">
        <v>20691000</v>
      </c>
      <c r="K3868" s="85">
        <v>2023</v>
      </c>
      <c r="L3868" s="85">
        <v>9</v>
      </c>
      <c r="N3868" s="1" t="s">
        <v>44</v>
      </c>
    </row>
    <row r="3869" spans="1:14">
      <c r="A3869" s="36" t="s">
        <v>32</v>
      </c>
      <c r="B3869" s="37">
        <v>45230</v>
      </c>
      <c r="C3869" s="36" t="s">
        <v>288</v>
      </c>
      <c r="D3869" s="36" t="s">
        <v>1414</v>
      </c>
      <c r="E3869" s="36" t="s">
        <v>76</v>
      </c>
      <c r="G3869" s="87">
        <v>39326400</v>
      </c>
      <c r="H3869" s="87">
        <v>3932640</v>
      </c>
      <c r="I3869" s="87">
        <v>43259040</v>
      </c>
      <c r="K3869" s="85">
        <v>2023</v>
      </c>
      <c r="L3869" s="85">
        <v>10</v>
      </c>
      <c r="N3869" s="1" t="s">
        <v>44</v>
      </c>
    </row>
    <row r="3870" spans="1:14">
      <c r="A3870" s="36" t="s">
        <v>33</v>
      </c>
      <c r="B3870" s="37">
        <v>45230</v>
      </c>
      <c r="C3870" s="36" t="s">
        <v>590</v>
      </c>
      <c r="D3870" s="36" t="s">
        <v>1011</v>
      </c>
      <c r="E3870" s="36" t="s">
        <v>1708</v>
      </c>
      <c r="J3870" s="87">
        <v>36766699.200000003</v>
      </c>
      <c r="K3870" s="85">
        <v>2023</v>
      </c>
      <c r="L3870" s="85">
        <v>9</v>
      </c>
      <c r="N3870" s="1" t="s">
        <v>44</v>
      </c>
    </row>
    <row r="3871" spans="1:14">
      <c r="A3871" s="36" t="s">
        <v>33</v>
      </c>
      <c r="B3871" s="37">
        <v>45230</v>
      </c>
      <c r="C3871" s="36" t="s">
        <v>590</v>
      </c>
      <c r="D3871" s="36" t="s">
        <v>1011</v>
      </c>
      <c r="E3871" s="36" t="s">
        <v>1253</v>
      </c>
      <c r="G3871" s="87">
        <v>8028537</v>
      </c>
      <c r="H3871" s="87">
        <v>802853</v>
      </c>
      <c r="I3871" s="87">
        <v>8831390</v>
      </c>
      <c r="K3871" s="85">
        <v>2023</v>
      </c>
      <c r="L3871" s="85">
        <v>10</v>
      </c>
      <c r="N3871" s="1" t="s">
        <v>44</v>
      </c>
    </row>
    <row r="3872" spans="1:14">
      <c r="A3872" s="36" t="s">
        <v>32</v>
      </c>
      <c r="B3872" s="37">
        <v>45230</v>
      </c>
      <c r="C3872" s="36" t="s">
        <v>307</v>
      </c>
      <c r="D3872" s="36" t="s">
        <v>1488</v>
      </c>
      <c r="E3872" s="36" t="s">
        <v>1708</v>
      </c>
      <c r="J3872" s="87">
        <v>10000000</v>
      </c>
      <c r="K3872" s="85">
        <v>2023</v>
      </c>
      <c r="L3872" s="85">
        <v>8</v>
      </c>
      <c r="N3872" s="1" t="s">
        <v>44</v>
      </c>
    </row>
    <row r="3873" spans="1:14">
      <c r="A3873" s="36" t="s">
        <v>32</v>
      </c>
      <c r="B3873" s="37">
        <v>45230</v>
      </c>
      <c r="C3873" s="36" t="s">
        <v>307</v>
      </c>
      <c r="D3873" s="36" t="s">
        <v>1752</v>
      </c>
      <c r="E3873" s="36" t="s">
        <v>78</v>
      </c>
      <c r="G3873" s="87">
        <v>13380000</v>
      </c>
      <c r="H3873" s="87">
        <v>1338000</v>
      </c>
      <c r="I3873" s="87">
        <v>14718000</v>
      </c>
      <c r="K3873" s="85">
        <v>2023</v>
      </c>
      <c r="L3873" s="85">
        <v>10</v>
      </c>
      <c r="N3873" s="1" t="s">
        <v>44</v>
      </c>
    </row>
    <row r="3874" spans="1:14">
      <c r="A3874" s="36" t="s">
        <v>32</v>
      </c>
      <c r="B3874" s="37">
        <v>45230</v>
      </c>
      <c r="C3874" s="36" t="s">
        <v>175</v>
      </c>
      <c r="D3874" s="36" t="s">
        <v>1763</v>
      </c>
      <c r="E3874" s="36" t="s">
        <v>76</v>
      </c>
      <c r="G3874" s="87">
        <v>3200000</v>
      </c>
      <c r="H3874" s="87">
        <v>320000</v>
      </c>
      <c r="I3874" s="87">
        <v>3520000</v>
      </c>
      <c r="K3874" s="85">
        <v>2023</v>
      </c>
      <c r="L3874" s="85">
        <v>10</v>
      </c>
      <c r="N3874" s="1" t="s">
        <v>44</v>
      </c>
    </row>
    <row r="3875" spans="1:14">
      <c r="A3875" s="36" t="s">
        <v>32</v>
      </c>
      <c r="B3875" s="37">
        <v>45230</v>
      </c>
      <c r="C3875" s="36" t="s">
        <v>1465</v>
      </c>
      <c r="D3875" s="36" t="s">
        <v>1599</v>
      </c>
      <c r="E3875" s="36" t="s">
        <v>78</v>
      </c>
      <c r="G3875" s="87">
        <v>2376000</v>
      </c>
      <c r="H3875" s="87">
        <v>237600</v>
      </c>
      <c r="I3875" s="87">
        <v>2613600</v>
      </c>
      <c r="K3875" s="85">
        <v>2023</v>
      </c>
      <c r="L3875" s="85">
        <v>10</v>
      </c>
      <c r="N3875" s="1" t="s">
        <v>44</v>
      </c>
    </row>
    <row r="3876" spans="1:14">
      <c r="A3876" s="36" t="s">
        <v>32</v>
      </c>
      <c r="B3876" s="37">
        <v>45230</v>
      </c>
      <c r="C3876" s="36" t="s">
        <v>1586</v>
      </c>
      <c r="D3876" s="36" t="s">
        <v>1680</v>
      </c>
      <c r="E3876" s="36" t="s">
        <v>1708</v>
      </c>
      <c r="J3876" s="87">
        <v>22000000</v>
      </c>
      <c r="K3876" s="85">
        <v>2023</v>
      </c>
      <c r="L3876" s="85">
        <v>9</v>
      </c>
      <c r="N3876" s="1" t="s">
        <v>44</v>
      </c>
    </row>
    <row r="3877" spans="1:14">
      <c r="A3877" s="36" t="s">
        <v>32</v>
      </c>
      <c r="B3877" s="37">
        <v>45230</v>
      </c>
      <c r="C3877" s="36" t="s">
        <v>1586</v>
      </c>
      <c r="D3877" s="36" t="s">
        <v>1608</v>
      </c>
      <c r="E3877" s="36" t="s">
        <v>76</v>
      </c>
      <c r="G3877" s="87">
        <v>20000000</v>
      </c>
      <c r="H3877" s="87">
        <v>2000000</v>
      </c>
      <c r="I3877" s="87">
        <v>22000000</v>
      </c>
      <c r="K3877" s="85">
        <v>2023</v>
      </c>
      <c r="L3877" s="85">
        <v>10</v>
      </c>
      <c r="N3877" s="1" t="s">
        <v>44</v>
      </c>
    </row>
    <row r="3878" spans="1:14">
      <c r="A3878" s="36" t="s">
        <v>33</v>
      </c>
      <c r="B3878" s="37">
        <v>45230</v>
      </c>
      <c r="C3878" s="36" t="s">
        <v>1391</v>
      </c>
      <c r="D3878" s="36" t="s">
        <v>1227</v>
      </c>
      <c r="E3878" s="36" t="s">
        <v>198</v>
      </c>
      <c r="G3878" s="87">
        <v>15708000</v>
      </c>
      <c r="H3878" s="87">
        <v>1570800</v>
      </c>
      <c r="I3878" s="87">
        <v>17278800</v>
      </c>
      <c r="K3878" s="85">
        <v>2023</v>
      </c>
      <c r="L3878" s="85">
        <v>10</v>
      </c>
      <c r="N3878" s="1" t="s">
        <v>44</v>
      </c>
    </row>
    <row r="3879" spans="1:14">
      <c r="A3879" s="36" t="s">
        <v>32</v>
      </c>
      <c r="B3879" s="37">
        <v>45230</v>
      </c>
      <c r="C3879" s="36" t="s">
        <v>1257</v>
      </c>
      <c r="D3879" s="36" t="s">
        <v>1258</v>
      </c>
      <c r="E3879" s="36" t="s">
        <v>1708</v>
      </c>
      <c r="J3879" s="87">
        <v>2783000</v>
      </c>
      <c r="K3879" s="85">
        <v>2023</v>
      </c>
      <c r="L3879" s="85">
        <v>9</v>
      </c>
      <c r="M3879" s="36" t="s">
        <v>1709</v>
      </c>
      <c r="N3879" s="1" t="s">
        <v>44</v>
      </c>
    </row>
    <row r="3880" spans="1:14">
      <c r="A3880" s="36" t="s">
        <v>33</v>
      </c>
      <c r="B3880" s="37">
        <v>45230</v>
      </c>
      <c r="C3880" s="36" t="s">
        <v>1257</v>
      </c>
      <c r="D3880" s="36" t="s">
        <v>1258</v>
      </c>
      <c r="E3880" s="36" t="s">
        <v>1719</v>
      </c>
      <c r="G3880" s="87">
        <v>6900000</v>
      </c>
      <c r="H3880" s="87">
        <v>690000</v>
      </c>
      <c r="I3880" s="87">
        <v>7590000</v>
      </c>
      <c r="K3880" s="85">
        <v>2023</v>
      </c>
      <c r="L3880" s="85">
        <v>10</v>
      </c>
      <c r="N3880" s="1" t="s">
        <v>44</v>
      </c>
    </row>
    <row r="3881" spans="1:14">
      <c r="A3881" s="36" t="s">
        <v>32</v>
      </c>
      <c r="B3881" s="37">
        <v>45230</v>
      </c>
      <c r="C3881" s="36" t="s">
        <v>1531</v>
      </c>
      <c r="D3881" s="36" t="s">
        <v>1648</v>
      </c>
      <c r="E3881" s="36" t="s">
        <v>1767</v>
      </c>
      <c r="G3881" s="87">
        <v>12850100</v>
      </c>
      <c r="H3881" s="87">
        <v>1285010</v>
      </c>
      <c r="I3881" s="87">
        <v>14135110</v>
      </c>
      <c r="K3881" s="85">
        <v>2023</v>
      </c>
      <c r="L3881" s="85">
        <v>10</v>
      </c>
      <c r="N3881" s="1" t="s">
        <v>44</v>
      </c>
    </row>
    <row r="3882" spans="1:14">
      <c r="A3882" s="36" t="s">
        <v>32</v>
      </c>
      <c r="B3882" s="37">
        <v>45230</v>
      </c>
      <c r="C3882" s="36" t="s">
        <v>834</v>
      </c>
      <c r="D3882" s="36" t="s">
        <v>2028</v>
      </c>
      <c r="E3882" s="36" t="s">
        <v>148</v>
      </c>
      <c r="J3882" s="38">
        <v>100000000</v>
      </c>
      <c r="K3882" s="85">
        <v>2023</v>
      </c>
      <c r="L3882" s="85">
        <v>10</v>
      </c>
      <c r="N3882" s="1" t="s">
        <v>44</v>
      </c>
    </row>
    <row r="3883" spans="1:14">
      <c r="A3883" s="36" t="s">
        <v>32</v>
      </c>
      <c r="B3883" s="37">
        <v>45230</v>
      </c>
      <c r="C3883" s="36" t="s">
        <v>834</v>
      </c>
      <c r="D3883" s="36" t="s">
        <v>2028</v>
      </c>
      <c r="E3883" s="36" t="s">
        <v>1769</v>
      </c>
      <c r="G3883" s="87">
        <v>170071300</v>
      </c>
      <c r="H3883" s="87">
        <v>17007130</v>
      </c>
      <c r="I3883" s="87">
        <v>187078430</v>
      </c>
      <c r="K3883" s="85">
        <v>2023</v>
      </c>
      <c r="L3883" s="85">
        <v>10</v>
      </c>
      <c r="N3883" s="1" t="s">
        <v>44</v>
      </c>
    </row>
    <row r="3884" spans="1:14">
      <c r="A3884" s="36" t="s">
        <v>33</v>
      </c>
      <c r="B3884" s="37">
        <v>45230</v>
      </c>
      <c r="C3884" s="36" t="s">
        <v>1650</v>
      </c>
      <c r="D3884" s="36" t="s">
        <v>790</v>
      </c>
      <c r="E3884" s="36" t="s">
        <v>1708</v>
      </c>
      <c r="J3884" s="87">
        <v>1265000</v>
      </c>
      <c r="K3884" s="85">
        <v>2023</v>
      </c>
      <c r="L3884" s="85">
        <v>9</v>
      </c>
      <c r="N3884" s="1" t="s">
        <v>44</v>
      </c>
    </row>
    <row r="3885" spans="1:14">
      <c r="A3885" s="36" t="s">
        <v>33</v>
      </c>
      <c r="B3885" s="37">
        <v>45230</v>
      </c>
      <c r="C3885" s="36" t="s">
        <v>1650</v>
      </c>
      <c r="D3885" s="36" t="s">
        <v>790</v>
      </c>
      <c r="E3885" s="36" t="s">
        <v>76</v>
      </c>
      <c r="G3885" s="87">
        <v>6440000</v>
      </c>
      <c r="H3885" s="87">
        <v>644000</v>
      </c>
      <c r="I3885" s="87">
        <v>7084000</v>
      </c>
      <c r="K3885" s="85">
        <v>2023</v>
      </c>
      <c r="L3885" s="85">
        <v>10</v>
      </c>
      <c r="N3885" s="1" t="s">
        <v>44</v>
      </c>
    </row>
    <row r="3886" spans="1:14">
      <c r="A3886" s="36" t="s">
        <v>32</v>
      </c>
      <c r="B3886" s="37">
        <v>45230</v>
      </c>
      <c r="C3886" s="36" t="s">
        <v>1336</v>
      </c>
      <c r="D3886" s="36" t="s">
        <v>1671</v>
      </c>
      <c r="E3886" s="36" t="s">
        <v>1708</v>
      </c>
      <c r="J3886" s="87">
        <v>11704000</v>
      </c>
      <c r="K3886" s="85">
        <v>2023</v>
      </c>
      <c r="L3886" s="85">
        <v>9</v>
      </c>
      <c r="N3886" s="1" t="s">
        <v>44</v>
      </c>
    </row>
    <row r="3887" spans="1:14">
      <c r="A3887" s="36" t="s">
        <v>32</v>
      </c>
      <c r="B3887" s="37">
        <v>45230</v>
      </c>
      <c r="C3887" s="36" t="s">
        <v>654</v>
      </c>
      <c r="D3887" s="36" t="s">
        <v>1672</v>
      </c>
      <c r="E3887" s="36" t="s">
        <v>76</v>
      </c>
      <c r="G3887" s="87">
        <v>17115000</v>
      </c>
      <c r="H3887" s="87">
        <v>1711500</v>
      </c>
      <c r="I3887" s="87">
        <v>18826500</v>
      </c>
      <c r="K3887" s="85">
        <v>2023</v>
      </c>
      <c r="L3887" s="85">
        <v>10</v>
      </c>
      <c r="N3887" s="1" t="s">
        <v>44</v>
      </c>
    </row>
    <row r="3888" spans="1:14">
      <c r="A3888" s="36" t="s">
        <v>32</v>
      </c>
      <c r="B3888" s="37">
        <v>45230</v>
      </c>
      <c r="C3888" s="36" t="s">
        <v>654</v>
      </c>
      <c r="D3888" s="36" t="s">
        <v>1673</v>
      </c>
      <c r="E3888" s="36" t="s">
        <v>76</v>
      </c>
      <c r="G3888" s="87">
        <v>49819640</v>
      </c>
      <c r="H3888" s="87">
        <v>4981964</v>
      </c>
      <c r="I3888" s="87">
        <v>54801604</v>
      </c>
      <c r="K3888" s="85">
        <v>2023</v>
      </c>
      <c r="L3888" s="85">
        <v>10</v>
      </c>
      <c r="N3888" s="1" t="s">
        <v>44</v>
      </c>
    </row>
    <row r="3889" spans="1:14">
      <c r="A3889" s="36" t="s">
        <v>32</v>
      </c>
      <c r="B3889" s="37">
        <v>45230</v>
      </c>
      <c r="C3889" s="36" t="s">
        <v>654</v>
      </c>
      <c r="D3889" s="36" t="s">
        <v>1753</v>
      </c>
      <c r="E3889" s="36" t="s">
        <v>76</v>
      </c>
      <c r="G3889" s="87">
        <v>16539120</v>
      </c>
      <c r="H3889" s="87">
        <v>1653912</v>
      </c>
      <c r="I3889" s="87">
        <v>18193032</v>
      </c>
      <c r="K3889" s="85">
        <v>2023</v>
      </c>
      <c r="L3889" s="85">
        <v>10</v>
      </c>
      <c r="N3889" s="1" t="s">
        <v>44</v>
      </c>
    </row>
    <row r="3890" spans="1:14">
      <c r="A3890" s="36" t="s">
        <v>32</v>
      </c>
      <c r="B3890" s="37">
        <v>45230</v>
      </c>
      <c r="C3890" s="36" t="s">
        <v>654</v>
      </c>
      <c r="D3890" s="36" t="s">
        <v>1754</v>
      </c>
      <c r="E3890" s="36" t="s">
        <v>1768</v>
      </c>
      <c r="G3890" s="87">
        <v>3000000</v>
      </c>
      <c r="H3890" s="87">
        <v>300000</v>
      </c>
      <c r="I3890" s="87">
        <v>3300000</v>
      </c>
      <c r="K3890" s="85">
        <v>2023</v>
      </c>
      <c r="L3890" s="85">
        <v>10</v>
      </c>
      <c r="N3890" s="1" t="s">
        <v>44</v>
      </c>
    </row>
    <row r="3891" spans="1:14">
      <c r="A3891" s="36" t="s">
        <v>32</v>
      </c>
      <c r="B3891" s="37">
        <v>45230</v>
      </c>
      <c r="C3891" s="36" t="s">
        <v>654</v>
      </c>
      <c r="D3891" s="36" t="s">
        <v>1754</v>
      </c>
      <c r="E3891" s="36" t="s">
        <v>76</v>
      </c>
      <c r="G3891" s="87">
        <v>104877500</v>
      </c>
      <c r="H3891" s="87">
        <v>10487750</v>
      </c>
      <c r="I3891" s="87">
        <v>115365250</v>
      </c>
      <c r="K3891" s="85">
        <v>2023</v>
      </c>
      <c r="L3891" s="85">
        <v>10</v>
      </c>
      <c r="N3891" s="1" t="s">
        <v>44</v>
      </c>
    </row>
    <row r="3892" spans="1:14">
      <c r="A3892" s="36" t="s">
        <v>33</v>
      </c>
      <c r="B3892" s="37">
        <v>45230</v>
      </c>
      <c r="C3892" s="36" t="s">
        <v>1335</v>
      </c>
      <c r="D3892" s="36" t="s">
        <v>1523</v>
      </c>
      <c r="E3892" s="36" t="s">
        <v>76</v>
      </c>
      <c r="G3892" s="87">
        <v>19518000</v>
      </c>
      <c r="H3892" s="87">
        <v>1951800</v>
      </c>
      <c r="I3892" s="87">
        <v>21469800</v>
      </c>
      <c r="K3892" s="85">
        <v>2023</v>
      </c>
      <c r="L3892" s="85">
        <v>10</v>
      </c>
      <c r="N3892" s="1" t="s">
        <v>44</v>
      </c>
    </row>
    <row r="3893" spans="1:14">
      <c r="A3893" s="36" t="s">
        <v>32</v>
      </c>
      <c r="B3893" s="37">
        <v>45230</v>
      </c>
      <c r="C3893" s="36" t="s">
        <v>1587</v>
      </c>
      <c r="D3893" s="36" t="s">
        <v>1609</v>
      </c>
      <c r="E3893" s="36" t="s">
        <v>76</v>
      </c>
      <c r="G3893" s="87">
        <v>5760000</v>
      </c>
      <c r="H3893" s="87">
        <v>576000</v>
      </c>
      <c r="I3893" s="87">
        <v>6336000</v>
      </c>
      <c r="K3893" s="85">
        <v>2023</v>
      </c>
      <c r="L3893" s="85">
        <v>10</v>
      </c>
      <c r="N3893" s="1" t="s">
        <v>44</v>
      </c>
    </row>
    <row r="3894" spans="1:14">
      <c r="A3894" s="36" t="s">
        <v>33</v>
      </c>
      <c r="B3894" s="37">
        <v>45230</v>
      </c>
      <c r="C3894" s="36" t="s">
        <v>688</v>
      </c>
      <c r="D3894" s="36" t="s">
        <v>1731</v>
      </c>
      <c r="E3894" s="36" t="s">
        <v>76</v>
      </c>
      <c r="G3894" s="87">
        <v>2760000</v>
      </c>
      <c r="H3894" s="87">
        <v>276000</v>
      </c>
      <c r="I3894" s="87">
        <v>3036000</v>
      </c>
      <c r="K3894" s="85">
        <v>2023</v>
      </c>
      <c r="L3894" s="85">
        <v>10</v>
      </c>
      <c r="N3894" s="1" t="s">
        <v>44</v>
      </c>
    </row>
    <row r="3895" spans="1:14">
      <c r="A3895" s="36" t="s">
        <v>33</v>
      </c>
      <c r="B3895" s="37">
        <v>45230</v>
      </c>
      <c r="C3895" s="36" t="s">
        <v>688</v>
      </c>
      <c r="D3895" s="36" t="s">
        <v>1731</v>
      </c>
      <c r="E3895" s="36" t="s">
        <v>1772</v>
      </c>
      <c r="J3895" s="87">
        <v>3036000</v>
      </c>
      <c r="K3895" s="85">
        <v>2023</v>
      </c>
      <c r="L3895" s="85">
        <v>10</v>
      </c>
      <c r="N3895" s="1" t="s">
        <v>44</v>
      </c>
    </row>
    <row r="3896" spans="1:14">
      <c r="A3896" s="36" t="s">
        <v>33</v>
      </c>
      <c r="B3896" s="37">
        <v>45231</v>
      </c>
      <c r="C3896" s="36" t="s">
        <v>1569</v>
      </c>
      <c r="D3896" s="36" t="s">
        <v>1412</v>
      </c>
      <c r="E3896" s="36" t="s">
        <v>148</v>
      </c>
      <c r="J3896" s="87">
        <v>23366860</v>
      </c>
      <c r="K3896" s="85">
        <v>2023</v>
      </c>
      <c r="L3896" s="85">
        <v>9</v>
      </c>
      <c r="N3896" s="1" t="s">
        <v>44</v>
      </c>
    </row>
    <row r="3897" spans="1:14">
      <c r="A3897" s="36" t="s">
        <v>32</v>
      </c>
      <c r="B3897" s="37">
        <v>45231</v>
      </c>
      <c r="C3897" s="36" t="s">
        <v>175</v>
      </c>
      <c r="D3897" s="36" t="s">
        <v>1669</v>
      </c>
      <c r="E3897" s="36" t="s">
        <v>1711</v>
      </c>
      <c r="J3897" s="38">
        <v>50127000</v>
      </c>
      <c r="K3897" s="85">
        <v>2023</v>
      </c>
      <c r="L3897" s="85">
        <v>9</v>
      </c>
      <c r="N3897" s="1" t="s">
        <v>1715</v>
      </c>
    </row>
    <row r="3898" spans="1:14">
      <c r="A3898" s="36" t="s">
        <v>33</v>
      </c>
      <c r="B3898" s="37">
        <v>45231</v>
      </c>
      <c r="C3898" s="36" t="s">
        <v>1391</v>
      </c>
      <c r="D3898" s="36" t="s">
        <v>1227</v>
      </c>
      <c r="E3898" s="36" t="s">
        <v>1711</v>
      </c>
      <c r="J3898" s="87">
        <v>8660025</v>
      </c>
      <c r="K3898" s="85">
        <v>2023</v>
      </c>
      <c r="L3898" s="85">
        <v>9</v>
      </c>
      <c r="N3898" s="1" t="s">
        <v>44</v>
      </c>
    </row>
    <row r="3899" spans="1:14">
      <c r="A3899" s="36" t="s">
        <v>32</v>
      </c>
      <c r="B3899" s="37">
        <v>45231</v>
      </c>
      <c r="C3899" s="36" t="s">
        <v>834</v>
      </c>
      <c r="D3899" s="36" t="s">
        <v>2028</v>
      </c>
      <c r="E3899" s="36" t="s">
        <v>1737</v>
      </c>
      <c r="J3899" s="38">
        <v>70000000</v>
      </c>
      <c r="K3899" s="85">
        <v>2023</v>
      </c>
      <c r="L3899" s="85">
        <v>10</v>
      </c>
      <c r="N3899" s="1" t="s">
        <v>44</v>
      </c>
    </row>
    <row r="3900" spans="1:14">
      <c r="A3900" s="18" t="s">
        <v>32</v>
      </c>
      <c r="B3900" s="122">
        <v>45231</v>
      </c>
      <c r="C3900" s="18" t="s">
        <v>834</v>
      </c>
      <c r="D3900" s="18" t="s">
        <v>2028</v>
      </c>
      <c r="E3900" s="18" t="s">
        <v>1024</v>
      </c>
      <c r="F3900" s="123"/>
      <c r="G3900" s="124">
        <v>-15342864</v>
      </c>
      <c r="H3900" s="124">
        <v>-1534286</v>
      </c>
      <c r="I3900" s="124">
        <v>-16877150</v>
      </c>
      <c r="K3900" s="85">
        <v>2023</v>
      </c>
      <c r="L3900" s="85">
        <v>10</v>
      </c>
      <c r="N3900" s="1" t="s">
        <v>44</v>
      </c>
    </row>
    <row r="3901" spans="1:14">
      <c r="A3901" s="36" t="s">
        <v>32</v>
      </c>
      <c r="B3901" s="37">
        <v>45231</v>
      </c>
      <c r="C3901" s="36" t="s">
        <v>654</v>
      </c>
      <c r="D3901" s="36" t="s">
        <v>1753</v>
      </c>
      <c r="E3901" s="36" t="s">
        <v>76</v>
      </c>
      <c r="G3901" s="87">
        <v>-16539120</v>
      </c>
      <c r="H3901" s="87">
        <v>-1653912</v>
      </c>
      <c r="I3901" s="87">
        <v>-18193032</v>
      </c>
      <c r="K3901" s="85">
        <v>2023</v>
      </c>
      <c r="L3901" s="85">
        <v>10</v>
      </c>
      <c r="N3901" s="1" t="s">
        <v>44</v>
      </c>
    </row>
    <row r="3902" spans="1:14">
      <c r="A3902" s="36" t="s">
        <v>32</v>
      </c>
      <c r="B3902" s="37">
        <v>45232</v>
      </c>
      <c r="C3902" s="36" t="s">
        <v>552</v>
      </c>
      <c r="D3902" s="36" t="s">
        <v>1011</v>
      </c>
      <c r="E3902" s="36" t="s">
        <v>1716</v>
      </c>
      <c r="J3902" s="38">
        <v>-1612099</v>
      </c>
      <c r="K3902" s="85">
        <v>2023</v>
      </c>
      <c r="L3902" s="85">
        <v>8</v>
      </c>
      <c r="N3902" s="1" t="s">
        <v>44</v>
      </c>
    </row>
    <row r="3903" spans="1:14">
      <c r="A3903" s="36" t="s">
        <v>32</v>
      </c>
      <c r="B3903" s="37">
        <v>45233</v>
      </c>
      <c r="C3903" s="36" t="s">
        <v>334</v>
      </c>
      <c r="D3903" s="36" t="s">
        <v>1685</v>
      </c>
      <c r="E3903" s="36" t="s">
        <v>1727</v>
      </c>
      <c r="J3903" s="87">
        <v>1939740</v>
      </c>
      <c r="K3903" s="85">
        <v>2023</v>
      </c>
      <c r="L3903" s="85">
        <v>9</v>
      </c>
      <c r="N3903" s="1" t="s">
        <v>44</v>
      </c>
    </row>
    <row r="3904" spans="1:14">
      <c r="A3904" s="36" t="s">
        <v>32</v>
      </c>
      <c r="B3904" s="37">
        <v>45233</v>
      </c>
      <c r="C3904" s="36" t="s">
        <v>1662</v>
      </c>
      <c r="D3904" s="36" t="s">
        <v>1819</v>
      </c>
      <c r="E3904" s="36" t="s">
        <v>1726</v>
      </c>
      <c r="J3904" s="87">
        <v>2840530</v>
      </c>
      <c r="K3904" s="85">
        <v>2023</v>
      </c>
      <c r="L3904" s="85">
        <v>9</v>
      </c>
      <c r="N3904" s="1" t="s">
        <v>44</v>
      </c>
    </row>
    <row r="3905" spans="1:14">
      <c r="A3905" s="36" t="s">
        <v>32</v>
      </c>
      <c r="B3905" s="37">
        <v>45233</v>
      </c>
      <c r="C3905" s="36" t="s">
        <v>183</v>
      </c>
      <c r="D3905" s="36" t="s">
        <v>1686</v>
      </c>
      <c r="E3905" s="36" t="s">
        <v>148</v>
      </c>
      <c r="J3905" s="87">
        <v>15400000</v>
      </c>
      <c r="K3905" s="85">
        <v>2023</v>
      </c>
      <c r="L3905" s="85">
        <v>9</v>
      </c>
      <c r="N3905" s="1" t="s">
        <v>44</v>
      </c>
    </row>
    <row r="3906" spans="1:14">
      <c r="A3906" s="36" t="s">
        <v>19</v>
      </c>
      <c r="B3906" s="37">
        <v>45233</v>
      </c>
      <c r="C3906" s="36" t="s">
        <v>1705</v>
      </c>
      <c r="D3906" s="36" t="s">
        <v>1706</v>
      </c>
      <c r="E3906" s="36" t="s">
        <v>148</v>
      </c>
      <c r="J3906" s="87">
        <v>4070000</v>
      </c>
      <c r="K3906" s="85">
        <v>2023</v>
      </c>
      <c r="L3906" s="85">
        <v>10</v>
      </c>
      <c r="N3906" s="1" t="s">
        <v>84</v>
      </c>
    </row>
    <row r="3907" spans="1:14">
      <c r="A3907" s="36" t="s">
        <v>32</v>
      </c>
      <c r="B3907" s="37">
        <v>45237</v>
      </c>
      <c r="C3907" s="36" t="s">
        <v>1198</v>
      </c>
      <c r="D3907" s="36" t="s">
        <v>1684</v>
      </c>
      <c r="E3907" s="36" t="s">
        <v>77</v>
      </c>
      <c r="J3907" s="38">
        <v>1980000</v>
      </c>
      <c r="K3907" s="85">
        <v>2023</v>
      </c>
      <c r="L3907" s="85">
        <v>10</v>
      </c>
      <c r="N3907" s="1" t="s">
        <v>44</v>
      </c>
    </row>
    <row r="3908" spans="1:14">
      <c r="A3908" s="36" t="s">
        <v>33</v>
      </c>
      <c r="B3908" s="37">
        <v>45238</v>
      </c>
      <c r="C3908" s="36" t="s">
        <v>1728</v>
      </c>
      <c r="D3908" s="36" t="s">
        <v>1729</v>
      </c>
      <c r="E3908" s="36" t="s">
        <v>143</v>
      </c>
      <c r="G3908" s="87">
        <v>70000</v>
      </c>
      <c r="H3908" s="87">
        <v>7000</v>
      </c>
      <c r="I3908" s="87">
        <v>77000</v>
      </c>
      <c r="K3908" s="85">
        <v>2023</v>
      </c>
      <c r="L3908" s="85">
        <v>10</v>
      </c>
      <c r="N3908" s="1" t="s">
        <v>44</v>
      </c>
    </row>
    <row r="3909" spans="1:14">
      <c r="A3909" s="36" t="s">
        <v>33</v>
      </c>
      <c r="B3909" s="37">
        <v>45238</v>
      </c>
      <c r="C3909" s="36" t="s">
        <v>1728</v>
      </c>
      <c r="D3909" s="36" t="s">
        <v>1729</v>
      </c>
      <c r="E3909" s="36" t="s">
        <v>77</v>
      </c>
      <c r="J3909" s="38">
        <v>77000</v>
      </c>
      <c r="K3909" s="85">
        <v>2023</v>
      </c>
      <c r="L3909" s="85">
        <v>10</v>
      </c>
      <c r="N3909" s="1" t="s">
        <v>44</v>
      </c>
    </row>
    <row r="3910" spans="1:14">
      <c r="A3910" s="36" t="s">
        <v>32</v>
      </c>
      <c r="B3910" s="37">
        <v>45238</v>
      </c>
      <c r="C3910" s="36" t="s">
        <v>1198</v>
      </c>
      <c r="D3910" s="36" t="s">
        <v>1682</v>
      </c>
      <c r="E3910" s="36" t="s">
        <v>77</v>
      </c>
      <c r="J3910" s="87">
        <v>7376160</v>
      </c>
      <c r="K3910" s="85">
        <v>2023</v>
      </c>
      <c r="L3910" s="85">
        <v>9</v>
      </c>
      <c r="N3910" s="1" t="s">
        <v>44</v>
      </c>
    </row>
    <row r="3911" spans="1:14">
      <c r="A3911" s="36" t="s">
        <v>32</v>
      </c>
      <c r="B3911" s="37">
        <v>45238</v>
      </c>
      <c r="C3911" s="36" t="s">
        <v>1664</v>
      </c>
      <c r="D3911" s="36" t="s">
        <v>1687</v>
      </c>
      <c r="E3911" s="36" t="s">
        <v>1730</v>
      </c>
      <c r="J3911" s="87">
        <v>3201660</v>
      </c>
      <c r="K3911" s="85">
        <v>2023</v>
      </c>
      <c r="L3911" s="85">
        <v>9</v>
      </c>
      <c r="N3911" s="1" t="s">
        <v>44</v>
      </c>
    </row>
    <row r="3912" spans="1:14">
      <c r="A3912" s="36" t="s">
        <v>32</v>
      </c>
      <c r="B3912" s="37">
        <v>45240</v>
      </c>
      <c r="C3912" s="36" t="s">
        <v>209</v>
      </c>
      <c r="D3912" s="36" t="s">
        <v>1412</v>
      </c>
      <c r="E3912" s="36" t="s">
        <v>77</v>
      </c>
      <c r="J3912" s="38">
        <v>172326000</v>
      </c>
      <c r="K3912" s="85">
        <v>2023</v>
      </c>
      <c r="L3912" s="85">
        <v>10</v>
      </c>
      <c r="N3912" s="1" t="s">
        <v>44</v>
      </c>
    </row>
    <row r="3913" spans="1:14">
      <c r="A3913" s="36" t="s">
        <v>32</v>
      </c>
      <c r="B3913" s="37">
        <v>45240</v>
      </c>
      <c r="C3913" s="36" t="s">
        <v>204</v>
      </c>
      <c r="D3913" s="36" t="s">
        <v>1273</v>
      </c>
      <c r="E3913" s="36" t="s">
        <v>148</v>
      </c>
      <c r="J3913" s="87">
        <v>10255300</v>
      </c>
      <c r="K3913" s="85">
        <v>2023</v>
      </c>
      <c r="L3913" s="85">
        <v>9</v>
      </c>
      <c r="N3913" s="1" t="s">
        <v>44</v>
      </c>
    </row>
    <row r="3914" spans="1:14">
      <c r="A3914" s="36" t="s">
        <v>32</v>
      </c>
      <c r="B3914" s="37">
        <v>45240</v>
      </c>
      <c r="C3914" s="36" t="s">
        <v>1467</v>
      </c>
      <c r="D3914" s="36" t="s">
        <v>1593</v>
      </c>
      <c r="E3914" s="36" t="s">
        <v>1734</v>
      </c>
      <c r="J3914" s="87">
        <v>3036880</v>
      </c>
      <c r="K3914" s="85">
        <v>2023</v>
      </c>
      <c r="L3914" s="85">
        <v>9</v>
      </c>
      <c r="N3914" s="1" t="s">
        <v>44</v>
      </c>
    </row>
    <row r="3915" spans="1:14">
      <c r="A3915" s="36" t="s">
        <v>32</v>
      </c>
      <c r="B3915" s="37">
        <v>45240</v>
      </c>
      <c r="C3915" s="36" t="s">
        <v>1467</v>
      </c>
      <c r="D3915" s="36" t="s">
        <v>1594</v>
      </c>
      <c r="E3915" s="36" t="s">
        <v>1734</v>
      </c>
      <c r="J3915" s="87">
        <v>825000</v>
      </c>
      <c r="K3915" s="85">
        <v>2023</v>
      </c>
      <c r="L3915" s="85">
        <v>9</v>
      </c>
      <c r="N3915" s="1" t="s">
        <v>44</v>
      </c>
    </row>
    <row r="3916" spans="1:14">
      <c r="A3916" s="36" t="s">
        <v>32</v>
      </c>
      <c r="B3916" s="37">
        <v>45240</v>
      </c>
      <c r="C3916" s="36" t="s">
        <v>1467</v>
      </c>
      <c r="D3916" s="36" t="s">
        <v>1676</v>
      </c>
      <c r="E3916" s="36" t="s">
        <v>1734</v>
      </c>
      <c r="J3916" s="87">
        <v>6105000</v>
      </c>
      <c r="K3916" s="85">
        <v>2023</v>
      </c>
      <c r="L3916" s="85">
        <v>9</v>
      </c>
      <c r="N3916" s="1" t="s">
        <v>44</v>
      </c>
    </row>
    <row r="3917" spans="1:14">
      <c r="A3917" s="36" t="s">
        <v>33</v>
      </c>
      <c r="B3917" s="37">
        <v>45240</v>
      </c>
      <c r="C3917" s="36" t="s">
        <v>1328</v>
      </c>
      <c r="D3917" s="36" t="s">
        <v>1330</v>
      </c>
      <c r="E3917" s="36" t="s">
        <v>1734</v>
      </c>
      <c r="J3917" s="87">
        <v>1074590</v>
      </c>
      <c r="K3917" s="85">
        <v>2023</v>
      </c>
      <c r="L3917" s="85">
        <v>8</v>
      </c>
      <c r="N3917" s="1" t="s">
        <v>44</v>
      </c>
    </row>
    <row r="3918" spans="1:14">
      <c r="A3918" s="36" t="s">
        <v>33</v>
      </c>
      <c r="B3918" s="37">
        <v>45243</v>
      </c>
      <c r="C3918" s="36" t="s">
        <v>96</v>
      </c>
      <c r="D3918" s="36" t="s">
        <v>1808</v>
      </c>
      <c r="E3918" s="36" t="s">
        <v>97</v>
      </c>
      <c r="G3918" s="87">
        <v>200000</v>
      </c>
      <c r="H3918" s="87">
        <v>20000</v>
      </c>
      <c r="I3918" s="87">
        <v>220000</v>
      </c>
      <c r="K3918" s="85">
        <v>2023</v>
      </c>
      <c r="L3918" s="85">
        <v>11</v>
      </c>
      <c r="N3918" s="1" t="s">
        <v>44</v>
      </c>
    </row>
    <row r="3919" spans="1:14">
      <c r="A3919" s="36" t="s">
        <v>32</v>
      </c>
      <c r="B3919" s="37">
        <v>45243</v>
      </c>
      <c r="C3919" s="36" t="s">
        <v>925</v>
      </c>
      <c r="D3919" s="36" t="s">
        <v>926</v>
      </c>
      <c r="E3919" s="36" t="s">
        <v>1737</v>
      </c>
      <c r="J3919" s="87">
        <v>1820665</v>
      </c>
      <c r="K3919" s="85">
        <v>2023</v>
      </c>
      <c r="L3919" s="85">
        <v>9</v>
      </c>
      <c r="N3919" s="1" t="s">
        <v>44</v>
      </c>
    </row>
    <row r="3920" spans="1:14">
      <c r="A3920" s="36" t="s">
        <v>32</v>
      </c>
      <c r="B3920" s="37">
        <v>45243</v>
      </c>
      <c r="C3920" s="36" t="s">
        <v>654</v>
      </c>
      <c r="D3920" s="36" t="s">
        <v>1672</v>
      </c>
      <c r="E3920" s="36" t="s">
        <v>1770</v>
      </c>
      <c r="J3920" s="87">
        <v>6378240</v>
      </c>
      <c r="K3920" s="85">
        <v>2023</v>
      </c>
      <c r="L3920" s="85">
        <v>9</v>
      </c>
      <c r="N3920" s="1" t="s">
        <v>44</v>
      </c>
    </row>
    <row r="3921" spans="1:14">
      <c r="A3921" s="36" t="s">
        <v>32</v>
      </c>
      <c r="B3921" s="37">
        <v>45243</v>
      </c>
      <c r="C3921" s="36" t="s">
        <v>654</v>
      </c>
      <c r="D3921" s="36" t="s">
        <v>1673</v>
      </c>
      <c r="E3921" s="36" t="s">
        <v>1770</v>
      </c>
      <c r="J3921" s="87">
        <v>71520000</v>
      </c>
      <c r="K3921" s="85">
        <v>2023</v>
      </c>
      <c r="L3921" s="85">
        <v>9</v>
      </c>
      <c r="N3921" s="1" t="s">
        <v>44</v>
      </c>
    </row>
    <row r="3922" spans="1:14">
      <c r="A3922" s="36" t="s">
        <v>32</v>
      </c>
      <c r="B3922" s="37">
        <v>45245</v>
      </c>
      <c r="C3922" s="36" t="s">
        <v>1742</v>
      </c>
      <c r="D3922" s="36" t="s">
        <v>1764</v>
      </c>
      <c r="E3922" s="36" t="s">
        <v>1772</v>
      </c>
      <c r="J3922" s="87">
        <v>9900000</v>
      </c>
      <c r="K3922" s="85">
        <v>2023</v>
      </c>
      <c r="L3922" s="85">
        <v>10</v>
      </c>
      <c r="N3922" s="1" t="s">
        <v>44</v>
      </c>
    </row>
    <row r="3923" spans="1:14">
      <c r="A3923" s="36" t="s">
        <v>32</v>
      </c>
      <c r="B3923" s="37">
        <v>45245</v>
      </c>
      <c r="C3923" s="36" t="s">
        <v>677</v>
      </c>
      <c r="D3923" s="36" t="s">
        <v>873</v>
      </c>
      <c r="E3923" s="36" t="s">
        <v>1772</v>
      </c>
      <c r="J3923" s="87">
        <v>15006750</v>
      </c>
      <c r="K3923" s="85">
        <v>2023</v>
      </c>
      <c r="L3923" s="85">
        <v>10</v>
      </c>
      <c r="N3923" s="1" t="s">
        <v>44</v>
      </c>
    </row>
    <row r="3924" spans="1:14">
      <c r="A3924" s="36" t="s">
        <v>33</v>
      </c>
      <c r="B3924" s="37">
        <v>45245</v>
      </c>
      <c r="C3924" s="36" t="s">
        <v>1150</v>
      </c>
      <c r="D3924" s="36" t="s">
        <v>1416</v>
      </c>
      <c r="E3924" s="36" t="s">
        <v>148</v>
      </c>
      <c r="J3924" s="87">
        <v>181940</v>
      </c>
      <c r="K3924" s="85">
        <v>2023</v>
      </c>
      <c r="L3924" s="85">
        <v>7</v>
      </c>
      <c r="N3924" s="1" t="s">
        <v>44</v>
      </c>
    </row>
    <row r="3925" spans="1:14">
      <c r="A3925" s="36" t="s">
        <v>33</v>
      </c>
      <c r="B3925" s="37">
        <v>45245</v>
      </c>
      <c r="C3925" s="36" t="s">
        <v>1150</v>
      </c>
      <c r="D3925" s="36" t="s">
        <v>1416</v>
      </c>
      <c r="E3925" s="36" t="s">
        <v>148</v>
      </c>
      <c r="J3925" s="87">
        <v>181940</v>
      </c>
      <c r="K3925" s="85">
        <v>2023</v>
      </c>
      <c r="L3925" s="85">
        <v>8</v>
      </c>
      <c r="N3925" s="1" t="s">
        <v>44</v>
      </c>
    </row>
    <row r="3926" spans="1:14">
      <c r="A3926" s="36" t="s">
        <v>32</v>
      </c>
      <c r="B3926" s="37">
        <v>45245</v>
      </c>
      <c r="C3926" s="36" t="s">
        <v>552</v>
      </c>
      <c r="D3926" s="36" t="s">
        <v>1529</v>
      </c>
      <c r="E3926" s="36" t="s">
        <v>1772</v>
      </c>
      <c r="J3926" s="87">
        <v>33904750</v>
      </c>
      <c r="K3926" s="85">
        <v>2023</v>
      </c>
      <c r="L3926" s="85">
        <v>10</v>
      </c>
      <c r="N3926" s="1" t="s">
        <v>44</v>
      </c>
    </row>
    <row r="3927" spans="1:14">
      <c r="A3927" s="36" t="s">
        <v>32</v>
      </c>
      <c r="B3927" s="37">
        <v>45245</v>
      </c>
      <c r="C3927" s="36" t="s">
        <v>1739</v>
      </c>
      <c r="D3927" s="36" t="s">
        <v>1735</v>
      </c>
      <c r="E3927" s="36" t="s">
        <v>1772</v>
      </c>
      <c r="J3927" s="87">
        <v>8250000</v>
      </c>
      <c r="K3927" s="85">
        <v>2023</v>
      </c>
      <c r="L3927" s="85">
        <v>10</v>
      </c>
      <c r="N3927" s="1" t="s">
        <v>44</v>
      </c>
    </row>
    <row r="3928" spans="1:14">
      <c r="A3928" s="36" t="s">
        <v>33</v>
      </c>
      <c r="B3928" s="37">
        <v>45245</v>
      </c>
      <c r="C3928" s="36" t="s">
        <v>971</v>
      </c>
      <c r="D3928" s="36" t="s">
        <v>1648</v>
      </c>
      <c r="E3928" s="36" t="s">
        <v>148</v>
      </c>
      <c r="J3928" s="87">
        <v>418000</v>
      </c>
      <c r="K3928" s="85">
        <v>2023</v>
      </c>
      <c r="L3928" s="85">
        <v>9</v>
      </c>
      <c r="N3928" s="1" t="s">
        <v>44</v>
      </c>
    </row>
    <row r="3929" spans="1:14">
      <c r="A3929" s="36" t="s">
        <v>33</v>
      </c>
      <c r="B3929" s="37">
        <v>45245</v>
      </c>
      <c r="C3929" s="36" t="s">
        <v>971</v>
      </c>
      <c r="D3929" s="36" t="s">
        <v>1648</v>
      </c>
      <c r="E3929" s="36" t="s">
        <v>148</v>
      </c>
      <c r="J3929" s="87">
        <v>5223845</v>
      </c>
      <c r="K3929" s="85">
        <v>2023</v>
      </c>
      <c r="L3929" s="85">
        <v>10</v>
      </c>
      <c r="N3929" s="1" t="s">
        <v>44</v>
      </c>
    </row>
    <row r="3930" spans="1:14">
      <c r="A3930" s="36" t="s">
        <v>33</v>
      </c>
      <c r="B3930" s="37">
        <v>45246</v>
      </c>
      <c r="C3930" s="36" t="s">
        <v>1262</v>
      </c>
      <c r="D3930" s="36" t="s">
        <v>886</v>
      </c>
      <c r="E3930" s="36" t="s">
        <v>1772</v>
      </c>
      <c r="J3930" s="87">
        <v>7463500</v>
      </c>
      <c r="K3930" s="85">
        <v>2023</v>
      </c>
      <c r="L3930" s="85">
        <v>10</v>
      </c>
      <c r="N3930" s="1" t="s">
        <v>44</v>
      </c>
    </row>
    <row r="3931" spans="1:14">
      <c r="A3931" s="36" t="s">
        <v>33</v>
      </c>
      <c r="B3931" s="37">
        <v>45246</v>
      </c>
      <c r="C3931" s="36" t="s">
        <v>771</v>
      </c>
      <c r="D3931" s="36" t="s">
        <v>772</v>
      </c>
      <c r="E3931" s="36" t="s">
        <v>1772</v>
      </c>
      <c r="J3931" s="87">
        <v>1771000</v>
      </c>
      <c r="K3931" s="85">
        <v>2023</v>
      </c>
      <c r="L3931" s="85">
        <v>10</v>
      </c>
      <c r="N3931" s="1" t="s">
        <v>44</v>
      </c>
    </row>
    <row r="3932" spans="1:14">
      <c r="A3932" s="36" t="s">
        <v>33</v>
      </c>
      <c r="B3932" s="37">
        <v>45246</v>
      </c>
      <c r="C3932" s="36" t="s">
        <v>119</v>
      </c>
      <c r="D3932" s="36" t="s">
        <v>374</v>
      </c>
      <c r="E3932" s="36" t="s">
        <v>1772</v>
      </c>
      <c r="J3932" s="87">
        <v>7590000</v>
      </c>
      <c r="K3932" s="85">
        <v>2023</v>
      </c>
      <c r="L3932" s="85">
        <v>10</v>
      </c>
      <c r="N3932" s="1" t="s">
        <v>44</v>
      </c>
    </row>
    <row r="3933" spans="1:14">
      <c r="A3933" s="36" t="s">
        <v>33</v>
      </c>
      <c r="B3933" s="37">
        <v>45246</v>
      </c>
      <c r="C3933" s="36" t="s">
        <v>171</v>
      </c>
      <c r="D3933" s="36" t="s">
        <v>1739</v>
      </c>
      <c r="E3933" s="36" t="s">
        <v>1773</v>
      </c>
      <c r="G3933" s="87">
        <v>1370000</v>
      </c>
      <c r="H3933" s="87">
        <v>137000</v>
      </c>
      <c r="I3933" s="87">
        <v>1507000</v>
      </c>
      <c r="K3933" s="85">
        <v>2023</v>
      </c>
      <c r="L3933" s="85">
        <v>11</v>
      </c>
      <c r="N3933" s="1" t="s">
        <v>44</v>
      </c>
    </row>
    <row r="3934" spans="1:14">
      <c r="A3934" s="36" t="s">
        <v>33</v>
      </c>
      <c r="B3934" s="37">
        <v>45246</v>
      </c>
      <c r="C3934" s="36" t="s">
        <v>171</v>
      </c>
      <c r="D3934" s="36" t="s">
        <v>1739</v>
      </c>
      <c r="E3934" s="36" t="s">
        <v>77</v>
      </c>
      <c r="J3934" s="38">
        <v>1507000</v>
      </c>
      <c r="K3934" s="85">
        <v>2023</v>
      </c>
      <c r="L3934" s="85">
        <v>11</v>
      </c>
      <c r="N3934" s="1" t="s">
        <v>44</v>
      </c>
    </row>
    <row r="3935" spans="1:14">
      <c r="A3935" s="36" t="s">
        <v>33</v>
      </c>
      <c r="B3935" s="37">
        <v>45246</v>
      </c>
      <c r="C3935" s="36" t="s">
        <v>1720</v>
      </c>
      <c r="D3935" s="36" t="s">
        <v>865</v>
      </c>
      <c r="E3935" s="36" t="s">
        <v>1772</v>
      </c>
      <c r="J3935" s="87">
        <v>9108000</v>
      </c>
      <c r="K3935" s="85">
        <v>2023</v>
      </c>
      <c r="L3935" s="85">
        <v>10</v>
      </c>
      <c r="N3935" s="1" t="s">
        <v>44</v>
      </c>
    </row>
    <row r="3936" spans="1:14">
      <c r="A3936" s="36" t="s">
        <v>32</v>
      </c>
      <c r="B3936" s="37">
        <v>45246</v>
      </c>
      <c r="C3936" s="36" t="s">
        <v>1198</v>
      </c>
      <c r="D3936" s="36" t="s">
        <v>1683</v>
      </c>
      <c r="E3936" s="36" t="s">
        <v>1774</v>
      </c>
      <c r="J3936" s="38">
        <v>7654790</v>
      </c>
      <c r="K3936" s="85">
        <v>2023</v>
      </c>
      <c r="L3936" s="85">
        <v>9</v>
      </c>
      <c r="N3936" s="1" t="s">
        <v>44</v>
      </c>
    </row>
    <row r="3937" spans="1:14">
      <c r="A3937" s="36" t="s">
        <v>32</v>
      </c>
      <c r="B3937" s="37">
        <v>45246</v>
      </c>
      <c r="C3937" s="36" t="s">
        <v>1198</v>
      </c>
      <c r="D3937" s="36" t="s">
        <v>1756</v>
      </c>
      <c r="E3937" s="36" t="s">
        <v>1774</v>
      </c>
      <c r="J3937" s="87">
        <v>2157100</v>
      </c>
      <c r="K3937" s="85">
        <v>2023</v>
      </c>
      <c r="L3937" s="85">
        <v>10</v>
      </c>
      <c r="N3937" s="1" t="s">
        <v>44</v>
      </c>
    </row>
    <row r="3938" spans="1:14">
      <c r="A3938" s="36" t="s">
        <v>32</v>
      </c>
      <c r="B3938" s="37">
        <v>45246</v>
      </c>
      <c r="C3938" s="36" t="s">
        <v>1198</v>
      </c>
      <c r="D3938" s="36" t="s">
        <v>1759</v>
      </c>
      <c r="E3938" s="36" t="s">
        <v>1774</v>
      </c>
      <c r="J3938" s="87">
        <v>4029300</v>
      </c>
      <c r="K3938" s="85">
        <v>2023</v>
      </c>
      <c r="L3938" s="85">
        <v>10</v>
      </c>
      <c r="N3938" s="1" t="s">
        <v>44</v>
      </c>
    </row>
    <row r="3939" spans="1:14">
      <c r="A3939" s="36" t="s">
        <v>33</v>
      </c>
      <c r="B3939" s="37">
        <v>45246</v>
      </c>
      <c r="C3939" s="36" t="s">
        <v>1723</v>
      </c>
      <c r="D3939" s="36" t="s">
        <v>1724</v>
      </c>
      <c r="E3939" s="36" t="s">
        <v>1772</v>
      </c>
      <c r="J3939" s="87">
        <v>1012000</v>
      </c>
      <c r="K3939" s="85">
        <v>2023</v>
      </c>
      <c r="L3939" s="85">
        <v>10</v>
      </c>
      <c r="N3939" s="1" t="s">
        <v>44</v>
      </c>
    </row>
    <row r="3940" spans="1:14">
      <c r="A3940" s="36" t="s">
        <v>33</v>
      </c>
      <c r="B3940" s="37">
        <v>45246</v>
      </c>
      <c r="C3940" s="36" t="s">
        <v>1257</v>
      </c>
      <c r="D3940" s="36" t="s">
        <v>1258</v>
      </c>
      <c r="E3940" s="36" t="s">
        <v>1772</v>
      </c>
      <c r="J3940" s="87">
        <v>7590000</v>
      </c>
      <c r="K3940" s="85">
        <v>2023</v>
      </c>
      <c r="L3940" s="85">
        <v>10</v>
      </c>
      <c r="N3940" s="1" t="s">
        <v>44</v>
      </c>
    </row>
    <row r="3941" spans="1:14">
      <c r="A3941" s="36" t="s">
        <v>33</v>
      </c>
      <c r="B3941" s="37">
        <v>45246</v>
      </c>
      <c r="C3941" s="36" t="s">
        <v>1650</v>
      </c>
      <c r="D3941" s="36" t="s">
        <v>790</v>
      </c>
      <c r="E3941" s="36" t="s">
        <v>1772</v>
      </c>
      <c r="J3941" s="87">
        <v>7084000</v>
      </c>
      <c r="K3941" s="85">
        <v>2023</v>
      </c>
      <c r="L3941" s="85">
        <v>10</v>
      </c>
      <c r="N3941" s="1" t="s">
        <v>44</v>
      </c>
    </row>
    <row r="3942" spans="1:14">
      <c r="A3942" s="36" t="s">
        <v>33</v>
      </c>
      <c r="B3942" s="37">
        <v>45247</v>
      </c>
      <c r="C3942" s="36" t="s">
        <v>1218</v>
      </c>
      <c r="D3942" s="36" t="s">
        <v>1775</v>
      </c>
      <c r="E3942" s="36" t="s">
        <v>1560</v>
      </c>
      <c r="G3942" s="87">
        <v>2100000</v>
      </c>
      <c r="H3942" s="87">
        <v>210000</v>
      </c>
      <c r="I3942" s="87">
        <v>2310000</v>
      </c>
      <c r="K3942" s="85">
        <v>2023</v>
      </c>
      <c r="L3942" s="85">
        <v>11</v>
      </c>
      <c r="N3942" s="1" t="s">
        <v>44</v>
      </c>
    </row>
    <row r="3943" spans="1:14">
      <c r="A3943" s="36" t="s">
        <v>33</v>
      </c>
      <c r="B3943" s="37">
        <v>45247</v>
      </c>
      <c r="C3943" s="36" t="s">
        <v>1218</v>
      </c>
      <c r="D3943" s="36" t="s">
        <v>1775</v>
      </c>
      <c r="E3943" s="36" t="s">
        <v>77</v>
      </c>
      <c r="J3943" s="38">
        <v>2310000</v>
      </c>
      <c r="K3943" s="85">
        <v>2023</v>
      </c>
      <c r="L3943" s="85">
        <v>11</v>
      </c>
      <c r="N3943" s="1" t="s">
        <v>44</v>
      </c>
    </row>
    <row r="3944" spans="1:14">
      <c r="A3944" s="36" t="s">
        <v>32</v>
      </c>
      <c r="B3944" s="37">
        <v>45247</v>
      </c>
      <c r="C3944" s="36" t="s">
        <v>1395</v>
      </c>
      <c r="D3944" s="36" t="s">
        <v>1791</v>
      </c>
      <c r="E3944" s="36" t="s">
        <v>1791</v>
      </c>
      <c r="G3944" s="87">
        <v>11363636</v>
      </c>
      <c r="H3944" s="87">
        <v>1136363.6000000001</v>
      </c>
      <c r="I3944" s="87">
        <v>12499999.6</v>
      </c>
      <c r="K3944" s="85">
        <v>2023</v>
      </c>
      <c r="L3944" s="85">
        <v>11</v>
      </c>
      <c r="N3944" s="1" t="s">
        <v>44</v>
      </c>
    </row>
    <row r="3945" spans="1:14">
      <c r="A3945" s="36" t="s">
        <v>33</v>
      </c>
      <c r="B3945" s="37">
        <v>45249</v>
      </c>
      <c r="C3945" s="36" t="s">
        <v>1777</v>
      </c>
      <c r="D3945" s="36" t="s">
        <v>1670</v>
      </c>
      <c r="E3945" s="36" t="s">
        <v>1778</v>
      </c>
      <c r="G3945" s="87">
        <v>775000</v>
      </c>
      <c r="H3945" s="87">
        <v>77500</v>
      </c>
      <c r="I3945" s="87">
        <v>852500</v>
      </c>
      <c r="K3945" s="85">
        <v>2023</v>
      </c>
      <c r="L3945" s="85">
        <v>11</v>
      </c>
      <c r="N3945" s="1" t="s">
        <v>44</v>
      </c>
    </row>
    <row r="3946" spans="1:14">
      <c r="A3946" s="36" t="s">
        <v>32</v>
      </c>
      <c r="B3946" s="37">
        <v>45250</v>
      </c>
      <c r="C3946" s="36" t="s">
        <v>664</v>
      </c>
      <c r="D3946" s="36" t="s">
        <v>1746</v>
      </c>
      <c r="E3946" s="36" t="s">
        <v>1776</v>
      </c>
      <c r="J3946" s="87">
        <v>13164756</v>
      </c>
      <c r="K3946" s="85">
        <v>2023</v>
      </c>
      <c r="L3946" s="85">
        <v>10</v>
      </c>
      <c r="N3946" s="1" t="s">
        <v>44</v>
      </c>
    </row>
    <row r="3947" spans="1:14">
      <c r="A3947" s="36" t="s">
        <v>33</v>
      </c>
      <c r="B3947" s="37">
        <v>45250</v>
      </c>
      <c r="C3947" s="36" t="s">
        <v>838</v>
      </c>
      <c r="D3947" s="36" t="s">
        <v>1487</v>
      </c>
      <c r="E3947" s="36" t="s">
        <v>1789</v>
      </c>
      <c r="J3947" s="87">
        <v>4785000</v>
      </c>
      <c r="K3947" s="85">
        <v>2023</v>
      </c>
      <c r="L3947" s="85">
        <v>10</v>
      </c>
      <c r="N3947" s="1" t="s">
        <v>44</v>
      </c>
    </row>
    <row r="3948" spans="1:14">
      <c r="A3948" s="36" t="s">
        <v>33</v>
      </c>
      <c r="B3948" s="37">
        <v>45250</v>
      </c>
      <c r="C3948" s="36" t="s">
        <v>838</v>
      </c>
      <c r="D3948" s="36" t="s">
        <v>1487</v>
      </c>
      <c r="E3948" s="36" t="s">
        <v>1786</v>
      </c>
      <c r="G3948" s="87">
        <v>1650000</v>
      </c>
      <c r="H3948" s="87">
        <v>165000</v>
      </c>
      <c r="I3948" s="87">
        <v>1815000</v>
      </c>
      <c r="K3948" s="85">
        <v>2023</v>
      </c>
      <c r="L3948" s="85">
        <v>11</v>
      </c>
      <c r="N3948" s="1" t="s">
        <v>44</v>
      </c>
    </row>
    <row r="3949" spans="1:14">
      <c r="A3949" s="36" t="s">
        <v>32</v>
      </c>
      <c r="B3949" s="37">
        <v>45250</v>
      </c>
      <c r="C3949" s="36" t="s">
        <v>677</v>
      </c>
      <c r="D3949" s="36" t="s">
        <v>1755</v>
      </c>
      <c r="E3949" s="36" t="s">
        <v>148</v>
      </c>
      <c r="J3949" s="87">
        <v>825000</v>
      </c>
      <c r="K3949" s="85">
        <v>2023</v>
      </c>
      <c r="L3949" s="85">
        <v>10</v>
      </c>
      <c r="N3949" s="1" t="s">
        <v>44</v>
      </c>
    </row>
    <row r="3950" spans="1:14">
      <c r="A3950" s="36" t="s">
        <v>32</v>
      </c>
      <c r="B3950" s="37">
        <v>45250</v>
      </c>
      <c r="C3950" s="36" t="s">
        <v>677</v>
      </c>
      <c r="D3950" s="36" t="s">
        <v>824</v>
      </c>
      <c r="E3950" s="36" t="s">
        <v>148</v>
      </c>
      <c r="J3950" s="87">
        <v>9075000</v>
      </c>
      <c r="K3950" s="85">
        <v>2023</v>
      </c>
      <c r="L3950" s="85">
        <v>10</v>
      </c>
      <c r="N3950" s="1" t="s">
        <v>44</v>
      </c>
    </row>
    <row r="3951" spans="1:14">
      <c r="A3951" s="36" t="s">
        <v>32</v>
      </c>
      <c r="B3951" s="37">
        <v>45250</v>
      </c>
      <c r="C3951" s="36" t="s">
        <v>1395</v>
      </c>
      <c r="D3951" s="36" t="s">
        <v>1791</v>
      </c>
      <c r="E3951" s="36" t="s">
        <v>77</v>
      </c>
      <c r="J3951" s="38">
        <v>12500000</v>
      </c>
      <c r="K3951" s="85">
        <v>2023</v>
      </c>
      <c r="L3951" s="85">
        <v>11</v>
      </c>
      <c r="N3951" s="1" t="s">
        <v>44</v>
      </c>
    </row>
    <row r="3952" spans="1:14">
      <c r="A3952" s="36" t="s">
        <v>32</v>
      </c>
      <c r="B3952" s="37">
        <v>45250</v>
      </c>
      <c r="C3952" s="36" t="s">
        <v>1587</v>
      </c>
      <c r="D3952" s="36" t="s">
        <v>1609</v>
      </c>
      <c r="E3952" s="36" t="s">
        <v>1784</v>
      </c>
      <c r="J3952" s="87">
        <v>6336000</v>
      </c>
      <c r="K3952" s="85">
        <v>2023</v>
      </c>
      <c r="L3952" s="85">
        <v>10</v>
      </c>
      <c r="N3952" s="1" t="s">
        <v>44</v>
      </c>
    </row>
    <row r="3953" spans="1:14">
      <c r="A3953" s="36" t="s">
        <v>33</v>
      </c>
      <c r="B3953" s="37">
        <v>45251</v>
      </c>
      <c r="C3953" s="36" t="s">
        <v>1779</v>
      </c>
      <c r="D3953" s="36" t="s">
        <v>1780</v>
      </c>
      <c r="E3953" s="36" t="s">
        <v>1781</v>
      </c>
      <c r="G3953" s="87">
        <v>374000</v>
      </c>
      <c r="H3953" s="87">
        <v>37400</v>
      </c>
      <c r="I3953" s="87">
        <v>411400</v>
      </c>
      <c r="K3953" s="85">
        <v>2023</v>
      </c>
      <c r="L3953" s="85">
        <v>11</v>
      </c>
      <c r="N3953" s="1" t="s">
        <v>44</v>
      </c>
    </row>
    <row r="3954" spans="1:14">
      <c r="A3954" s="36" t="s">
        <v>33</v>
      </c>
      <c r="B3954" s="37">
        <v>45251</v>
      </c>
      <c r="C3954" s="36" t="s">
        <v>1779</v>
      </c>
      <c r="D3954" s="36" t="s">
        <v>1780</v>
      </c>
      <c r="E3954" s="36" t="s">
        <v>77</v>
      </c>
      <c r="J3954" s="38">
        <v>411400</v>
      </c>
      <c r="K3954" s="85">
        <v>2023</v>
      </c>
      <c r="L3954" s="85">
        <v>11</v>
      </c>
      <c r="N3954" s="1" t="s">
        <v>44</v>
      </c>
    </row>
    <row r="3955" spans="1:14">
      <c r="A3955" s="36" t="s">
        <v>33</v>
      </c>
      <c r="B3955" s="37">
        <v>45251</v>
      </c>
      <c r="C3955" s="36" t="s">
        <v>171</v>
      </c>
      <c r="D3955" s="36" t="s">
        <v>1782</v>
      </c>
      <c r="E3955" s="36" t="s">
        <v>1783</v>
      </c>
      <c r="G3955" s="87">
        <v>1372380</v>
      </c>
      <c r="H3955" s="87">
        <v>137238</v>
      </c>
      <c r="I3955" s="87">
        <v>1509618</v>
      </c>
      <c r="K3955" s="85">
        <v>2023</v>
      </c>
      <c r="L3955" s="85">
        <v>11</v>
      </c>
      <c r="N3955" s="1" t="s">
        <v>44</v>
      </c>
    </row>
    <row r="3956" spans="1:14">
      <c r="A3956" s="36" t="s">
        <v>33</v>
      </c>
      <c r="B3956" s="37">
        <v>45252</v>
      </c>
      <c r="C3956" s="36" t="s">
        <v>1777</v>
      </c>
      <c r="D3956" s="36" t="s">
        <v>1670</v>
      </c>
      <c r="E3956" s="36" t="s">
        <v>77</v>
      </c>
      <c r="J3956" s="38">
        <v>852500</v>
      </c>
      <c r="K3956" s="85">
        <v>2023</v>
      </c>
      <c r="L3956" s="85">
        <v>11</v>
      </c>
      <c r="N3956" s="1" t="s">
        <v>44</v>
      </c>
    </row>
    <row r="3957" spans="1:14">
      <c r="A3957" s="36" t="s">
        <v>33</v>
      </c>
      <c r="B3957" s="37">
        <v>45252</v>
      </c>
      <c r="C3957" s="36" t="s">
        <v>171</v>
      </c>
      <c r="D3957" s="36" t="s">
        <v>1782</v>
      </c>
      <c r="E3957" s="36" t="s">
        <v>77</v>
      </c>
      <c r="J3957" s="38">
        <v>1509618</v>
      </c>
      <c r="K3957" s="85">
        <v>2023</v>
      </c>
      <c r="L3957" s="85">
        <v>11</v>
      </c>
      <c r="N3957" s="1" t="s">
        <v>44</v>
      </c>
    </row>
    <row r="3958" spans="1:14">
      <c r="A3958" s="36" t="s">
        <v>32</v>
      </c>
      <c r="B3958" s="37">
        <v>45253</v>
      </c>
      <c r="C3958" s="36" t="s">
        <v>1464</v>
      </c>
      <c r="D3958" s="36" t="s">
        <v>1473</v>
      </c>
      <c r="E3958" s="36" t="s">
        <v>148</v>
      </c>
      <c r="J3958" s="38">
        <v>1380000</v>
      </c>
      <c r="K3958" s="85">
        <v>2023</v>
      </c>
      <c r="L3958" s="85">
        <v>6</v>
      </c>
      <c r="N3958" s="1" t="s">
        <v>44</v>
      </c>
    </row>
    <row r="3959" spans="1:14">
      <c r="A3959" s="36" t="s">
        <v>32</v>
      </c>
      <c r="B3959" s="37">
        <v>45253</v>
      </c>
      <c r="C3959" s="36" t="s">
        <v>1741</v>
      </c>
      <c r="D3959" s="36" t="s">
        <v>1745</v>
      </c>
      <c r="E3959" s="36" t="s">
        <v>1785</v>
      </c>
      <c r="J3959" s="87">
        <v>990000</v>
      </c>
      <c r="K3959" s="85">
        <v>2023</v>
      </c>
      <c r="L3959" s="85">
        <v>10</v>
      </c>
      <c r="N3959" s="1" t="s">
        <v>44</v>
      </c>
    </row>
    <row r="3960" spans="1:14">
      <c r="A3960" s="36" t="s">
        <v>32</v>
      </c>
      <c r="B3960" s="37">
        <v>45254</v>
      </c>
      <c r="C3960" s="36" t="s">
        <v>1465</v>
      </c>
      <c r="D3960" s="36" t="s">
        <v>1599</v>
      </c>
      <c r="E3960" s="36" t="s">
        <v>1785</v>
      </c>
      <c r="J3960" s="87">
        <v>2613600</v>
      </c>
      <c r="K3960" s="85">
        <v>2023</v>
      </c>
      <c r="L3960" s="85">
        <v>10</v>
      </c>
      <c r="N3960" s="1" t="s">
        <v>44</v>
      </c>
    </row>
    <row r="3961" spans="1:14">
      <c r="A3961" s="36" t="s">
        <v>33</v>
      </c>
      <c r="B3961" s="37">
        <v>45255</v>
      </c>
      <c r="C3961" s="36" t="s">
        <v>1850</v>
      </c>
      <c r="D3961" s="36" t="s">
        <v>1803</v>
      </c>
      <c r="E3961" s="36" t="s">
        <v>1804</v>
      </c>
      <c r="G3961" s="87">
        <v>630000</v>
      </c>
      <c r="H3961" s="87">
        <v>63000</v>
      </c>
      <c r="I3961" s="87">
        <v>693000</v>
      </c>
      <c r="K3961" s="85">
        <v>2023</v>
      </c>
      <c r="L3961" s="85">
        <v>11</v>
      </c>
      <c r="N3961" s="1" t="s">
        <v>44</v>
      </c>
    </row>
    <row r="3962" spans="1:14">
      <c r="A3962" s="36" t="s">
        <v>33</v>
      </c>
      <c r="B3962" s="37">
        <v>45257</v>
      </c>
      <c r="C3962" s="36" t="s">
        <v>96</v>
      </c>
      <c r="D3962" s="36" t="s">
        <v>1801</v>
      </c>
      <c r="E3962" s="36" t="s">
        <v>1802</v>
      </c>
      <c r="G3962" s="87">
        <v>250000</v>
      </c>
      <c r="H3962" s="87">
        <v>25000</v>
      </c>
      <c r="I3962" s="87">
        <v>275000</v>
      </c>
      <c r="K3962" s="85">
        <v>2023</v>
      </c>
      <c r="L3962" s="85">
        <v>11</v>
      </c>
      <c r="N3962" s="1" t="s">
        <v>44</v>
      </c>
    </row>
    <row r="3963" spans="1:14">
      <c r="A3963" s="36" t="s">
        <v>32</v>
      </c>
      <c r="B3963" s="37">
        <v>45258</v>
      </c>
      <c r="C3963" s="36" t="s">
        <v>1584</v>
      </c>
      <c r="D3963" s="36" t="s">
        <v>1540</v>
      </c>
      <c r="E3963" s="36" t="s">
        <v>148</v>
      </c>
      <c r="J3963" s="87">
        <v>1217700</v>
      </c>
      <c r="K3963" s="85">
        <v>2023</v>
      </c>
      <c r="L3963" s="85">
        <v>9</v>
      </c>
      <c r="N3963" s="1" t="s">
        <v>44</v>
      </c>
    </row>
    <row r="3964" spans="1:14">
      <c r="A3964" s="36" t="s">
        <v>32</v>
      </c>
      <c r="B3964" s="37">
        <v>45258</v>
      </c>
      <c r="C3964" s="36" t="s">
        <v>1584</v>
      </c>
      <c r="D3964" s="36" t="s">
        <v>1539</v>
      </c>
      <c r="E3964" s="36" t="s">
        <v>148</v>
      </c>
      <c r="J3964" s="87">
        <v>1479060</v>
      </c>
      <c r="K3964" s="85">
        <v>2023</v>
      </c>
      <c r="L3964" s="85">
        <v>9</v>
      </c>
      <c r="N3964" s="1" t="s">
        <v>44</v>
      </c>
    </row>
    <row r="3965" spans="1:14">
      <c r="A3965" s="36" t="s">
        <v>32</v>
      </c>
      <c r="B3965" s="37">
        <v>45259</v>
      </c>
      <c r="C3965" s="36" t="s">
        <v>307</v>
      </c>
      <c r="D3965" s="36" t="s">
        <v>1752</v>
      </c>
      <c r="E3965" s="36" t="s">
        <v>1787</v>
      </c>
      <c r="G3965" s="87">
        <v>-13380000</v>
      </c>
      <c r="H3965" s="87">
        <v>-1338000</v>
      </c>
      <c r="I3965" s="87">
        <v>-14718000</v>
      </c>
      <c r="K3965" s="85">
        <v>2023</v>
      </c>
      <c r="L3965" s="85">
        <v>10</v>
      </c>
      <c r="N3965" s="1" t="s">
        <v>44</v>
      </c>
    </row>
    <row r="3966" spans="1:14">
      <c r="A3966" s="36" t="s">
        <v>32</v>
      </c>
      <c r="B3966" s="37">
        <v>45260</v>
      </c>
      <c r="C3966" s="36" t="s">
        <v>760</v>
      </c>
      <c r="D3966" s="36" t="s">
        <v>1824</v>
      </c>
      <c r="E3966" s="36" t="s">
        <v>76</v>
      </c>
      <c r="G3966" s="87">
        <v>1647100</v>
      </c>
      <c r="H3966" s="87">
        <v>164710</v>
      </c>
      <c r="I3966" s="87">
        <v>1811810</v>
      </c>
      <c r="K3966" s="85">
        <v>2023</v>
      </c>
      <c r="L3966" s="85">
        <v>11</v>
      </c>
      <c r="N3966" s="1" t="s">
        <v>44</v>
      </c>
    </row>
    <row r="3967" spans="1:14">
      <c r="A3967" s="36" t="s">
        <v>32</v>
      </c>
      <c r="B3967" s="37">
        <v>45260</v>
      </c>
      <c r="C3967" s="36" t="s">
        <v>174</v>
      </c>
      <c r="D3967" s="36" t="s">
        <v>1747</v>
      </c>
      <c r="E3967" s="36" t="s">
        <v>78</v>
      </c>
      <c r="G3967" s="87">
        <v>34340800</v>
      </c>
      <c r="H3967" s="87">
        <v>3434080</v>
      </c>
      <c r="I3967" s="87">
        <v>37774880</v>
      </c>
      <c r="K3967" s="85">
        <v>2023</v>
      </c>
      <c r="L3967" s="85">
        <v>11</v>
      </c>
      <c r="N3967" s="1" t="s">
        <v>44</v>
      </c>
    </row>
    <row r="3968" spans="1:14">
      <c r="A3968" s="36" t="s">
        <v>32</v>
      </c>
      <c r="B3968" s="37">
        <v>45260</v>
      </c>
      <c r="C3968" s="36" t="s">
        <v>209</v>
      </c>
      <c r="D3968" s="36" t="s">
        <v>1699</v>
      </c>
      <c r="E3968" s="36" t="s">
        <v>76</v>
      </c>
      <c r="G3968" s="87">
        <v>58854000</v>
      </c>
      <c r="H3968" s="87">
        <v>5885400</v>
      </c>
      <c r="I3968" s="87">
        <v>64739400</v>
      </c>
      <c r="K3968" s="85">
        <v>2023</v>
      </c>
      <c r="L3968" s="85">
        <v>11</v>
      </c>
      <c r="N3968" s="1" t="s">
        <v>44</v>
      </c>
    </row>
    <row r="3969" spans="1:14">
      <c r="A3969" s="36" t="s">
        <v>32</v>
      </c>
      <c r="B3969" s="37">
        <v>45260</v>
      </c>
      <c r="C3969" s="36" t="s">
        <v>209</v>
      </c>
      <c r="D3969" s="36" t="s">
        <v>1885</v>
      </c>
      <c r="E3969" s="36" t="s">
        <v>1551</v>
      </c>
      <c r="G3969" s="87">
        <v>22934800</v>
      </c>
      <c r="H3969" s="87">
        <v>2293480</v>
      </c>
      <c r="I3969" s="87">
        <v>25228280</v>
      </c>
      <c r="K3969" s="85">
        <v>2023</v>
      </c>
      <c r="L3969" s="85">
        <v>11</v>
      </c>
      <c r="N3969" s="1" t="s">
        <v>44</v>
      </c>
    </row>
    <row r="3970" spans="1:14">
      <c r="A3970" s="36" t="s">
        <v>32</v>
      </c>
      <c r="B3970" s="37">
        <v>45260</v>
      </c>
      <c r="C3970" s="36" t="s">
        <v>209</v>
      </c>
      <c r="D3970" s="36" t="s">
        <v>2035</v>
      </c>
      <c r="E3970" s="36" t="s">
        <v>76</v>
      </c>
      <c r="G3970" s="87">
        <v>145460000</v>
      </c>
      <c r="H3970" s="87">
        <v>14546000</v>
      </c>
      <c r="I3970" s="87">
        <v>160006000</v>
      </c>
      <c r="K3970" s="85">
        <v>2023</v>
      </c>
      <c r="L3970" s="85">
        <v>11</v>
      </c>
      <c r="N3970" s="1" t="s">
        <v>44</v>
      </c>
    </row>
    <row r="3971" spans="1:14">
      <c r="A3971" s="36" t="s">
        <v>32</v>
      </c>
      <c r="B3971" s="37">
        <v>45260</v>
      </c>
      <c r="C3971" s="36" t="s">
        <v>209</v>
      </c>
      <c r="D3971" s="36" t="s">
        <v>1892</v>
      </c>
      <c r="E3971" s="36" t="s">
        <v>102</v>
      </c>
      <c r="G3971" s="87">
        <v>62602200</v>
      </c>
      <c r="H3971" s="87">
        <v>6260220</v>
      </c>
      <c r="I3971" s="87">
        <v>68862420</v>
      </c>
      <c r="K3971" s="85">
        <v>2023</v>
      </c>
      <c r="L3971" s="85">
        <v>11</v>
      </c>
      <c r="N3971" s="1" t="s">
        <v>44</v>
      </c>
    </row>
    <row r="3972" spans="1:14">
      <c r="A3972" s="36" t="s">
        <v>32</v>
      </c>
      <c r="B3972" s="37">
        <v>45260</v>
      </c>
      <c r="C3972" s="36" t="s">
        <v>209</v>
      </c>
      <c r="D3972" s="36" t="s">
        <v>2001</v>
      </c>
      <c r="E3972" s="36" t="s">
        <v>76</v>
      </c>
      <c r="G3972" s="87">
        <v>5550000</v>
      </c>
      <c r="H3972" s="87">
        <v>555000</v>
      </c>
      <c r="I3972" s="87">
        <v>6105000</v>
      </c>
      <c r="K3972" s="85">
        <v>2023</v>
      </c>
      <c r="L3972" s="85">
        <v>11</v>
      </c>
      <c r="N3972" s="1" t="s">
        <v>44</v>
      </c>
    </row>
    <row r="3973" spans="1:14">
      <c r="A3973" s="36" t="s">
        <v>32</v>
      </c>
      <c r="B3973" s="37">
        <v>45260</v>
      </c>
      <c r="C3973" s="36" t="s">
        <v>209</v>
      </c>
      <c r="D3973" s="36" t="s">
        <v>1325</v>
      </c>
      <c r="E3973" s="36" t="s">
        <v>76</v>
      </c>
      <c r="G3973" s="87">
        <v>750000</v>
      </c>
      <c r="H3973" s="87">
        <v>75000</v>
      </c>
      <c r="I3973" s="87">
        <v>825000</v>
      </c>
      <c r="K3973" s="85">
        <v>2023</v>
      </c>
      <c r="L3973" s="85">
        <v>11</v>
      </c>
      <c r="N3973" s="1" t="s">
        <v>44</v>
      </c>
    </row>
    <row r="3974" spans="1:14">
      <c r="A3974" s="36" t="s">
        <v>32</v>
      </c>
      <c r="B3974" s="37">
        <v>45260</v>
      </c>
      <c r="C3974" s="36" t="s">
        <v>640</v>
      </c>
      <c r="D3974" s="36" t="s">
        <v>763</v>
      </c>
      <c r="E3974" s="36" t="s">
        <v>76</v>
      </c>
      <c r="G3974" s="87">
        <v>4160000</v>
      </c>
      <c r="H3974" s="87">
        <v>416000</v>
      </c>
      <c r="I3974" s="87">
        <v>4576000</v>
      </c>
      <c r="K3974" s="85">
        <v>2023</v>
      </c>
      <c r="L3974" s="85">
        <v>11</v>
      </c>
      <c r="N3974" s="1" t="s">
        <v>44</v>
      </c>
    </row>
    <row r="3975" spans="1:14">
      <c r="A3975" s="36" t="s">
        <v>33</v>
      </c>
      <c r="B3975" s="37">
        <v>45260</v>
      </c>
      <c r="C3975" s="36" t="s">
        <v>96</v>
      </c>
      <c r="D3975" s="36" t="s">
        <v>1733</v>
      </c>
      <c r="E3975" s="36" t="s">
        <v>1789</v>
      </c>
      <c r="J3975" s="87">
        <v>176000</v>
      </c>
      <c r="K3975" s="85">
        <v>2023</v>
      </c>
      <c r="L3975" s="85">
        <v>10</v>
      </c>
      <c r="N3975" s="1" t="s">
        <v>44</v>
      </c>
    </row>
    <row r="3976" spans="1:14">
      <c r="A3976" s="36" t="s">
        <v>32</v>
      </c>
      <c r="B3976" s="37">
        <v>45260</v>
      </c>
      <c r="C3976" s="36" t="s">
        <v>1790</v>
      </c>
      <c r="D3976" s="36" t="s">
        <v>1792</v>
      </c>
      <c r="E3976" s="36" t="s">
        <v>76</v>
      </c>
      <c r="G3976" s="87">
        <v>30000000</v>
      </c>
      <c r="H3976" s="87">
        <v>3000000</v>
      </c>
      <c r="I3976" s="87">
        <v>33000000</v>
      </c>
      <c r="K3976" s="85">
        <v>2023</v>
      </c>
      <c r="L3976" s="85">
        <v>11</v>
      </c>
      <c r="N3976" s="1" t="s">
        <v>44</v>
      </c>
    </row>
    <row r="3977" spans="1:14">
      <c r="A3977" s="36" t="s">
        <v>32</v>
      </c>
      <c r="B3977" s="37">
        <v>45260</v>
      </c>
      <c r="C3977" s="36" t="s">
        <v>1332</v>
      </c>
      <c r="D3977" s="36" t="s">
        <v>1341</v>
      </c>
      <c r="E3977" s="36" t="s">
        <v>1789</v>
      </c>
      <c r="J3977" s="87">
        <v>40392000</v>
      </c>
      <c r="K3977" s="85">
        <v>2023</v>
      </c>
      <c r="L3977" s="85">
        <v>10</v>
      </c>
      <c r="N3977" s="1" t="s">
        <v>44</v>
      </c>
    </row>
    <row r="3978" spans="1:14">
      <c r="A3978" s="36" t="s">
        <v>32</v>
      </c>
      <c r="B3978" s="37">
        <v>45260</v>
      </c>
      <c r="C3978" s="36" t="s">
        <v>1332</v>
      </c>
      <c r="D3978" s="36" t="s">
        <v>1341</v>
      </c>
      <c r="E3978" s="36" t="s">
        <v>76</v>
      </c>
      <c r="G3978" s="87">
        <v>16335000</v>
      </c>
      <c r="H3978" s="87">
        <v>1633500</v>
      </c>
      <c r="I3978" s="87">
        <v>17968500</v>
      </c>
      <c r="K3978" s="85">
        <v>2023</v>
      </c>
      <c r="L3978" s="85">
        <v>11</v>
      </c>
      <c r="N3978" s="1" t="s">
        <v>44</v>
      </c>
    </row>
    <row r="3979" spans="1:14">
      <c r="A3979" s="36" t="s">
        <v>32</v>
      </c>
      <c r="B3979" s="37">
        <v>45260</v>
      </c>
      <c r="C3979" s="36" t="s">
        <v>204</v>
      </c>
      <c r="D3979" s="36" t="s">
        <v>1482</v>
      </c>
      <c r="E3979" s="36" t="s">
        <v>78</v>
      </c>
      <c r="G3979" s="87">
        <v>9727200</v>
      </c>
      <c r="H3979" s="87">
        <v>972720</v>
      </c>
      <c r="I3979" s="87">
        <v>10699920</v>
      </c>
      <c r="K3979" s="85">
        <v>2023</v>
      </c>
      <c r="L3979" s="85">
        <v>11</v>
      </c>
      <c r="N3979" s="1" t="s">
        <v>44</v>
      </c>
    </row>
    <row r="3980" spans="1:14">
      <c r="A3980" s="36" t="s">
        <v>32</v>
      </c>
      <c r="B3980" s="37">
        <v>45260</v>
      </c>
      <c r="C3980" s="36" t="s">
        <v>204</v>
      </c>
      <c r="D3980" s="36" t="s">
        <v>1273</v>
      </c>
      <c r="E3980" s="36" t="s">
        <v>76</v>
      </c>
      <c r="G3980" s="87">
        <v>17706000</v>
      </c>
      <c r="H3980" s="87">
        <v>1770600</v>
      </c>
      <c r="I3980" s="87">
        <v>19476600</v>
      </c>
      <c r="K3980" s="85">
        <v>2023</v>
      </c>
      <c r="L3980" s="85">
        <v>11</v>
      </c>
      <c r="N3980" s="1" t="s">
        <v>44</v>
      </c>
    </row>
    <row r="3981" spans="1:14">
      <c r="A3981" s="36" t="s">
        <v>32</v>
      </c>
      <c r="B3981" s="37">
        <v>45260</v>
      </c>
      <c r="C3981" s="36" t="s">
        <v>925</v>
      </c>
      <c r="D3981" s="36" t="s">
        <v>926</v>
      </c>
      <c r="E3981" s="36" t="s">
        <v>1836</v>
      </c>
      <c r="G3981" s="87">
        <v>3870650</v>
      </c>
      <c r="H3981" s="87">
        <v>387065</v>
      </c>
      <c r="I3981" s="87">
        <v>4257715</v>
      </c>
      <c r="K3981" s="85">
        <v>2023</v>
      </c>
      <c r="L3981" s="85">
        <v>11</v>
      </c>
      <c r="N3981" s="1" t="s">
        <v>44</v>
      </c>
    </row>
    <row r="3982" spans="1:14">
      <c r="A3982" s="36" t="s">
        <v>32</v>
      </c>
      <c r="B3982" s="37">
        <v>45260</v>
      </c>
      <c r="C3982" s="36" t="s">
        <v>1810</v>
      </c>
      <c r="D3982" s="36" t="s">
        <v>1826</v>
      </c>
      <c r="E3982" s="36" t="s">
        <v>76</v>
      </c>
      <c r="G3982" s="87">
        <v>105068264</v>
      </c>
      <c r="H3982" s="87">
        <v>10506826.4</v>
      </c>
      <c r="I3982" s="87">
        <v>115575090.40000001</v>
      </c>
      <c r="K3982" s="85">
        <v>2023</v>
      </c>
      <c r="L3982" s="85">
        <v>11</v>
      </c>
      <c r="N3982" s="1" t="s">
        <v>44</v>
      </c>
    </row>
    <row r="3983" spans="1:14">
      <c r="A3983" s="36" t="s">
        <v>32</v>
      </c>
      <c r="B3983" s="37">
        <v>45260</v>
      </c>
      <c r="C3983" s="36" t="s">
        <v>1470</v>
      </c>
      <c r="D3983" s="36" t="s">
        <v>1821</v>
      </c>
      <c r="E3983" s="36" t="s">
        <v>76</v>
      </c>
      <c r="G3983" s="87">
        <v>92939840</v>
      </c>
      <c r="H3983" s="87">
        <v>9293984</v>
      </c>
      <c r="I3983" s="87">
        <v>102233824</v>
      </c>
      <c r="K3983" s="85">
        <v>2023</v>
      </c>
      <c r="L3983" s="85">
        <v>11</v>
      </c>
      <c r="N3983" s="1" t="s">
        <v>44</v>
      </c>
    </row>
    <row r="3984" spans="1:14">
      <c r="A3984" s="36" t="s">
        <v>32</v>
      </c>
      <c r="B3984" s="37">
        <v>45260</v>
      </c>
      <c r="C3984" s="36" t="s">
        <v>1467</v>
      </c>
      <c r="D3984" s="36" t="s">
        <v>1813</v>
      </c>
      <c r="E3984" s="36" t="s">
        <v>76</v>
      </c>
      <c r="G3984" s="87">
        <v>3078000</v>
      </c>
      <c r="H3984" s="87">
        <v>307800</v>
      </c>
      <c r="I3984" s="87">
        <v>3385800</v>
      </c>
      <c r="K3984" s="85">
        <v>2023</v>
      </c>
      <c r="L3984" s="85">
        <v>11</v>
      </c>
      <c r="N3984" s="1" t="s">
        <v>44</v>
      </c>
    </row>
    <row r="3985" spans="1:14">
      <c r="A3985" s="36" t="s">
        <v>32</v>
      </c>
      <c r="B3985" s="37">
        <v>45260</v>
      </c>
      <c r="C3985" s="36" t="s">
        <v>1467</v>
      </c>
      <c r="D3985" s="36" t="s">
        <v>1750</v>
      </c>
      <c r="E3985" s="36" t="s">
        <v>76</v>
      </c>
      <c r="G3985" s="87">
        <v>23056100</v>
      </c>
      <c r="H3985" s="87">
        <v>2305610</v>
      </c>
      <c r="I3985" s="87">
        <v>25361710</v>
      </c>
      <c r="K3985" s="85">
        <v>2023</v>
      </c>
      <c r="L3985" s="85">
        <v>11</v>
      </c>
      <c r="N3985" s="1" t="s">
        <v>44</v>
      </c>
    </row>
    <row r="3986" spans="1:14">
      <c r="A3986" s="36" t="s">
        <v>32</v>
      </c>
      <c r="B3986" s="37">
        <v>45260</v>
      </c>
      <c r="C3986" s="36" t="s">
        <v>1467</v>
      </c>
      <c r="D3986" s="36" t="s">
        <v>1814</v>
      </c>
      <c r="E3986" s="36" t="s">
        <v>76</v>
      </c>
      <c r="G3986" s="87">
        <v>25301000</v>
      </c>
      <c r="H3986" s="87">
        <v>2530100</v>
      </c>
      <c r="I3986" s="87">
        <v>27831100</v>
      </c>
      <c r="K3986" s="85">
        <v>2023</v>
      </c>
      <c r="L3986" s="85">
        <v>11</v>
      </c>
      <c r="N3986" s="1" t="s">
        <v>44</v>
      </c>
    </row>
    <row r="3987" spans="1:14">
      <c r="A3987" s="36" t="s">
        <v>33</v>
      </c>
      <c r="B3987" s="37">
        <v>45260</v>
      </c>
      <c r="C3987" s="36" t="s">
        <v>119</v>
      </c>
      <c r="D3987" s="36" t="s">
        <v>1735</v>
      </c>
      <c r="E3987" s="36" t="s">
        <v>148</v>
      </c>
      <c r="J3987" s="87">
        <v>3652000</v>
      </c>
      <c r="K3987" s="85">
        <v>2023</v>
      </c>
      <c r="L3987" s="85">
        <v>10</v>
      </c>
      <c r="N3987" s="1" t="s">
        <v>44</v>
      </c>
    </row>
    <row r="3988" spans="1:14">
      <c r="A3988" s="36" t="s">
        <v>33</v>
      </c>
      <c r="B3988" s="37">
        <v>45260</v>
      </c>
      <c r="C3988" s="36" t="s">
        <v>119</v>
      </c>
      <c r="D3988" s="36" t="s">
        <v>1797</v>
      </c>
      <c r="E3988" s="36" t="s">
        <v>76</v>
      </c>
      <c r="G3988" s="87">
        <v>5510000</v>
      </c>
      <c r="H3988" s="87">
        <v>551000</v>
      </c>
      <c r="I3988" s="87">
        <v>6061000</v>
      </c>
      <c r="K3988" s="85">
        <v>2023</v>
      </c>
      <c r="L3988" s="85">
        <v>11</v>
      </c>
      <c r="N3988" s="1" t="s">
        <v>44</v>
      </c>
    </row>
    <row r="3989" spans="1:14">
      <c r="A3989" s="36" t="s">
        <v>33</v>
      </c>
      <c r="B3989" s="37">
        <v>45260</v>
      </c>
      <c r="C3989" s="36" t="s">
        <v>119</v>
      </c>
      <c r="D3989" s="36" t="s">
        <v>1800</v>
      </c>
      <c r="E3989" s="36" t="s">
        <v>76</v>
      </c>
      <c r="G3989" s="87">
        <v>2742750</v>
      </c>
      <c r="H3989" s="87">
        <v>274275</v>
      </c>
      <c r="I3989" s="87">
        <v>3017025</v>
      </c>
      <c r="K3989" s="85">
        <v>2023</v>
      </c>
      <c r="L3989" s="85">
        <v>11</v>
      </c>
      <c r="N3989" s="1" t="s">
        <v>44</v>
      </c>
    </row>
    <row r="3990" spans="1:14">
      <c r="A3990" s="36" t="s">
        <v>33</v>
      </c>
      <c r="B3990" s="37">
        <v>45260</v>
      </c>
      <c r="C3990" s="36" t="s">
        <v>119</v>
      </c>
      <c r="D3990" s="36" t="s">
        <v>1048</v>
      </c>
      <c r="E3990" s="36" t="s">
        <v>76</v>
      </c>
      <c r="G3990" s="87">
        <v>750000</v>
      </c>
      <c r="H3990" s="87">
        <v>75000</v>
      </c>
      <c r="I3990" s="87">
        <v>825000</v>
      </c>
      <c r="K3990" s="85">
        <v>2023</v>
      </c>
      <c r="L3990" s="85">
        <v>11</v>
      </c>
      <c r="N3990" s="1" t="s">
        <v>44</v>
      </c>
    </row>
    <row r="3991" spans="1:14">
      <c r="A3991" s="36" t="s">
        <v>32</v>
      </c>
      <c r="B3991" s="37">
        <v>45260</v>
      </c>
      <c r="C3991" s="36" t="s">
        <v>264</v>
      </c>
      <c r="D3991" s="36" t="s">
        <v>1765</v>
      </c>
      <c r="E3991" s="36" t="s">
        <v>1789</v>
      </c>
      <c r="J3991" s="87">
        <v>19800000</v>
      </c>
      <c r="K3991" s="85">
        <v>2023</v>
      </c>
      <c r="L3991" s="85">
        <v>10</v>
      </c>
      <c r="N3991" s="1" t="s">
        <v>44</v>
      </c>
    </row>
    <row r="3992" spans="1:14">
      <c r="A3992" s="36" t="s">
        <v>32</v>
      </c>
      <c r="B3992" s="37">
        <v>45260</v>
      </c>
      <c r="C3992" s="36" t="s">
        <v>264</v>
      </c>
      <c r="D3992" s="36" t="s">
        <v>1825</v>
      </c>
      <c r="E3992" s="36" t="s">
        <v>76</v>
      </c>
      <c r="G3992" s="87">
        <v>10900000</v>
      </c>
      <c r="H3992" s="87">
        <v>1090000</v>
      </c>
      <c r="I3992" s="87">
        <v>11990000</v>
      </c>
      <c r="K3992" s="85">
        <v>2023</v>
      </c>
      <c r="L3992" s="85">
        <v>11</v>
      </c>
      <c r="N3992" s="1" t="s">
        <v>44</v>
      </c>
    </row>
    <row r="3993" spans="1:14">
      <c r="A3993" s="36" t="s">
        <v>32</v>
      </c>
      <c r="B3993" s="37">
        <v>45260</v>
      </c>
      <c r="C3993" s="36" t="s">
        <v>264</v>
      </c>
      <c r="D3993" s="36" t="s">
        <v>1825</v>
      </c>
      <c r="E3993" s="36" t="s">
        <v>148</v>
      </c>
      <c r="J3993" s="87">
        <v>11990000</v>
      </c>
      <c r="K3993" s="85">
        <v>2023</v>
      </c>
      <c r="L3993" s="85">
        <v>11</v>
      </c>
      <c r="N3993" s="1" t="s">
        <v>44</v>
      </c>
    </row>
    <row r="3994" spans="1:14">
      <c r="A3994" s="36" t="s">
        <v>32</v>
      </c>
      <c r="B3994" s="37">
        <v>45260</v>
      </c>
      <c r="C3994" s="36" t="s">
        <v>1662</v>
      </c>
      <c r="D3994" s="36" t="s">
        <v>1819</v>
      </c>
      <c r="E3994" s="36" t="s">
        <v>78</v>
      </c>
      <c r="G3994" s="87">
        <v>20470300</v>
      </c>
      <c r="H3994" s="87">
        <v>2047030</v>
      </c>
      <c r="I3994" s="87">
        <v>22517330</v>
      </c>
      <c r="K3994" s="85">
        <v>2023</v>
      </c>
      <c r="L3994" s="85">
        <v>11</v>
      </c>
      <c r="N3994" s="1" t="s">
        <v>44</v>
      </c>
    </row>
    <row r="3995" spans="1:14">
      <c r="A3995" s="36" t="s">
        <v>32</v>
      </c>
      <c r="B3995" s="37">
        <v>45260</v>
      </c>
      <c r="C3995" s="36" t="s">
        <v>552</v>
      </c>
      <c r="D3995" s="36" t="s">
        <v>1820</v>
      </c>
      <c r="E3995" s="36" t="s">
        <v>76</v>
      </c>
      <c r="G3995" s="87">
        <v>29959900</v>
      </c>
      <c r="H3995" s="87">
        <v>2995990</v>
      </c>
      <c r="I3995" s="87">
        <v>32955890</v>
      </c>
      <c r="K3995" s="85">
        <v>2023</v>
      </c>
      <c r="L3995" s="85">
        <v>11</v>
      </c>
      <c r="N3995" s="1" t="s">
        <v>44</v>
      </c>
    </row>
    <row r="3996" spans="1:14">
      <c r="A3996" s="36" t="s">
        <v>33</v>
      </c>
      <c r="B3996" s="37">
        <v>45260</v>
      </c>
      <c r="C3996" s="36" t="s">
        <v>1853</v>
      </c>
      <c r="D3996" s="36" t="s">
        <v>1854</v>
      </c>
      <c r="E3996" s="36" t="s">
        <v>1855</v>
      </c>
      <c r="G3996" s="87">
        <v>1631000</v>
      </c>
      <c r="H3996" s="87">
        <v>163100</v>
      </c>
      <c r="I3996" s="87">
        <v>1794100</v>
      </c>
      <c r="K3996" s="85">
        <v>2023</v>
      </c>
      <c r="L3996" s="85">
        <v>11</v>
      </c>
      <c r="N3996" s="1" t="s">
        <v>44</v>
      </c>
    </row>
    <row r="3997" spans="1:14">
      <c r="A3997" s="36" t="s">
        <v>33</v>
      </c>
      <c r="B3997" s="37">
        <v>45260</v>
      </c>
      <c r="C3997" s="36" t="s">
        <v>1569</v>
      </c>
      <c r="D3997" s="36" t="s">
        <v>1412</v>
      </c>
      <c r="E3997" s="36" t="s">
        <v>1732</v>
      </c>
      <c r="G3997" s="87">
        <v>39963800</v>
      </c>
      <c r="H3997" s="87">
        <v>3996380</v>
      </c>
      <c r="I3997" s="87">
        <v>43960180</v>
      </c>
      <c r="K3997" s="85">
        <v>2023</v>
      </c>
      <c r="L3997" s="85">
        <v>11</v>
      </c>
      <c r="N3997" s="1" t="s">
        <v>44</v>
      </c>
    </row>
    <row r="3998" spans="1:14">
      <c r="A3998" s="36" t="s">
        <v>32</v>
      </c>
      <c r="B3998" s="37">
        <v>45260</v>
      </c>
      <c r="C3998" s="36" t="s">
        <v>206</v>
      </c>
      <c r="D3998" s="36" t="s">
        <v>1762</v>
      </c>
      <c r="E3998" s="36" t="s">
        <v>1788</v>
      </c>
      <c r="J3998" s="87">
        <v>7653470</v>
      </c>
      <c r="K3998" s="85">
        <v>2023</v>
      </c>
      <c r="L3998" s="85">
        <v>10</v>
      </c>
      <c r="N3998" s="1" t="s">
        <v>44</v>
      </c>
    </row>
    <row r="3999" spans="1:14">
      <c r="A3999" s="36" t="s">
        <v>32</v>
      </c>
      <c r="B3999" s="37">
        <v>45260</v>
      </c>
      <c r="C3999" s="36" t="s">
        <v>206</v>
      </c>
      <c r="D3999" s="36" t="s">
        <v>1823</v>
      </c>
      <c r="E3999" s="36" t="s">
        <v>78</v>
      </c>
      <c r="G3999" s="87">
        <v>945000</v>
      </c>
      <c r="H3999" s="87">
        <v>94500</v>
      </c>
      <c r="I3999" s="87">
        <v>1039500</v>
      </c>
      <c r="K3999" s="85">
        <v>2023</v>
      </c>
      <c r="L3999" s="85">
        <v>11</v>
      </c>
      <c r="N3999" s="1" t="s">
        <v>44</v>
      </c>
    </row>
    <row r="4000" spans="1:14">
      <c r="A4000" s="36" t="s">
        <v>32</v>
      </c>
      <c r="B4000" s="37">
        <v>45260</v>
      </c>
      <c r="C4000" s="36" t="s">
        <v>1198</v>
      </c>
      <c r="D4000" s="36" t="s">
        <v>1758</v>
      </c>
      <c r="E4000" s="36" t="s">
        <v>76</v>
      </c>
      <c r="G4000" s="87">
        <v>1080000</v>
      </c>
      <c r="H4000" s="87">
        <v>108000</v>
      </c>
      <c r="I4000" s="87">
        <v>1188000</v>
      </c>
      <c r="K4000" s="85">
        <v>2023</v>
      </c>
      <c r="L4000" s="85">
        <v>11</v>
      </c>
      <c r="N4000" s="1" t="s">
        <v>44</v>
      </c>
    </row>
    <row r="4001" spans="1:14">
      <c r="A4001" s="36" t="s">
        <v>32</v>
      </c>
      <c r="B4001" s="37">
        <v>45260</v>
      </c>
      <c r="C4001" s="36" t="s">
        <v>1198</v>
      </c>
      <c r="D4001" s="36" t="s">
        <v>1811</v>
      </c>
      <c r="E4001" s="36" t="s">
        <v>76</v>
      </c>
      <c r="G4001" s="87">
        <v>4660800</v>
      </c>
      <c r="H4001" s="87">
        <v>466080</v>
      </c>
      <c r="I4001" s="87">
        <v>5126880</v>
      </c>
      <c r="K4001" s="85">
        <v>2023</v>
      </c>
      <c r="L4001" s="85">
        <v>11</v>
      </c>
      <c r="N4001" s="1" t="s">
        <v>44</v>
      </c>
    </row>
    <row r="4002" spans="1:14">
      <c r="A4002" s="36" t="s">
        <v>32</v>
      </c>
      <c r="B4002" s="37">
        <v>45260</v>
      </c>
      <c r="C4002" s="36" t="s">
        <v>1198</v>
      </c>
      <c r="D4002" s="36" t="s">
        <v>1683</v>
      </c>
      <c r="E4002" s="36" t="s">
        <v>76</v>
      </c>
      <c r="G4002" s="87">
        <v>1620000</v>
      </c>
      <c r="H4002" s="87">
        <v>162000</v>
      </c>
      <c r="I4002" s="87">
        <v>1782000</v>
      </c>
      <c r="K4002" s="85">
        <v>2023</v>
      </c>
      <c r="L4002" s="85">
        <v>11</v>
      </c>
      <c r="N4002" s="1" t="s">
        <v>44</v>
      </c>
    </row>
    <row r="4003" spans="1:14">
      <c r="A4003" s="36" t="s">
        <v>32</v>
      </c>
      <c r="B4003" s="37">
        <v>45260</v>
      </c>
      <c r="C4003" s="36" t="s">
        <v>1198</v>
      </c>
      <c r="D4003" s="36" t="s">
        <v>1812</v>
      </c>
      <c r="E4003" s="36" t="s">
        <v>76</v>
      </c>
      <c r="G4003" s="87">
        <v>8407400</v>
      </c>
      <c r="H4003" s="87">
        <v>840740</v>
      </c>
      <c r="I4003" s="87">
        <v>9248140</v>
      </c>
      <c r="K4003" s="85">
        <v>2023</v>
      </c>
      <c r="L4003" s="85">
        <v>11</v>
      </c>
      <c r="N4003" s="1" t="s">
        <v>44</v>
      </c>
    </row>
    <row r="4004" spans="1:14">
      <c r="A4004" s="36" t="s">
        <v>32</v>
      </c>
      <c r="B4004" s="37">
        <v>45260</v>
      </c>
      <c r="C4004" s="36" t="s">
        <v>1468</v>
      </c>
      <c r="D4004" s="36" t="s">
        <v>1923</v>
      </c>
      <c r="E4004" s="36" t="s">
        <v>76</v>
      </c>
      <c r="G4004" s="87">
        <v>6476400</v>
      </c>
      <c r="H4004" s="87">
        <v>647640</v>
      </c>
      <c r="I4004" s="87">
        <v>7124040</v>
      </c>
      <c r="K4004" s="85">
        <v>2023</v>
      </c>
      <c r="L4004" s="85">
        <v>11</v>
      </c>
      <c r="N4004" s="1" t="s">
        <v>44</v>
      </c>
    </row>
    <row r="4005" spans="1:14">
      <c r="A4005" s="36" t="s">
        <v>32</v>
      </c>
      <c r="B4005" s="37">
        <v>45260</v>
      </c>
      <c r="C4005" s="36" t="s">
        <v>183</v>
      </c>
      <c r="D4005" s="36" t="s">
        <v>1832</v>
      </c>
      <c r="E4005" s="36" t="s">
        <v>78</v>
      </c>
      <c r="G4005" s="87">
        <v>40000000</v>
      </c>
      <c r="H4005" s="87">
        <v>4000000</v>
      </c>
      <c r="I4005" s="87">
        <v>44000000</v>
      </c>
      <c r="K4005" s="85">
        <v>2023</v>
      </c>
      <c r="L4005" s="85">
        <v>11</v>
      </c>
      <c r="N4005" s="1" t="s">
        <v>44</v>
      </c>
    </row>
    <row r="4006" spans="1:14">
      <c r="A4006" s="36" t="s">
        <v>32</v>
      </c>
      <c r="B4006" s="37">
        <v>45260</v>
      </c>
      <c r="C4006" s="36" t="s">
        <v>1464</v>
      </c>
      <c r="D4006" s="36" t="s">
        <v>1822</v>
      </c>
      <c r="E4006" s="36" t="s">
        <v>76</v>
      </c>
      <c r="G4006" s="87">
        <v>8133000</v>
      </c>
      <c r="H4006" s="87">
        <v>813300</v>
      </c>
      <c r="I4006" s="87">
        <v>8946300</v>
      </c>
      <c r="K4006" s="85">
        <v>2023</v>
      </c>
      <c r="L4006" s="85">
        <v>11</v>
      </c>
      <c r="N4006" s="1" t="s">
        <v>44</v>
      </c>
    </row>
    <row r="4007" spans="1:14">
      <c r="A4007" s="36" t="s">
        <v>33</v>
      </c>
      <c r="B4007" s="37">
        <v>45260</v>
      </c>
      <c r="C4007" s="36" t="s">
        <v>590</v>
      </c>
      <c r="D4007" s="36" t="s">
        <v>1011</v>
      </c>
      <c r="E4007" s="36" t="s">
        <v>1789</v>
      </c>
      <c r="J4007" s="87">
        <v>8831390</v>
      </c>
      <c r="K4007" s="85">
        <v>2023</v>
      </c>
      <c r="L4007" s="85">
        <v>10</v>
      </c>
      <c r="N4007" s="1" t="s">
        <v>44</v>
      </c>
    </row>
    <row r="4008" spans="1:14">
      <c r="A4008" s="36" t="s">
        <v>32</v>
      </c>
      <c r="B4008" s="37">
        <v>45260</v>
      </c>
      <c r="C4008" s="36" t="s">
        <v>188</v>
      </c>
      <c r="D4008" s="36" t="s">
        <v>1815</v>
      </c>
      <c r="E4008" s="36" t="s">
        <v>76</v>
      </c>
      <c r="G4008" s="87">
        <v>4700000</v>
      </c>
      <c r="H4008" s="87">
        <v>470000</v>
      </c>
      <c r="I4008" s="87">
        <v>5170000</v>
      </c>
      <c r="K4008" s="85">
        <v>2023</v>
      </c>
      <c r="L4008" s="85">
        <v>11</v>
      </c>
      <c r="N4008" s="1" t="s">
        <v>44</v>
      </c>
    </row>
    <row r="4009" spans="1:14">
      <c r="A4009" s="36" t="s">
        <v>32</v>
      </c>
      <c r="B4009" s="37">
        <v>45260</v>
      </c>
      <c r="C4009" s="36" t="s">
        <v>307</v>
      </c>
      <c r="D4009" s="36" t="s">
        <v>1488</v>
      </c>
      <c r="E4009" s="36" t="s">
        <v>1831</v>
      </c>
      <c r="G4009" s="87">
        <v>7285200</v>
      </c>
      <c r="H4009" s="87">
        <v>728520</v>
      </c>
      <c r="I4009" s="87">
        <v>8013720</v>
      </c>
      <c r="K4009" s="85">
        <v>2023</v>
      </c>
      <c r="L4009" s="85">
        <v>11</v>
      </c>
      <c r="N4009" s="1" t="s">
        <v>44</v>
      </c>
    </row>
    <row r="4010" spans="1:14">
      <c r="A4010" s="36" t="s">
        <v>32</v>
      </c>
      <c r="B4010" s="37">
        <v>45260</v>
      </c>
      <c r="C4010" s="36" t="s">
        <v>307</v>
      </c>
      <c r="D4010" s="36" t="s">
        <v>1488</v>
      </c>
      <c r="E4010" s="36" t="s">
        <v>1830</v>
      </c>
      <c r="G4010" s="87">
        <v>13380000</v>
      </c>
      <c r="H4010" s="87">
        <v>1338000</v>
      </c>
      <c r="I4010" s="87">
        <v>14718000</v>
      </c>
      <c r="K4010" s="85">
        <v>2023</v>
      </c>
      <c r="L4010" s="85">
        <v>11</v>
      </c>
      <c r="N4010" s="1" t="s">
        <v>44</v>
      </c>
    </row>
    <row r="4011" spans="1:14">
      <c r="A4011" s="36" t="s">
        <v>32</v>
      </c>
      <c r="B4011" s="37">
        <v>45260</v>
      </c>
      <c r="C4011" s="36" t="s">
        <v>175</v>
      </c>
      <c r="D4011" s="36" t="s">
        <v>1816</v>
      </c>
      <c r="E4011" s="36" t="s">
        <v>76</v>
      </c>
      <c r="G4011" s="87">
        <v>3600000</v>
      </c>
      <c r="H4011" s="87">
        <v>360000</v>
      </c>
      <c r="I4011" s="87">
        <v>3960000</v>
      </c>
      <c r="K4011" s="85">
        <v>2023</v>
      </c>
      <c r="L4011" s="85">
        <v>11</v>
      </c>
      <c r="N4011" s="1" t="s">
        <v>44</v>
      </c>
    </row>
    <row r="4012" spans="1:14">
      <c r="A4012" s="36" t="s">
        <v>32</v>
      </c>
      <c r="B4012" s="37">
        <v>45260</v>
      </c>
      <c r="C4012" s="36" t="s">
        <v>1741</v>
      </c>
      <c r="D4012" s="36" t="s">
        <v>1817</v>
      </c>
      <c r="E4012" s="36" t="s">
        <v>76</v>
      </c>
      <c r="G4012" s="87">
        <v>1500000</v>
      </c>
      <c r="H4012" s="87">
        <v>150000</v>
      </c>
      <c r="I4012" s="87">
        <v>1650000</v>
      </c>
      <c r="K4012" s="85">
        <v>2023</v>
      </c>
      <c r="L4012" s="85">
        <v>11</v>
      </c>
      <c r="N4012" s="1" t="s">
        <v>44</v>
      </c>
    </row>
    <row r="4013" spans="1:14">
      <c r="A4013" s="36" t="s">
        <v>32</v>
      </c>
      <c r="B4013" s="37">
        <v>45260</v>
      </c>
      <c r="C4013" s="36" t="s">
        <v>667</v>
      </c>
      <c r="D4013" s="36" t="s">
        <v>1818</v>
      </c>
      <c r="E4013" s="36" t="s">
        <v>78</v>
      </c>
      <c r="G4013" s="87">
        <v>810000</v>
      </c>
      <c r="H4013" s="87">
        <v>81000</v>
      </c>
      <c r="I4013" s="87">
        <v>891000</v>
      </c>
      <c r="K4013" s="85">
        <v>2023</v>
      </c>
      <c r="L4013" s="85">
        <v>11</v>
      </c>
      <c r="N4013" s="1" t="s">
        <v>44</v>
      </c>
    </row>
    <row r="4014" spans="1:14">
      <c r="A4014" s="36" t="s">
        <v>32</v>
      </c>
      <c r="B4014" s="37">
        <v>45260</v>
      </c>
      <c r="C4014" s="36" t="s">
        <v>1586</v>
      </c>
      <c r="D4014" s="36" t="s">
        <v>1608</v>
      </c>
      <c r="E4014" s="36" t="s">
        <v>1788</v>
      </c>
      <c r="J4014" s="38">
        <v>11000000</v>
      </c>
      <c r="K4014" s="85">
        <v>2023</v>
      </c>
      <c r="L4014" s="85">
        <v>10</v>
      </c>
      <c r="N4014" s="1" t="s">
        <v>44</v>
      </c>
    </row>
    <row r="4015" spans="1:14">
      <c r="A4015" s="36" t="s">
        <v>33</v>
      </c>
      <c r="B4015" s="37">
        <v>45260</v>
      </c>
      <c r="C4015" s="36" t="s">
        <v>1391</v>
      </c>
      <c r="D4015" s="36" t="s">
        <v>1227</v>
      </c>
      <c r="E4015" s="36" t="s">
        <v>198</v>
      </c>
      <c r="G4015" s="87">
        <v>17668000</v>
      </c>
      <c r="H4015" s="87">
        <v>1766800</v>
      </c>
      <c r="I4015" s="87">
        <v>19434800</v>
      </c>
      <c r="K4015" s="85">
        <v>2023</v>
      </c>
      <c r="L4015" s="85">
        <v>11</v>
      </c>
      <c r="N4015" s="1" t="s">
        <v>44</v>
      </c>
    </row>
    <row r="4016" spans="1:14">
      <c r="A4016" s="36" t="s">
        <v>32</v>
      </c>
      <c r="B4016" s="37">
        <v>45260</v>
      </c>
      <c r="C4016" s="36" t="s">
        <v>654</v>
      </c>
      <c r="D4016" s="36" t="s">
        <v>1672</v>
      </c>
      <c r="E4016" s="36" t="s">
        <v>148</v>
      </c>
      <c r="J4016" s="87">
        <v>18826500</v>
      </c>
      <c r="K4016" s="85">
        <v>2023</v>
      </c>
      <c r="L4016" s="85">
        <v>10</v>
      </c>
      <c r="N4016" s="1" t="s">
        <v>44</v>
      </c>
    </row>
    <row r="4017" spans="1:14">
      <c r="A4017" s="36" t="s">
        <v>32</v>
      </c>
      <c r="B4017" s="37">
        <v>45260</v>
      </c>
      <c r="C4017" s="36" t="s">
        <v>654</v>
      </c>
      <c r="D4017" s="36" t="s">
        <v>1754</v>
      </c>
      <c r="E4017" s="36" t="s">
        <v>148</v>
      </c>
      <c r="J4017" s="87">
        <v>3300000</v>
      </c>
      <c r="K4017" s="85">
        <v>2023</v>
      </c>
      <c r="L4017" s="85">
        <v>10</v>
      </c>
      <c r="N4017" s="1" t="s">
        <v>44</v>
      </c>
    </row>
    <row r="4018" spans="1:14">
      <c r="A4018" s="36" t="s">
        <v>32</v>
      </c>
      <c r="B4018" s="37">
        <v>45260</v>
      </c>
      <c r="C4018" s="36" t="s">
        <v>654</v>
      </c>
      <c r="D4018" s="36" t="s">
        <v>1754</v>
      </c>
      <c r="E4018" s="36" t="s">
        <v>148</v>
      </c>
      <c r="J4018" s="87">
        <v>115365250</v>
      </c>
      <c r="K4018" s="85">
        <v>2023</v>
      </c>
      <c r="L4018" s="85">
        <v>10</v>
      </c>
      <c r="N4018" s="1" t="s">
        <v>44</v>
      </c>
    </row>
    <row r="4019" spans="1:14">
      <c r="A4019" s="36" t="s">
        <v>32</v>
      </c>
      <c r="B4019" s="37">
        <v>45260</v>
      </c>
      <c r="C4019" s="36" t="s">
        <v>654</v>
      </c>
      <c r="D4019" s="36" t="s">
        <v>1838</v>
      </c>
      <c r="E4019" s="36" t="s">
        <v>1837</v>
      </c>
      <c r="G4019" s="87">
        <v>4427000</v>
      </c>
      <c r="H4019" s="87">
        <v>442700</v>
      </c>
      <c r="I4019" s="87">
        <v>4869700</v>
      </c>
      <c r="K4019" s="85">
        <v>2023</v>
      </c>
      <c r="L4019" s="85">
        <v>11</v>
      </c>
      <c r="N4019" s="1" t="s">
        <v>44</v>
      </c>
    </row>
    <row r="4020" spans="1:14">
      <c r="A4020" s="36" t="s">
        <v>32</v>
      </c>
      <c r="B4020" s="37">
        <v>45260</v>
      </c>
      <c r="C4020" s="36" t="s">
        <v>654</v>
      </c>
      <c r="D4020" s="36" t="s">
        <v>1672</v>
      </c>
      <c r="E4020" s="36" t="s">
        <v>76</v>
      </c>
      <c r="G4020" s="87">
        <v>13054800</v>
      </c>
      <c r="H4020" s="87">
        <v>1305480</v>
      </c>
      <c r="I4020" s="87">
        <v>14360280</v>
      </c>
      <c r="K4020" s="85">
        <v>2023</v>
      </c>
      <c r="L4020" s="85">
        <v>11</v>
      </c>
      <c r="N4020" s="1" t="s">
        <v>44</v>
      </c>
    </row>
    <row r="4021" spans="1:14">
      <c r="A4021" s="36" t="s">
        <v>33</v>
      </c>
      <c r="B4021" s="37">
        <v>45260</v>
      </c>
      <c r="C4021" s="36" t="s">
        <v>1335</v>
      </c>
      <c r="D4021" s="36" t="s">
        <v>1523</v>
      </c>
      <c r="E4021" s="36" t="s">
        <v>1789</v>
      </c>
      <c r="J4021" s="87">
        <v>21469800</v>
      </c>
      <c r="K4021" s="85">
        <v>2023</v>
      </c>
      <c r="L4021" s="85">
        <v>10</v>
      </c>
      <c r="N4021" s="1" t="s">
        <v>44</v>
      </c>
    </row>
    <row r="4022" spans="1:14">
      <c r="A4022" s="36" t="s">
        <v>33</v>
      </c>
      <c r="B4022" s="37">
        <v>45260</v>
      </c>
      <c r="C4022" s="36" t="s">
        <v>1335</v>
      </c>
      <c r="D4022" s="36" t="s">
        <v>1523</v>
      </c>
      <c r="E4022" s="36" t="s">
        <v>267</v>
      </c>
      <c r="G4022" s="87">
        <v>805000</v>
      </c>
      <c r="H4022" s="87">
        <v>80500</v>
      </c>
      <c r="I4022" s="87">
        <v>885500</v>
      </c>
      <c r="K4022" s="85">
        <v>2023</v>
      </c>
      <c r="L4022" s="85">
        <v>11</v>
      </c>
      <c r="N4022" s="1" t="s">
        <v>44</v>
      </c>
    </row>
    <row r="4023" spans="1:14">
      <c r="A4023" s="36" t="s">
        <v>33</v>
      </c>
      <c r="B4023" s="37">
        <v>45260</v>
      </c>
      <c r="C4023" s="36" t="s">
        <v>912</v>
      </c>
      <c r="D4023" s="36" t="s">
        <v>1636</v>
      </c>
      <c r="E4023" s="36" t="s">
        <v>447</v>
      </c>
      <c r="G4023" s="87">
        <v>8072384</v>
      </c>
      <c r="H4023" s="87">
        <v>807238.4</v>
      </c>
      <c r="I4023" s="87">
        <v>8879622.4000000004</v>
      </c>
      <c r="K4023" s="85">
        <v>2023</v>
      </c>
      <c r="L4023" s="85">
        <v>11</v>
      </c>
      <c r="N4023" s="1" t="s">
        <v>44</v>
      </c>
    </row>
    <row r="4024" spans="1:14">
      <c r="A4024" s="36" t="s">
        <v>32</v>
      </c>
      <c r="B4024" s="37">
        <v>45260</v>
      </c>
      <c r="C4024" s="36" t="s">
        <v>1396</v>
      </c>
      <c r="D4024" s="36" t="s">
        <v>1827</v>
      </c>
      <c r="E4024" s="36" t="s">
        <v>1828</v>
      </c>
      <c r="G4024" s="87">
        <v>4065000</v>
      </c>
      <c r="H4024" s="87">
        <v>406500</v>
      </c>
      <c r="I4024" s="87">
        <v>4471500</v>
      </c>
      <c r="K4024" s="85">
        <v>2023</v>
      </c>
      <c r="L4024" s="85">
        <v>11</v>
      </c>
      <c r="N4024" s="1" t="s">
        <v>44</v>
      </c>
    </row>
    <row r="4025" spans="1:14">
      <c r="A4025" s="36" t="s">
        <v>32</v>
      </c>
      <c r="B4025" s="37">
        <v>45260</v>
      </c>
      <c r="C4025" s="36" t="s">
        <v>1587</v>
      </c>
      <c r="D4025" s="36" t="s">
        <v>1609</v>
      </c>
      <c r="E4025" s="36" t="s">
        <v>76</v>
      </c>
      <c r="G4025" s="87">
        <v>13440000</v>
      </c>
      <c r="H4025" s="87">
        <v>1344000</v>
      </c>
      <c r="I4025" s="87">
        <v>14784000</v>
      </c>
      <c r="K4025" s="85">
        <v>2023</v>
      </c>
      <c r="L4025" s="85">
        <v>11</v>
      </c>
      <c r="N4025" s="1" t="s">
        <v>44</v>
      </c>
    </row>
    <row r="4026" spans="1:14">
      <c r="A4026" s="36" t="s">
        <v>32</v>
      </c>
      <c r="B4026" s="37">
        <v>45260</v>
      </c>
      <c r="C4026" s="36" t="s">
        <v>1809</v>
      </c>
      <c r="D4026" s="36" t="s">
        <v>1731</v>
      </c>
      <c r="E4026" s="36" t="s">
        <v>76</v>
      </c>
      <c r="G4026" s="87">
        <v>920000</v>
      </c>
      <c r="H4026" s="87">
        <v>92000</v>
      </c>
      <c r="I4026" s="87">
        <v>1012000</v>
      </c>
      <c r="K4026" s="85">
        <v>2023</v>
      </c>
      <c r="L4026" s="85">
        <v>11</v>
      </c>
      <c r="N4026" s="1" t="s">
        <v>44</v>
      </c>
    </row>
    <row r="4027" spans="1:14">
      <c r="A4027" s="36" t="s">
        <v>32</v>
      </c>
      <c r="B4027" s="37">
        <v>45261</v>
      </c>
      <c r="C4027" s="36" t="s">
        <v>1116</v>
      </c>
      <c r="D4027" s="36" t="s">
        <v>1122</v>
      </c>
      <c r="E4027" s="36" t="s">
        <v>76</v>
      </c>
      <c r="G4027" s="87">
        <v>-8218200</v>
      </c>
      <c r="H4027" s="87">
        <v>-821820</v>
      </c>
      <c r="I4027" s="87">
        <v>-9040020</v>
      </c>
      <c r="K4027" s="85">
        <v>2022</v>
      </c>
      <c r="L4027" s="85">
        <v>11</v>
      </c>
      <c r="N4027" s="1" t="s">
        <v>44</v>
      </c>
    </row>
    <row r="4028" spans="1:14">
      <c r="A4028" s="36" t="s">
        <v>32</v>
      </c>
      <c r="B4028" s="37">
        <v>45261</v>
      </c>
      <c r="C4028" s="36" t="s">
        <v>1470</v>
      </c>
      <c r="D4028" s="36" t="s">
        <v>1487</v>
      </c>
      <c r="E4028" s="36" t="s">
        <v>1793</v>
      </c>
      <c r="J4028" s="87">
        <v>169241160</v>
      </c>
      <c r="K4028" s="85">
        <v>2023</v>
      </c>
      <c r="L4028" s="85">
        <v>10</v>
      </c>
      <c r="N4028" s="1" t="s">
        <v>44</v>
      </c>
    </row>
    <row r="4029" spans="1:14">
      <c r="A4029" s="36" t="s">
        <v>32</v>
      </c>
      <c r="B4029" s="37">
        <v>45261</v>
      </c>
      <c r="C4029" s="36" t="s">
        <v>334</v>
      </c>
      <c r="D4029" s="36" t="s">
        <v>1760</v>
      </c>
      <c r="E4029" s="36" t="s">
        <v>1793</v>
      </c>
      <c r="J4029" s="87">
        <v>6547552</v>
      </c>
      <c r="K4029" s="85">
        <v>2023</v>
      </c>
      <c r="L4029" s="85">
        <v>10</v>
      </c>
      <c r="N4029" s="1" t="s">
        <v>44</v>
      </c>
    </row>
    <row r="4030" spans="1:14">
      <c r="A4030" s="36" t="s">
        <v>32</v>
      </c>
      <c r="B4030" s="37">
        <v>45261</v>
      </c>
      <c r="C4030" s="36" t="s">
        <v>334</v>
      </c>
      <c r="D4030" s="36" t="s">
        <v>1761</v>
      </c>
      <c r="E4030" s="36" t="s">
        <v>1793</v>
      </c>
      <c r="J4030" s="87">
        <v>996160</v>
      </c>
      <c r="K4030" s="85">
        <v>2023</v>
      </c>
      <c r="L4030" s="85">
        <v>10</v>
      </c>
      <c r="N4030" s="1" t="s">
        <v>44</v>
      </c>
    </row>
    <row r="4031" spans="1:14">
      <c r="A4031" s="36" t="s">
        <v>32</v>
      </c>
      <c r="B4031" s="37">
        <v>45261</v>
      </c>
      <c r="C4031" s="36" t="s">
        <v>1467</v>
      </c>
      <c r="D4031" s="36" t="s">
        <v>1749</v>
      </c>
      <c r="E4031" s="36" t="s">
        <v>76</v>
      </c>
      <c r="G4031" s="87">
        <v>-5420800</v>
      </c>
      <c r="H4031" s="87">
        <v>-542080</v>
      </c>
      <c r="I4031" s="87">
        <v>-5962880</v>
      </c>
      <c r="K4031" s="85">
        <v>2023</v>
      </c>
      <c r="L4031" s="85">
        <v>10</v>
      </c>
      <c r="N4031" s="1" t="s">
        <v>44</v>
      </c>
    </row>
    <row r="4032" spans="1:14">
      <c r="A4032" s="36" t="s">
        <v>32</v>
      </c>
      <c r="B4032" s="37">
        <v>45261</v>
      </c>
      <c r="C4032" s="36" t="s">
        <v>1467</v>
      </c>
      <c r="D4032" s="36" t="s">
        <v>1750</v>
      </c>
      <c r="E4032" s="36" t="s">
        <v>148</v>
      </c>
      <c r="J4032" s="87">
        <v>8913960</v>
      </c>
      <c r="K4032" s="85">
        <v>2023</v>
      </c>
      <c r="L4032" s="85">
        <v>10</v>
      </c>
      <c r="N4032" s="1" t="s">
        <v>44</v>
      </c>
    </row>
    <row r="4033" spans="1:14">
      <c r="A4033" s="36" t="s">
        <v>33</v>
      </c>
      <c r="B4033" s="37">
        <v>45261</v>
      </c>
      <c r="C4033" s="36" t="s">
        <v>119</v>
      </c>
      <c r="D4033" s="36" t="s">
        <v>931</v>
      </c>
      <c r="E4033" s="36" t="s">
        <v>1021</v>
      </c>
      <c r="G4033" s="87">
        <v>-2340000</v>
      </c>
      <c r="H4033" s="87">
        <v>-234000</v>
      </c>
      <c r="I4033" s="87">
        <v>-2574000</v>
      </c>
      <c r="K4033" s="85">
        <v>2022</v>
      </c>
      <c r="L4033" s="85">
        <v>10</v>
      </c>
      <c r="N4033" s="1" t="s">
        <v>44</v>
      </c>
    </row>
    <row r="4034" spans="1:14">
      <c r="A4034" s="36" t="s">
        <v>32</v>
      </c>
      <c r="B4034" s="37">
        <v>45261</v>
      </c>
      <c r="C4034" s="36" t="s">
        <v>183</v>
      </c>
      <c r="D4034" s="36" t="s">
        <v>1832</v>
      </c>
      <c r="E4034" s="36" t="s">
        <v>77</v>
      </c>
      <c r="J4034" s="38">
        <v>44000000</v>
      </c>
      <c r="K4034" s="85">
        <v>2023</v>
      </c>
      <c r="L4034" s="85">
        <v>11</v>
      </c>
      <c r="N4034" s="1" t="s">
        <v>44</v>
      </c>
    </row>
    <row r="4035" spans="1:14">
      <c r="A4035" s="36" t="s">
        <v>32</v>
      </c>
      <c r="B4035" s="37">
        <v>45261</v>
      </c>
      <c r="C4035" s="36" t="s">
        <v>268</v>
      </c>
      <c r="D4035" s="36" t="s">
        <v>954</v>
      </c>
      <c r="E4035" s="36" t="s">
        <v>1024</v>
      </c>
      <c r="G4035" s="87">
        <v>-12881818</v>
      </c>
      <c r="H4035" s="87">
        <v>-1288182</v>
      </c>
      <c r="I4035" s="87">
        <v>-14170000</v>
      </c>
      <c r="K4035" s="85">
        <v>2023</v>
      </c>
      <c r="L4035" s="85">
        <v>1</v>
      </c>
      <c r="M4035" s="36" t="s">
        <v>1833</v>
      </c>
      <c r="N4035" s="1" t="s">
        <v>44</v>
      </c>
    </row>
    <row r="4036" spans="1:14">
      <c r="A4036" s="36" t="s">
        <v>32</v>
      </c>
      <c r="B4036" s="37">
        <v>45261</v>
      </c>
      <c r="C4036" s="36" t="s">
        <v>268</v>
      </c>
      <c r="D4036" s="36" t="s">
        <v>954</v>
      </c>
      <c r="E4036" s="36" t="s">
        <v>1024</v>
      </c>
      <c r="G4036" s="87">
        <v>-23636364</v>
      </c>
      <c r="H4036" s="87">
        <v>-2363636</v>
      </c>
      <c r="I4036" s="87">
        <v>-26000000</v>
      </c>
      <c r="K4036" s="85">
        <v>2023</v>
      </c>
      <c r="L4036" s="85">
        <v>2</v>
      </c>
      <c r="M4036" s="36" t="s">
        <v>1833</v>
      </c>
      <c r="N4036" s="1" t="s">
        <v>44</v>
      </c>
    </row>
    <row r="4037" spans="1:14">
      <c r="A4037" s="36" t="s">
        <v>32</v>
      </c>
      <c r="B4037" s="37">
        <v>45261</v>
      </c>
      <c r="C4037" s="36" t="s">
        <v>268</v>
      </c>
      <c r="D4037" s="36" t="s">
        <v>954</v>
      </c>
      <c r="E4037" s="36" t="s">
        <v>1024</v>
      </c>
      <c r="G4037" s="87">
        <v>-2127273</v>
      </c>
      <c r="H4037" s="87">
        <v>-212727</v>
      </c>
      <c r="I4037" s="87">
        <v>-2340000</v>
      </c>
      <c r="K4037" s="85">
        <v>2023</v>
      </c>
      <c r="L4037" s="85">
        <v>3</v>
      </c>
      <c r="M4037" s="36" t="s">
        <v>1833</v>
      </c>
      <c r="N4037" s="1" t="s">
        <v>44</v>
      </c>
    </row>
    <row r="4038" spans="1:14">
      <c r="A4038" s="36" t="s">
        <v>32</v>
      </c>
      <c r="B4038" s="37">
        <v>45261</v>
      </c>
      <c r="C4038" s="36" t="s">
        <v>268</v>
      </c>
      <c r="D4038" s="36" t="s">
        <v>1361</v>
      </c>
      <c r="E4038" s="36" t="s">
        <v>1024</v>
      </c>
      <c r="G4038" s="87">
        <v>-27803280</v>
      </c>
      <c r="H4038" s="87">
        <v>-2780328</v>
      </c>
      <c r="I4038" s="87">
        <v>-30583608</v>
      </c>
      <c r="K4038" s="85">
        <v>2023</v>
      </c>
      <c r="L4038" s="85">
        <v>5</v>
      </c>
      <c r="M4038" s="36" t="s">
        <v>1833</v>
      </c>
      <c r="N4038" s="1" t="s">
        <v>44</v>
      </c>
    </row>
    <row r="4039" spans="1:14">
      <c r="A4039" s="36" t="s">
        <v>32</v>
      </c>
      <c r="B4039" s="37">
        <v>45261</v>
      </c>
      <c r="C4039" s="36" t="s">
        <v>268</v>
      </c>
      <c r="D4039" s="36" t="s">
        <v>954</v>
      </c>
      <c r="E4039" s="36" t="s">
        <v>1024</v>
      </c>
      <c r="G4039" s="87">
        <v>-27000000</v>
      </c>
      <c r="H4039" s="87">
        <v>-2700000</v>
      </c>
      <c r="I4039" s="87">
        <v>-29700000</v>
      </c>
      <c r="K4039" s="85">
        <v>2023</v>
      </c>
      <c r="L4039" s="85">
        <v>6</v>
      </c>
      <c r="M4039" s="36" t="s">
        <v>1833</v>
      </c>
      <c r="N4039" s="1" t="s">
        <v>44</v>
      </c>
    </row>
    <row r="4040" spans="1:14">
      <c r="A4040" s="36" t="s">
        <v>32</v>
      </c>
      <c r="B4040" s="37">
        <v>45261</v>
      </c>
      <c r="C4040" s="36" t="s">
        <v>654</v>
      </c>
      <c r="D4040" s="36" t="s">
        <v>1673</v>
      </c>
      <c r="E4040" s="36" t="s">
        <v>148</v>
      </c>
      <c r="J4040" s="87">
        <v>54801604</v>
      </c>
      <c r="K4040" s="85">
        <v>2023</v>
      </c>
      <c r="L4040" s="85">
        <v>10</v>
      </c>
      <c r="N4040" s="1" t="s">
        <v>44</v>
      </c>
    </row>
    <row r="4041" spans="1:14">
      <c r="A4041" s="36" t="s">
        <v>32</v>
      </c>
      <c r="B4041" s="37">
        <v>45261</v>
      </c>
      <c r="C4041" s="36" t="s">
        <v>654</v>
      </c>
      <c r="D4041" s="36" t="s">
        <v>1673</v>
      </c>
      <c r="E4041" s="36" t="s">
        <v>76</v>
      </c>
      <c r="G4041" s="87">
        <v>70498060</v>
      </c>
      <c r="H4041" s="87">
        <v>7049806</v>
      </c>
      <c r="I4041" s="87">
        <v>77547866</v>
      </c>
      <c r="K4041" s="85">
        <v>2023</v>
      </c>
      <c r="L4041" s="85">
        <v>12</v>
      </c>
      <c r="N4041" s="1" t="s">
        <v>44</v>
      </c>
    </row>
    <row r="4042" spans="1:14">
      <c r="A4042" s="36" t="s">
        <v>33</v>
      </c>
      <c r="B4042" s="37">
        <v>45264</v>
      </c>
      <c r="C4042" s="36" t="s">
        <v>1218</v>
      </c>
      <c r="D4042" s="36" t="s">
        <v>1798</v>
      </c>
      <c r="E4042" s="36" t="s">
        <v>1492</v>
      </c>
      <c r="G4042" s="87">
        <v>3005000</v>
      </c>
      <c r="H4042" s="87">
        <v>300500</v>
      </c>
      <c r="I4042" s="87">
        <v>3305500</v>
      </c>
      <c r="K4042" s="85">
        <v>2023</v>
      </c>
      <c r="L4042" s="85">
        <v>12</v>
      </c>
      <c r="N4042" s="1" t="s">
        <v>44</v>
      </c>
    </row>
    <row r="4043" spans="1:14">
      <c r="A4043" s="36" t="s">
        <v>19</v>
      </c>
      <c r="B4043" s="37">
        <v>45264</v>
      </c>
      <c r="C4043" s="36" t="s">
        <v>1701</v>
      </c>
      <c r="D4043" s="36" t="s">
        <v>1636</v>
      </c>
      <c r="E4043" s="36" t="s">
        <v>1794</v>
      </c>
      <c r="J4043" s="87">
        <v>9429750</v>
      </c>
      <c r="K4043" s="85">
        <v>2023</v>
      </c>
      <c r="L4043" s="85">
        <v>10</v>
      </c>
      <c r="N4043" s="1" t="s">
        <v>84</v>
      </c>
    </row>
    <row r="4044" spans="1:14">
      <c r="A4044" s="36" t="s">
        <v>32</v>
      </c>
      <c r="B4044" s="37">
        <v>45265</v>
      </c>
      <c r="C4044" s="36" t="s">
        <v>1198</v>
      </c>
      <c r="D4044" s="36" t="s">
        <v>1758</v>
      </c>
      <c r="E4044" s="36" t="s">
        <v>148</v>
      </c>
      <c r="J4044" s="87">
        <v>10177750</v>
      </c>
      <c r="K4044" s="85">
        <v>2023</v>
      </c>
      <c r="L4044" s="85">
        <v>10</v>
      </c>
      <c r="N4044" s="1" t="s">
        <v>44</v>
      </c>
    </row>
    <row r="4045" spans="1:14">
      <c r="A4045" s="36" t="s">
        <v>32</v>
      </c>
      <c r="B4045" s="37">
        <v>45265</v>
      </c>
      <c r="C4045" s="36" t="s">
        <v>1198</v>
      </c>
      <c r="D4045" s="36" t="s">
        <v>1758</v>
      </c>
      <c r="E4045" s="36" t="s">
        <v>77</v>
      </c>
      <c r="J4045" s="38">
        <v>1188000</v>
      </c>
      <c r="K4045" s="85">
        <v>2023</v>
      </c>
      <c r="L4045" s="85">
        <v>11</v>
      </c>
      <c r="N4045" s="1" t="s">
        <v>44</v>
      </c>
    </row>
    <row r="4046" spans="1:14">
      <c r="A4046" s="36" t="s">
        <v>32</v>
      </c>
      <c r="B4046" s="37">
        <v>45265</v>
      </c>
      <c r="C4046" s="36" t="s">
        <v>1664</v>
      </c>
      <c r="D4046" s="36" t="s">
        <v>1766</v>
      </c>
      <c r="E4046" s="36" t="s">
        <v>148</v>
      </c>
      <c r="J4046" s="87">
        <v>3923260</v>
      </c>
      <c r="K4046" s="85">
        <v>2023</v>
      </c>
      <c r="L4046" s="85">
        <v>10</v>
      </c>
      <c r="M4046" s="36" t="s">
        <v>1795</v>
      </c>
      <c r="N4046" s="1" t="s">
        <v>44</v>
      </c>
    </row>
    <row r="4047" spans="1:14">
      <c r="A4047" s="36" t="s">
        <v>32</v>
      </c>
      <c r="B4047" s="37">
        <v>45265</v>
      </c>
      <c r="C4047" s="36" t="s">
        <v>667</v>
      </c>
      <c r="D4047" s="36" t="s">
        <v>1818</v>
      </c>
      <c r="E4047" s="36" t="s">
        <v>77</v>
      </c>
      <c r="J4047" s="38">
        <v>891000</v>
      </c>
      <c r="K4047" s="85">
        <v>2023</v>
      </c>
      <c r="L4047" s="85">
        <v>11</v>
      </c>
      <c r="N4047" s="1" t="s">
        <v>44</v>
      </c>
    </row>
    <row r="4048" spans="1:14">
      <c r="A4048" s="36" t="s">
        <v>32</v>
      </c>
      <c r="B4048" s="37">
        <v>45266</v>
      </c>
      <c r="C4048" s="36" t="s">
        <v>1198</v>
      </c>
      <c r="D4048" s="36" t="s">
        <v>1683</v>
      </c>
      <c r="E4048" s="36" t="s">
        <v>77</v>
      </c>
      <c r="J4048" s="38">
        <v>1782000</v>
      </c>
      <c r="K4048" s="85">
        <v>2023</v>
      </c>
      <c r="L4048" s="85">
        <v>11</v>
      </c>
      <c r="N4048" s="1" t="s">
        <v>44</v>
      </c>
    </row>
    <row r="4049" spans="1:14">
      <c r="A4049" s="36" t="s">
        <v>32</v>
      </c>
      <c r="B4049" s="37">
        <v>45267</v>
      </c>
      <c r="C4049" s="36" t="s">
        <v>175</v>
      </c>
      <c r="D4049" s="36" t="s">
        <v>1763</v>
      </c>
      <c r="E4049" s="36" t="s">
        <v>148</v>
      </c>
      <c r="J4049" s="87">
        <v>3520000</v>
      </c>
      <c r="K4049" s="85">
        <v>2023</v>
      </c>
      <c r="L4049" s="85">
        <v>10</v>
      </c>
      <c r="N4049" s="1" t="s">
        <v>44</v>
      </c>
    </row>
    <row r="4050" spans="1:14">
      <c r="A4050" s="36" t="s">
        <v>32</v>
      </c>
      <c r="B4050" s="37">
        <v>45268</v>
      </c>
      <c r="C4050" s="36" t="s">
        <v>1790</v>
      </c>
      <c r="D4050" s="36" t="s">
        <v>1792</v>
      </c>
      <c r="E4050" s="36" t="s">
        <v>148</v>
      </c>
      <c r="J4050" s="38">
        <v>10000000</v>
      </c>
      <c r="K4050" s="85">
        <v>2023</v>
      </c>
      <c r="L4050" s="85">
        <v>11</v>
      </c>
      <c r="N4050" s="1" t="s">
        <v>44</v>
      </c>
    </row>
    <row r="4051" spans="1:14">
      <c r="A4051" s="36" t="s">
        <v>33</v>
      </c>
      <c r="B4051" s="37">
        <v>45268</v>
      </c>
      <c r="C4051" s="36" t="s">
        <v>838</v>
      </c>
      <c r="D4051" s="36" t="s">
        <v>1799</v>
      </c>
      <c r="E4051" s="36" t="s">
        <v>165</v>
      </c>
      <c r="G4051" s="87">
        <v>500000</v>
      </c>
      <c r="H4051" s="87">
        <v>50000</v>
      </c>
      <c r="I4051" s="87">
        <v>550000</v>
      </c>
      <c r="K4051" s="85">
        <v>2023</v>
      </c>
      <c r="L4051" s="85">
        <v>12</v>
      </c>
      <c r="N4051" s="1" t="s">
        <v>44</v>
      </c>
    </row>
    <row r="4052" spans="1:14">
      <c r="A4052" s="36" t="s">
        <v>32</v>
      </c>
      <c r="B4052" s="37">
        <v>45271</v>
      </c>
      <c r="C4052" s="36" t="s">
        <v>640</v>
      </c>
      <c r="D4052" s="36" t="s">
        <v>763</v>
      </c>
      <c r="E4052" s="36" t="s">
        <v>148</v>
      </c>
      <c r="J4052" s="87">
        <v>4576000</v>
      </c>
      <c r="K4052" s="85">
        <v>2023</v>
      </c>
      <c r="L4052" s="85">
        <v>11</v>
      </c>
      <c r="N4052" s="1" t="s">
        <v>44</v>
      </c>
    </row>
    <row r="4053" spans="1:14">
      <c r="A4053" s="36" t="s">
        <v>33</v>
      </c>
      <c r="B4053" s="37">
        <v>45271</v>
      </c>
      <c r="C4053" s="36" t="s">
        <v>119</v>
      </c>
      <c r="D4053" s="36" t="s">
        <v>1797</v>
      </c>
      <c r="E4053" s="36" t="s">
        <v>77</v>
      </c>
      <c r="J4053" s="38">
        <v>6061000</v>
      </c>
      <c r="K4053" s="85">
        <v>2023</v>
      </c>
      <c r="L4053" s="85">
        <v>11</v>
      </c>
      <c r="N4053" s="1" t="s">
        <v>44</v>
      </c>
    </row>
    <row r="4054" spans="1:14">
      <c r="A4054" s="36" t="s">
        <v>32</v>
      </c>
      <c r="B4054" s="37">
        <v>45271</v>
      </c>
      <c r="C4054" s="36" t="s">
        <v>1740</v>
      </c>
      <c r="D4054" s="36" t="s">
        <v>1744</v>
      </c>
      <c r="E4054" s="36" t="s">
        <v>148</v>
      </c>
      <c r="J4054" s="87">
        <v>18150000</v>
      </c>
      <c r="K4054" s="85">
        <v>2023</v>
      </c>
      <c r="L4054" s="85">
        <v>10</v>
      </c>
      <c r="M4054" s="36" t="s">
        <v>1796</v>
      </c>
      <c r="N4054" s="1" t="s">
        <v>44</v>
      </c>
    </row>
    <row r="4055" spans="1:14">
      <c r="A4055" s="36" t="s">
        <v>32</v>
      </c>
      <c r="B4055" s="37">
        <v>45272</v>
      </c>
      <c r="C4055" s="36" t="s">
        <v>1467</v>
      </c>
      <c r="D4055" s="36" t="s">
        <v>1748</v>
      </c>
      <c r="E4055" s="36" t="s">
        <v>148</v>
      </c>
      <c r="J4055" s="87">
        <v>10200300</v>
      </c>
      <c r="K4055" s="85">
        <v>2023</v>
      </c>
      <c r="L4055" s="85">
        <v>10</v>
      </c>
      <c r="N4055" s="1" t="s">
        <v>44</v>
      </c>
    </row>
    <row r="4056" spans="1:14">
      <c r="A4056" s="36" t="s">
        <v>33</v>
      </c>
      <c r="B4056" s="37">
        <v>45272</v>
      </c>
      <c r="C4056" s="36" t="s">
        <v>1805</v>
      </c>
      <c r="D4056" s="36" t="s">
        <v>1806</v>
      </c>
      <c r="E4056" s="36" t="s">
        <v>1807</v>
      </c>
      <c r="G4056" s="87">
        <v>357000</v>
      </c>
      <c r="H4056" s="87">
        <v>35700</v>
      </c>
      <c r="I4056" s="87">
        <v>392700</v>
      </c>
      <c r="K4056" s="85">
        <v>2023</v>
      </c>
      <c r="L4056" s="85">
        <v>12</v>
      </c>
      <c r="N4056" s="1" t="s">
        <v>44</v>
      </c>
    </row>
    <row r="4057" spans="1:14">
      <c r="A4057" s="36" t="s">
        <v>33</v>
      </c>
      <c r="B4057" s="37">
        <v>45272</v>
      </c>
      <c r="C4057" s="36" t="s">
        <v>1805</v>
      </c>
      <c r="D4057" s="36" t="s">
        <v>1806</v>
      </c>
      <c r="E4057" s="36" t="s">
        <v>77</v>
      </c>
      <c r="J4057" s="38">
        <v>392700</v>
      </c>
      <c r="K4057" s="85">
        <v>2023</v>
      </c>
      <c r="L4057" s="85">
        <v>12</v>
      </c>
      <c r="N4057" s="1" t="s">
        <v>44</v>
      </c>
    </row>
    <row r="4058" spans="1:14">
      <c r="A4058" s="36" t="s">
        <v>32</v>
      </c>
      <c r="B4058" s="37">
        <v>45272</v>
      </c>
      <c r="C4058" s="36" t="s">
        <v>307</v>
      </c>
      <c r="D4058" s="36" t="s">
        <v>1488</v>
      </c>
      <c r="E4058" s="36" t="s">
        <v>1829</v>
      </c>
      <c r="J4058" s="38">
        <v>14718000</v>
      </c>
      <c r="K4058" s="85">
        <v>2023</v>
      </c>
      <c r="L4058" s="85">
        <v>11</v>
      </c>
      <c r="N4058" s="1" t="s">
        <v>44</v>
      </c>
    </row>
    <row r="4059" spans="1:14">
      <c r="A4059" s="36" t="s">
        <v>33</v>
      </c>
      <c r="B4059" s="37">
        <v>45272</v>
      </c>
      <c r="C4059" s="36" t="s">
        <v>955</v>
      </c>
      <c r="D4059" s="36" t="s">
        <v>1800</v>
      </c>
      <c r="E4059" s="36" t="s">
        <v>1856</v>
      </c>
      <c r="G4059" s="87">
        <v>1000000</v>
      </c>
      <c r="H4059" s="87">
        <v>100000</v>
      </c>
      <c r="I4059" s="87">
        <v>1100000</v>
      </c>
      <c r="K4059" s="85">
        <v>2023</v>
      </c>
      <c r="L4059" s="85">
        <v>12</v>
      </c>
      <c r="N4059" s="1" t="s">
        <v>44</v>
      </c>
    </row>
    <row r="4060" spans="1:14">
      <c r="A4060" s="36" t="s">
        <v>32</v>
      </c>
      <c r="B4060" s="37">
        <v>45273</v>
      </c>
      <c r="C4060" s="36" t="s">
        <v>1198</v>
      </c>
      <c r="D4060" s="36" t="s">
        <v>1683</v>
      </c>
      <c r="E4060" s="36" t="s">
        <v>77</v>
      </c>
      <c r="J4060" s="87">
        <v>6238100</v>
      </c>
      <c r="K4060" s="85">
        <v>2023</v>
      </c>
      <c r="L4060" s="85">
        <v>10</v>
      </c>
      <c r="N4060" s="1" t="s">
        <v>44</v>
      </c>
    </row>
    <row r="4061" spans="1:14">
      <c r="A4061" s="36" t="s">
        <v>32</v>
      </c>
      <c r="B4061" s="37">
        <v>45275</v>
      </c>
      <c r="C4061" s="36" t="s">
        <v>209</v>
      </c>
      <c r="D4061" s="36" t="s">
        <v>2001</v>
      </c>
      <c r="E4061" s="36" t="s">
        <v>148</v>
      </c>
      <c r="J4061" s="87">
        <v>4961000</v>
      </c>
      <c r="K4061" s="85">
        <v>2023</v>
      </c>
      <c r="L4061" s="85">
        <v>10</v>
      </c>
      <c r="N4061" s="1" t="s">
        <v>44</v>
      </c>
    </row>
    <row r="4062" spans="1:14">
      <c r="A4062" s="36" t="s">
        <v>32</v>
      </c>
      <c r="B4062" s="37">
        <v>45275</v>
      </c>
      <c r="C4062" s="36" t="s">
        <v>209</v>
      </c>
      <c r="D4062" s="36" t="s">
        <v>2035</v>
      </c>
      <c r="E4062" s="36" t="s">
        <v>148</v>
      </c>
      <c r="J4062" s="87">
        <v>160006000</v>
      </c>
      <c r="K4062" s="85">
        <v>2023</v>
      </c>
      <c r="L4062" s="85">
        <v>11</v>
      </c>
      <c r="N4062" s="1" t="s">
        <v>44</v>
      </c>
    </row>
    <row r="4063" spans="1:14">
      <c r="A4063" s="36" t="s">
        <v>33</v>
      </c>
      <c r="B4063" s="37">
        <v>45275</v>
      </c>
      <c r="C4063" s="36" t="s">
        <v>1218</v>
      </c>
      <c r="D4063" s="36" t="s">
        <v>1834</v>
      </c>
      <c r="E4063" s="36" t="s">
        <v>1220</v>
      </c>
      <c r="G4063" s="87">
        <v>1000000</v>
      </c>
      <c r="H4063" s="87">
        <v>100000</v>
      </c>
      <c r="I4063" s="87">
        <v>1100000</v>
      </c>
      <c r="K4063" s="85">
        <v>2023</v>
      </c>
      <c r="L4063" s="85">
        <v>12</v>
      </c>
      <c r="N4063" s="1" t="s">
        <v>44</v>
      </c>
    </row>
    <row r="4064" spans="1:14">
      <c r="A4064" s="36" t="s">
        <v>33</v>
      </c>
      <c r="B4064" s="37">
        <v>45275</v>
      </c>
      <c r="C4064" s="36" t="s">
        <v>1218</v>
      </c>
      <c r="D4064" s="36" t="s">
        <v>1834</v>
      </c>
      <c r="E4064" s="36" t="s">
        <v>77</v>
      </c>
      <c r="J4064" s="38">
        <v>1100000</v>
      </c>
      <c r="K4064" s="85">
        <v>2023</v>
      </c>
      <c r="L4064" s="85">
        <v>12</v>
      </c>
      <c r="N4064" s="1" t="s">
        <v>44</v>
      </c>
    </row>
    <row r="4065" spans="1:14">
      <c r="A4065" s="36" t="s">
        <v>32</v>
      </c>
      <c r="B4065" s="37">
        <v>45275</v>
      </c>
      <c r="C4065" s="36" t="s">
        <v>1878</v>
      </c>
      <c r="D4065" s="36" t="s">
        <v>1834</v>
      </c>
      <c r="E4065" s="36" t="s">
        <v>1492</v>
      </c>
      <c r="G4065" s="87">
        <v>1500000</v>
      </c>
      <c r="H4065" s="87">
        <v>150000</v>
      </c>
      <c r="I4065" s="87">
        <v>1650000</v>
      </c>
      <c r="K4065" s="85">
        <v>2023</v>
      </c>
      <c r="L4065" s="85">
        <v>12</v>
      </c>
      <c r="N4065" s="1" t="s">
        <v>44</v>
      </c>
    </row>
    <row r="4066" spans="1:14">
      <c r="A4066" s="36" t="s">
        <v>32</v>
      </c>
      <c r="B4066" s="37">
        <v>45275</v>
      </c>
      <c r="C4066" s="36" t="s">
        <v>1878</v>
      </c>
      <c r="D4066" s="36" t="s">
        <v>1834</v>
      </c>
      <c r="E4066" s="36" t="s">
        <v>77</v>
      </c>
      <c r="J4066" s="38">
        <v>1650000</v>
      </c>
      <c r="K4066" s="85">
        <v>2023</v>
      </c>
      <c r="L4066" s="85">
        <v>12</v>
      </c>
      <c r="N4066" s="1" t="s">
        <v>44</v>
      </c>
    </row>
    <row r="4067" spans="1:14">
      <c r="A4067" s="36" t="s">
        <v>32</v>
      </c>
      <c r="B4067" s="37">
        <v>45275</v>
      </c>
      <c r="C4067" s="36" t="s">
        <v>1809</v>
      </c>
      <c r="D4067" s="36" t="s">
        <v>1731</v>
      </c>
      <c r="E4067" s="36" t="s">
        <v>148</v>
      </c>
      <c r="J4067" s="87">
        <v>1012000</v>
      </c>
      <c r="K4067" s="85">
        <v>2023</v>
      </c>
      <c r="L4067" s="85">
        <v>11</v>
      </c>
      <c r="N4067" s="1" t="s">
        <v>44</v>
      </c>
    </row>
    <row r="4068" spans="1:14">
      <c r="A4068" s="36" t="s">
        <v>33</v>
      </c>
      <c r="B4068" s="37">
        <v>45276</v>
      </c>
      <c r="C4068" s="36" t="s">
        <v>1805</v>
      </c>
      <c r="D4068" s="36" t="s">
        <v>1806</v>
      </c>
      <c r="E4068" s="36" t="s">
        <v>1835</v>
      </c>
      <c r="G4068" s="87">
        <v>175000</v>
      </c>
      <c r="H4068" s="87">
        <v>17500</v>
      </c>
      <c r="I4068" s="87">
        <v>192500</v>
      </c>
      <c r="K4068" s="85">
        <v>2023</v>
      </c>
      <c r="L4068" s="85">
        <v>12</v>
      </c>
      <c r="N4068" s="1" t="s">
        <v>44</v>
      </c>
    </row>
    <row r="4069" spans="1:14">
      <c r="A4069" s="36" t="s">
        <v>33</v>
      </c>
      <c r="B4069" s="37">
        <v>45278</v>
      </c>
      <c r="C4069" s="36" t="s">
        <v>1805</v>
      </c>
      <c r="D4069" s="36" t="s">
        <v>1806</v>
      </c>
      <c r="E4069" s="36" t="s">
        <v>77</v>
      </c>
      <c r="J4069" s="38">
        <v>192500</v>
      </c>
      <c r="K4069" s="85">
        <v>2023</v>
      </c>
      <c r="L4069" s="85">
        <v>12</v>
      </c>
      <c r="N4069" s="1" t="s">
        <v>44</v>
      </c>
    </row>
    <row r="4070" spans="1:14">
      <c r="A4070" s="36" t="s">
        <v>32</v>
      </c>
      <c r="B4070" s="37">
        <v>45279</v>
      </c>
      <c r="C4070" s="36" t="s">
        <v>552</v>
      </c>
      <c r="D4070" s="36" t="s">
        <v>1820</v>
      </c>
      <c r="E4070" s="36" t="s">
        <v>148</v>
      </c>
      <c r="J4070" s="87">
        <v>32955890</v>
      </c>
      <c r="K4070" s="85">
        <v>2023</v>
      </c>
      <c r="L4070" s="85">
        <v>11</v>
      </c>
      <c r="N4070" s="1" t="s">
        <v>44</v>
      </c>
    </row>
    <row r="4071" spans="1:14">
      <c r="A4071" s="36" t="s">
        <v>32</v>
      </c>
      <c r="B4071" s="37">
        <v>45281</v>
      </c>
      <c r="C4071" s="36" t="s">
        <v>1464</v>
      </c>
      <c r="D4071" s="36" t="s">
        <v>1822</v>
      </c>
      <c r="E4071" s="36" t="s">
        <v>148</v>
      </c>
      <c r="J4071" s="87">
        <v>8946300</v>
      </c>
      <c r="K4071" s="85">
        <v>2023</v>
      </c>
      <c r="L4071" s="85">
        <v>11</v>
      </c>
      <c r="N4071" s="1" t="s">
        <v>44</v>
      </c>
    </row>
    <row r="4072" spans="1:14">
      <c r="A4072" s="36" t="s">
        <v>32</v>
      </c>
      <c r="B4072" s="37">
        <v>45281</v>
      </c>
      <c r="C4072" s="36" t="s">
        <v>1587</v>
      </c>
      <c r="D4072" s="36" t="s">
        <v>1609</v>
      </c>
      <c r="E4072" s="36" t="s">
        <v>148</v>
      </c>
      <c r="J4072" s="87">
        <v>14784000</v>
      </c>
      <c r="K4072" s="85">
        <v>2023</v>
      </c>
      <c r="L4072" s="85">
        <v>11</v>
      </c>
      <c r="N4072" s="1" t="s">
        <v>44</v>
      </c>
    </row>
    <row r="4073" spans="1:14">
      <c r="A4073" s="36" t="s">
        <v>32</v>
      </c>
      <c r="B4073" s="37">
        <v>45282</v>
      </c>
      <c r="C4073" s="36" t="s">
        <v>1583</v>
      </c>
      <c r="D4073" s="36" t="s">
        <v>1602</v>
      </c>
      <c r="E4073" s="36" t="s">
        <v>148</v>
      </c>
      <c r="J4073" s="87">
        <v>5446100</v>
      </c>
      <c r="K4073" s="85">
        <v>2023</v>
      </c>
      <c r="L4073" s="85">
        <v>8</v>
      </c>
      <c r="N4073" s="1" t="s">
        <v>44</v>
      </c>
    </row>
    <row r="4074" spans="1:14">
      <c r="A4074" s="36" t="s">
        <v>33</v>
      </c>
      <c r="B4074" s="37">
        <v>45285</v>
      </c>
      <c r="C4074" s="36" t="s">
        <v>1848</v>
      </c>
      <c r="D4074" s="36" t="s">
        <v>1849</v>
      </c>
      <c r="E4074" s="36" t="s">
        <v>157</v>
      </c>
      <c r="G4074" s="87">
        <v>1520000</v>
      </c>
      <c r="H4074" s="87">
        <v>152000</v>
      </c>
      <c r="I4074" s="87">
        <v>1672000</v>
      </c>
      <c r="K4074" s="85">
        <v>2023</v>
      </c>
      <c r="L4074" s="85">
        <v>12</v>
      </c>
      <c r="N4074" s="1" t="s">
        <v>44</v>
      </c>
    </row>
    <row r="4075" spans="1:14">
      <c r="A4075" s="36" t="s">
        <v>32</v>
      </c>
      <c r="B4075" s="37">
        <v>45286</v>
      </c>
      <c r="C4075" s="36" t="s">
        <v>1332</v>
      </c>
      <c r="D4075" s="36" t="s">
        <v>1341</v>
      </c>
      <c r="E4075" s="36" t="s">
        <v>148</v>
      </c>
      <c r="J4075" s="87">
        <v>17968500</v>
      </c>
      <c r="K4075" s="85">
        <v>2023</v>
      </c>
      <c r="L4075" s="85">
        <v>11</v>
      </c>
      <c r="N4075" s="1" t="s">
        <v>44</v>
      </c>
    </row>
    <row r="4076" spans="1:14">
      <c r="A4076" s="36" t="s">
        <v>32</v>
      </c>
      <c r="B4076" s="37">
        <v>45286</v>
      </c>
      <c r="C4076" s="36" t="s">
        <v>1880</v>
      </c>
      <c r="D4076" s="36" t="s">
        <v>1882</v>
      </c>
      <c r="E4076" s="36" t="s">
        <v>1883</v>
      </c>
      <c r="G4076" s="87">
        <v>600000</v>
      </c>
      <c r="H4076" s="87">
        <v>60000</v>
      </c>
      <c r="I4076" s="87">
        <v>660000</v>
      </c>
      <c r="K4076" s="85">
        <v>2023</v>
      </c>
      <c r="L4076" s="85">
        <v>12</v>
      </c>
      <c r="N4076" s="1" t="s">
        <v>44</v>
      </c>
    </row>
    <row r="4077" spans="1:14">
      <c r="A4077" s="36" t="s">
        <v>32</v>
      </c>
      <c r="B4077" s="37">
        <v>45286</v>
      </c>
      <c r="C4077" s="36" t="s">
        <v>1880</v>
      </c>
      <c r="D4077" s="36" t="s">
        <v>1882</v>
      </c>
      <c r="E4077" s="36" t="s">
        <v>77</v>
      </c>
      <c r="J4077" s="38">
        <v>660000</v>
      </c>
      <c r="K4077" s="85">
        <v>2023</v>
      </c>
      <c r="L4077" s="85">
        <v>12</v>
      </c>
      <c r="N4077" s="1" t="s">
        <v>44</v>
      </c>
    </row>
    <row r="4078" spans="1:14">
      <c r="A4078" s="36" t="s">
        <v>32</v>
      </c>
      <c r="B4078" s="37">
        <v>45286</v>
      </c>
      <c r="C4078" s="36" t="s">
        <v>1879</v>
      </c>
      <c r="D4078" s="36" t="s">
        <v>1881</v>
      </c>
      <c r="E4078" s="36" t="s">
        <v>1883</v>
      </c>
      <c r="G4078" s="87">
        <v>600000</v>
      </c>
      <c r="H4078" s="87">
        <v>60000</v>
      </c>
      <c r="I4078" s="87">
        <v>660000</v>
      </c>
      <c r="K4078" s="85">
        <v>2023</v>
      </c>
      <c r="L4078" s="85">
        <v>12</v>
      </c>
      <c r="N4078" s="1" t="s">
        <v>44</v>
      </c>
    </row>
    <row r="4079" spans="1:14">
      <c r="A4079" s="36" t="s">
        <v>32</v>
      </c>
      <c r="B4079" s="37">
        <v>45287</v>
      </c>
      <c r="C4079" s="36" t="s">
        <v>925</v>
      </c>
      <c r="D4079" s="36" t="s">
        <v>926</v>
      </c>
      <c r="E4079" s="36" t="s">
        <v>148</v>
      </c>
      <c r="J4079" s="87">
        <v>4257715</v>
      </c>
      <c r="K4079" s="85">
        <v>2023</v>
      </c>
      <c r="L4079" s="85">
        <v>11</v>
      </c>
      <c r="N4079" s="1" t="s">
        <v>44</v>
      </c>
    </row>
    <row r="4080" spans="1:14">
      <c r="A4080" s="36" t="s">
        <v>32</v>
      </c>
      <c r="B4080" s="37">
        <v>45287</v>
      </c>
      <c r="C4080" s="36" t="s">
        <v>188</v>
      </c>
      <c r="D4080" s="36" t="s">
        <v>1815</v>
      </c>
      <c r="E4080" s="36" t="s">
        <v>148</v>
      </c>
      <c r="J4080" s="87">
        <v>5170000</v>
      </c>
      <c r="K4080" s="85">
        <v>2023</v>
      </c>
      <c r="L4080" s="85">
        <v>11</v>
      </c>
      <c r="N4080" s="1" t="s">
        <v>44</v>
      </c>
    </row>
    <row r="4081" spans="1:14">
      <c r="A4081" s="36" t="s">
        <v>32</v>
      </c>
      <c r="B4081" s="37">
        <v>45288</v>
      </c>
      <c r="C4081" s="36" t="s">
        <v>204</v>
      </c>
      <c r="D4081" s="36" t="s">
        <v>1482</v>
      </c>
      <c r="E4081" s="36" t="s">
        <v>148</v>
      </c>
      <c r="J4081" s="87">
        <v>10699920</v>
      </c>
      <c r="K4081" s="85">
        <v>2023</v>
      </c>
      <c r="L4081" s="85">
        <v>11</v>
      </c>
      <c r="N4081" s="1" t="s">
        <v>44</v>
      </c>
    </row>
    <row r="4082" spans="1:14">
      <c r="A4082" s="36" t="s">
        <v>32</v>
      </c>
      <c r="B4082" s="37">
        <v>45288</v>
      </c>
      <c r="C4082" s="36" t="s">
        <v>1662</v>
      </c>
      <c r="D4082" s="36" t="s">
        <v>1819</v>
      </c>
      <c r="E4082" s="36" t="s">
        <v>148</v>
      </c>
      <c r="J4082" s="87">
        <v>22517330</v>
      </c>
      <c r="K4082" s="85">
        <v>2023</v>
      </c>
      <c r="L4082" s="85">
        <v>11</v>
      </c>
      <c r="N4082" s="1" t="s">
        <v>44</v>
      </c>
    </row>
    <row r="4083" spans="1:14">
      <c r="A4083" s="36" t="s">
        <v>33</v>
      </c>
      <c r="B4083" s="37">
        <v>45288</v>
      </c>
      <c r="C4083" s="36" t="s">
        <v>971</v>
      </c>
      <c r="D4083" s="36" t="s">
        <v>1889</v>
      </c>
      <c r="E4083" s="36" t="s">
        <v>1847</v>
      </c>
      <c r="G4083" s="87">
        <v>3160350</v>
      </c>
      <c r="H4083" s="87">
        <v>316035</v>
      </c>
      <c r="I4083" s="87">
        <v>3476385</v>
      </c>
      <c r="K4083" s="85">
        <v>2023</v>
      </c>
      <c r="L4083" s="85">
        <v>12</v>
      </c>
      <c r="M4083" s="36" t="s">
        <v>1889</v>
      </c>
      <c r="N4083" s="1" t="s">
        <v>44</v>
      </c>
    </row>
    <row r="4084" spans="1:14">
      <c r="A4084" s="36" t="s">
        <v>32</v>
      </c>
      <c r="B4084" s="37">
        <v>45289</v>
      </c>
      <c r="C4084" s="36" t="s">
        <v>760</v>
      </c>
      <c r="D4084" s="36" t="s">
        <v>1824</v>
      </c>
      <c r="E4084" s="36" t="s">
        <v>148</v>
      </c>
      <c r="J4084" s="87">
        <v>1811810</v>
      </c>
      <c r="K4084" s="85">
        <v>2023</v>
      </c>
      <c r="L4084" s="85">
        <v>11</v>
      </c>
      <c r="N4084" s="1" t="s">
        <v>44</v>
      </c>
    </row>
    <row r="4085" spans="1:14">
      <c r="A4085" s="36" t="s">
        <v>32</v>
      </c>
      <c r="B4085" s="37">
        <v>45289</v>
      </c>
      <c r="C4085" s="36" t="s">
        <v>209</v>
      </c>
      <c r="D4085" s="36" t="s">
        <v>1699</v>
      </c>
      <c r="E4085" s="36" t="s">
        <v>148</v>
      </c>
      <c r="J4085" s="87">
        <v>66189750</v>
      </c>
      <c r="K4085" s="85">
        <v>2023</v>
      </c>
      <c r="L4085" s="85">
        <v>10</v>
      </c>
      <c r="M4085" s="36" t="s">
        <v>1902</v>
      </c>
      <c r="N4085" s="1" t="s">
        <v>44</v>
      </c>
    </row>
    <row r="4086" spans="1:14">
      <c r="A4086" s="36" t="s">
        <v>32</v>
      </c>
      <c r="B4086" s="37">
        <v>45289</v>
      </c>
      <c r="C4086" s="36" t="s">
        <v>209</v>
      </c>
      <c r="D4086" s="36" t="s">
        <v>1699</v>
      </c>
      <c r="E4086" s="36" t="s">
        <v>148</v>
      </c>
      <c r="J4086" s="38">
        <v>33810250</v>
      </c>
      <c r="K4086" s="85">
        <v>2023</v>
      </c>
      <c r="L4086" s="85">
        <v>11</v>
      </c>
      <c r="M4086" s="36" t="s">
        <v>1903</v>
      </c>
      <c r="N4086" s="1" t="s">
        <v>44</v>
      </c>
    </row>
    <row r="4087" spans="1:14">
      <c r="A4087" s="36" t="s">
        <v>33</v>
      </c>
      <c r="B4087" s="37">
        <v>45289</v>
      </c>
      <c r="C4087" s="36" t="s">
        <v>96</v>
      </c>
      <c r="D4087" s="36" t="s">
        <v>1801</v>
      </c>
      <c r="E4087" s="36" t="s">
        <v>148</v>
      </c>
      <c r="J4087" s="87">
        <v>275000</v>
      </c>
      <c r="K4087" s="85">
        <v>2023</v>
      </c>
      <c r="L4087" s="85">
        <v>11</v>
      </c>
      <c r="N4087" s="1" t="s">
        <v>44</v>
      </c>
    </row>
    <row r="4088" spans="1:14">
      <c r="A4088" s="36" t="s">
        <v>33</v>
      </c>
      <c r="B4088" s="37">
        <v>45289</v>
      </c>
      <c r="C4088" s="36" t="s">
        <v>96</v>
      </c>
      <c r="D4088" s="36" t="s">
        <v>1808</v>
      </c>
      <c r="E4088" s="36" t="s">
        <v>148</v>
      </c>
      <c r="J4088" s="87">
        <v>220000</v>
      </c>
      <c r="K4088" s="85">
        <v>2023</v>
      </c>
      <c r="L4088" s="85">
        <v>11</v>
      </c>
      <c r="N4088" s="1" t="s">
        <v>44</v>
      </c>
    </row>
    <row r="4089" spans="1:14">
      <c r="A4089" s="36" t="s">
        <v>32</v>
      </c>
      <c r="B4089" s="37">
        <v>45289</v>
      </c>
      <c r="C4089" s="36" t="s">
        <v>204</v>
      </c>
      <c r="D4089" s="36" t="s">
        <v>1273</v>
      </c>
      <c r="E4089" s="36" t="s">
        <v>148</v>
      </c>
      <c r="J4089" s="87">
        <v>19476600</v>
      </c>
      <c r="K4089" s="85">
        <v>2023</v>
      </c>
      <c r="L4089" s="85">
        <v>11</v>
      </c>
      <c r="N4089" s="1" t="s">
        <v>44</v>
      </c>
    </row>
    <row r="4090" spans="1:14">
      <c r="A4090" s="36" t="s">
        <v>32</v>
      </c>
      <c r="B4090" s="37">
        <v>45289</v>
      </c>
      <c r="C4090" s="36" t="s">
        <v>1810</v>
      </c>
      <c r="D4090" s="36" t="s">
        <v>1826</v>
      </c>
      <c r="E4090" s="36" t="s">
        <v>148</v>
      </c>
      <c r="J4090" s="87">
        <v>115575090.40000001</v>
      </c>
      <c r="K4090" s="85">
        <v>2023</v>
      </c>
      <c r="L4090" s="85">
        <v>11</v>
      </c>
      <c r="N4090" s="1" t="s">
        <v>44</v>
      </c>
    </row>
    <row r="4091" spans="1:14">
      <c r="A4091" s="36" t="s">
        <v>32</v>
      </c>
      <c r="B4091" s="37">
        <v>45289</v>
      </c>
      <c r="C4091" s="36" t="s">
        <v>1470</v>
      </c>
      <c r="D4091" s="36" t="s">
        <v>1821</v>
      </c>
      <c r="E4091" s="36" t="s">
        <v>148</v>
      </c>
      <c r="J4091" s="87">
        <v>102233824</v>
      </c>
      <c r="K4091" s="85">
        <v>2023</v>
      </c>
      <c r="L4091" s="85">
        <v>11</v>
      </c>
      <c r="N4091" s="1" t="s">
        <v>44</v>
      </c>
    </row>
    <row r="4092" spans="1:14">
      <c r="A4092" s="36" t="s">
        <v>33</v>
      </c>
      <c r="B4092" s="37">
        <v>45289</v>
      </c>
      <c r="C4092" s="36" t="s">
        <v>838</v>
      </c>
      <c r="D4092" s="36" t="s">
        <v>1487</v>
      </c>
      <c r="E4092" s="36" t="s">
        <v>148</v>
      </c>
      <c r="J4092" s="87">
        <v>1815000</v>
      </c>
      <c r="K4092" s="85">
        <v>2023</v>
      </c>
      <c r="L4092" s="85">
        <v>11</v>
      </c>
      <c r="N4092" s="1" t="s">
        <v>44</v>
      </c>
    </row>
    <row r="4093" spans="1:14">
      <c r="A4093" s="36" t="s">
        <v>33</v>
      </c>
      <c r="B4093" s="37">
        <v>45289</v>
      </c>
      <c r="C4093" s="36" t="s">
        <v>838</v>
      </c>
      <c r="D4093" s="36" t="s">
        <v>1799</v>
      </c>
      <c r="E4093" s="36" t="s">
        <v>148</v>
      </c>
      <c r="J4093" s="87">
        <v>550000</v>
      </c>
      <c r="K4093" s="85">
        <v>2023</v>
      </c>
      <c r="L4093" s="85">
        <v>12</v>
      </c>
      <c r="N4093" s="1" t="s">
        <v>44</v>
      </c>
    </row>
    <row r="4094" spans="1:14">
      <c r="A4094" s="36" t="s">
        <v>32</v>
      </c>
      <c r="B4094" s="37">
        <v>45289</v>
      </c>
      <c r="C4094" s="36" t="s">
        <v>264</v>
      </c>
      <c r="D4094" s="36" t="s">
        <v>1870</v>
      </c>
      <c r="E4094" s="36" t="s">
        <v>76</v>
      </c>
      <c r="G4094" s="87">
        <v>16900000</v>
      </c>
      <c r="H4094" s="87">
        <v>1690000</v>
      </c>
      <c r="I4094" s="87">
        <v>18590000</v>
      </c>
      <c r="K4094" s="85">
        <v>2023</v>
      </c>
      <c r="L4094" s="85">
        <v>12</v>
      </c>
      <c r="N4094" s="1" t="s">
        <v>44</v>
      </c>
    </row>
    <row r="4095" spans="1:14">
      <c r="A4095" s="36" t="s">
        <v>33</v>
      </c>
      <c r="B4095" s="37">
        <v>45289</v>
      </c>
      <c r="C4095" s="36" t="s">
        <v>580</v>
      </c>
      <c r="D4095" s="36" t="s">
        <v>581</v>
      </c>
      <c r="E4095" s="36" t="s">
        <v>582</v>
      </c>
      <c r="G4095" s="87">
        <v>1313636</v>
      </c>
      <c r="H4095" s="87">
        <v>131363.6</v>
      </c>
      <c r="I4095" s="87">
        <v>1444999.6</v>
      </c>
      <c r="K4095" s="85">
        <v>2023</v>
      </c>
      <c r="L4095" s="85">
        <v>12</v>
      </c>
      <c r="N4095" s="1" t="s">
        <v>44</v>
      </c>
    </row>
    <row r="4096" spans="1:14">
      <c r="A4096" s="36" t="s">
        <v>33</v>
      </c>
      <c r="B4096" s="37">
        <v>45289</v>
      </c>
      <c r="C4096" s="36" t="s">
        <v>1218</v>
      </c>
      <c r="D4096" s="36" t="s">
        <v>1798</v>
      </c>
      <c r="E4096" s="36" t="s">
        <v>77</v>
      </c>
      <c r="J4096" s="87">
        <v>3305500</v>
      </c>
      <c r="K4096" s="85">
        <v>2023</v>
      </c>
      <c r="L4096" s="85">
        <v>12</v>
      </c>
      <c r="N4096" s="1" t="s">
        <v>44</v>
      </c>
    </row>
    <row r="4097" spans="1:14">
      <c r="A4097" s="36" t="s">
        <v>32</v>
      </c>
      <c r="B4097" s="37">
        <v>45289</v>
      </c>
      <c r="C4097" s="36" t="s">
        <v>188</v>
      </c>
      <c r="D4097" s="36" t="s">
        <v>1219</v>
      </c>
      <c r="E4097" s="36" t="s">
        <v>148</v>
      </c>
      <c r="J4097" s="87">
        <v>18700000</v>
      </c>
      <c r="K4097" s="85">
        <v>2023</v>
      </c>
      <c r="L4097" s="85">
        <v>7</v>
      </c>
      <c r="N4097" s="1" t="s">
        <v>44</v>
      </c>
    </row>
    <row r="4098" spans="1:14">
      <c r="A4098" s="36" t="s">
        <v>32</v>
      </c>
      <c r="B4098" s="37">
        <v>45289</v>
      </c>
      <c r="C4098" s="36" t="s">
        <v>307</v>
      </c>
      <c r="D4098" s="36" t="s">
        <v>1488</v>
      </c>
      <c r="E4098" s="36" t="s">
        <v>148</v>
      </c>
      <c r="J4098" s="87">
        <v>8013720</v>
      </c>
      <c r="K4098" s="85">
        <v>2023</v>
      </c>
      <c r="L4098" s="85">
        <v>11</v>
      </c>
      <c r="N4098" s="1" t="s">
        <v>44</v>
      </c>
    </row>
    <row r="4099" spans="1:14">
      <c r="A4099" s="36" t="s">
        <v>32</v>
      </c>
      <c r="B4099" s="37">
        <v>45289</v>
      </c>
      <c r="C4099" s="36" t="s">
        <v>654</v>
      </c>
      <c r="D4099" s="36" t="s">
        <v>1897</v>
      </c>
      <c r="E4099" s="36" t="s">
        <v>77</v>
      </c>
      <c r="J4099" s="38">
        <v>184505409</v>
      </c>
      <c r="K4099" s="85">
        <v>2024</v>
      </c>
      <c r="L4099" s="85">
        <v>1</v>
      </c>
      <c r="M4099" s="36" t="s">
        <v>1932</v>
      </c>
      <c r="N4099" s="1" t="s">
        <v>44</v>
      </c>
    </row>
    <row r="4100" spans="1:14">
      <c r="A4100" s="36" t="s">
        <v>33</v>
      </c>
      <c r="B4100" s="37">
        <v>45289</v>
      </c>
      <c r="C4100" s="36" t="s">
        <v>1335</v>
      </c>
      <c r="D4100" s="36" t="s">
        <v>1523</v>
      </c>
      <c r="E4100" s="36" t="s">
        <v>148</v>
      </c>
      <c r="J4100" s="87">
        <v>885500</v>
      </c>
      <c r="K4100" s="85">
        <v>2023</v>
      </c>
      <c r="L4100" s="85">
        <v>11</v>
      </c>
      <c r="N4100" s="1" t="s">
        <v>44</v>
      </c>
    </row>
    <row r="4101" spans="1:14">
      <c r="A4101" s="36" t="s">
        <v>32</v>
      </c>
      <c r="B4101" s="37">
        <v>45290</v>
      </c>
      <c r="C4101" s="36" t="s">
        <v>1396</v>
      </c>
      <c r="D4101" s="36" t="s">
        <v>1827</v>
      </c>
      <c r="E4101" s="36" t="s">
        <v>148</v>
      </c>
      <c r="J4101" s="87">
        <v>4471500</v>
      </c>
      <c r="K4101" s="85">
        <v>2023</v>
      </c>
      <c r="L4101" s="85">
        <v>11</v>
      </c>
      <c r="N4101" s="1" t="s">
        <v>44</v>
      </c>
    </row>
    <row r="4102" spans="1:14">
      <c r="A4102" s="36" t="s">
        <v>32</v>
      </c>
      <c r="B4102" s="37">
        <v>45291</v>
      </c>
      <c r="C4102" s="36" t="s">
        <v>209</v>
      </c>
      <c r="D4102" s="36" t="s">
        <v>1699</v>
      </c>
      <c r="E4102" s="36" t="s">
        <v>76</v>
      </c>
      <c r="G4102" s="87">
        <v>65963200</v>
      </c>
      <c r="H4102" s="87">
        <v>6596320</v>
      </c>
      <c r="I4102" s="87">
        <v>72559520</v>
      </c>
      <c r="K4102" s="85">
        <v>2023</v>
      </c>
      <c r="L4102" s="85">
        <v>12</v>
      </c>
      <c r="N4102" s="1" t="s">
        <v>44</v>
      </c>
    </row>
    <row r="4103" spans="1:14">
      <c r="A4103" s="36" t="s">
        <v>32</v>
      </c>
      <c r="B4103" s="37">
        <v>45291</v>
      </c>
      <c r="C4103" s="36" t="s">
        <v>209</v>
      </c>
      <c r="D4103" s="36" t="s">
        <v>1885</v>
      </c>
      <c r="E4103" s="36" t="s">
        <v>1551</v>
      </c>
      <c r="G4103" s="87">
        <v>24046400</v>
      </c>
      <c r="H4103" s="87">
        <v>2404640</v>
      </c>
      <c r="I4103" s="87">
        <v>26451040</v>
      </c>
      <c r="K4103" s="85">
        <v>2023</v>
      </c>
      <c r="L4103" s="85">
        <v>12</v>
      </c>
      <c r="N4103" s="1" t="s">
        <v>44</v>
      </c>
    </row>
    <row r="4104" spans="1:14">
      <c r="A4104" s="36" t="s">
        <v>32</v>
      </c>
      <c r="B4104" s="37">
        <v>45291</v>
      </c>
      <c r="C4104" s="36" t="s">
        <v>209</v>
      </c>
      <c r="D4104" s="36" t="s">
        <v>2001</v>
      </c>
      <c r="E4104" s="36" t="s">
        <v>76</v>
      </c>
      <c r="G4104" s="87">
        <v>3936000</v>
      </c>
      <c r="H4104" s="87">
        <v>393600</v>
      </c>
      <c r="I4104" s="87">
        <v>4329600</v>
      </c>
      <c r="K4104" s="85">
        <v>2023</v>
      </c>
      <c r="L4104" s="85">
        <v>12</v>
      </c>
      <c r="N4104" s="1" t="s">
        <v>44</v>
      </c>
    </row>
    <row r="4105" spans="1:14">
      <c r="A4105" s="36" t="s">
        <v>32</v>
      </c>
      <c r="B4105" s="37">
        <v>45291</v>
      </c>
      <c r="C4105" s="36" t="s">
        <v>209</v>
      </c>
      <c r="D4105" s="36" t="s">
        <v>2035</v>
      </c>
      <c r="E4105" s="36" t="s">
        <v>76</v>
      </c>
      <c r="G4105" s="87">
        <v>167020000</v>
      </c>
      <c r="H4105" s="87">
        <v>16702000</v>
      </c>
      <c r="I4105" s="87">
        <v>183722000</v>
      </c>
      <c r="K4105" s="85">
        <v>2023</v>
      </c>
      <c r="L4105" s="85">
        <v>12</v>
      </c>
      <c r="N4105" s="1" t="s">
        <v>44</v>
      </c>
    </row>
    <row r="4106" spans="1:14">
      <c r="A4106" s="36" t="s">
        <v>32</v>
      </c>
      <c r="B4106" s="37">
        <v>45291</v>
      </c>
      <c r="C4106" s="36" t="s">
        <v>209</v>
      </c>
      <c r="D4106" s="36" t="s">
        <v>1892</v>
      </c>
      <c r="E4106" s="36" t="s">
        <v>102</v>
      </c>
      <c r="G4106" s="87">
        <v>74337000</v>
      </c>
      <c r="H4106" s="87">
        <v>7433700</v>
      </c>
      <c r="I4106" s="87">
        <v>81770700</v>
      </c>
      <c r="K4106" s="85">
        <v>2023</v>
      </c>
      <c r="L4106" s="85">
        <v>12</v>
      </c>
      <c r="N4106" s="1" t="s">
        <v>44</v>
      </c>
    </row>
    <row r="4107" spans="1:14">
      <c r="A4107" s="36" t="s">
        <v>32</v>
      </c>
      <c r="B4107" s="37">
        <v>45291</v>
      </c>
      <c r="C4107" s="36" t="s">
        <v>209</v>
      </c>
      <c r="D4107" s="36" t="s">
        <v>1866</v>
      </c>
      <c r="E4107" s="36" t="s">
        <v>76</v>
      </c>
      <c r="G4107" s="87">
        <v>8185200</v>
      </c>
      <c r="H4107" s="87">
        <v>818520</v>
      </c>
      <c r="I4107" s="87">
        <v>9003720</v>
      </c>
      <c r="K4107" s="85">
        <v>2023</v>
      </c>
      <c r="L4107" s="85">
        <v>12</v>
      </c>
      <c r="N4107" s="1" t="s">
        <v>44</v>
      </c>
    </row>
    <row r="4108" spans="1:14">
      <c r="A4108" s="36" t="s">
        <v>33</v>
      </c>
      <c r="B4108" s="37">
        <v>45291</v>
      </c>
      <c r="C4108" s="36" t="s">
        <v>1861</v>
      </c>
      <c r="D4108" s="36" t="s">
        <v>1800</v>
      </c>
      <c r="E4108" s="36" t="s">
        <v>157</v>
      </c>
      <c r="G4108" s="87">
        <v>630000</v>
      </c>
      <c r="H4108" s="87">
        <v>63000</v>
      </c>
      <c r="I4108" s="87">
        <v>693000</v>
      </c>
      <c r="K4108" s="85">
        <v>2023</v>
      </c>
      <c r="L4108" s="85">
        <v>12</v>
      </c>
      <c r="N4108" s="1" t="s">
        <v>44</v>
      </c>
    </row>
    <row r="4109" spans="1:14">
      <c r="A4109" s="36" t="s">
        <v>32</v>
      </c>
      <c r="B4109" s="37">
        <v>45291</v>
      </c>
      <c r="C4109" s="36" t="s">
        <v>989</v>
      </c>
      <c r="D4109" s="36" t="s">
        <v>1875</v>
      </c>
      <c r="E4109" s="36" t="s">
        <v>76</v>
      </c>
      <c r="G4109" s="87">
        <v>30246000</v>
      </c>
      <c r="H4109" s="87">
        <v>3024600</v>
      </c>
      <c r="I4109" s="87">
        <v>33270600</v>
      </c>
      <c r="K4109" s="85">
        <v>2023</v>
      </c>
      <c r="L4109" s="85">
        <v>12</v>
      </c>
      <c r="N4109" s="1" t="s">
        <v>44</v>
      </c>
    </row>
    <row r="4110" spans="1:14">
      <c r="A4110" s="36" t="s">
        <v>33</v>
      </c>
      <c r="B4110" s="37">
        <v>45291</v>
      </c>
      <c r="C4110" s="36" t="s">
        <v>1266</v>
      </c>
      <c r="D4110" s="36" t="s">
        <v>1277</v>
      </c>
      <c r="E4110" s="36" t="s">
        <v>267</v>
      </c>
      <c r="G4110" s="87">
        <v>10235000</v>
      </c>
      <c r="H4110" s="87">
        <v>1023500</v>
      </c>
      <c r="I4110" s="87">
        <v>11258500</v>
      </c>
      <c r="K4110" s="85">
        <v>2023</v>
      </c>
      <c r="L4110" s="85">
        <v>12</v>
      </c>
      <c r="N4110" s="1" t="s">
        <v>44</v>
      </c>
    </row>
    <row r="4111" spans="1:14">
      <c r="A4111" s="36" t="s">
        <v>33</v>
      </c>
      <c r="B4111" s="37">
        <v>45291</v>
      </c>
      <c r="C4111" s="36" t="s">
        <v>96</v>
      </c>
      <c r="D4111" s="36" t="s">
        <v>1857</v>
      </c>
      <c r="E4111" s="36" t="s">
        <v>1858</v>
      </c>
      <c r="G4111" s="87">
        <v>1990000</v>
      </c>
      <c r="H4111" s="87">
        <v>199000</v>
      </c>
      <c r="I4111" s="87">
        <v>2189000</v>
      </c>
      <c r="K4111" s="85">
        <v>2023</v>
      </c>
      <c r="L4111" s="85">
        <v>12</v>
      </c>
      <c r="N4111" s="1" t="s">
        <v>44</v>
      </c>
    </row>
    <row r="4112" spans="1:14">
      <c r="A4112" s="36" t="s">
        <v>33</v>
      </c>
      <c r="B4112" s="37">
        <v>45291</v>
      </c>
      <c r="C4112" s="36" t="s">
        <v>96</v>
      </c>
      <c r="D4112" s="36" t="s">
        <v>1859</v>
      </c>
      <c r="E4112" s="36" t="s">
        <v>1860</v>
      </c>
      <c r="G4112" s="87">
        <v>260000</v>
      </c>
      <c r="H4112" s="87">
        <v>26000</v>
      </c>
      <c r="I4112" s="87">
        <v>286000</v>
      </c>
      <c r="K4112" s="85">
        <v>2023</v>
      </c>
      <c r="L4112" s="85">
        <v>12</v>
      </c>
      <c r="N4112" s="1" t="s">
        <v>44</v>
      </c>
    </row>
    <row r="4113" spans="1:14">
      <c r="A4113" s="36" t="s">
        <v>32</v>
      </c>
      <c r="B4113" s="37">
        <v>45291</v>
      </c>
      <c r="C4113" s="36" t="s">
        <v>1332</v>
      </c>
      <c r="D4113" s="36" t="s">
        <v>1867</v>
      </c>
      <c r="E4113" s="36" t="s">
        <v>76</v>
      </c>
      <c r="G4113" s="87">
        <v>27810000</v>
      </c>
      <c r="H4113" s="87">
        <v>2781000</v>
      </c>
      <c r="I4113" s="87">
        <v>30591000</v>
      </c>
      <c r="K4113" s="85">
        <v>2023</v>
      </c>
      <c r="L4113" s="85">
        <v>12</v>
      </c>
      <c r="N4113" s="1" t="s">
        <v>44</v>
      </c>
    </row>
    <row r="4114" spans="1:14">
      <c r="A4114" s="36" t="s">
        <v>32</v>
      </c>
      <c r="B4114" s="37">
        <v>45291</v>
      </c>
      <c r="C4114" s="36" t="s">
        <v>1332</v>
      </c>
      <c r="D4114" s="36" t="s">
        <v>1868</v>
      </c>
      <c r="E4114" s="36" t="s">
        <v>76</v>
      </c>
      <c r="G4114" s="87">
        <v>5040000</v>
      </c>
      <c r="H4114" s="87">
        <v>504000</v>
      </c>
      <c r="I4114" s="87">
        <v>5544000</v>
      </c>
      <c r="K4114" s="85">
        <v>2023</v>
      </c>
      <c r="L4114" s="85">
        <v>12</v>
      </c>
      <c r="N4114" s="1" t="s">
        <v>44</v>
      </c>
    </row>
    <row r="4115" spans="1:14">
      <c r="A4115" s="36" t="s">
        <v>32</v>
      </c>
      <c r="B4115" s="37">
        <v>45291</v>
      </c>
      <c r="C4115" s="36" t="s">
        <v>204</v>
      </c>
      <c r="D4115" s="36" t="s">
        <v>1273</v>
      </c>
      <c r="E4115" s="36" t="s">
        <v>78</v>
      </c>
      <c r="G4115" s="87">
        <v>30539200</v>
      </c>
      <c r="H4115" s="87">
        <v>3053920</v>
      </c>
      <c r="I4115" s="87">
        <v>33593120</v>
      </c>
      <c r="K4115" s="85">
        <v>2023</v>
      </c>
      <c r="L4115" s="85">
        <v>12</v>
      </c>
      <c r="N4115" s="1" t="s">
        <v>44</v>
      </c>
    </row>
    <row r="4116" spans="1:14">
      <c r="A4116" s="36" t="s">
        <v>32</v>
      </c>
      <c r="B4116" s="37">
        <v>45291</v>
      </c>
      <c r="C4116" s="36" t="s">
        <v>1810</v>
      </c>
      <c r="D4116" s="36" t="s">
        <v>1826</v>
      </c>
      <c r="E4116" s="36" t="s">
        <v>1876</v>
      </c>
      <c r="G4116" s="87">
        <v>99500900</v>
      </c>
      <c r="H4116" s="87">
        <v>9950090</v>
      </c>
      <c r="I4116" s="87">
        <v>109450990</v>
      </c>
      <c r="K4116" s="85">
        <v>2023</v>
      </c>
      <c r="L4116" s="85">
        <v>12</v>
      </c>
      <c r="N4116" s="1" t="s">
        <v>44</v>
      </c>
    </row>
    <row r="4117" spans="1:14">
      <c r="A4117" s="36" t="s">
        <v>32</v>
      </c>
      <c r="B4117" s="37">
        <v>45291</v>
      </c>
      <c r="C4117" s="36" t="s">
        <v>1470</v>
      </c>
      <c r="D4117" s="36" t="s">
        <v>1821</v>
      </c>
      <c r="E4117" s="36" t="s">
        <v>76</v>
      </c>
      <c r="G4117" s="87">
        <v>14446100</v>
      </c>
      <c r="H4117" s="87">
        <v>1444610</v>
      </c>
      <c r="I4117" s="87">
        <v>15890710</v>
      </c>
      <c r="K4117" s="85">
        <v>2023</v>
      </c>
      <c r="L4117" s="85">
        <v>12</v>
      </c>
      <c r="N4117" s="1" t="s">
        <v>44</v>
      </c>
    </row>
    <row r="4118" spans="1:14">
      <c r="A4118" s="36" t="s">
        <v>33</v>
      </c>
      <c r="B4118" s="37">
        <v>45291</v>
      </c>
      <c r="C4118" s="36" t="s">
        <v>1842</v>
      </c>
      <c r="D4118" s="36" t="s">
        <v>1917</v>
      </c>
      <c r="E4118" s="36" t="s">
        <v>1843</v>
      </c>
      <c r="G4118" s="87">
        <v>7865455</v>
      </c>
      <c r="H4118" s="87">
        <v>786545</v>
      </c>
      <c r="I4118" s="87">
        <v>8652000</v>
      </c>
      <c r="K4118" s="85">
        <v>2023</v>
      </c>
      <c r="L4118" s="85">
        <v>12</v>
      </c>
      <c r="N4118" s="1" t="s">
        <v>44</v>
      </c>
    </row>
    <row r="4119" spans="1:14">
      <c r="A4119" s="36" t="s">
        <v>32</v>
      </c>
      <c r="B4119" s="37">
        <v>45291</v>
      </c>
      <c r="C4119" s="36" t="s">
        <v>1467</v>
      </c>
      <c r="D4119" s="36" t="s">
        <v>1749</v>
      </c>
      <c r="E4119" s="36" t="s">
        <v>1877</v>
      </c>
      <c r="G4119" s="87">
        <v>5670800</v>
      </c>
      <c r="H4119" s="87">
        <v>567080</v>
      </c>
      <c r="I4119" s="87">
        <v>6237880</v>
      </c>
      <c r="K4119" s="85">
        <v>2023</v>
      </c>
      <c r="L4119" s="85">
        <v>12</v>
      </c>
      <c r="N4119" s="1" t="s">
        <v>44</v>
      </c>
    </row>
    <row r="4120" spans="1:14">
      <c r="A4120" s="36" t="s">
        <v>32</v>
      </c>
      <c r="B4120" s="37">
        <v>45291</v>
      </c>
      <c r="C4120" s="36" t="s">
        <v>1467</v>
      </c>
      <c r="D4120" s="36" t="s">
        <v>1814</v>
      </c>
      <c r="E4120" s="36" t="s">
        <v>76</v>
      </c>
      <c r="G4120" s="87">
        <v>25144000</v>
      </c>
      <c r="H4120" s="87">
        <v>2514400</v>
      </c>
      <c r="I4120" s="87">
        <v>27658400</v>
      </c>
      <c r="K4120" s="85">
        <v>2023</v>
      </c>
      <c r="L4120" s="85">
        <v>12</v>
      </c>
      <c r="N4120" s="1" t="s">
        <v>44</v>
      </c>
    </row>
    <row r="4121" spans="1:14">
      <c r="A4121" s="36" t="s">
        <v>32</v>
      </c>
      <c r="B4121" s="37">
        <v>45291</v>
      </c>
      <c r="C4121" s="36" t="s">
        <v>1467</v>
      </c>
      <c r="D4121" s="36" t="s">
        <v>1869</v>
      </c>
      <c r="E4121" s="36" t="s">
        <v>78</v>
      </c>
      <c r="G4121" s="87">
        <v>923400</v>
      </c>
      <c r="H4121" s="87">
        <v>92340</v>
      </c>
      <c r="I4121" s="87">
        <v>1015740</v>
      </c>
      <c r="K4121" s="85">
        <v>2023</v>
      </c>
      <c r="L4121" s="85">
        <v>12</v>
      </c>
      <c r="N4121" s="1" t="s">
        <v>44</v>
      </c>
    </row>
    <row r="4122" spans="1:14">
      <c r="A4122" s="36" t="s">
        <v>32</v>
      </c>
      <c r="B4122" s="37">
        <v>45291</v>
      </c>
      <c r="C4122" s="36" t="s">
        <v>1662</v>
      </c>
      <c r="D4122" s="36" t="s">
        <v>1819</v>
      </c>
      <c r="E4122" s="36" t="s">
        <v>78</v>
      </c>
      <c r="G4122" s="87">
        <v>3000000</v>
      </c>
      <c r="H4122" s="87">
        <v>300000</v>
      </c>
      <c r="I4122" s="87">
        <v>3300000</v>
      </c>
      <c r="K4122" s="85">
        <v>2023</v>
      </c>
      <c r="L4122" s="85">
        <v>12</v>
      </c>
      <c r="N4122" s="1" t="s">
        <v>44</v>
      </c>
    </row>
    <row r="4123" spans="1:14">
      <c r="A4123" s="36" t="s">
        <v>32</v>
      </c>
      <c r="B4123" s="37">
        <v>45291</v>
      </c>
      <c r="C4123" s="36" t="s">
        <v>552</v>
      </c>
      <c r="D4123" s="36" t="s">
        <v>1820</v>
      </c>
      <c r="E4123" s="36" t="s">
        <v>76</v>
      </c>
      <c r="G4123" s="87">
        <v>18844600</v>
      </c>
      <c r="H4123" s="87">
        <v>1884460</v>
      </c>
      <c r="I4123" s="87">
        <v>20729060</v>
      </c>
      <c r="K4123" s="85">
        <v>2023</v>
      </c>
      <c r="L4123" s="85">
        <v>12</v>
      </c>
      <c r="N4123" s="1" t="s">
        <v>44</v>
      </c>
    </row>
    <row r="4124" spans="1:14">
      <c r="A4124" s="36" t="s">
        <v>32</v>
      </c>
      <c r="B4124" s="37">
        <v>45291</v>
      </c>
      <c r="C4124" s="36" t="s">
        <v>1218</v>
      </c>
      <c r="D4124" s="36" t="s">
        <v>1871</v>
      </c>
      <c r="E4124" s="36" t="s">
        <v>76</v>
      </c>
      <c r="G4124" s="87">
        <v>5320000</v>
      </c>
      <c r="H4124" s="87">
        <v>532000</v>
      </c>
      <c r="I4124" s="87">
        <v>5852000</v>
      </c>
      <c r="K4124" s="85">
        <v>2023</v>
      </c>
      <c r="L4124" s="85">
        <v>12</v>
      </c>
      <c r="N4124" s="1" t="s">
        <v>44</v>
      </c>
    </row>
    <row r="4125" spans="1:14">
      <c r="A4125" s="36" t="s">
        <v>33</v>
      </c>
      <c r="B4125" s="37">
        <v>45291</v>
      </c>
      <c r="C4125" s="36" t="s">
        <v>1853</v>
      </c>
      <c r="D4125" s="36" t="s">
        <v>1854</v>
      </c>
      <c r="E4125" s="36" t="s">
        <v>642</v>
      </c>
      <c r="G4125" s="87">
        <v>585200</v>
      </c>
      <c r="H4125" s="87">
        <v>58520</v>
      </c>
      <c r="I4125" s="87">
        <v>643720</v>
      </c>
      <c r="K4125" s="85">
        <v>2023</v>
      </c>
      <c r="L4125" s="85">
        <v>12</v>
      </c>
      <c r="N4125" s="1" t="s">
        <v>44</v>
      </c>
    </row>
    <row r="4126" spans="1:14">
      <c r="A4126" s="36" t="s">
        <v>33</v>
      </c>
      <c r="B4126" s="37">
        <v>45291</v>
      </c>
      <c r="C4126" s="36" t="s">
        <v>1569</v>
      </c>
      <c r="D4126" s="36" t="s">
        <v>1412</v>
      </c>
      <c r="E4126" s="36" t="s">
        <v>1851</v>
      </c>
      <c r="G4126" s="87">
        <v>42739900</v>
      </c>
      <c r="H4126" s="87">
        <v>4273990</v>
      </c>
      <c r="I4126" s="87">
        <v>47013890</v>
      </c>
      <c r="K4126" s="85">
        <v>2023</v>
      </c>
      <c r="L4126" s="85">
        <v>12</v>
      </c>
      <c r="N4126" s="1" t="s">
        <v>44</v>
      </c>
    </row>
    <row r="4127" spans="1:14">
      <c r="A4127" s="36" t="s">
        <v>32</v>
      </c>
      <c r="B4127" s="37">
        <v>45291</v>
      </c>
      <c r="C4127" s="36" t="s">
        <v>1198</v>
      </c>
      <c r="D4127" s="36" t="s">
        <v>1872</v>
      </c>
      <c r="E4127" s="36" t="s">
        <v>76</v>
      </c>
      <c r="G4127" s="87">
        <v>6906000</v>
      </c>
      <c r="H4127" s="87">
        <v>690600</v>
      </c>
      <c r="I4127" s="87">
        <v>7596600</v>
      </c>
      <c r="K4127" s="85">
        <v>2023</v>
      </c>
      <c r="L4127" s="85">
        <v>12</v>
      </c>
      <c r="N4127" s="1" t="s">
        <v>44</v>
      </c>
    </row>
    <row r="4128" spans="1:14">
      <c r="A4128" s="36" t="s">
        <v>32</v>
      </c>
      <c r="B4128" s="37">
        <v>45291</v>
      </c>
      <c r="C4128" s="36" t="s">
        <v>1198</v>
      </c>
      <c r="D4128" s="36" t="s">
        <v>1811</v>
      </c>
      <c r="E4128" s="36" t="s">
        <v>76</v>
      </c>
      <c r="G4128" s="87">
        <v>7604000</v>
      </c>
      <c r="H4128" s="87">
        <v>760400</v>
      </c>
      <c r="I4128" s="87">
        <v>8364400</v>
      </c>
      <c r="K4128" s="85">
        <v>2023</v>
      </c>
      <c r="L4128" s="85">
        <v>12</v>
      </c>
      <c r="N4128" s="1" t="s">
        <v>44</v>
      </c>
    </row>
    <row r="4129" spans="1:14">
      <c r="A4129" s="36" t="s">
        <v>32</v>
      </c>
      <c r="B4129" s="37">
        <v>45291</v>
      </c>
      <c r="C4129" s="36" t="s">
        <v>1198</v>
      </c>
      <c r="D4129" s="36" t="s">
        <v>1873</v>
      </c>
      <c r="E4129" s="36" t="s">
        <v>76</v>
      </c>
      <c r="G4129" s="87">
        <v>4500000</v>
      </c>
      <c r="H4129" s="87">
        <v>450000</v>
      </c>
      <c r="I4129" s="87">
        <v>4950000</v>
      </c>
      <c r="K4129" s="85">
        <v>2023</v>
      </c>
      <c r="L4129" s="85">
        <v>12</v>
      </c>
      <c r="N4129" s="1" t="s">
        <v>44</v>
      </c>
    </row>
    <row r="4130" spans="1:14">
      <c r="A4130" s="36" t="s">
        <v>32</v>
      </c>
      <c r="B4130" s="37">
        <v>45291</v>
      </c>
      <c r="C4130" s="36" t="s">
        <v>1468</v>
      </c>
      <c r="D4130" s="36" t="s">
        <v>1863</v>
      </c>
      <c r="E4130" s="36" t="s">
        <v>78</v>
      </c>
      <c r="G4130" s="87">
        <v>19069750</v>
      </c>
      <c r="H4130" s="87">
        <v>1906975</v>
      </c>
      <c r="I4130" s="87">
        <v>20976725</v>
      </c>
      <c r="K4130" s="85">
        <v>2023</v>
      </c>
      <c r="L4130" s="85">
        <v>12</v>
      </c>
      <c r="N4130" s="1" t="s">
        <v>44</v>
      </c>
    </row>
    <row r="4131" spans="1:14">
      <c r="A4131" s="36" t="s">
        <v>32</v>
      </c>
      <c r="B4131" s="37">
        <v>45291</v>
      </c>
      <c r="C4131" s="36" t="s">
        <v>1468</v>
      </c>
      <c r="D4131" s="36" t="s">
        <v>1864</v>
      </c>
      <c r="E4131" s="36" t="s">
        <v>78</v>
      </c>
      <c r="G4131" s="87">
        <v>28018982</v>
      </c>
      <c r="H4131" s="87">
        <v>2801898.2</v>
      </c>
      <c r="I4131" s="87">
        <v>30820880.199999999</v>
      </c>
      <c r="K4131" s="85">
        <v>2023</v>
      </c>
      <c r="L4131" s="85">
        <v>12</v>
      </c>
      <c r="N4131" s="1" t="s">
        <v>44</v>
      </c>
    </row>
    <row r="4132" spans="1:14">
      <c r="A4132" s="36" t="s">
        <v>32</v>
      </c>
      <c r="B4132" s="37">
        <v>45291</v>
      </c>
      <c r="C4132" s="36" t="s">
        <v>307</v>
      </c>
      <c r="D4132" s="36" t="s">
        <v>1752</v>
      </c>
      <c r="E4132" s="36" t="s">
        <v>76</v>
      </c>
      <c r="G4132" s="87">
        <v>2559600</v>
      </c>
      <c r="H4132" s="87">
        <v>255960</v>
      </c>
      <c r="I4132" s="87">
        <v>2815560</v>
      </c>
      <c r="K4132" s="85">
        <v>2023</v>
      </c>
      <c r="L4132" s="85">
        <v>12</v>
      </c>
      <c r="N4132" s="1" t="s">
        <v>44</v>
      </c>
    </row>
    <row r="4133" spans="1:14">
      <c r="A4133" s="36" t="s">
        <v>32</v>
      </c>
      <c r="B4133" s="37">
        <v>45291</v>
      </c>
      <c r="C4133" s="36" t="s">
        <v>175</v>
      </c>
      <c r="D4133" s="36" t="s">
        <v>1816</v>
      </c>
      <c r="E4133" s="36" t="s">
        <v>76</v>
      </c>
      <c r="G4133" s="87">
        <v>28642000</v>
      </c>
      <c r="H4133" s="87">
        <v>2864200</v>
      </c>
      <c r="I4133" s="87">
        <v>31506200</v>
      </c>
      <c r="K4133" s="85">
        <v>2023</v>
      </c>
      <c r="L4133" s="85">
        <v>12</v>
      </c>
      <c r="N4133" s="1" t="s">
        <v>44</v>
      </c>
    </row>
    <row r="4134" spans="1:14">
      <c r="A4134" s="36" t="s">
        <v>32</v>
      </c>
      <c r="B4134" s="37">
        <v>45291</v>
      </c>
      <c r="C4134" s="36" t="s">
        <v>1741</v>
      </c>
      <c r="D4134" s="36" t="s">
        <v>1817</v>
      </c>
      <c r="E4134" s="36" t="s">
        <v>76</v>
      </c>
      <c r="G4134" s="87">
        <v>1500000</v>
      </c>
      <c r="H4134" s="87">
        <v>150000</v>
      </c>
      <c r="I4134" s="87">
        <v>1650000</v>
      </c>
      <c r="K4134" s="85">
        <v>2023</v>
      </c>
      <c r="L4134" s="85">
        <v>12</v>
      </c>
      <c r="N4134" s="1" t="s">
        <v>44</v>
      </c>
    </row>
    <row r="4135" spans="1:14">
      <c r="A4135" s="36" t="s">
        <v>32</v>
      </c>
      <c r="B4135" s="37">
        <v>45291</v>
      </c>
      <c r="C4135" s="36" t="s">
        <v>667</v>
      </c>
      <c r="D4135" s="36" t="s">
        <v>1818</v>
      </c>
      <c r="E4135" s="36" t="s">
        <v>78</v>
      </c>
      <c r="G4135" s="87">
        <v>6960800</v>
      </c>
      <c r="H4135" s="87">
        <v>696080</v>
      </c>
      <c r="I4135" s="87">
        <v>7656880</v>
      </c>
      <c r="K4135" s="85">
        <v>2023</v>
      </c>
      <c r="L4135" s="85">
        <v>12</v>
      </c>
      <c r="N4135" s="1" t="s">
        <v>44</v>
      </c>
    </row>
    <row r="4136" spans="1:14">
      <c r="A4136" s="36" t="s">
        <v>33</v>
      </c>
      <c r="B4136" s="37">
        <v>45291</v>
      </c>
      <c r="C4136" s="36" t="s">
        <v>1391</v>
      </c>
      <c r="D4136" s="36" t="s">
        <v>1227</v>
      </c>
      <c r="E4136" s="36" t="s">
        <v>198</v>
      </c>
      <c r="G4136" s="87">
        <v>18963750</v>
      </c>
      <c r="H4136" s="87">
        <v>1896375</v>
      </c>
      <c r="I4136" s="87">
        <v>20860125</v>
      </c>
      <c r="K4136" s="85">
        <v>2023</v>
      </c>
      <c r="L4136" s="85">
        <v>12</v>
      </c>
      <c r="N4136" s="1" t="s">
        <v>44</v>
      </c>
    </row>
    <row r="4137" spans="1:14">
      <c r="A4137" s="36" t="s">
        <v>32</v>
      </c>
      <c r="B4137" s="37">
        <v>45291</v>
      </c>
      <c r="C4137" s="36" t="s">
        <v>1862</v>
      </c>
      <c r="D4137" s="36" t="s">
        <v>1874</v>
      </c>
      <c r="E4137" s="36" t="s">
        <v>76</v>
      </c>
      <c r="G4137" s="87">
        <v>4860000</v>
      </c>
      <c r="H4137" s="87">
        <v>486000</v>
      </c>
      <c r="I4137" s="87">
        <v>5346000</v>
      </c>
      <c r="K4137" s="85">
        <v>2023</v>
      </c>
      <c r="L4137" s="85">
        <v>12</v>
      </c>
      <c r="N4137" s="1" t="s">
        <v>44</v>
      </c>
    </row>
    <row r="4138" spans="1:14">
      <c r="A4138" s="36" t="s">
        <v>33</v>
      </c>
      <c r="B4138" s="37">
        <v>45291</v>
      </c>
      <c r="C4138" s="36" t="s">
        <v>1852</v>
      </c>
      <c r="D4138" s="36" t="s">
        <v>1754</v>
      </c>
      <c r="E4138" s="36" t="s">
        <v>642</v>
      </c>
      <c r="G4138" s="87">
        <v>679000</v>
      </c>
      <c r="H4138" s="87">
        <v>67900</v>
      </c>
      <c r="I4138" s="87">
        <v>746900</v>
      </c>
      <c r="K4138" s="85">
        <v>2023</v>
      </c>
      <c r="L4138" s="85">
        <v>12</v>
      </c>
      <c r="N4138" s="1" t="s">
        <v>44</v>
      </c>
    </row>
    <row r="4139" spans="1:14">
      <c r="A4139" s="36" t="s">
        <v>33</v>
      </c>
      <c r="B4139" s="37">
        <v>45291</v>
      </c>
      <c r="C4139" s="36" t="s">
        <v>1839</v>
      </c>
      <c r="D4139" s="36" t="s">
        <v>1840</v>
      </c>
      <c r="E4139" s="36" t="s">
        <v>1841</v>
      </c>
      <c r="G4139" s="87">
        <v>420000</v>
      </c>
      <c r="H4139" s="87">
        <v>42000</v>
      </c>
      <c r="I4139" s="87">
        <v>462000</v>
      </c>
      <c r="K4139" s="85">
        <v>2023</v>
      </c>
      <c r="L4139" s="85">
        <v>12</v>
      </c>
      <c r="N4139" s="1" t="s">
        <v>44</v>
      </c>
    </row>
    <row r="4140" spans="1:14">
      <c r="A4140" s="36" t="s">
        <v>33</v>
      </c>
      <c r="B4140" s="37">
        <v>45291</v>
      </c>
      <c r="C4140" s="36" t="s">
        <v>1650</v>
      </c>
      <c r="D4140" s="36" t="s">
        <v>790</v>
      </c>
      <c r="E4140" s="36" t="s">
        <v>76</v>
      </c>
      <c r="G4140" s="87">
        <v>3795000</v>
      </c>
      <c r="H4140" s="87">
        <v>379500</v>
      </c>
      <c r="I4140" s="87">
        <v>4174500</v>
      </c>
      <c r="K4140" s="85">
        <v>2023</v>
      </c>
      <c r="L4140" s="85">
        <v>12</v>
      </c>
      <c r="N4140" s="1" t="s">
        <v>44</v>
      </c>
    </row>
    <row r="4141" spans="1:14">
      <c r="A4141" s="36" t="s">
        <v>33</v>
      </c>
      <c r="B4141" s="37">
        <v>45291</v>
      </c>
      <c r="C4141" s="36" t="s">
        <v>1335</v>
      </c>
      <c r="D4141" s="36" t="s">
        <v>1523</v>
      </c>
      <c r="E4141" s="36" t="s">
        <v>267</v>
      </c>
      <c r="G4141" s="87">
        <v>1035000</v>
      </c>
      <c r="H4141" s="87">
        <v>103500</v>
      </c>
      <c r="I4141" s="87">
        <v>1138500</v>
      </c>
      <c r="K4141" s="85">
        <v>2023</v>
      </c>
      <c r="L4141" s="85">
        <v>12</v>
      </c>
      <c r="N4141" s="1" t="s">
        <v>44</v>
      </c>
    </row>
    <row r="4142" spans="1:14">
      <c r="A4142" s="36" t="s">
        <v>32</v>
      </c>
      <c r="B4142" s="37">
        <v>45291</v>
      </c>
      <c r="C4142" s="36" t="s">
        <v>1587</v>
      </c>
      <c r="D4142" s="36" t="s">
        <v>1865</v>
      </c>
      <c r="E4142" s="36" t="s">
        <v>76</v>
      </c>
      <c r="G4142" s="87">
        <v>3034000</v>
      </c>
      <c r="H4142" s="87">
        <v>303400</v>
      </c>
      <c r="I4142" s="87">
        <v>3337400</v>
      </c>
      <c r="K4142" s="85">
        <v>2023</v>
      </c>
      <c r="L4142" s="85">
        <v>12</v>
      </c>
      <c r="N4142" s="1" t="s">
        <v>44</v>
      </c>
    </row>
    <row r="4143" spans="1:14">
      <c r="A4143" s="36" t="s">
        <v>19</v>
      </c>
      <c r="B4143" s="37">
        <v>45291</v>
      </c>
      <c r="C4143" s="36" t="s">
        <v>1844</v>
      </c>
      <c r="D4143" s="36" t="s">
        <v>1845</v>
      </c>
      <c r="E4143" s="36" t="s">
        <v>1846</v>
      </c>
      <c r="G4143" s="87">
        <v>1030909</v>
      </c>
      <c r="H4143" s="87">
        <v>103090.90000000001</v>
      </c>
      <c r="I4143" s="87">
        <v>1133999.8999999999</v>
      </c>
      <c r="K4143" s="85">
        <v>2023</v>
      </c>
      <c r="L4143" s="85">
        <v>12</v>
      </c>
      <c r="N4143" s="1" t="s">
        <v>44</v>
      </c>
    </row>
    <row r="4144" spans="1:14">
      <c r="A4144" s="36" t="s">
        <v>32</v>
      </c>
      <c r="B4144" s="37">
        <v>45293</v>
      </c>
      <c r="C4144" s="36" t="s">
        <v>1895</v>
      </c>
      <c r="D4144" s="36" t="s">
        <v>1900</v>
      </c>
      <c r="E4144" s="36" t="s">
        <v>76</v>
      </c>
      <c r="G4144" s="87">
        <v>500000</v>
      </c>
      <c r="H4144" s="87">
        <v>50000</v>
      </c>
      <c r="I4144" s="87">
        <v>550000</v>
      </c>
      <c r="K4144" s="85">
        <v>2024</v>
      </c>
      <c r="L4144" s="85">
        <v>1</v>
      </c>
      <c r="N4144" s="1" t="s">
        <v>44</v>
      </c>
    </row>
    <row r="4145" spans="1:14">
      <c r="A4145" s="36" t="s">
        <v>32</v>
      </c>
      <c r="B4145" s="37">
        <v>45293</v>
      </c>
      <c r="C4145" s="36" t="s">
        <v>654</v>
      </c>
      <c r="D4145" s="36" t="s">
        <v>1897</v>
      </c>
      <c r="E4145" s="36" t="s">
        <v>1893</v>
      </c>
      <c r="G4145" s="87">
        <v>184505409</v>
      </c>
      <c r="H4145" s="87">
        <v>18450540.900000002</v>
      </c>
      <c r="I4145" s="87">
        <v>202955949.90000001</v>
      </c>
      <c r="K4145" s="85">
        <v>2024</v>
      </c>
      <c r="L4145" s="85">
        <v>1</v>
      </c>
      <c r="N4145" s="1" t="s">
        <v>44</v>
      </c>
    </row>
    <row r="4146" spans="1:14">
      <c r="A4146" s="36" t="s">
        <v>32</v>
      </c>
      <c r="B4146" s="37">
        <v>45293</v>
      </c>
      <c r="C4146" s="36" t="s">
        <v>654</v>
      </c>
      <c r="D4146" s="36" t="s">
        <v>1898</v>
      </c>
      <c r="E4146" s="36" t="s">
        <v>1876</v>
      </c>
      <c r="G4146" s="87">
        <v>201899700</v>
      </c>
      <c r="H4146" s="87">
        <v>20189970</v>
      </c>
      <c r="I4146" s="87">
        <v>222089670</v>
      </c>
      <c r="K4146" s="85">
        <v>2024</v>
      </c>
      <c r="L4146" s="85">
        <v>1</v>
      </c>
      <c r="N4146" s="1" t="s">
        <v>44</v>
      </c>
    </row>
    <row r="4147" spans="1:14">
      <c r="A4147" s="36" t="s">
        <v>32</v>
      </c>
      <c r="B4147" s="37">
        <v>45293</v>
      </c>
      <c r="C4147" s="36" t="s">
        <v>654</v>
      </c>
      <c r="D4147" s="36" t="s">
        <v>1901</v>
      </c>
      <c r="E4147" s="36" t="s">
        <v>76</v>
      </c>
      <c r="G4147" s="87">
        <v>79760440</v>
      </c>
      <c r="H4147" s="87">
        <v>7976044</v>
      </c>
      <c r="I4147" s="87">
        <v>87736484</v>
      </c>
      <c r="K4147" s="85">
        <v>2024</v>
      </c>
      <c r="L4147" s="85">
        <v>1</v>
      </c>
      <c r="N4147" s="1" t="s">
        <v>44</v>
      </c>
    </row>
    <row r="4148" spans="1:14">
      <c r="A4148" s="36" t="s">
        <v>32</v>
      </c>
      <c r="B4148" s="37">
        <v>45293</v>
      </c>
      <c r="C4148" s="36" t="s">
        <v>654</v>
      </c>
      <c r="D4148" s="36" t="s">
        <v>1930</v>
      </c>
      <c r="E4148" s="36" t="s">
        <v>76</v>
      </c>
      <c r="G4148" s="87">
        <v>3523000</v>
      </c>
      <c r="H4148" s="87">
        <v>352300</v>
      </c>
      <c r="I4148" s="87">
        <v>3875300</v>
      </c>
      <c r="K4148" s="85">
        <v>2024</v>
      </c>
      <c r="L4148" s="85">
        <v>1</v>
      </c>
      <c r="N4148" s="1" t="s">
        <v>44</v>
      </c>
    </row>
    <row r="4149" spans="1:14">
      <c r="A4149" s="36" t="s">
        <v>32</v>
      </c>
      <c r="B4149" s="37">
        <v>45293</v>
      </c>
      <c r="C4149" s="36" t="s">
        <v>654</v>
      </c>
      <c r="D4149" s="36" t="s">
        <v>1931</v>
      </c>
      <c r="E4149" s="36" t="s">
        <v>76</v>
      </c>
      <c r="G4149" s="87">
        <v>5800000</v>
      </c>
      <c r="H4149" s="87">
        <v>580000</v>
      </c>
      <c r="I4149" s="87">
        <v>6380000</v>
      </c>
      <c r="K4149" s="85">
        <v>2024</v>
      </c>
      <c r="L4149" s="85">
        <v>1</v>
      </c>
      <c r="N4149" s="1" t="s">
        <v>44</v>
      </c>
    </row>
    <row r="4150" spans="1:14">
      <c r="A4150" s="36" t="s">
        <v>33</v>
      </c>
      <c r="B4150" s="37">
        <v>45293</v>
      </c>
      <c r="C4150" s="36" t="s">
        <v>912</v>
      </c>
      <c r="D4150" s="36" t="s">
        <v>1916</v>
      </c>
      <c r="E4150" s="36" t="s">
        <v>447</v>
      </c>
      <c r="G4150" s="87">
        <v>16295094</v>
      </c>
      <c r="H4150" s="87">
        <v>1629509.4000000001</v>
      </c>
      <c r="I4150" s="87">
        <v>17924603.399999999</v>
      </c>
      <c r="K4150" s="85">
        <v>2024</v>
      </c>
      <c r="L4150" s="85">
        <v>1</v>
      </c>
      <c r="N4150" s="1" t="s">
        <v>44</v>
      </c>
    </row>
    <row r="4151" spans="1:14">
      <c r="A4151" s="36" t="s">
        <v>33</v>
      </c>
      <c r="B4151" s="37">
        <v>45294</v>
      </c>
      <c r="C4151" s="36" t="s">
        <v>580</v>
      </c>
      <c r="D4151" s="36" t="s">
        <v>581</v>
      </c>
      <c r="E4151" s="36" t="s">
        <v>148</v>
      </c>
      <c r="J4151" s="87">
        <v>1444999.6</v>
      </c>
      <c r="K4151" s="85">
        <v>2023</v>
      </c>
      <c r="L4151" s="85">
        <v>12</v>
      </c>
      <c r="N4151" s="1" t="s">
        <v>44</v>
      </c>
    </row>
    <row r="4152" spans="1:14">
      <c r="A4152" s="36" t="s">
        <v>32</v>
      </c>
      <c r="B4152" s="37">
        <v>45295</v>
      </c>
      <c r="C4152" s="36" t="s">
        <v>1467</v>
      </c>
      <c r="D4152" s="36" t="s">
        <v>1749</v>
      </c>
      <c r="E4152" s="36" t="s">
        <v>148</v>
      </c>
      <c r="J4152" s="87">
        <v>6237880</v>
      </c>
      <c r="K4152" s="85">
        <v>2023</v>
      </c>
      <c r="L4152" s="85">
        <v>12</v>
      </c>
      <c r="N4152" s="1" t="s">
        <v>44</v>
      </c>
    </row>
    <row r="4153" spans="1:14">
      <c r="A4153" s="36" t="s">
        <v>32</v>
      </c>
      <c r="B4153" s="37">
        <v>45295</v>
      </c>
      <c r="C4153" s="36" t="s">
        <v>206</v>
      </c>
      <c r="D4153" s="36" t="s">
        <v>1823</v>
      </c>
      <c r="E4153" s="36" t="s">
        <v>148</v>
      </c>
      <c r="J4153" s="87">
        <v>1039500</v>
      </c>
      <c r="K4153" s="85">
        <v>2023</v>
      </c>
      <c r="L4153" s="85">
        <v>11</v>
      </c>
      <c r="N4153" s="1" t="s">
        <v>44</v>
      </c>
    </row>
    <row r="4154" spans="1:14">
      <c r="A4154" s="36" t="s">
        <v>32</v>
      </c>
      <c r="B4154" s="37">
        <v>45295</v>
      </c>
      <c r="C4154" s="36" t="s">
        <v>175</v>
      </c>
      <c r="D4154" s="36" t="s">
        <v>1816</v>
      </c>
      <c r="E4154" s="36" t="s">
        <v>148</v>
      </c>
      <c r="J4154" s="87">
        <v>3960000</v>
      </c>
      <c r="K4154" s="85">
        <v>2023</v>
      </c>
      <c r="L4154" s="85">
        <v>11</v>
      </c>
      <c r="N4154" s="1" t="s">
        <v>44</v>
      </c>
    </row>
    <row r="4155" spans="1:14">
      <c r="A4155" s="36" t="s">
        <v>32</v>
      </c>
      <c r="B4155" s="37">
        <v>45295</v>
      </c>
      <c r="C4155" s="36" t="s">
        <v>654</v>
      </c>
      <c r="D4155" s="36" t="s">
        <v>1838</v>
      </c>
      <c r="E4155" s="36" t="s">
        <v>148</v>
      </c>
      <c r="J4155" s="87">
        <v>4869700</v>
      </c>
      <c r="K4155" s="85">
        <v>2023</v>
      </c>
      <c r="L4155" s="85">
        <v>11</v>
      </c>
      <c r="N4155" s="1" t="s">
        <v>44</v>
      </c>
    </row>
    <row r="4156" spans="1:14">
      <c r="A4156" s="36" t="s">
        <v>32</v>
      </c>
      <c r="B4156" s="37">
        <v>45295</v>
      </c>
      <c r="C4156" s="36" t="s">
        <v>654</v>
      </c>
      <c r="D4156" s="36" t="s">
        <v>1672</v>
      </c>
      <c r="E4156" s="36" t="s">
        <v>148</v>
      </c>
      <c r="J4156" s="87">
        <v>13054800</v>
      </c>
      <c r="K4156" s="85">
        <v>2023</v>
      </c>
      <c r="L4156" s="85">
        <v>11</v>
      </c>
      <c r="N4156" s="1" t="s">
        <v>44</v>
      </c>
    </row>
    <row r="4157" spans="1:14">
      <c r="A4157" s="36" t="s">
        <v>32</v>
      </c>
      <c r="B4157" s="37">
        <v>45295</v>
      </c>
      <c r="C4157" s="36" t="s">
        <v>654</v>
      </c>
      <c r="D4157" s="36" t="s">
        <v>1673</v>
      </c>
      <c r="E4157" s="36" t="s">
        <v>148</v>
      </c>
      <c r="J4157" s="87">
        <v>70498060</v>
      </c>
      <c r="K4157" s="85">
        <v>2023</v>
      </c>
      <c r="L4157" s="85">
        <v>12</v>
      </c>
      <c r="N4157" s="1" t="s">
        <v>44</v>
      </c>
    </row>
    <row r="4158" spans="1:14">
      <c r="A4158" s="36" t="s">
        <v>33</v>
      </c>
      <c r="B4158" s="37">
        <v>45296</v>
      </c>
      <c r="C4158" s="36" t="s">
        <v>1569</v>
      </c>
      <c r="D4158" s="36" t="s">
        <v>1412</v>
      </c>
      <c r="E4158" s="36" t="s">
        <v>148</v>
      </c>
      <c r="J4158" s="87">
        <v>19559760</v>
      </c>
      <c r="K4158" s="85">
        <v>2023</v>
      </c>
      <c r="L4158" s="85">
        <v>10</v>
      </c>
      <c r="N4158" s="1" t="s">
        <v>44</v>
      </c>
    </row>
    <row r="4159" spans="1:14">
      <c r="A4159" s="36" t="s">
        <v>33</v>
      </c>
      <c r="B4159" s="37">
        <v>45296</v>
      </c>
      <c r="C4159" s="36" t="s">
        <v>1391</v>
      </c>
      <c r="D4159" s="36" t="s">
        <v>1227</v>
      </c>
      <c r="E4159" s="36" t="s">
        <v>148</v>
      </c>
      <c r="J4159" s="87">
        <v>17278800</v>
      </c>
      <c r="K4159" s="85">
        <v>2023</v>
      </c>
      <c r="L4159" s="85">
        <v>10</v>
      </c>
      <c r="N4159" s="1" t="s">
        <v>44</v>
      </c>
    </row>
    <row r="4160" spans="1:14">
      <c r="A4160" s="36" t="s">
        <v>33</v>
      </c>
      <c r="B4160" s="37">
        <v>45296</v>
      </c>
      <c r="C4160" s="36" t="s">
        <v>1839</v>
      </c>
      <c r="D4160" s="36" t="s">
        <v>1840</v>
      </c>
      <c r="E4160" s="36" t="s">
        <v>148</v>
      </c>
      <c r="J4160" s="87">
        <v>462000</v>
      </c>
      <c r="K4160" s="85">
        <v>2023</v>
      </c>
      <c r="L4160" s="85">
        <v>12</v>
      </c>
      <c r="N4160" s="1" t="s">
        <v>44</v>
      </c>
    </row>
    <row r="4161" spans="1:14">
      <c r="A4161" s="36" t="s">
        <v>19</v>
      </c>
      <c r="B4161" s="37">
        <v>45296</v>
      </c>
      <c r="C4161" s="36" t="s">
        <v>1844</v>
      </c>
      <c r="D4161" s="36" t="s">
        <v>1845</v>
      </c>
      <c r="E4161" s="36" t="s">
        <v>148</v>
      </c>
      <c r="J4161" s="87">
        <v>1133999.8999999999</v>
      </c>
      <c r="K4161" s="85">
        <v>2023</v>
      </c>
      <c r="L4161" s="85">
        <v>12</v>
      </c>
      <c r="N4161" s="1" t="s">
        <v>44</v>
      </c>
    </row>
    <row r="4162" spans="1:14">
      <c r="A4162" s="36" t="s">
        <v>32</v>
      </c>
      <c r="B4162" s="37">
        <v>45299</v>
      </c>
      <c r="C4162" s="36" t="s">
        <v>1198</v>
      </c>
      <c r="D4162" s="36" t="s">
        <v>1812</v>
      </c>
      <c r="E4162" s="36" t="s">
        <v>148</v>
      </c>
      <c r="J4162" s="87">
        <v>9248140</v>
      </c>
      <c r="K4162" s="85">
        <v>2023</v>
      </c>
      <c r="L4162" s="85">
        <v>11</v>
      </c>
      <c r="N4162" s="1" t="s">
        <v>44</v>
      </c>
    </row>
    <row r="4163" spans="1:14">
      <c r="A4163" s="36" t="s">
        <v>32</v>
      </c>
      <c r="B4163" s="37">
        <v>45299</v>
      </c>
      <c r="C4163" s="36" t="s">
        <v>1198</v>
      </c>
      <c r="D4163" s="36" t="s">
        <v>1873</v>
      </c>
      <c r="E4163" s="36" t="s">
        <v>148</v>
      </c>
      <c r="J4163" s="87">
        <v>4950000</v>
      </c>
      <c r="K4163" s="85">
        <v>2023</v>
      </c>
      <c r="L4163" s="85">
        <v>12</v>
      </c>
      <c r="N4163" s="1" t="s">
        <v>44</v>
      </c>
    </row>
    <row r="4164" spans="1:14">
      <c r="A4164" s="36" t="s">
        <v>32</v>
      </c>
      <c r="B4164" s="37">
        <v>45299</v>
      </c>
      <c r="C4164" s="36" t="s">
        <v>1894</v>
      </c>
      <c r="D4164" s="36" t="s">
        <v>1896</v>
      </c>
      <c r="E4164" s="36" t="s">
        <v>76</v>
      </c>
      <c r="G4164" s="87">
        <v>1363636</v>
      </c>
      <c r="H4164" s="87">
        <v>136363.6</v>
      </c>
      <c r="I4164" s="87">
        <v>1499999.6</v>
      </c>
      <c r="K4164" s="85">
        <v>2024</v>
      </c>
      <c r="L4164" s="85">
        <v>1</v>
      </c>
      <c r="N4164" s="1" t="s">
        <v>44</v>
      </c>
    </row>
    <row r="4165" spans="1:14">
      <c r="A4165" s="36" t="s">
        <v>32</v>
      </c>
      <c r="B4165" s="37">
        <v>45300</v>
      </c>
      <c r="C4165" s="36" t="s">
        <v>1894</v>
      </c>
      <c r="D4165" s="36" t="s">
        <v>1896</v>
      </c>
      <c r="E4165" s="36" t="s">
        <v>77</v>
      </c>
      <c r="J4165" s="38">
        <v>1500000</v>
      </c>
      <c r="K4165" s="85">
        <v>2024</v>
      </c>
      <c r="L4165" s="85">
        <v>1</v>
      </c>
      <c r="N4165" s="1" t="s">
        <v>44</v>
      </c>
    </row>
    <row r="4166" spans="1:14">
      <c r="A4166" s="36" t="s">
        <v>32</v>
      </c>
      <c r="B4166" s="37">
        <v>45301</v>
      </c>
      <c r="C4166" s="36" t="s">
        <v>209</v>
      </c>
      <c r="D4166" s="36" t="s">
        <v>1866</v>
      </c>
      <c r="E4166" s="36" t="s">
        <v>148</v>
      </c>
      <c r="J4166" s="87">
        <v>9003720</v>
      </c>
      <c r="K4166" s="85">
        <v>2023</v>
      </c>
      <c r="L4166" s="85">
        <v>12</v>
      </c>
      <c r="N4166" s="1" t="s">
        <v>44</v>
      </c>
    </row>
    <row r="4167" spans="1:14">
      <c r="A4167" s="36" t="s">
        <v>32</v>
      </c>
      <c r="B4167" s="37">
        <v>45301</v>
      </c>
      <c r="C4167" s="36" t="s">
        <v>1467</v>
      </c>
      <c r="D4167" s="36" t="s">
        <v>1813</v>
      </c>
      <c r="E4167" s="36" t="s">
        <v>148</v>
      </c>
      <c r="J4167" s="87">
        <v>3385800</v>
      </c>
      <c r="K4167" s="85">
        <v>2023</v>
      </c>
      <c r="L4167" s="85">
        <v>11</v>
      </c>
      <c r="M4167" s="36" t="s">
        <v>1884</v>
      </c>
      <c r="N4167" s="1" t="s">
        <v>44</v>
      </c>
    </row>
    <row r="4168" spans="1:14">
      <c r="A4168" s="36" t="s">
        <v>32</v>
      </c>
      <c r="B4168" s="37">
        <v>45301</v>
      </c>
      <c r="C4168" s="36" t="s">
        <v>1467</v>
      </c>
      <c r="D4168" s="36" t="s">
        <v>1750</v>
      </c>
      <c r="E4168" s="36" t="s">
        <v>148</v>
      </c>
      <c r="J4168" s="87">
        <v>25361710</v>
      </c>
      <c r="K4168" s="85">
        <v>2023</v>
      </c>
      <c r="L4168" s="85">
        <v>11</v>
      </c>
      <c r="N4168" s="1" t="s">
        <v>44</v>
      </c>
    </row>
    <row r="4169" spans="1:14">
      <c r="A4169" s="36" t="s">
        <v>32</v>
      </c>
      <c r="B4169" s="37">
        <v>45301</v>
      </c>
      <c r="C4169" s="36" t="s">
        <v>1467</v>
      </c>
      <c r="D4169" s="36" t="s">
        <v>1814</v>
      </c>
      <c r="E4169" s="36" t="s">
        <v>148</v>
      </c>
      <c r="J4169" s="87">
        <v>27831100</v>
      </c>
      <c r="K4169" s="85">
        <v>2023</v>
      </c>
      <c r="L4169" s="85">
        <v>11</v>
      </c>
      <c r="N4169" s="1" t="s">
        <v>44</v>
      </c>
    </row>
    <row r="4170" spans="1:14">
      <c r="A4170" s="36" t="s">
        <v>32</v>
      </c>
      <c r="B4170" s="37">
        <v>45301</v>
      </c>
      <c r="C4170" s="36" t="s">
        <v>1218</v>
      </c>
      <c r="D4170" s="36" t="s">
        <v>1871</v>
      </c>
      <c r="E4170" s="36" t="s">
        <v>148</v>
      </c>
      <c r="J4170" s="87">
        <v>5852000</v>
      </c>
      <c r="K4170" s="85">
        <v>2023</v>
      </c>
      <c r="L4170" s="85">
        <v>12</v>
      </c>
      <c r="N4170" s="1" t="s">
        <v>44</v>
      </c>
    </row>
    <row r="4171" spans="1:14">
      <c r="A4171" s="36" t="s">
        <v>33</v>
      </c>
      <c r="B4171" s="37">
        <v>45301</v>
      </c>
      <c r="C4171" s="36" t="s">
        <v>1853</v>
      </c>
      <c r="D4171" s="36" t="s">
        <v>1854</v>
      </c>
      <c r="E4171" s="36" t="s">
        <v>148</v>
      </c>
      <c r="J4171" s="87">
        <v>585200</v>
      </c>
      <c r="K4171" s="85">
        <v>2023</v>
      </c>
      <c r="L4171" s="85">
        <v>10</v>
      </c>
      <c r="N4171" s="1" t="s">
        <v>44</v>
      </c>
    </row>
    <row r="4172" spans="1:14">
      <c r="A4172" s="36" t="s">
        <v>32</v>
      </c>
      <c r="B4172" s="37">
        <v>45301</v>
      </c>
      <c r="C4172" s="36" t="s">
        <v>288</v>
      </c>
      <c r="D4172" s="36" t="s">
        <v>1414</v>
      </c>
      <c r="E4172" s="36" t="s">
        <v>148</v>
      </c>
      <c r="J4172" s="87">
        <v>43259040</v>
      </c>
      <c r="K4172" s="85">
        <v>2023</v>
      </c>
      <c r="L4172" s="85">
        <v>10</v>
      </c>
      <c r="N4172" s="1" t="s">
        <v>44</v>
      </c>
    </row>
    <row r="4173" spans="1:14">
      <c r="A4173" s="36" t="s">
        <v>32</v>
      </c>
      <c r="B4173" s="37">
        <v>45302</v>
      </c>
      <c r="C4173" s="36" t="s">
        <v>209</v>
      </c>
      <c r="D4173" s="36" t="s">
        <v>2035</v>
      </c>
      <c r="E4173" s="36" t="s">
        <v>148</v>
      </c>
      <c r="J4173" s="87">
        <v>183722000</v>
      </c>
      <c r="K4173" s="85">
        <v>2023</v>
      </c>
      <c r="L4173" s="85">
        <v>12</v>
      </c>
      <c r="N4173" s="1" t="s">
        <v>44</v>
      </c>
    </row>
    <row r="4174" spans="1:14">
      <c r="A4174" s="36" t="s">
        <v>33</v>
      </c>
      <c r="B4174" s="37">
        <v>45303</v>
      </c>
      <c r="C4174" s="36" t="s">
        <v>1393</v>
      </c>
      <c r="D4174" s="36" t="s">
        <v>1414</v>
      </c>
      <c r="E4174" s="36" t="s">
        <v>447</v>
      </c>
      <c r="G4174" s="87">
        <v>1400000</v>
      </c>
      <c r="H4174" s="87">
        <v>140000</v>
      </c>
      <c r="I4174" s="87">
        <v>1540000</v>
      </c>
      <c r="K4174" s="85">
        <v>2024</v>
      </c>
      <c r="L4174" s="85">
        <v>1</v>
      </c>
      <c r="N4174" s="1" t="s">
        <v>44</v>
      </c>
    </row>
    <row r="4175" spans="1:14">
      <c r="A4175" s="36" t="s">
        <v>33</v>
      </c>
      <c r="B4175" s="37">
        <v>45303</v>
      </c>
      <c r="C4175" s="36" t="s">
        <v>1886</v>
      </c>
      <c r="D4175" s="36" t="s">
        <v>1888</v>
      </c>
      <c r="E4175" s="36" t="s">
        <v>1887</v>
      </c>
      <c r="G4175" s="87">
        <v>10000000</v>
      </c>
      <c r="H4175" s="87">
        <v>1000000</v>
      </c>
      <c r="I4175" s="87">
        <v>11000000</v>
      </c>
      <c r="K4175" s="85">
        <v>2024</v>
      </c>
      <c r="L4175" s="85">
        <v>1</v>
      </c>
      <c r="N4175" s="1" t="s">
        <v>44</v>
      </c>
    </row>
    <row r="4176" spans="1:14">
      <c r="A4176" s="36" t="s">
        <v>33</v>
      </c>
      <c r="B4176" s="37">
        <v>45306</v>
      </c>
      <c r="C4176" s="36" t="s">
        <v>1266</v>
      </c>
      <c r="D4176" s="36" t="s">
        <v>1277</v>
      </c>
      <c r="E4176" s="36" t="s">
        <v>148</v>
      </c>
      <c r="J4176" s="87">
        <v>11258500</v>
      </c>
      <c r="K4176" s="85">
        <v>2023</v>
      </c>
      <c r="L4176" s="85">
        <v>12</v>
      </c>
      <c r="N4176" s="1" t="s">
        <v>44</v>
      </c>
    </row>
    <row r="4177" spans="1:14">
      <c r="A4177" s="36" t="s">
        <v>32</v>
      </c>
      <c r="B4177" s="37">
        <v>45306</v>
      </c>
      <c r="C4177" s="36" t="s">
        <v>1332</v>
      </c>
      <c r="D4177" s="36" t="s">
        <v>1868</v>
      </c>
      <c r="E4177" s="36" t="s">
        <v>148</v>
      </c>
      <c r="J4177" s="87">
        <v>5544000</v>
      </c>
      <c r="K4177" s="85">
        <v>2023</v>
      </c>
      <c r="L4177" s="85">
        <v>12</v>
      </c>
      <c r="N4177" s="1" t="s">
        <v>44</v>
      </c>
    </row>
    <row r="4178" spans="1:14">
      <c r="A4178" s="36" t="s">
        <v>32</v>
      </c>
      <c r="B4178" s="37">
        <v>45306</v>
      </c>
      <c r="C4178" s="36" t="s">
        <v>1895</v>
      </c>
      <c r="D4178" s="36" t="s">
        <v>1900</v>
      </c>
      <c r="E4178" s="36" t="s">
        <v>77</v>
      </c>
      <c r="J4178" s="38">
        <v>550000</v>
      </c>
      <c r="K4178" s="85">
        <v>2024</v>
      </c>
      <c r="L4178" s="85">
        <v>1</v>
      </c>
      <c r="N4178" s="1" t="s">
        <v>44</v>
      </c>
    </row>
    <row r="4179" spans="1:14">
      <c r="A4179" s="36" t="s">
        <v>33</v>
      </c>
      <c r="B4179" s="37">
        <v>45306</v>
      </c>
      <c r="C4179" s="36" t="s">
        <v>1853</v>
      </c>
      <c r="D4179" s="36" t="s">
        <v>1854</v>
      </c>
      <c r="E4179" s="36" t="s">
        <v>148</v>
      </c>
      <c r="J4179" s="87">
        <v>1794100</v>
      </c>
      <c r="K4179" s="85">
        <v>2023</v>
      </c>
      <c r="L4179" s="85">
        <v>11</v>
      </c>
      <c r="N4179" s="1" t="s">
        <v>44</v>
      </c>
    </row>
    <row r="4180" spans="1:14">
      <c r="A4180" s="36" t="s">
        <v>33</v>
      </c>
      <c r="B4180" s="37">
        <v>45306</v>
      </c>
      <c r="C4180" s="36" t="s">
        <v>1393</v>
      </c>
      <c r="D4180" s="36" t="s">
        <v>1414</v>
      </c>
      <c r="E4180" s="36" t="s">
        <v>77</v>
      </c>
      <c r="J4180" s="38">
        <v>1540000</v>
      </c>
      <c r="K4180" s="85">
        <v>2024</v>
      </c>
      <c r="L4180" s="85">
        <v>1</v>
      </c>
      <c r="N4180" s="1" t="s">
        <v>44</v>
      </c>
    </row>
    <row r="4181" spans="1:14">
      <c r="A4181" s="36" t="s">
        <v>32</v>
      </c>
      <c r="B4181" s="37">
        <v>45306</v>
      </c>
      <c r="C4181" s="36" t="s">
        <v>1462</v>
      </c>
      <c r="D4181" s="36" t="s">
        <v>1471</v>
      </c>
      <c r="E4181" s="36" t="s">
        <v>148</v>
      </c>
      <c r="J4181" s="38">
        <v>5000000</v>
      </c>
      <c r="K4181" s="85">
        <v>2023</v>
      </c>
      <c r="L4181" s="85">
        <v>6</v>
      </c>
      <c r="N4181" s="1" t="s">
        <v>44</v>
      </c>
    </row>
    <row r="4182" spans="1:14">
      <c r="A4182" s="36" t="s">
        <v>33</v>
      </c>
      <c r="B4182" s="37">
        <v>45306</v>
      </c>
      <c r="C4182" s="36" t="s">
        <v>1650</v>
      </c>
      <c r="D4182" s="36" t="s">
        <v>790</v>
      </c>
      <c r="E4182" s="36" t="s">
        <v>148</v>
      </c>
      <c r="J4182" s="87">
        <v>4174500</v>
      </c>
      <c r="K4182" s="85">
        <v>2023</v>
      </c>
      <c r="L4182" s="85">
        <v>12</v>
      </c>
      <c r="N4182" s="1" t="s">
        <v>44</v>
      </c>
    </row>
    <row r="4183" spans="1:14">
      <c r="A4183" s="36" t="s">
        <v>33</v>
      </c>
      <c r="B4183" s="37">
        <v>45306</v>
      </c>
      <c r="C4183" s="36" t="s">
        <v>1335</v>
      </c>
      <c r="D4183" s="36" t="s">
        <v>1523</v>
      </c>
      <c r="E4183" s="36" t="s">
        <v>148</v>
      </c>
      <c r="J4183" s="87">
        <v>1138500</v>
      </c>
      <c r="K4183" s="85">
        <v>2023</v>
      </c>
      <c r="L4183" s="85">
        <v>12</v>
      </c>
      <c r="N4183" s="1" t="s">
        <v>44</v>
      </c>
    </row>
    <row r="4184" spans="1:14">
      <c r="A4184" s="36" t="s">
        <v>32</v>
      </c>
      <c r="B4184" s="37">
        <v>45307</v>
      </c>
      <c r="C4184" s="36" t="s">
        <v>552</v>
      </c>
      <c r="D4184" s="36" t="s">
        <v>1820</v>
      </c>
      <c r="E4184" s="36" t="s">
        <v>148</v>
      </c>
      <c r="J4184" s="87">
        <v>20729060</v>
      </c>
      <c r="K4184" s="85">
        <v>2023</v>
      </c>
      <c r="L4184" s="85">
        <v>12</v>
      </c>
      <c r="N4184" s="1" t="s">
        <v>44</v>
      </c>
    </row>
    <row r="4185" spans="1:14">
      <c r="A4185" s="36" t="s">
        <v>32</v>
      </c>
      <c r="B4185" s="37">
        <v>45307</v>
      </c>
      <c r="C4185" s="36" t="s">
        <v>1468</v>
      </c>
      <c r="D4185" s="36" t="s">
        <v>1864</v>
      </c>
      <c r="E4185" s="36" t="s">
        <v>148</v>
      </c>
      <c r="J4185" s="87">
        <v>30820880.199999999</v>
      </c>
      <c r="K4185" s="85">
        <v>2023</v>
      </c>
      <c r="L4185" s="85">
        <v>12</v>
      </c>
      <c r="N4185" s="1" t="s">
        <v>44</v>
      </c>
    </row>
    <row r="4186" spans="1:14">
      <c r="A4186" s="36" t="s">
        <v>32</v>
      </c>
      <c r="B4186" s="37">
        <v>45307</v>
      </c>
      <c r="C4186" s="36" t="s">
        <v>1741</v>
      </c>
      <c r="D4186" s="36" t="s">
        <v>1817</v>
      </c>
      <c r="E4186" s="36" t="s">
        <v>148</v>
      </c>
      <c r="J4186" s="87">
        <v>1650000</v>
      </c>
      <c r="K4186" s="85">
        <v>2023</v>
      </c>
      <c r="L4186" s="85">
        <v>11</v>
      </c>
      <c r="N4186" s="1" t="s">
        <v>44</v>
      </c>
    </row>
    <row r="4187" spans="1:14">
      <c r="A4187" s="36" t="s">
        <v>33</v>
      </c>
      <c r="B4187" s="37">
        <v>45308</v>
      </c>
      <c r="C4187" s="36" t="s">
        <v>119</v>
      </c>
      <c r="D4187" s="36" t="s">
        <v>1800</v>
      </c>
      <c r="E4187" s="36" t="s">
        <v>148</v>
      </c>
      <c r="J4187" s="87">
        <v>3017025</v>
      </c>
      <c r="K4187" s="85">
        <v>2023</v>
      </c>
      <c r="L4187" s="85">
        <v>11</v>
      </c>
      <c r="N4187" s="1" t="s">
        <v>44</v>
      </c>
    </row>
    <row r="4188" spans="1:14">
      <c r="A4188" s="36" t="s">
        <v>33</v>
      </c>
      <c r="B4188" s="37">
        <v>45308</v>
      </c>
      <c r="C4188" s="36" t="s">
        <v>1886</v>
      </c>
      <c r="D4188" s="36" t="s">
        <v>1888</v>
      </c>
      <c r="E4188" s="36" t="s">
        <v>148</v>
      </c>
      <c r="J4188" s="87">
        <v>11000000</v>
      </c>
      <c r="K4188" s="85">
        <v>2024</v>
      </c>
      <c r="L4188" s="85">
        <v>1</v>
      </c>
      <c r="N4188" s="1" t="s">
        <v>44</v>
      </c>
    </row>
    <row r="4189" spans="1:14">
      <c r="A4189" s="36" t="s">
        <v>32</v>
      </c>
      <c r="B4189" s="37">
        <v>45308</v>
      </c>
      <c r="C4189" s="36" t="s">
        <v>1741</v>
      </c>
      <c r="D4189" s="36" t="s">
        <v>1817</v>
      </c>
      <c r="E4189" s="36" t="s">
        <v>148</v>
      </c>
      <c r="J4189" s="87">
        <v>1650000</v>
      </c>
      <c r="K4189" s="85">
        <v>2023</v>
      </c>
      <c r="L4189" s="85">
        <v>12</v>
      </c>
      <c r="N4189" s="1" t="s">
        <v>44</v>
      </c>
    </row>
    <row r="4190" spans="1:14">
      <c r="A4190" s="36" t="s">
        <v>32</v>
      </c>
      <c r="B4190" s="37">
        <v>45308</v>
      </c>
      <c r="C4190" s="36" t="s">
        <v>1587</v>
      </c>
      <c r="D4190" s="36" t="s">
        <v>1865</v>
      </c>
      <c r="E4190" s="36" t="s">
        <v>148</v>
      </c>
      <c r="J4190" s="87">
        <v>3337400</v>
      </c>
      <c r="K4190" s="85">
        <v>2023</v>
      </c>
      <c r="L4190" s="85">
        <v>12</v>
      </c>
      <c r="N4190" s="1" t="s">
        <v>44</v>
      </c>
    </row>
    <row r="4191" spans="1:14">
      <c r="A4191" s="36" t="s">
        <v>32</v>
      </c>
      <c r="B4191" s="37">
        <v>45309</v>
      </c>
      <c r="C4191" s="36" t="s">
        <v>552</v>
      </c>
      <c r="D4191" s="36" t="s">
        <v>1011</v>
      </c>
      <c r="E4191" s="36" t="s">
        <v>148</v>
      </c>
      <c r="J4191" s="87">
        <v>8831390.6999999993</v>
      </c>
      <c r="K4191" s="85">
        <v>2023</v>
      </c>
      <c r="L4191" s="85">
        <v>10</v>
      </c>
      <c r="N4191" s="1" t="s">
        <v>44</v>
      </c>
    </row>
    <row r="4192" spans="1:14">
      <c r="A4192" s="36" t="s">
        <v>33</v>
      </c>
      <c r="B4192" s="37">
        <v>45310</v>
      </c>
      <c r="C4192" s="36" t="s">
        <v>971</v>
      </c>
      <c r="D4192" s="36" t="s">
        <v>1890</v>
      </c>
      <c r="E4192" s="36" t="s">
        <v>1891</v>
      </c>
      <c r="G4192" s="87">
        <v>2984800</v>
      </c>
      <c r="H4192" s="87">
        <v>298480</v>
      </c>
      <c r="I4192" s="87">
        <v>3283280</v>
      </c>
      <c r="K4192" s="85">
        <v>2024</v>
      </c>
      <c r="L4192" s="85">
        <v>1</v>
      </c>
      <c r="N4192" s="1" t="s">
        <v>44</v>
      </c>
    </row>
    <row r="4193" spans="1:14">
      <c r="A4193" s="36" t="s">
        <v>32</v>
      </c>
      <c r="B4193" s="37">
        <v>45314</v>
      </c>
      <c r="C4193" s="36" t="s">
        <v>206</v>
      </c>
      <c r="D4193" s="36" t="s">
        <v>1157</v>
      </c>
      <c r="E4193" s="36" t="s">
        <v>148</v>
      </c>
      <c r="J4193" s="38">
        <v>10000000</v>
      </c>
      <c r="K4193" s="85">
        <v>2023</v>
      </c>
      <c r="L4193" s="85">
        <v>10</v>
      </c>
      <c r="N4193" s="1" t="s">
        <v>44</v>
      </c>
    </row>
    <row r="4194" spans="1:14">
      <c r="A4194" s="36" t="s">
        <v>33</v>
      </c>
      <c r="B4194" s="37">
        <v>45316</v>
      </c>
      <c r="C4194" s="36" t="s">
        <v>971</v>
      </c>
      <c r="D4194" s="36" t="s">
        <v>1442</v>
      </c>
      <c r="E4194" s="36" t="s">
        <v>148</v>
      </c>
      <c r="J4194" s="87">
        <v>9167675</v>
      </c>
      <c r="K4194" s="85">
        <v>2023</v>
      </c>
      <c r="L4194" s="85">
        <v>6</v>
      </c>
      <c r="N4194" s="1" t="s">
        <v>44</v>
      </c>
    </row>
    <row r="4195" spans="1:14">
      <c r="A4195" s="36" t="s">
        <v>33</v>
      </c>
      <c r="B4195" s="37">
        <v>45316</v>
      </c>
      <c r="C4195" s="36" t="s">
        <v>1848</v>
      </c>
      <c r="D4195" s="36" t="s">
        <v>1849</v>
      </c>
      <c r="E4195" s="36" t="s">
        <v>157</v>
      </c>
      <c r="G4195" s="87">
        <v>480000</v>
      </c>
      <c r="H4195" s="87">
        <v>48000</v>
      </c>
      <c r="I4195" s="87">
        <v>528000</v>
      </c>
      <c r="K4195" s="85">
        <v>2024</v>
      </c>
      <c r="L4195" s="85">
        <v>1</v>
      </c>
      <c r="N4195" s="1" t="s">
        <v>44</v>
      </c>
    </row>
    <row r="4196" spans="1:14">
      <c r="A4196" s="36" t="s">
        <v>32</v>
      </c>
      <c r="B4196" s="37">
        <v>45316</v>
      </c>
      <c r="C4196" s="36" t="s">
        <v>1531</v>
      </c>
      <c r="D4196" s="36" t="s">
        <v>1648</v>
      </c>
      <c r="E4196" s="36" t="s">
        <v>148</v>
      </c>
      <c r="J4196" s="87">
        <v>14135110</v>
      </c>
      <c r="K4196" s="85">
        <v>2023</v>
      </c>
      <c r="L4196" s="85">
        <v>10</v>
      </c>
      <c r="N4196" s="1" t="s">
        <v>44</v>
      </c>
    </row>
    <row r="4197" spans="1:14">
      <c r="A4197" s="36" t="s">
        <v>32</v>
      </c>
      <c r="B4197" s="37">
        <v>45317</v>
      </c>
      <c r="C4197" s="36" t="s">
        <v>209</v>
      </c>
      <c r="D4197" s="36" t="s">
        <v>1885</v>
      </c>
      <c r="E4197" s="36" t="s">
        <v>148</v>
      </c>
      <c r="J4197" s="87">
        <v>24790920</v>
      </c>
      <c r="K4197" s="85">
        <v>2023</v>
      </c>
      <c r="L4197" s="85">
        <v>10</v>
      </c>
      <c r="M4197" s="36" t="s">
        <v>1911</v>
      </c>
      <c r="N4197" s="1" t="s">
        <v>44</v>
      </c>
    </row>
    <row r="4198" spans="1:14">
      <c r="A4198" s="36" t="s">
        <v>32</v>
      </c>
      <c r="B4198" s="37">
        <v>45317</v>
      </c>
      <c r="C4198" s="36" t="s">
        <v>209</v>
      </c>
      <c r="D4198" s="36" t="s">
        <v>1892</v>
      </c>
      <c r="E4198" s="36" t="s">
        <v>148</v>
      </c>
      <c r="J4198" s="87">
        <v>36389430</v>
      </c>
      <c r="K4198" s="85">
        <v>2023</v>
      </c>
      <c r="L4198" s="85">
        <v>10</v>
      </c>
      <c r="M4198" s="36" t="s">
        <v>1912</v>
      </c>
      <c r="N4198" s="1" t="s">
        <v>44</v>
      </c>
    </row>
    <row r="4199" spans="1:14">
      <c r="A4199" s="36" t="s">
        <v>32</v>
      </c>
      <c r="B4199" s="37">
        <v>45317</v>
      </c>
      <c r="C4199" s="36" t="s">
        <v>209</v>
      </c>
      <c r="D4199" s="36" t="s">
        <v>1699</v>
      </c>
      <c r="E4199" s="36" t="s">
        <v>148</v>
      </c>
      <c r="J4199" s="38">
        <v>30929150</v>
      </c>
      <c r="K4199" s="85">
        <v>2023</v>
      </c>
      <c r="L4199" s="85">
        <v>11</v>
      </c>
      <c r="M4199" s="235" t="s">
        <v>1904</v>
      </c>
      <c r="N4199" s="1" t="s">
        <v>44</v>
      </c>
    </row>
    <row r="4200" spans="1:14">
      <c r="A4200" s="36" t="s">
        <v>32</v>
      </c>
      <c r="B4200" s="37">
        <v>45317</v>
      </c>
      <c r="C4200" s="36" t="s">
        <v>209</v>
      </c>
      <c r="D4200" s="36" t="s">
        <v>1885</v>
      </c>
      <c r="E4200" s="36" t="s">
        <v>148</v>
      </c>
      <c r="J4200" s="87">
        <v>25228280</v>
      </c>
      <c r="K4200" s="85">
        <v>2023</v>
      </c>
      <c r="L4200" s="85">
        <v>11</v>
      </c>
      <c r="M4200" s="235" t="s">
        <v>1905</v>
      </c>
      <c r="N4200" s="1" t="s">
        <v>44</v>
      </c>
    </row>
    <row r="4201" spans="1:14">
      <c r="A4201" s="36" t="s">
        <v>32</v>
      </c>
      <c r="B4201" s="37">
        <v>45317</v>
      </c>
      <c r="C4201" s="36" t="s">
        <v>209</v>
      </c>
      <c r="D4201" s="36" t="s">
        <v>2001</v>
      </c>
      <c r="E4201" s="36" t="s">
        <v>148</v>
      </c>
      <c r="J4201" s="87">
        <v>6105000</v>
      </c>
      <c r="K4201" s="85">
        <v>2023</v>
      </c>
      <c r="L4201" s="85">
        <v>11</v>
      </c>
      <c r="M4201" s="235" t="s">
        <v>1906</v>
      </c>
      <c r="N4201" s="1" t="s">
        <v>44</v>
      </c>
    </row>
    <row r="4202" spans="1:14">
      <c r="A4202" s="36" t="s">
        <v>32</v>
      </c>
      <c r="B4202" s="37">
        <v>45317</v>
      </c>
      <c r="C4202" s="36" t="s">
        <v>209</v>
      </c>
      <c r="D4202" s="36" t="s">
        <v>1325</v>
      </c>
      <c r="E4202" s="36" t="s">
        <v>148</v>
      </c>
      <c r="J4202" s="87">
        <v>825000</v>
      </c>
      <c r="K4202" s="85">
        <v>2023</v>
      </c>
      <c r="L4202" s="85">
        <v>11</v>
      </c>
      <c r="M4202" s="235" t="s">
        <v>1907</v>
      </c>
      <c r="N4202" s="1" t="s">
        <v>44</v>
      </c>
    </row>
    <row r="4203" spans="1:14">
      <c r="A4203" s="36" t="s">
        <v>32</v>
      </c>
      <c r="B4203" s="37">
        <v>45317</v>
      </c>
      <c r="C4203" s="36" t="s">
        <v>209</v>
      </c>
      <c r="D4203" s="36" t="s">
        <v>1892</v>
      </c>
      <c r="E4203" s="36" t="s">
        <v>148</v>
      </c>
      <c r="J4203" s="38">
        <v>48843100</v>
      </c>
      <c r="K4203" s="85">
        <v>2023</v>
      </c>
      <c r="L4203" s="85">
        <v>11</v>
      </c>
      <c r="M4203" s="36" t="s">
        <v>1908</v>
      </c>
      <c r="N4203" s="1" t="s">
        <v>44</v>
      </c>
    </row>
    <row r="4204" spans="1:14">
      <c r="A4204" s="36" t="s">
        <v>32</v>
      </c>
      <c r="B4204" s="37">
        <v>45317</v>
      </c>
      <c r="C4204" s="36" t="s">
        <v>209</v>
      </c>
      <c r="D4204" s="36" t="s">
        <v>1699</v>
      </c>
      <c r="E4204" s="36" t="s">
        <v>148</v>
      </c>
      <c r="J4204" s="87">
        <v>72559520</v>
      </c>
      <c r="K4204" s="85">
        <v>2023</v>
      </c>
      <c r="L4204" s="85">
        <v>12</v>
      </c>
      <c r="M4204" s="235" t="s">
        <v>1909</v>
      </c>
      <c r="N4204" s="1" t="s">
        <v>44</v>
      </c>
    </row>
    <row r="4205" spans="1:14">
      <c r="A4205" s="36" t="s">
        <v>32</v>
      </c>
      <c r="B4205" s="37">
        <v>45317</v>
      </c>
      <c r="C4205" s="36" t="s">
        <v>209</v>
      </c>
      <c r="D4205" s="36" t="s">
        <v>2001</v>
      </c>
      <c r="E4205" s="36" t="s">
        <v>148</v>
      </c>
      <c r="J4205" s="87">
        <v>4329600</v>
      </c>
      <c r="K4205" s="85">
        <v>2023</v>
      </c>
      <c r="L4205" s="85">
        <v>12</v>
      </c>
      <c r="M4205" s="235" t="s">
        <v>1910</v>
      </c>
      <c r="N4205" s="1" t="s">
        <v>44</v>
      </c>
    </row>
    <row r="4206" spans="1:14">
      <c r="A4206" s="36" t="s">
        <v>33</v>
      </c>
      <c r="B4206" s="37">
        <v>45317</v>
      </c>
      <c r="C4206" s="36" t="s">
        <v>119</v>
      </c>
      <c r="D4206" s="36" t="s">
        <v>1048</v>
      </c>
      <c r="E4206" s="36" t="s">
        <v>148</v>
      </c>
      <c r="J4206" s="87">
        <v>825000</v>
      </c>
      <c r="K4206" s="85">
        <v>2023</v>
      </c>
      <c r="L4206" s="85">
        <v>11</v>
      </c>
      <c r="N4206" s="1" t="s">
        <v>44</v>
      </c>
    </row>
    <row r="4207" spans="1:14">
      <c r="A4207" s="36" t="s">
        <v>33</v>
      </c>
      <c r="B4207" s="37">
        <v>45317</v>
      </c>
      <c r="C4207" s="36" t="s">
        <v>1569</v>
      </c>
      <c r="D4207" s="36" t="s">
        <v>1412</v>
      </c>
      <c r="E4207" s="36" t="s">
        <v>148</v>
      </c>
      <c r="J4207" s="87">
        <v>43960180</v>
      </c>
      <c r="K4207" s="85">
        <v>2023</v>
      </c>
      <c r="L4207" s="85">
        <v>11</v>
      </c>
      <c r="N4207" s="1" t="s">
        <v>44</v>
      </c>
    </row>
    <row r="4208" spans="1:14">
      <c r="A4208" s="36" t="s">
        <v>33</v>
      </c>
      <c r="B4208" s="37">
        <v>45317</v>
      </c>
      <c r="C4208" s="36" t="s">
        <v>971</v>
      </c>
      <c r="D4208" s="36" t="s">
        <v>1913</v>
      </c>
      <c r="E4208" s="36" t="s">
        <v>1031</v>
      </c>
      <c r="G4208" s="87">
        <v>3712000</v>
      </c>
      <c r="H4208" s="87">
        <v>371200</v>
      </c>
      <c r="I4208" s="87">
        <v>4083200</v>
      </c>
      <c r="K4208" s="85">
        <v>2024</v>
      </c>
      <c r="L4208" s="85">
        <v>1</v>
      </c>
      <c r="N4208" s="1" t="s">
        <v>44</v>
      </c>
    </row>
    <row r="4209" spans="1:14">
      <c r="A4209" s="36" t="s">
        <v>33</v>
      </c>
      <c r="B4209" s="37">
        <v>45317</v>
      </c>
      <c r="C4209" s="36" t="s">
        <v>1391</v>
      </c>
      <c r="D4209" s="36" t="s">
        <v>1227</v>
      </c>
      <c r="E4209" s="36" t="s">
        <v>148</v>
      </c>
      <c r="J4209" s="87">
        <v>19434800</v>
      </c>
      <c r="K4209" s="85">
        <v>2023</v>
      </c>
      <c r="L4209" s="85">
        <v>11</v>
      </c>
      <c r="N4209" s="1" t="s">
        <v>44</v>
      </c>
    </row>
    <row r="4210" spans="1:14">
      <c r="A4210" s="36" t="s">
        <v>32</v>
      </c>
      <c r="B4210" s="37">
        <v>45321</v>
      </c>
      <c r="C4210" s="36" t="s">
        <v>1879</v>
      </c>
      <c r="D4210" s="36" t="s">
        <v>1881</v>
      </c>
      <c r="E4210" s="36" t="s">
        <v>148</v>
      </c>
      <c r="J4210" s="87">
        <v>660000</v>
      </c>
      <c r="K4210" s="85">
        <v>2023</v>
      </c>
      <c r="L4210" s="85">
        <v>12</v>
      </c>
      <c r="N4210" s="1" t="s">
        <v>44</v>
      </c>
    </row>
    <row r="4211" spans="1:14">
      <c r="A4211" s="36" t="s">
        <v>32</v>
      </c>
      <c r="B4211" s="37">
        <v>45322</v>
      </c>
      <c r="C4211" s="36" t="s">
        <v>989</v>
      </c>
      <c r="D4211" s="36" t="s">
        <v>1875</v>
      </c>
      <c r="E4211" s="36" t="s">
        <v>148</v>
      </c>
      <c r="J4211" s="87">
        <v>33270600</v>
      </c>
      <c r="K4211" s="85">
        <v>2023</v>
      </c>
      <c r="L4211" s="85">
        <v>12</v>
      </c>
      <c r="N4211" s="1" t="s">
        <v>44</v>
      </c>
    </row>
    <row r="4212" spans="1:14">
      <c r="A4212" s="36" t="s">
        <v>32</v>
      </c>
      <c r="B4212" s="37">
        <v>45322</v>
      </c>
      <c r="C4212" s="36" t="s">
        <v>1662</v>
      </c>
      <c r="D4212" s="36" t="s">
        <v>1819</v>
      </c>
      <c r="E4212" s="36" t="s">
        <v>148</v>
      </c>
      <c r="J4212" s="87">
        <v>3300000</v>
      </c>
      <c r="K4212" s="85">
        <v>2023</v>
      </c>
      <c r="L4212" s="85">
        <v>12</v>
      </c>
      <c r="N4212" s="1" t="s">
        <v>44</v>
      </c>
    </row>
    <row r="4213" spans="1:14">
      <c r="A4213" s="36" t="s">
        <v>32</v>
      </c>
      <c r="B4213" s="37">
        <v>45322</v>
      </c>
      <c r="C4213" s="36" t="s">
        <v>175</v>
      </c>
      <c r="D4213" s="36" t="s">
        <v>1816</v>
      </c>
      <c r="E4213" s="36" t="s">
        <v>148</v>
      </c>
      <c r="J4213" s="87">
        <v>31506200</v>
      </c>
      <c r="K4213" s="85">
        <v>2023</v>
      </c>
      <c r="L4213" s="85">
        <v>12</v>
      </c>
      <c r="N4213" s="1" t="s">
        <v>44</v>
      </c>
    </row>
    <row r="4214" spans="1:14">
      <c r="A4214" s="36" t="s">
        <v>32</v>
      </c>
      <c r="B4214" s="37">
        <v>45322</v>
      </c>
      <c r="C4214" s="36" t="s">
        <v>654</v>
      </c>
      <c r="D4214" s="36" t="s">
        <v>1930</v>
      </c>
      <c r="E4214" s="36" t="s">
        <v>77</v>
      </c>
      <c r="J4214" s="87">
        <v>3523000</v>
      </c>
      <c r="K4214" s="85">
        <v>2024</v>
      </c>
      <c r="L4214" s="85">
        <v>1</v>
      </c>
      <c r="N4214" s="1" t="s">
        <v>44</v>
      </c>
    </row>
    <row r="4215" spans="1:14">
      <c r="A4215" s="36" t="s">
        <v>33</v>
      </c>
      <c r="B4215" s="37">
        <v>45322</v>
      </c>
      <c r="C4215" s="36" t="s">
        <v>1914</v>
      </c>
      <c r="D4215" s="36" t="s">
        <v>1915</v>
      </c>
      <c r="E4215" s="36" t="s">
        <v>165</v>
      </c>
      <c r="G4215" s="87">
        <v>560000</v>
      </c>
      <c r="H4215" s="87">
        <v>56000</v>
      </c>
      <c r="I4215" s="87">
        <v>616000</v>
      </c>
      <c r="K4215" s="85">
        <v>2024</v>
      </c>
      <c r="L4215" s="85">
        <v>1</v>
      </c>
      <c r="N4215" s="1" t="s">
        <v>44</v>
      </c>
    </row>
    <row r="4216" spans="1:14">
      <c r="A4216" s="36" t="s">
        <v>32</v>
      </c>
      <c r="B4216" s="37">
        <v>45323</v>
      </c>
      <c r="C4216" s="36" t="s">
        <v>174</v>
      </c>
      <c r="D4216" s="36" t="s">
        <v>1670</v>
      </c>
      <c r="E4216" s="36" t="s">
        <v>148</v>
      </c>
      <c r="J4216" s="87">
        <v>7518060</v>
      </c>
      <c r="K4216" s="85">
        <v>2023</v>
      </c>
      <c r="L4216" s="85">
        <v>9</v>
      </c>
      <c r="N4216" s="1" t="s">
        <v>44</v>
      </c>
    </row>
    <row r="4217" spans="1:14">
      <c r="A4217" s="36" t="s">
        <v>32</v>
      </c>
      <c r="B4217" s="37">
        <v>45323</v>
      </c>
      <c r="C4217" s="36" t="s">
        <v>1810</v>
      </c>
      <c r="D4217" s="36" t="s">
        <v>1826</v>
      </c>
      <c r="E4217" s="36" t="s">
        <v>148</v>
      </c>
      <c r="J4217" s="87">
        <v>109450990</v>
      </c>
      <c r="K4217" s="85">
        <v>2023</v>
      </c>
      <c r="L4217" s="85">
        <v>12</v>
      </c>
      <c r="N4217" s="1" t="s">
        <v>44</v>
      </c>
    </row>
    <row r="4218" spans="1:14">
      <c r="A4218" s="36" t="s">
        <v>32</v>
      </c>
      <c r="B4218" s="37">
        <v>45323</v>
      </c>
      <c r="C4218" s="36" t="s">
        <v>1470</v>
      </c>
      <c r="D4218" s="36" t="s">
        <v>1821</v>
      </c>
      <c r="E4218" s="36" t="s">
        <v>148</v>
      </c>
      <c r="J4218" s="87">
        <v>15890710</v>
      </c>
      <c r="K4218" s="85">
        <v>2023</v>
      </c>
      <c r="L4218" s="85">
        <v>12</v>
      </c>
      <c r="N4218" s="1" t="s">
        <v>44</v>
      </c>
    </row>
    <row r="4219" spans="1:14">
      <c r="A4219" s="36" t="s">
        <v>32</v>
      </c>
      <c r="B4219" s="37">
        <v>45323</v>
      </c>
      <c r="C4219" s="36" t="s">
        <v>264</v>
      </c>
      <c r="D4219" s="36" t="s">
        <v>1870</v>
      </c>
      <c r="E4219" s="36" t="s">
        <v>148</v>
      </c>
      <c r="J4219" s="87">
        <v>18590000</v>
      </c>
      <c r="K4219" s="85">
        <v>2023</v>
      </c>
      <c r="L4219" s="85">
        <v>12</v>
      </c>
      <c r="N4219" s="1" t="s">
        <v>44</v>
      </c>
    </row>
    <row r="4220" spans="1:14">
      <c r="A4220" s="36" t="s">
        <v>32</v>
      </c>
      <c r="B4220" s="37">
        <v>45323</v>
      </c>
      <c r="C4220" s="36" t="s">
        <v>307</v>
      </c>
      <c r="D4220" s="36" t="s">
        <v>1603</v>
      </c>
      <c r="E4220" s="36" t="s">
        <v>148</v>
      </c>
      <c r="J4220" s="87">
        <v>1540000</v>
      </c>
      <c r="K4220" s="85">
        <v>2023</v>
      </c>
      <c r="L4220" s="85">
        <v>9</v>
      </c>
      <c r="N4220" s="1" t="s">
        <v>44</v>
      </c>
    </row>
    <row r="4221" spans="1:14">
      <c r="A4221" s="36" t="s">
        <v>32</v>
      </c>
      <c r="B4221" s="37">
        <v>45323</v>
      </c>
      <c r="C4221" s="36" t="s">
        <v>307</v>
      </c>
      <c r="D4221" s="36" t="s">
        <v>1488</v>
      </c>
      <c r="E4221" s="36" t="s">
        <v>148</v>
      </c>
      <c r="J4221" s="87">
        <v>6533340</v>
      </c>
      <c r="K4221" s="85">
        <v>2023</v>
      </c>
      <c r="L4221" s="85">
        <v>9</v>
      </c>
      <c r="N4221" s="1" t="s">
        <v>44</v>
      </c>
    </row>
    <row r="4222" spans="1:14">
      <c r="A4222" s="36" t="s">
        <v>32</v>
      </c>
      <c r="B4222" s="37">
        <v>45323</v>
      </c>
      <c r="C4222" s="36" t="s">
        <v>307</v>
      </c>
      <c r="D4222" s="36" t="s">
        <v>1752</v>
      </c>
      <c r="E4222" s="36" t="s">
        <v>148</v>
      </c>
      <c r="J4222" s="87">
        <v>2815560</v>
      </c>
      <c r="K4222" s="85">
        <v>2023</v>
      </c>
      <c r="L4222" s="85">
        <v>12</v>
      </c>
      <c r="N4222" s="1" t="s">
        <v>44</v>
      </c>
    </row>
    <row r="4223" spans="1:14">
      <c r="A4223" s="36" t="s">
        <v>33</v>
      </c>
      <c r="B4223" s="37">
        <v>45323</v>
      </c>
      <c r="C4223" s="36" t="s">
        <v>912</v>
      </c>
      <c r="D4223" s="36" t="s">
        <v>1916</v>
      </c>
      <c r="E4223" s="36" t="s">
        <v>2204</v>
      </c>
      <c r="G4223" s="87">
        <v>24599550</v>
      </c>
      <c r="H4223" s="87">
        <v>2459955</v>
      </c>
      <c r="I4223" s="87">
        <v>27059505</v>
      </c>
      <c r="K4223" s="85">
        <v>2024</v>
      </c>
      <c r="L4223" s="85">
        <v>2</v>
      </c>
      <c r="N4223" s="1" t="s">
        <v>44</v>
      </c>
    </row>
    <row r="4224" spans="1:14">
      <c r="A4224" s="36" t="s">
        <v>33</v>
      </c>
      <c r="B4224" s="37">
        <v>45323</v>
      </c>
      <c r="C4224" s="36" t="s">
        <v>912</v>
      </c>
      <c r="D4224" s="36" t="s">
        <v>1916</v>
      </c>
      <c r="E4224" s="36" t="s">
        <v>77</v>
      </c>
      <c r="J4224" s="38">
        <v>27059505</v>
      </c>
      <c r="K4224" s="85">
        <v>2024</v>
      </c>
      <c r="L4224" s="85">
        <v>2</v>
      </c>
      <c r="N4224" s="1" t="s">
        <v>44</v>
      </c>
    </row>
    <row r="4225" spans="1:14">
      <c r="A4225" s="36" t="s">
        <v>33</v>
      </c>
      <c r="B4225" s="37">
        <v>45327</v>
      </c>
      <c r="C4225" s="36" t="s">
        <v>96</v>
      </c>
      <c r="D4225" s="36" t="s">
        <v>1803</v>
      </c>
      <c r="E4225" s="36" t="s">
        <v>148</v>
      </c>
      <c r="J4225" s="87">
        <v>693000</v>
      </c>
      <c r="K4225" s="85">
        <v>2023</v>
      </c>
      <c r="L4225" s="85">
        <v>11</v>
      </c>
      <c r="N4225" s="1" t="s">
        <v>44</v>
      </c>
    </row>
    <row r="4226" spans="1:14">
      <c r="A4226" s="36" t="s">
        <v>33</v>
      </c>
      <c r="B4226" s="37">
        <v>45327</v>
      </c>
      <c r="C4226" s="36" t="s">
        <v>96</v>
      </c>
      <c r="D4226" s="36" t="s">
        <v>1857</v>
      </c>
      <c r="E4226" s="36" t="s">
        <v>148</v>
      </c>
      <c r="J4226" s="87">
        <v>2189000</v>
      </c>
      <c r="K4226" s="85">
        <v>2023</v>
      </c>
      <c r="L4226" s="85">
        <v>12</v>
      </c>
      <c r="N4226" s="1" t="s">
        <v>44</v>
      </c>
    </row>
    <row r="4227" spans="1:14">
      <c r="A4227" s="36" t="s">
        <v>33</v>
      </c>
      <c r="B4227" s="37">
        <v>45327</v>
      </c>
      <c r="C4227" s="36" t="s">
        <v>96</v>
      </c>
      <c r="D4227" s="36" t="s">
        <v>1859</v>
      </c>
      <c r="E4227" s="36" t="s">
        <v>148</v>
      </c>
      <c r="J4227" s="87">
        <v>286000</v>
      </c>
      <c r="K4227" s="85">
        <v>2023</v>
      </c>
      <c r="L4227" s="85">
        <v>12</v>
      </c>
      <c r="N4227" s="1" t="s">
        <v>44</v>
      </c>
    </row>
    <row r="4228" spans="1:14">
      <c r="A4228" s="36" t="s">
        <v>33</v>
      </c>
      <c r="B4228" s="37">
        <v>45327</v>
      </c>
      <c r="C4228" s="36" t="s">
        <v>1853</v>
      </c>
      <c r="D4228" s="36" t="s">
        <v>1854</v>
      </c>
      <c r="E4228" s="36" t="s">
        <v>148</v>
      </c>
      <c r="J4228" s="87">
        <v>643720</v>
      </c>
      <c r="K4228" s="85">
        <v>2023</v>
      </c>
      <c r="L4228" s="85">
        <v>12</v>
      </c>
      <c r="N4228" s="1" t="s">
        <v>44</v>
      </c>
    </row>
    <row r="4229" spans="1:14">
      <c r="A4229" s="36" t="s">
        <v>33</v>
      </c>
      <c r="B4229" s="37">
        <v>45327</v>
      </c>
      <c r="C4229" s="36" t="s">
        <v>1861</v>
      </c>
      <c r="D4229" s="36" t="s">
        <v>1800</v>
      </c>
      <c r="E4229" s="36" t="s">
        <v>148</v>
      </c>
      <c r="J4229" s="87">
        <v>693000</v>
      </c>
      <c r="K4229" s="85">
        <v>2023</v>
      </c>
      <c r="L4229" s="85">
        <v>12</v>
      </c>
      <c r="N4229" s="1" t="s">
        <v>44</v>
      </c>
    </row>
    <row r="4230" spans="1:14">
      <c r="A4230" s="36" t="s">
        <v>33</v>
      </c>
      <c r="B4230" s="37">
        <v>45327</v>
      </c>
      <c r="C4230" s="36" t="s">
        <v>955</v>
      </c>
      <c r="D4230" s="36" t="s">
        <v>1800</v>
      </c>
      <c r="E4230" s="36" t="s">
        <v>148</v>
      </c>
      <c r="J4230" s="87">
        <v>1100000</v>
      </c>
      <c r="K4230" s="85">
        <v>2023</v>
      </c>
      <c r="L4230" s="85">
        <v>12</v>
      </c>
      <c r="N4230" s="1" t="s">
        <v>44</v>
      </c>
    </row>
    <row r="4231" spans="1:14">
      <c r="A4231" s="36" t="s">
        <v>33</v>
      </c>
      <c r="B4231" s="37">
        <v>45327</v>
      </c>
      <c r="C4231" s="36" t="s">
        <v>1852</v>
      </c>
      <c r="D4231" s="36" t="s">
        <v>1754</v>
      </c>
      <c r="E4231" s="36" t="s">
        <v>148</v>
      </c>
      <c r="J4231" s="87">
        <v>746900</v>
      </c>
      <c r="K4231" s="85">
        <v>2023</v>
      </c>
      <c r="L4231" s="85">
        <v>12</v>
      </c>
      <c r="N4231" s="1" t="s">
        <v>44</v>
      </c>
    </row>
    <row r="4232" spans="1:14">
      <c r="A4232" s="36" t="s">
        <v>33</v>
      </c>
      <c r="B4232" s="37">
        <v>45327</v>
      </c>
      <c r="C4232" s="36" t="s">
        <v>1842</v>
      </c>
      <c r="D4232" s="36" t="s">
        <v>1917</v>
      </c>
      <c r="E4232" s="36" t="s">
        <v>148</v>
      </c>
      <c r="J4232" s="87">
        <v>8652000</v>
      </c>
      <c r="K4232" s="85">
        <v>2023</v>
      </c>
      <c r="L4232" s="85">
        <v>12</v>
      </c>
      <c r="N4232" s="1" t="s">
        <v>44</v>
      </c>
    </row>
    <row r="4233" spans="1:14">
      <c r="A4233" s="36" t="s">
        <v>33</v>
      </c>
      <c r="B4233" s="37">
        <v>45327</v>
      </c>
      <c r="C4233" s="36" t="s">
        <v>971</v>
      </c>
      <c r="D4233" s="36" t="s">
        <v>1889</v>
      </c>
      <c r="E4233" s="36" t="s">
        <v>148</v>
      </c>
      <c r="J4233" s="87">
        <v>3476385</v>
      </c>
      <c r="K4233" s="85">
        <v>2023</v>
      </c>
      <c r="L4233" s="85">
        <v>12</v>
      </c>
      <c r="M4233" s="36" t="s">
        <v>1889</v>
      </c>
      <c r="N4233" s="1" t="s">
        <v>44</v>
      </c>
    </row>
    <row r="4234" spans="1:14">
      <c r="A4234" s="36" t="s">
        <v>33</v>
      </c>
      <c r="B4234" s="37">
        <v>45322</v>
      </c>
      <c r="C4234" s="36" t="s">
        <v>1919</v>
      </c>
      <c r="D4234" s="36" t="s">
        <v>1754</v>
      </c>
      <c r="E4234" s="36" t="s">
        <v>125</v>
      </c>
      <c r="G4234" s="87">
        <v>2604000</v>
      </c>
      <c r="H4234" s="87">
        <v>260400</v>
      </c>
      <c r="I4234" s="87">
        <v>2864400</v>
      </c>
      <c r="K4234" s="85">
        <v>2024</v>
      </c>
      <c r="L4234" s="85">
        <v>1</v>
      </c>
      <c r="N4234" s="1" t="s">
        <v>44</v>
      </c>
    </row>
    <row r="4235" spans="1:14">
      <c r="A4235" s="36" t="s">
        <v>33</v>
      </c>
      <c r="B4235" s="37">
        <v>45322</v>
      </c>
      <c r="C4235" s="36" t="s">
        <v>1920</v>
      </c>
      <c r="D4235" s="36" t="s">
        <v>1953</v>
      </c>
      <c r="E4235" s="36" t="s">
        <v>143</v>
      </c>
      <c r="G4235" s="87">
        <v>770000</v>
      </c>
      <c r="H4235" s="87">
        <v>77000</v>
      </c>
      <c r="I4235" s="87">
        <v>847000</v>
      </c>
      <c r="K4235" s="85">
        <v>2024</v>
      </c>
      <c r="L4235" s="85">
        <v>1</v>
      </c>
      <c r="N4235" s="1" t="s">
        <v>44</v>
      </c>
    </row>
    <row r="4236" spans="1:14">
      <c r="A4236" s="36" t="s">
        <v>33</v>
      </c>
      <c r="B4236" s="37">
        <v>45322</v>
      </c>
      <c r="C4236" s="36" t="s">
        <v>1650</v>
      </c>
      <c r="D4236" s="36" t="s">
        <v>790</v>
      </c>
      <c r="E4236" s="36" t="s">
        <v>1922</v>
      </c>
      <c r="G4236" s="87">
        <v>13901950</v>
      </c>
      <c r="H4236" s="87">
        <v>1390195</v>
      </c>
      <c r="I4236" s="87">
        <v>15292145</v>
      </c>
      <c r="K4236" s="85">
        <v>2024</v>
      </c>
      <c r="L4236" s="85">
        <v>1</v>
      </c>
      <c r="N4236" s="1" t="s">
        <v>44</v>
      </c>
    </row>
    <row r="4237" spans="1:14">
      <c r="A4237" s="36" t="s">
        <v>33</v>
      </c>
      <c r="B4237" s="37">
        <v>45322</v>
      </c>
      <c r="C4237" s="36" t="s">
        <v>590</v>
      </c>
      <c r="D4237" s="36" t="s">
        <v>591</v>
      </c>
      <c r="E4237" s="36" t="s">
        <v>76</v>
      </c>
      <c r="G4237" s="87">
        <v>2300000</v>
      </c>
      <c r="H4237" s="87">
        <v>230000</v>
      </c>
      <c r="I4237" s="87">
        <v>2530000</v>
      </c>
      <c r="K4237" s="85">
        <v>2024</v>
      </c>
      <c r="L4237" s="85">
        <v>1</v>
      </c>
      <c r="N4237" s="1" t="s">
        <v>44</v>
      </c>
    </row>
    <row r="4238" spans="1:14">
      <c r="A4238" s="36" t="s">
        <v>33</v>
      </c>
      <c r="B4238" s="37">
        <v>45322</v>
      </c>
      <c r="C4238" s="36" t="s">
        <v>1266</v>
      </c>
      <c r="D4238" s="36" t="s">
        <v>1277</v>
      </c>
      <c r="E4238" s="36" t="s">
        <v>76</v>
      </c>
      <c r="G4238" s="87">
        <v>9890000</v>
      </c>
      <c r="H4238" s="87">
        <v>989000</v>
      </c>
      <c r="I4238" s="87">
        <v>10879000</v>
      </c>
      <c r="K4238" s="85">
        <v>2024</v>
      </c>
      <c r="L4238" s="85">
        <v>1</v>
      </c>
      <c r="N4238" s="1" t="s">
        <v>44</v>
      </c>
    </row>
    <row r="4239" spans="1:14">
      <c r="A4239" s="36" t="s">
        <v>33</v>
      </c>
      <c r="B4239" s="37">
        <v>45322</v>
      </c>
      <c r="C4239" s="36" t="s">
        <v>771</v>
      </c>
      <c r="D4239" s="36" t="s">
        <v>772</v>
      </c>
      <c r="E4239" s="36" t="s">
        <v>76</v>
      </c>
      <c r="G4239" s="87">
        <v>2760000</v>
      </c>
      <c r="H4239" s="87">
        <v>276000</v>
      </c>
      <c r="I4239" s="87">
        <v>3036000</v>
      </c>
      <c r="K4239" s="85">
        <v>2024</v>
      </c>
      <c r="L4239" s="85">
        <v>1</v>
      </c>
      <c r="N4239" s="1" t="s">
        <v>44</v>
      </c>
    </row>
    <row r="4240" spans="1:14">
      <c r="A4240" s="36" t="s">
        <v>33</v>
      </c>
      <c r="B4240" s="37">
        <v>45322</v>
      </c>
      <c r="C4240" s="36" t="s">
        <v>1720</v>
      </c>
      <c r="D4240" s="36" t="s">
        <v>865</v>
      </c>
      <c r="E4240" s="36" t="s">
        <v>76</v>
      </c>
      <c r="G4240" s="87">
        <v>3220000</v>
      </c>
      <c r="H4240" s="87">
        <v>322000</v>
      </c>
      <c r="I4240" s="87">
        <v>3542000</v>
      </c>
      <c r="K4240" s="85">
        <v>2024</v>
      </c>
      <c r="L4240" s="85">
        <v>1</v>
      </c>
      <c r="N4240" s="1" t="s">
        <v>44</v>
      </c>
    </row>
    <row r="4241" spans="1:14">
      <c r="A4241" s="36" t="s">
        <v>33</v>
      </c>
      <c r="B4241" s="37">
        <v>45322</v>
      </c>
      <c r="C4241" s="36" t="s">
        <v>119</v>
      </c>
      <c r="D4241" s="36" t="s">
        <v>1800</v>
      </c>
      <c r="E4241" s="36" t="s">
        <v>267</v>
      </c>
      <c r="G4241" s="87">
        <v>20250000</v>
      </c>
      <c r="H4241" s="87">
        <v>2025000</v>
      </c>
      <c r="I4241" s="87">
        <v>22275000</v>
      </c>
      <c r="K4241" s="85">
        <v>2024</v>
      </c>
      <c r="L4241" s="85">
        <v>1</v>
      </c>
      <c r="N4241" s="1" t="s">
        <v>44</v>
      </c>
    </row>
    <row r="4242" spans="1:14">
      <c r="A4242" s="36" t="s">
        <v>32</v>
      </c>
      <c r="B4242" s="37">
        <v>45327</v>
      </c>
      <c r="C4242" s="36" t="s">
        <v>1468</v>
      </c>
      <c r="D4242" s="36" t="s">
        <v>1923</v>
      </c>
      <c r="E4242" s="36" t="s">
        <v>148</v>
      </c>
      <c r="J4242" s="87">
        <v>7124040</v>
      </c>
      <c r="K4242" s="85">
        <v>2023</v>
      </c>
      <c r="L4242" s="85">
        <v>11</v>
      </c>
      <c r="N4242" s="1" t="s">
        <v>44</v>
      </c>
    </row>
    <row r="4243" spans="1:14">
      <c r="A4243" s="36" t="s">
        <v>32</v>
      </c>
      <c r="B4243" s="37">
        <v>45327</v>
      </c>
      <c r="C4243" s="36" t="s">
        <v>1468</v>
      </c>
      <c r="D4243" s="36" t="s">
        <v>1863</v>
      </c>
      <c r="E4243" s="36" t="s">
        <v>148</v>
      </c>
      <c r="J4243" s="87">
        <v>20976725</v>
      </c>
      <c r="K4243" s="85">
        <v>2023</v>
      </c>
      <c r="L4243" s="85">
        <v>12</v>
      </c>
      <c r="N4243" s="1" t="s">
        <v>44</v>
      </c>
    </row>
    <row r="4244" spans="1:14">
      <c r="A4244" s="36" t="s">
        <v>33</v>
      </c>
      <c r="B4244" s="37">
        <v>45327</v>
      </c>
      <c r="C4244" s="36" t="s">
        <v>119</v>
      </c>
      <c r="D4244" s="36" t="s">
        <v>1800</v>
      </c>
      <c r="E4244" s="36" t="s">
        <v>148</v>
      </c>
      <c r="J4244" s="87">
        <v>22275000</v>
      </c>
      <c r="K4244" s="85">
        <v>2024</v>
      </c>
      <c r="L4244" s="85">
        <v>1</v>
      </c>
      <c r="N4244" s="1" t="s">
        <v>44</v>
      </c>
    </row>
    <row r="4245" spans="1:14">
      <c r="A4245" s="36" t="s">
        <v>33</v>
      </c>
      <c r="B4245" s="37">
        <v>45322</v>
      </c>
      <c r="C4245" s="36" t="s">
        <v>1569</v>
      </c>
      <c r="D4245" s="36" t="s">
        <v>1412</v>
      </c>
      <c r="E4245" s="36" t="s">
        <v>1924</v>
      </c>
      <c r="G4245" s="87">
        <v>60914200</v>
      </c>
      <c r="H4245" s="87">
        <v>6091420</v>
      </c>
      <c r="I4245" s="87">
        <v>67005620</v>
      </c>
      <c r="K4245" s="85">
        <v>2024</v>
      </c>
      <c r="L4245" s="85">
        <v>1</v>
      </c>
      <c r="N4245" s="1" t="s">
        <v>44</v>
      </c>
    </row>
    <row r="4246" spans="1:14">
      <c r="A4246" s="36" t="s">
        <v>33</v>
      </c>
      <c r="B4246" s="37">
        <v>45322</v>
      </c>
      <c r="C4246" s="36" t="s">
        <v>1925</v>
      </c>
      <c r="D4246" s="36" t="s">
        <v>1921</v>
      </c>
      <c r="E4246" s="36" t="s">
        <v>143</v>
      </c>
      <c r="G4246" s="87">
        <v>980000</v>
      </c>
      <c r="H4246" s="87">
        <v>98000</v>
      </c>
      <c r="I4246" s="87">
        <v>1078000</v>
      </c>
      <c r="K4246" s="85">
        <v>2024</v>
      </c>
      <c r="L4246" s="85">
        <v>1</v>
      </c>
      <c r="N4246" s="1" t="s">
        <v>44</v>
      </c>
    </row>
    <row r="4247" spans="1:14">
      <c r="A4247" s="36" t="s">
        <v>33</v>
      </c>
      <c r="B4247" s="37">
        <v>45322</v>
      </c>
      <c r="C4247" s="36" t="s">
        <v>119</v>
      </c>
      <c r="D4247" s="36" t="s">
        <v>1899</v>
      </c>
      <c r="E4247" s="36" t="s">
        <v>267</v>
      </c>
      <c r="G4247" s="87">
        <v>27144400</v>
      </c>
      <c r="H4247" s="87">
        <v>2714440</v>
      </c>
      <c r="I4247" s="87">
        <v>29858840</v>
      </c>
      <c r="K4247" s="85">
        <v>2024</v>
      </c>
      <c r="L4247" s="85">
        <v>1</v>
      </c>
      <c r="N4247" s="1" t="s">
        <v>44</v>
      </c>
    </row>
    <row r="4248" spans="1:14">
      <c r="A4248" s="36" t="s">
        <v>33</v>
      </c>
      <c r="B4248" s="37">
        <v>45322</v>
      </c>
      <c r="C4248" s="36" t="s">
        <v>1842</v>
      </c>
      <c r="D4248" s="36" t="s">
        <v>1754</v>
      </c>
      <c r="E4248" s="36" t="s">
        <v>259</v>
      </c>
      <c r="G4248" s="87">
        <v>6414545</v>
      </c>
      <c r="H4248" s="87">
        <v>641454.5</v>
      </c>
      <c r="I4248" s="87">
        <v>7055999.5</v>
      </c>
      <c r="K4248" s="85">
        <v>2024</v>
      </c>
      <c r="L4248" s="85">
        <v>1</v>
      </c>
      <c r="N4248" s="1" t="s">
        <v>44</v>
      </c>
    </row>
    <row r="4249" spans="1:14">
      <c r="A4249" s="36" t="s">
        <v>32</v>
      </c>
      <c r="B4249" s="37">
        <v>45329</v>
      </c>
      <c r="C4249" s="36" t="s">
        <v>1862</v>
      </c>
      <c r="D4249" s="36" t="s">
        <v>1874</v>
      </c>
      <c r="E4249" s="36" t="s">
        <v>148</v>
      </c>
      <c r="J4249" s="87">
        <v>5346000</v>
      </c>
      <c r="K4249" s="85">
        <v>2023</v>
      </c>
      <c r="L4249" s="85">
        <v>12</v>
      </c>
      <c r="N4249" s="1" t="s">
        <v>44</v>
      </c>
    </row>
    <row r="4250" spans="1:14">
      <c r="A4250" s="36" t="s">
        <v>33</v>
      </c>
      <c r="B4250" s="37">
        <v>45330</v>
      </c>
      <c r="C4250" s="36" t="s">
        <v>1848</v>
      </c>
      <c r="D4250" s="36" t="s">
        <v>1849</v>
      </c>
      <c r="E4250" s="36" t="s">
        <v>148</v>
      </c>
      <c r="J4250" s="87">
        <v>1672000</v>
      </c>
      <c r="K4250" s="85">
        <v>2023</v>
      </c>
      <c r="L4250" s="85">
        <v>12</v>
      </c>
      <c r="N4250" s="1" t="s">
        <v>44</v>
      </c>
    </row>
    <row r="4251" spans="1:14">
      <c r="A4251" s="36" t="s">
        <v>32</v>
      </c>
      <c r="B4251" s="37">
        <v>45330</v>
      </c>
      <c r="C4251" s="36" t="s">
        <v>206</v>
      </c>
      <c r="D4251" s="36" t="s">
        <v>1157</v>
      </c>
      <c r="E4251" s="36" t="s">
        <v>148</v>
      </c>
      <c r="H4251" s="236"/>
      <c r="J4251" s="38">
        <v>6869600</v>
      </c>
      <c r="K4251" s="85">
        <v>2023</v>
      </c>
      <c r="L4251" s="85">
        <v>10</v>
      </c>
      <c r="N4251" s="1" t="s">
        <v>44</v>
      </c>
    </row>
    <row r="4252" spans="1:14">
      <c r="A4252" s="36" t="s">
        <v>32</v>
      </c>
      <c r="B4252" s="37">
        <v>45330</v>
      </c>
      <c r="C4252" s="36" t="s">
        <v>204</v>
      </c>
      <c r="D4252" s="36" t="s">
        <v>1273</v>
      </c>
      <c r="E4252" s="36" t="s">
        <v>148</v>
      </c>
      <c r="J4252" s="87">
        <v>33593120</v>
      </c>
      <c r="K4252" s="85">
        <v>2023</v>
      </c>
      <c r="L4252" s="85">
        <v>12</v>
      </c>
      <c r="N4252" s="1" t="s">
        <v>44</v>
      </c>
    </row>
    <row r="4253" spans="1:14">
      <c r="A4253" s="36" t="s">
        <v>32</v>
      </c>
      <c r="B4253" s="37">
        <v>45329</v>
      </c>
      <c r="C4253" s="36" t="s">
        <v>1198</v>
      </c>
      <c r="D4253" s="36" t="s">
        <v>1872</v>
      </c>
      <c r="E4253" s="36" t="s">
        <v>148</v>
      </c>
      <c r="J4253" s="87">
        <v>7596600</v>
      </c>
      <c r="K4253" s="85">
        <v>2023</v>
      </c>
      <c r="L4253" s="85">
        <v>12</v>
      </c>
      <c r="N4253" s="1" t="s">
        <v>44</v>
      </c>
    </row>
    <row r="4254" spans="1:14">
      <c r="A4254" s="36" t="s">
        <v>32</v>
      </c>
      <c r="B4254" s="37">
        <v>45330</v>
      </c>
      <c r="C4254" s="36" t="s">
        <v>1467</v>
      </c>
      <c r="D4254" s="36" t="s">
        <v>1814</v>
      </c>
      <c r="E4254" s="36" t="s">
        <v>148</v>
      </c>
      <c r="J4254" s="87">
        <v>27658400</v>
      </c>
      <c r="K4254" s="85">
        <v>2023</v>
      </c>
      <c r="L4254" s="85">
        <v>12</v>
      </c>
      <c r="N4254" s="1" t="s">
        <v>44</v>
      </c>
    </row>
    <row r="4255" spans="1:14">
      <c r="A4255" s="36" t="s">
        <v>32</v>
      </c>
      <c r="B4255" s="37">
        <v>45330</v>
      </c>
      <c r="C4255" s="36" t="s">
        <v>1467</v>
      </c>
      <c r="D4255" s="36" t="s">
        <v>1869</v>
      </c>
      <c r="E4255" s="36" t="s">
        <v>148</v>
      </c>
      <c r="J4255" s="87">
        <v>1015740</v>
      </c>
      <c r="K4255" s="85">
        <v>2023</v>
      </c>
      <c r="L4255" s="85">
        <v>12</v>
      </c>
      <c r="N4255" s="1" t="s">
        <v>44</v>
      </c>
    </row>
    <row r="4256" spans="1:14">
      <c r="A4256" s="36" t="s">
        <v>33</v>
      </c>
      <c r="B4256" s="37">
        <v>45322</v>
      </c>
      <c r="C4256" s="36" t="s">
        <v>1335</v>
      </c>
      <c r="D4256" s="36" t="s">
        <v>1523</v>
      </c>
      <c r="E4256" s="36" t="s">
        <v>267</v>
      </c>
      <c r="G4256" s="87">
        <v>1495000</v>
      </c>
      <c r="H4256" s="87">
        <v>149500</v>
      </c>
      <c r="I4256" s="87">
        <v>1644500</v>
      </c>
      <c r="K4256" s="85">
        <v>2024</v>
      </c>
      <c r="L4256" s="85">
        <v>1</v>
      </c>
      <c r="N4256" s="1" t="s">
        <v>44</v>
      </c>
    </row>
    <row r="4257" spans="1:14">
      <c r="A4257" s="36" t="s">
        <v>33</v>
      </c>
      <c r="B4257" s="37">
        <v>45322</v>
      </c>
      <c r="C4257" s="36" t="s">
        <v>1926</v>
      </c>
      <c r="D4257" s="36" t="s">
        <v>2093</v>
      </c>
      <c r="E4257" s="36" t="s">
        <v>1927</v>
      </c>
      <c r="G4257" s="87">
        <v>500000</v>
      </c>
      <c r="H4257" s="87">
        <v>50000</v>
      </c>
      <c r="I4257" s="87">
        <v>550000</v>
      </c>
      <c r="K4257" s="85">
        <v>2024</v>
      </c>
      <c r="L4257" s="85">
        <v>1</v>
      </c>
      <c r="N4257" s="1" t="s">
        <v>44</v>
      </c>
    </row>
    <row r="4258" spans="1:14">
      <c r="A4258" s="36" t="s">
        <v>33</v>
      </c>
      <c r="B4258" s="37">
        <v>45322</v>
      </c>
      <c r="C4258" s="36" t="s">
        <v>96</v>
      </c>
      <c r="D4258" s="36" t="s">
        <v>1928</v>
      </c>
      <c r="E4258" s="36" t="s">
        <v>97</v>
      </c>
      <c r="G4258" s="87">
        <v>990000</v>
      </c>
      <c r="H4258" s="87">
        <v>99000</v>
      </c>
      <c r="I4258" s="87">
        <v>1089000</v>
      </c>
      <c r="K4258" s="85">
        <v>2024</v>
      </c>
      <c r="L4258" s="85">
        <v>1</v>
      </c>
      <c r="N4258" s="1" t="s">
        <v>44</v>
      </c>
    </row>
    <row r="4259" spans="1:14">
      <c r="A4259" s="36" t="s">
        <v>33</v>
      </c>
      <c r="B4259" s="37">
        <v>45330</v>
      </c>
      <c r="C4259" s="36" t="s">
        <v>971</v>
      </c>
      <c r="D4259" s="36" t="s">
        <v>1890</v>
      </c>
      <c r="E4259" s="36" t="s">
        <v>148</v>
      </c>
      <c r="J4259" s="87">
        <v>3283280</v>
      </c>
      <c r="K4259" s="85">
        <v>2024</v>
      </c>
      <c r="L4259" s="85">
        <v>1</v>
      </c>
      <c r="N4259" s="1" t="s">
        <v>44</v>
      </c>
    </row>
    <row r="4260" spans="1:14">
      <c r="A4260" s="36" t="s">
        <v>33</v>
      </c>
      <c r="B4260" s="37">
        <v>45322</v>
      </c>
      <c r="C4260" s="36" t="s">
        <v>1391</v>
      </c>
      <c r="D4260" s="36" t="s">
        <v>1227</v>
      </c>
      <c r="E4260" s="36" t="s">
        <v>198</v>
      </c>
      <c r="G4260" s="87">
        <v>6788750</v>
      </c>
      <c r="H4260" s="87">
        <v>678875</v>
      </c>
      <c r="I4260" s="87">
        <v>7467625</v>
      </c>
      <c r="K4260" s="85">
        <v>2024</v>
      </c>
      <c r="L4260" s="85">
        <v>1</v>
      </c>
      <c r="N4260" s="1" t="s">
        <v>44</v>
      </c>
    </row>
    <row r="4261" spans="1:14">
      <c r="A4261" s="36" t="s">
        <v>33</v>
      </c>
      <c r="B4261" s="37">
        <v>45322</v>
      </c>
      <c r="C4261" s="36" t="s">
        <v>1218</v>
      </c>
      <c r="D4261" s="36" t="s">
        <v>1929</v>
      </c>
      <c r="E4261" s="36" t="s">
        <v>1492</v>
      </c>
      <c r="G4261" s="87">
        <v>15423000</v>
      </c>
      <c r="H4261" s="87">
        <v>1542300</v>
      </c>
      <c r="I4261" s="87">
        <v>16965300</v>
      </c>
      <c r="K4261" s="85">
        <v>2024</v>
      </c>
      <c r="L4261" s="85">
        <v>1</v>
      </c>
      <c r="N4261" s="1" t="s">
        <v>44</v>
      </c>
    </row>
    <row r="4262" spans="1:14">
      <c r="A4262" s="36" t="s">
        <v>33</v>
      </c>
      <c r="B4262" s="37">
        <v>45322</v>
      </c>
      <c r="C4262" s="36" t="s">
        <v>1852</v>
      </c>
      <c r="D4262" s="36" t="s">
        <v>1754</v>
      </c>
      <c r="E4262" s="36" t="s">
        <v>125</v>
      </c>
      <c r="G4262" s="87">
        <v>154000</v>
      </c>
      <c r="H4262" s="87">
        <v>15400</v>
      </c>
      <c r="I4262" s="87">
        <v>169400</v>
      </c>
      <c r="K4262" s="85">
        <v>2024</v>
      </c>
      <c r="L4262" s="85">
        <v>1</v>
      </c>
      <c r="N4262" s="1" t="s">
        <v>44</v>
      </c>
    </row>
    <row r="4263" spans="1:14">
      <c r="A4263" s="36" t="s">
        <v>33</v>
      </c>
      <c r="B4263" s="37">
        <v>45330</v>
      </c>
      <c r="C4263" s="36" t="s">
        <v>1439</v>
      </c>
      <c r="D4263" s="36" t="s">
        <v>1800</v>
      </c>
      <c r="E4263" s="36" t="s">
        <v>157</v>
      </c>
      <c r="G4263" s="87">
        <v>210000</v>
      </c>
      <c r="H4263" s="87">
        <v>21000</v>
      </c>
      <c r="I4263" s="87">
        <v>231000</v>
      </c>
      <c r="K4263" s="85">
        <v>2024</v>
      </c>
      <c r="L4263" s="85">
        <v>1</v>
      </c>
      <c r="N4263" s="1" t="s">
        <v>44</v>
      </c>
    </row>
    <row r="4264" spans="1:14">
      <c r="A4264" s="36" t="s">
        <v>32</v>
      </c>
      <c r="B4264" s="37">
        <v>45322</v>
      </c>
      <c r="C4264" s="36" t="s">
        <v>654</v>
      </c>
      <c r="D4264" s="36" t="s">
        <v>1898</v>
      </c>
      <c r="E4264" s="36" t="s">
        <v>77</v>
      </c>
      <c r="J4264" s="38">
        <v>201899700</v>
      </c>
      <c r="K4264" s="85">
        <v>2024</v>
      </c>
      <c r="L4264" s="85">
        <v>1</v>
      </c>
      <c r="N4264" s="1" t="s">
        <v>44</v>
      </c>
    </row>
    <row r="4265" spans="1:14">
      <c r="A4265" s="36" t="s">
        <v>32</v>
      </c>
      <c r="B4265" s="37">
        <v>45330</v>
      </c>
      <c r="C4265" s="36" t="s">
        <v>654</v>
      </c>
      <c r="D4265" s="36" t="s">
        <v>1901</v>
      </c>
      <c r="E4265" s="36" t="s">
        <v>77</v>
      </c>
      <c r="J4265" s="38">
        <v>39880220</v>
      </c>
      <c r="K4265" s="85">
        <v>2024</v>
      </c>
      <c r="L4265" s="85">
        <v>1</v>
      </c>
      <c r="M4265" s="36" t="s">
        <v>2239</v>
      </c>
      <c r="N4265" s="1" t="s">
        <v>44</v>
      </c>
    </row>
    <row r="4266" spans="1:14">
      <c r="A4266" s="36" t="s">
        <v>32</v>
      </c>
      <c r="B4266" s="37">
        <v>45322</v>
      </c>
      <c r="C4266" s="36" t="s">
        <v>1933</v>
      </c>
      <c r="D4266" s="36" t="s">
        <v>2097</v>
      </c>
      <c r="E4266" s="36" t="s">
        <v>267</v>
      </c>
      <c r="G4266" s="87">
        <v>18900000</v>
      </c>
      <c r="H4266" s="87">
        <v>1890000</v>
      </c>
      <c r="I4266" s="87">
        <v>20790000</v>
      </c>
      <c r="K4266" s="85">
        <v>2024</v>
      </c>
      <c r="L4266" s="85">
        <v>1</v>
      </c>
      <c r="N4266" s="1" t="s">
        <v>44</v>
      </c>
    </row>
    <row r="4267" spans="1:14">
      <c r="A4267" s="36" t="s">
        <v>32</v>
      </c>
      <c r="B4267" s="37">
        <v>45322</v>
      </c>
      <c r="C4267" s="36" t="s">
        <v>1468</v>
      </c>
      <c r="D4267" s="36" t="s">
        <v>1915</v>
      </c>
      <c r="E4267" s="36" t="s">
        <v>267</v>
      </c>
      <c r="G4267" s="87">
        <v>15736550</v>
      </c>
      <c r="H4267" s="87">
        <v>1573655</v>
      </c>
      <c r="I4267" s="87">
        <v>17310205</v>
      </c>
      <c r="K4267" s="85">
        <v>2024</v>
      </c>
      <c r="L4267" s="85">
        <v>1</v>
      </c>
      <c r="N4267" s="1" t="s">
        <v>44</v>
      </c>
    </row>
    <row r="4268" spans="1:14">
      <c r="A4268" s="36" t="s">
        <v>32</v>
      </c>
      <c r="B4268" s="37">
        <v>45322</v>
      </c>
      <c r="C4268" s="36" t="s">
        <v>1468</v>
      </c>
      <c r="D4268" s="36" t="s">
        <v>1849</v>
      </c>
      <c r="E4268" s="36" t="s">
        <v>267</v>
      </c>
      <c r="G4268" s="87">
        <v>5320300</v>
      </c>
      <c r="H4268" s="87">
        <v>532030</v>
      </c>
      <c r="I4268" s="87">
        <v>5852330</v>
      </c>
      <c r="K4268" s="85">
        <v>2024</v>
      </c>
      <c r="L4268" s="85">
        <v>1</v>
      </c>
      <c r="N4268" s="1" t="s">
        <v>44</v>
      </c>
    </row>
    <row r="4269" spans="1:14">
      <c r="A4269" s="36" t="s">
        <v>32</v>
      </c>
      <c r="B4269" s="37">
        <v>45322</v>
      </c>
      <c r="C4269" s="36" t="s">
        <v>1468</v>
      </c>
      <c r="D4269" s="36" t="s">
        <v>1800</v>
      </c>
      <c r="E4269" s="36" t="s">
        <v>267</v>
      </c>
      <c r="G4269" s="87">
        <v>9001800</v>
      </c>
      <c r="H4269" s="87">
        <v>900180</v>
      </c>
      <c r="I4269" s="87">
        <v>9901980</v>
      </c>
      <c r="K4269" s="85">
        <v>2024</v>
      </c>
      <c r="L4269" s="85">
        <v>1</v>
      </c>
      <c r="N4269" s="1" t="s">
        <v>44</v>
      </c>
    </row>
    <row r="4270" spans="1:14">
      <c r="A4270" s="36" t="s">
        <v>32</v>
      </c>
      <c r="B4270" s="37">
        <v>45322</v>
      </c>
      <c r="C4270" s="36" t="s">
        <v>1587</v>
      </c>
      <c r="D4270" s="36" t="s">
        <v>1865</v>
      </c>
      <c r="E4270" s="36" t="s">
        <v>76</v>
      </c>
      <c r="G4270" s="87">
        <v>1836000</v>
      </c>
      <c r="H4270" s="87">
        <v>183600</v>
      </c>
      <c r="I4270" s="87">
        <v>2019600</v>
      </c>
      <c r="K4270" s="85">
        <v>2024</v>
      </c>
      <c r="L4270" s="85">
        <v>1</v>
      </c>
      <c r="N4270" s="1" t="s">
        <v>44</v>
      </c>
    </row>
    <row r="4271" spans="1:14">
      <c r="A4271" s="36" t="s">
        <v>32</v>
      </c>
      <c r="B4271" s="37">
        <v>45322</v>
      </c>
      <c r="C4271" s="36" t="s">
        <v>1934</v>
      </c>
      <c r="D4271" s="36" t="s">
        <v>1936</v>
      </c>
      <c r="E4271" s="36" t="s">
        <v>1951</v>
      </c>
      <c r="G4271" s="87">
        <v>5166300</v>
      </c>
      <c r="H4271" s="87">
        <v>516630</v>
      </c>
      <c r="I4271" s="87">
        <v>5682930</v>
      </c>
      <c r="K4271" s="85">
        <v>2024</v>
      </c>
      <c r="L4271" s="85">
        <v>1</v>
      </c>
      <c r="N4271" s="1" t="s">
        <v>44</v>
      </c>
    </row>
    <row r="4272" spans="1:14">
      <c r="A4272" s="36" t="s">
        <v>32</v>
      </c>
      <c r="B4272" s="37">
        <v>45322</v>
      </c>
      <c r="C4272" s="36" t="s">
        <v>209</v>
      </c>
      <c r="D4272" s="36" t="s">
        <v>1699</v>
      </c>
      <c r="E4272" s="36" t="s">
        <v>76</v>
      </c>
      <c r="G4272" s="87">
        <v>17575800</v>
      </c>
      <c r="H4272" s="87">
        <v>1757580</v>
      </c>
      <c r="I4272" s="87">
        <v>19333380</v>
      </c>
      <c r="K4272" s="85">
        <v>2024</v>
      </c>
      <c r="L4272" s="85">
        <v>1</v>
      </c>
      <c r="N4272" s="1" t="s">
        <v>44</v>
      </c>
    </row>
    <row r="4273" spans="1:14">
      <c r="A4273" s="36" t="s">
        <v>32</v>
      </c>
      <c r="B4273" s="37">
        <v>45322</v>
      </c>
      <c r="C4273" s="36" t="s">
        <v>209</v>
      </c>
      <c r="D4273" s="36" t="s">
        <v>1885</v>
      </c>
      <c r="E4273" s="36" t="s">
        <v>1492</v>
      </c>
      <c r="G4273" s="87">
        <v>7603400</v>
      </c>
      <c r="H4273" s="87">
        <v>760340</v>
      </c>
      <c r="I4273" s="87">
        <v>8363740</v>
      </c>
      <c r="K4273" s="85">
        <v>2024</v>
      </c>
      <c r="L4273" s="85">
        <v>1</v>
      </c>
      <c r="N4273" s="1" t="s">
        <v>44</v>
      </c>
    </row>
    <row r="4274" spans="1:14">
      <c r="A4274" s="36" t="s">
        <v>32</v>
      </c>
      <c r="B4274" s="37">
        <v>45322</v>
      </c>
      <c r="C4274" s="36" t="s">
        <v>209</v>
      </c>
      <c r="D4274" s="36" t="s">
        <v>2001</v>
      </c>
      <c r="E4274" s="36" t="s">
        <v>76</v>
      </c>
      <c r="G4274" s="87">
        <v>6008000</v>
      </c>
      <c r="H4274" s="87">
        <v>600800</v>
      </c>
      <c r="I4274" s="87">
        <v>6608800</v>
      </c>
      <c r="K4274" s="85">
        <v>2024</v>
      </c>
      <c r="L4274" s="85">
        <v>1</v>
      </c>
      <c r="N4274" s="1" t="s">
        <v>44</v>
      </c>
    </row>
    <row r="4275" spans="1:14">
      <c r="A4275" s="36" t="s">
        <v>32</v>
      </c>
      <c r="B4275" s="37">
        <v>45323</v>
      </c>
      <c r="C4275" s="36" t="s">
        <v>209</v>
      </c>
      <c r="D4275" s="36" t="s">
        <v>2035</v>
      </c>
      <c r="E4275" s="36" t="s">
        <v>76</v>
      </c>
      <c r="G4275" s="87">
        <v>174860000</v>
      </c>
      <c r="H4275" s="87">
        <v>17486000</v>
      </c>
      <c r="I4275" s="87">
        <v>192346000</v>
      </c>
      <c r="K4275" s="85">
        <v>2024</v>
      </c>
      <c r="L4275" s="85">
        <v>2</v>
      </c>
      <c r="M4275" s="36" t="s">
        <v>1952</v>
      </c>
      <c r="N4275" s="1" t="s">
        <v>44</v>
      </c>
    </row>
    <row r="4276" spans="1:14">
      <c r="A4276" s="36" t="s">
        <v>32</v>
      </c>
      <c r="B4276" s="37">
        <v>45322</v>
      </c>
      <c r="C4276" s="36" t="s">
        <v>209</v>
      </c>
      <c r="D4276" s="36" t="s">
        <v>1892</v>
      </c>
      <c r="E4276" s="36" t="s">
        <v>1492</v>
      </c>
      <c r="G4276" s="87">
        <v>55671100</v>
      </c>
      <c r="H4276" s="87">
        <v>5567110</v>
      </c>
      <c r="I4276" s="87">
        <v>61238210</v>
      </c>
      <c r="K4276" s="85">
        <v>2024</v>
      </c>
      <c r="L4276" s="85">
        <v>1</v>
      </c>
      <c r="N4276" s="1" t="s">
        <v>44</v>
      </c>
    </row>
    <row r="4277" spans="1:14">
      <c r="A4277" s="36" t="s">
        <v>32</v>
      </c>
      <c r="B4277" s="37">
        <v>45322</v>
      </c>
      <c r="C4277" s="36" t="s">
        <v>209</v>
      </c>
      <c r="D4277" s="36" t="s">
        <v>1866</v>
      </c>
      <c r="E4277" s="36" t="s">
        <v>76</v>
      </c>
      <c r="G4277" s="87">
        <v>10710300</v>
      </c>
      <c r="H4277" s="87">
        <v>1071030</v>
      </c>
      <c r="I4277" s="87">
        <v>11781330</v>
      </c>
      <c r="K4277" s="85">
        <v>2024</v>
      </c>
      <c r="L4277" s="85">
        <v>1</v>
      </c>
      <c r="N4277" s="1" t="s">
        <v>44</v>
      </c>
    </row>
    <row r="4278" spans="1:14">
      <c r="A4278" s="36" t="s">
        <v>32</v>
      </c>
      <c r="B4278" s="37">
        <v>45322</v>
      </c>
      <c r="C4278" s="36" t="s">
        <v>1332</v>
      </c>
      <c r="D4278" s="36" t="s">
        <v>1867</v>
      </c>
      <c r="E4278" s="36" t="s">
        <v>76</v>
      </c>
      <c r="G4278" s="87">
        <v>38205000</v>
      </c>
      <c r="H4278" s="87">
        <v>3820500</v>
      </c>
      <c r="I4278" s="87">
        <v>42025500</v>
      </c>
      <c r="K4278" s="85">
        <v>2024</v>
      </c>
      <c r="L4278" s="85">
        <v>1</v>
      </c>
      <c r="N4278" s="1" t="s">
        <v>44</v>
      </c>
    </row>
    <row r="4279" spans="1:14">
      <c r="A4279" s="36" t="s">
        <v>32</v>
      </c>
      <c r="B4279" s="37">
        <v>45322</v>
      </c>
      <c r="C4279" s="36" t="s">
        <v>1467</v>
      </c>
      <c r="D4279" s="36" t="s">
        <v>1750</v>
      </c>
      <c r="E4279" s="36" t="s">
        <v>76</v>
      </c>
      <c r="G4279" s="87">
        <v>15345000</v>
      </c>
      <c r="H4279" s="87">
        <v>1534500</v>
      </c>
      <c r="I4279" s="87">
        <v>16879500</v>
      </c>
      <c r="K4279" s="85">
        <v>2024</v>
      </c>
      <c r="L4279" s="85">
        <v>1</v>
      </c>
      <c r="N4279" s="1" t="s">
        <v>44</v>
      </c>
    </row>
    <row r="4280" spans="1:14">
      <c r="A4280" s="36" t="s">
        <v>32</v>
      </c>
      <c r="B4280" s="37">
        <v>45322</v>
      </c>
      <c r="C4280" s="36" t="s">
        <v>1662</v>
      </c>
      <c r="D4280" s="36" t="s">
        <v>1819</v>
      </c>
      <c r="E4280" s="36" t="s">
        <v>267</v>
      </c>
      <c r="G4280" s="87">
        <v>21669100</v>
      </c>
      <c r="H4280" s="87">
        <v>2166910</v>
      </c>
      <c r="I4280" s="87">
        <v>23836010</v>
      </c>
      <c r="K4280" s="85">
        <v>2024</v>
      </c>
      <c r="L4280" s="85">
        <v>1</v>
      </c>
      <c r="N4280" s="1" t="s">
        <v>44</v>
      </c>
    </row>
    <row r="4281" spans="1:14">
      <c r="A4281" s="36" t="s">
        <v>32</v>
      </c>
      <c r="B4281" s="37">
        <v>45322</v>
      </c>
      <c r="C4281" s="36" t="s">
        <v>552</v>
      </c>
      <c r="D4281" s="36" t="s">
        <v>1820</v>
      </c>
      <c r="E4281" s="36" t="s">
        <v>76</v>
      </c>
      <c r="G4281" s="87">
        <v>10726700</v>
      </c>
      <c r="H4281" s="87">
        <v>1072670</v>
      </c>
      <c r="I4281" s="87">
        <v>11799370</v>
      </c>
      <c r="K4281" s="85">
        <v>2024</v>
      </c>
      <c r="L4281" s="85">
        <v>1</v>
      </c>
      <c r="N4281" s="1" t="s">
        <v>44</v>
      </c>
    </row>
    <row r="4282" spans="1:14">
      <c r="A4282" s="36" t="s">
        <v>32</v>
      </c>
      <c r="B4282" s="37">
        <v>45322</v>
      </c>
      <c r="C4282" s="36" t="s">
        <v>1218</v>
      </c>
      <c r="D4282" s="36" t="s">
        <v>1937</v>
      </c>
      <c r="E4282" s="36" t="s">
        <v>267</v>
      </c>
      <c r="G4282" s="87">
        <v>2800000</v>
      </c>
      <c r="H4282" s="87">
        <v>280000</v>
      </c>
      <c r="I4282" s="87">
        <v>3080000</v>
      </c>
      <c r="K4282" s="85">
        <v>2024</v>
      </c>
      <c r="L4282" s="85">
        <v>1</v>
      </c>
      <c r="N4282" s="1" t="s">
        <v>44</v>
      </c>
    </row>
    <row r="4283" spans="1:14">
      <c r="A4283" s="36" t="s">
        <v>32</v>
      </c>
      <c r="B4283" s="37">
        <v>45322</v>
      </c>
      <c r="C4283" s="36" t="s">
        <v>291</v>
      </c>
      <c r="D4283" s="36" t="s">
        <v>1938</v>
      </c>
      <c r="E4283" s="36" t="s">
        <v>76</v>
      </c>
      <c r="G4283" s="87">
        <v>28248000</v>
      </c>
      <c r="H4283" s="87">
        <v>2824800</v>
      </c>
      <c r="I4283" s="87">
        <v>31072800</v>
      </c>
      <c r="K4283" s="85">
        <v>2024</v>
      </c>
      <c r="L4283" s="85">
        <v>1</v>
      </c>
      <c r="N4283" s="1" t="s">
        <v>44</v>
      </c>
    </row>
    <row r="4284" spans="1:14">
      <c r="A4284" s="36" t="s">
        <v>32</v>
      </c>
      <c r="B4284" s="37">
        <v>45322</v>
      </c>
      <c r="C4284" s="36" t="s">
        <v>1464</v>
      </c>
      <c r="D4284" s="36" t="s">
        <v>1939</v>
      </c>
      <c r="E4284" s="36" t="s">
        <v>267</v>
      </c>
      <c r="G4284" s="87">
        <v>4944000</v>
      </c>
      <c r="H4284" s="87">
        <v>494400</v>
      </c>
      <c r="I4284" s="87">
        <v>5438400</v>
      </c>
      <c r="K4284" s="85">
        <v>2024</v>
      </c>
      <c r="L4284" s="85">
        <v>1</v>
      </c>
      <c r="N4284" s="1" t="s">
        <v>44</v>
      </c>
    </row>
    <row r="4285" spans="1:14">
      <c r="A4285" s="36" t="s">
        <v>32</v>
      </c>
      <c r="B4285" s="37">
        <v>45322</v>
      </c>
      <c r="C4285" s="36" t="s">
        <v>307</v>
      </c>
      <c r="D4285" s="36" t="s">
        <v>1752</v>
      </c>
      <c r="E4285" s="36" t="s">
        <v>76</v>
      </c>
      <c r="G4285" s="87">
        <v>5878600</v>
      </c>
      <c r="H4285" s="87">
        <v>587860</v>
      </c>
      <c r="I4285" s="87">
        <v>6466460</v>
      </c>
      <c r="K4285" s="85">
        <v>2024</v>
      </c>
      <c r="L4285" s="85">
        <v>1</v>
      </c>
      <c r="N4285" s="1" t="s">
        <v>44</v>
      </c>
    </row>
    <row r="4286" spans="1:14">
      <c r="A4286" s="36" t="s">
        <v>32</v>
      </c>
      <c r="B4286" s="37">
        <v>45322</v>
      </c>
      <c r="C4286" s="36" t="s">
        <v>654</v>
      </c>
      <c r="D4286" s="36" t="s">
        <v>1940</v>
      </c>
      <c r="E4286" s="36" t="s">
        <v>76</v>
      </c>
      <c r="G4286" s="87">
        <v>52128380</v>
      </c>
      <c r="H4286" s="87">
        <v>5212838</v>
      </c>
      <c r="I4286" s="87">
        <v>57341218</v>
      </c>
      <c r="K4286" s="85">
        <v>2024</v>
      </c>
      <c r="L4286" s="85">
        <v>1</v>
      </c>
      <c r="N4286" s="1" t="s">
        <v>44</v>
      </c>
    </row>
    <row r="4287" spans="1:14">
      <c r="A4287" s="36" t="s">
        <v>32</v>
      </c>
      <c r="B4287" s="37">
        <v>45322</v>
      </c>
      <c r="C4287" s="36" t="s">
        <v>654</v>
      </c>
      <c r="D4287" s="36" t="s">
        <v>1941</v>
      </c>
      <c r="E4287" s="36" t="s">
        <v>76</v>
      </c>
      <c r="G4287" s="87">
        <v>2200700</v>
      </c>
      <c r="H4287" s="87">
        <v>220070</v>
      </c>
      <c r="I4287" s="87">
        <v>2420770</v>
      </c>
      <c r="K4287" s="85">
        <v>2024</v>
      </c>
      <c r="L4287" s="85">
        <v>1</v>
      </c>
      <c r="N4287" s="1" t="s">
        <v>44</v>
      </c>
    </row>
    <row r="4288" spans="1:14">
      <c r="A4288" s="36" t="s">
        <v>32</v>
      </c>
      <c r="B4288" s="37">
        <v>45322</v>
      </c>
      <c r="C4288" s="36" t="s">
        <v>654</v>
      </c>
      <c r="D4288" s="36" t="s">
        <v>1942</v>
      </c>
      <c r="E4288" s="36" t="s">
        <v>76</v>
      </c>
      <c r="G4288" s="87">
        <v>254078700</v>
      </c>
      <c r="H4288" s="87">
        <v>25407870</v>
      </c>
      <c r="I4288" s="87">
        <v>279486570</v>
      </c>
      <c r="K4288" s="85">
        <v>2024</v>
      </c>
      <c r="L4288" s="85">
        <v>1</v>
      </c>
      <c r="N4288" s="1" t="s">
        <v>44</v>
      </c>
    </row>
    <row r="4289" spans="1:14">
      <c r="A4289" s="36" t="s">
        <v>32</v>
      </c>
      <c r="B4289" s="37">
        <v>45322</v>
      </c>
      <c r="C4289" s="36" t="s">
        <v>654</v>
      </c>
      <c r="D4289" s="36" t="s">
        <v>1943</v>
      </c>
      <c r="E4289" s="36" t="s">
        <v>76</v>
      </c>
      <c r="G4289" s="87">
        <v>24921600</v>
      </c>
      <c r="H4289" s="87">
        <v>2492160</v>
      </c>
      <c r="I4289" s="87">
        <v>27413760</v>
      </c>
      <c r="K4289" s="85">
        <v>2024</v>
      </c>
      <c r="L4289" s="85">
        <v>1</v>
      </c>
      <c r="N4289" s="1" t="s">
        <v>44</v>
      </c>
    </row>
    <row r="4290" spans="1:14">
      <c r="A4290" s="36" t="s">
        <v>32</v>
      </c>
      <c r="B4290" s="37">
        <v>45322</v>
      </c>
      <c r="C4290" s="36" t="s">
        <v>654</v>
      </c>
      <c r="D4290" s="36" t="s">
        <v>1944</v>
      </c>
      <c r="E4290" s="36" t="s">
        <v>76</v>
      </c>
      <c r="G4290" s="87">
        <v>13776400</v>
      </c>
      <c r="H4290" s="87">
        <v>1377640</v>
      </c>
      <c r="I4290" s="87">
        <v>15154040</v>
      </c>
      <c r="K4290" s="85">
        <v>2024</v>
      </c>
      <c r="L4290" s="85">
        <v>1</v>
      </c>
      <c r="N4290" s="1" t="s">
        <v>44</v>
      </c>
    </row>
    <row r="4291" spans="1:14">
      <c r="A4291" s="36" t="s">
        <v>32</v>
      </c>
      <c r="B4291" s="37">
        <v>45322</v>
      </c>
      <c r="C4291" s="36" t="s">
        <v>654</v>
      </c>
      <c r="D4291" s="36" t="s">
        <v>1945</v>
      </c>
      <c r="E4291" s="36" t="s">
        <v>267</v>
      </c>
      <c r="G4291" s="87">
        <v>32245800</v>
      </c>
      <c r="H4291" s="87">
        <v>3224580</v>
      </c>
      <c r="I4291" s="87">
        <v>35470380</v>
      </c>
      <c r="K4291" s="85">
        <v>2024</v>
      </c>
      <c r="L4291" s="85">
        <v>1</v>
      </c>
      <c r="N4291" s="1" t="s">
        <v>44</v>
      </c>
    </row>
    <row r="4292" spans="1:14">
      <c r="A4292" s="36" t="s">
        <v>32</v>
      </c>
      <c r="B4292" s="37">
        <v>45322</v>
      </c>
      <c r="C4292" s="36" t="s">
        <v>1810</v>
      </c>
      <c r="D4292" s="36" t="s">
        <v>1946</v>
      </c>
      <c r="E4292" s="36" t="s">
        <v>76</v>
      </c>
      <c r="G4292" s="87">
        <v>161890800</v>
      </c>
      <c r="H4292" s="87">
        <v>16189080</v>
      </c>
      <c r="I4292" s="87">
        <v>178079880</v>
      </c>
      <c r="K4292" s="85">
        <v>2024</v>
      </c>
      <c r="L4292" s="85">
        <v>1</v>
      </c>
      <c r="N4292" s="1" t="s">
        <v>44</v>
      </c>
    </row>
    <row r="4293" spans="1:14">
      <c r="A4293" s="36" t="s">
        <v>32</v>
      </c>
      <c r="B4293" s="37">
        <v>45322</v>
      </c>
      <c r="C4293" s="36" t="s">
        <v>1467</v>
      </c>
      <c r="D4293" s="36" t="s">
        <v>1814</v>
      </c>
      <c r="E4293" s="36" t="s">
        <v>76</v>
      </c>
      <c r="G4293" s="87">
        <v>37035000</v>
      </c>
      <c r="H4293" s="87">
        <v>3703500</v>
      </c>
      <c r="I4293" s="87">
        <v>40738500</v>
      </c>
      <c r="K4293" s="85">
        <v>2024</v>
      </c>
      <c r="L4293" s="85">
        <v>1</v>
      </c>
      <c r="N4293" s="1" t="s">
        <v>44</v>
      </c>
    </row>
    <row r="4294" spans="1:14">
      <c r="A4294" s="36" t="s">
        <v>32</v>
      </c>
      <c r="B4294" s="37">
        <v>45322</v>
      </c>
      <c r="C4294" s="36" t="s">
        <v>1935</v>
      </c>
      <c r="D4294" s="36" t="s">
        <v>1947</v>
      </c>
      <c r="E4294" s="36" t="s">
        <v>1767</v>
      </c>
      <c r="G4294" s="87">
        <v>4290000</v>
      </c>
      <c r="H4294" s="87">
        <v>429000</v>
      </c>
      <c r="I4294" s="87">
        <v>4719000</v>
      </c>
      <c r="K4294" s="85">
        <v>2024</v>
      </c>
      <c r="L4294" s="85">
        <v>1</v>
      </c>
      <c r="N4294" s="1" t="s">
        <v>44</v>
      </c>
    </row>
    <row r="4295" spans="1:14">
      <c r="A4295" s="36" t="s">
        <v>32</v>
      </c>
      <c r="B4295" s="37">
        <v>45322</v>
      </c>
      <c r="C4295" s="36" t="s">
        <v>1470</v>
      </c>
      <c r="D4295" s="36" t="s">
        <v>1821</v>
      </c>
      <c r="E4295" s="36" t="s">
        <v>76</v>
      </c>
      <c r="G4295" s="87">
        <v>35728440</v>
      </c>
      <c r="H4295" s="87">
        <v>3572844</v>
      </c>
      <c r="I4295" s="87">
        <v>39301284</v>
      </c>
      <c r="K4295" s="85">
        <v>2024</v>
      </c>
      <c r="L4295" s="85">
        <v>1</v>
      </c>
      <c r="N4295" s="1" t="s">
        <v>44</v>
      </c>
    </row>
    <row r="4296" spans="1:14">
      <c r="A4296" s="36" t="s">
        <v>32</v>
      </c>
      <c r="B4296" s="37">
        <v>45322</v>
      </c>
      <c r="C4296" s="36" t="s">
        <v>1198</v>
      </c>
      <c r="D4296" s="36" t="s">
        <v>1758</v>
      </c>
      <c r="E4296" s="36" t="s">
        <v>76</v>
      </c>
      <c r="G4296" s="87">
        <v>6545000</v>
      </c>
      <c r="H4296" s="87">
        <v>654500</v>
      </c>
      <c r="I4296" s="87">
        <v>7199500</v>
      </c>
      <c r="K4296" s="85">
        <v>2024</v>
      </c>
      <c r="L4296" s="85">
        <v>1</v>
      </c>
      <c r="N4296" s="1" t="s">
        <v>44</v>
      </c>
    </row>
    <row r="4297" spans="1:14">
      <c r="A4297" s="36" t="s">
        <v>32</v>
      </c>
      <c r="B4297" s="37">
        <v>45322</v>
      </c>
      <c r="C4297" s="36" t="s">
        <v>1198</v>
      </c>
      <c r="D4297" s="36" t="s">
        <v>1812</v>
      </c>
      <c r="E4297" s="36" t="s">
        <v>76</v>
      </c>
      <c r="G4297" s="87">
        <v>11526000</v>
      </c>
      <c r="H4297" s="87">
        <v>1152600</v>
      </c>
      <c r="I4297" s="87">
        <v>12678600</v>
      </c>
      <c r="K4297" s="85">
        <v>2024</v>
      </c>
      <c r="L4297" s="85">
        <v>1</v>
      </c>
      <c r="N4297" s="1" t="s">
        <v>44</v>
      </c>
    </row>
    <row r="4298" spans="1:14">
      <c r="A4298" s="36" t="s">
        <v>32</v>
      </c>
      <c r="B4298" s="37">
        <v>45322</v>
      </c>
      <c r="C4298" s="36" t="s">
        <v>264</v>
      </c>
      <c r="D4298" s="36" t="s">
        <v>1948</v>
      </c>
      <c r="E4298" s="36" t="s">
        <v>76</v>
      </c>
      <c r="G4298" s="87">
        <v>23400000</v>
      </c>
      <c r="H4298" s="87">
        <v>2340000</v>
      </c>
      <c r="I4298" s="87">
        <v>25740000</v>
      </c>
      <c r="K4298" s="85">
        <v>2024</v>
      </c>
      <c r="L4298" s="85">
        <v>1</v>
      </c>
      <c r="N4298" s="1" t="s">
        <v>44</v>
      </c>
    </row>
    <row r="4299" spans="1:14">
      <c r="A4299" s="36" t="s">
        <v>32</v>
      </c>
      <c r="B4299" s="37">
        <v>45322</v>
      </c>
      <c r="C4299" s="36" t="s">
        <v>288</v>
      </c>
      <c r="D4299" s="36" t="s">
        <v>1949</v>
      </c>
      <c r="E4299" s="36" t="s">
        <v>267</v>
      </c>
      <c r="G4299" s="87">
        <v>94388760</v>
      </c>
      <c r="H4299" s="87">
        <v>9438876</v>
      </c>
      <c r="I4299" s="87">
        <v>103827636</v>
      </c>
      <c r="K4299" s="85">
        <v>2024</v>
      </c>
      <c r="L4299" s="85">
        <v>1</v>
      </c>
      <c r="N4299" s="1" t="s">
        <v>44</v>
      </c>
    </row>
    <row r="4300" spans="1:14">
      <c r="A4300" s="36" t="s">
        <v>32</v>
      </c>
      <c r="B4300" s="37">
        <v>45322</v>
      </c>
      <c r="C4300" s="36" t="s">
        <v>1862</v>
      </c>
      <c r="D4300" s="36" t="s">
        <v>1874</v>
      </c>
      <c r="E4300" s="36" t="s">
        <v>76</v>
      </c>
      <c r="G4300" s="87">
        <v>16605000</v>
      </c>
      <c r="H4300" s="87">
        <v>1660500</v>
      </c>
      <c r="I4300" s="87">
        <v>18265500</v>
      </c>
      <c r="K4300" s="85">
        <v>2024</v>
      </c>
      <c r="L4300" s="85">
        <v>1</v>
      </c>
      <c r="N4300" s="1" t="s">
        <v>44</v>
      </c>
    </row>
    <row r="4301" spans="1:14">
      <c r="A4301" s="36" t="s">
        <v>32</v>
      </c>
      <c r="B4301" s="37">
        <v>45322</v>
      </c>
      <c r="C4301" s="36" t="s">
        <v>989</v>
      </c>
      <c r="D4301" s="36" t="s">
        <v>1950</v>
      </c>
      <c r="E4301" s="36" t="s">
        <v>76</v>
      </c>
      <c r="G4301" s="87">
        <v>6532000</v>
      </c>
      <c r="H4301" s="87">
        <v>653200</v>
      </c>
      <c r="I4301" s="87">
        <v>7185200</v>
      </c>
      <c r="K4301" s="85">
        <v>2024</v>
      </c>
      <c r="L4301" s="85">
        <v>1</v>
      </c>
      <c r="N4301" s="1" t="s">
        <v>44</v>
      </c>
    </row>
    <row r="4302" spans="1:14">
      <c r="A4302" s="36" t="s">
        <v>32</v>
      </c>
      <c r="B4302" s="37">
        <v>45335</v>
      </c>
      <c r="C4302" s="36" t="s">
        <v>1468</v>
      </c>
      <c r="D4302" s="36" t="s">
        <v>1849</v>
      </c>
      <c r="E4302" s="36" t="s">
        <v>77</v>
      </c>
      <c r="J4302" s="38">
        <v>5852330</v>
      </c>
      <c r="K4302" s="85">
        <v>2024</v>
      </c>
      <c r="L4302" s="85">
        <v>1</v>
      </c>
      <c r="N4302" s="1" t="s">
        <v>44</v>
      </c>
    </row>
    <row r="4303" spans="1:14">
      <c r="A4303" s="36" t="s">
        <v>32</v>
      </c>
      <c r="B4303" s="37">
        <v>45328</v>
      </c>
      <c r="C4303" s="36" t="s">
        <v>1934</v>
      </c>
      <c r="D4303" s="36" t="s">
        <v>1936</v>
      </c>
      <c r="E4303" s="36" t="s">
        <v>77</v>
      </c>
      <c r="J4303" s="38">
        <v>5682930</v>
      </c>
      <c r="K4303" s="85">
        <v>2024</v>
      </c>
      <c r="L4303" s="85">
        <v>1</v>
      </c>
      <c r="N4303" s="1" t="s">
        <v>44</v>
      </c>
    </row>
    <row r="4304" spans="1:14">
      <c r="A4304" s="36" t="s">
        <v>32</v>
      </c>
      <c r="B4304" s="37">
        <v>45322</v>
      </c>
      <c r="C4304" s="36" t="s">
        <v>209</v>
      </c>
      <c r="D4304" s="36" t="s">
        <v>1866</v>
      </c>
      <c r="E4304" s="36" t="s">
        <v>77</v>
      </c>
      <c r="J4304" s="38">
        <v>11781330</v>
      </c>
      <c r="K4304" s="85">
        <v>2024</v>
      </c>
      <c r="L4304" s="85">
        <v>1</v>
      </c>
      <c r="N4304" s="1" t="s">
        <v>44</v>
      </c>
    </row>
    <row r="4305" spans="1:14">
      <c r="A4305" s="36" t="s">
        <v>32</v>
      </c>
      <c r="B4305" s="37">
        <v>45328</v>
      </c>
      <c r="C4305" s="36" t="s">
        <v>1935</v>
      </c>
      <c r="D4305" s="36" t="s">
        <v>1947</v>
      </c>
      <c r="E4305" s="36" t="s">
        <v>77</v>
      </c>
      <c r="J4305" s="38">
        <v>4719000</v>
      </c>
      <c r="K4305" s="85">
        <v>2024</v>
      </c>
      <c r="L4305" s="85">
        <v>1</v>
      </c>
      <c r="N4305" s="1" t="s">
        <v>44</v>
      </c>
    </row>
    <row r="4306" spans="1:14">
      <c r="A4306" s="36" t="s">
        <v>32</v>
      </c>
      <c r="B4306" s="37">
        <v>45329</v>
      </c>
      <c r="C4306" s="36" t="s">
        <v>1198</v>
      </c>
      <c r="D4306" s="36" t="s">
        <v>1758</v>
      </c>
      <c r="E4306" s="36" t="s">
        <v>77</v>
      </c>
      <c r="J4306" s="38">
        <v>7199500</v>
      </c>
      <c r="K4306" s="85">
        <v>2024</v>
      </c>
      <c r="L4306" s="85">
        <v>1</v>
      </c>
      <c r="N4306" s="1" t="s">
        <v>44</v>
      </c>
    </row>
    <row r="4307" spans="1:14">
      <c r="A4307" s="36" t="s">
        <v>32</v>
      </c>
      <c r="B4307" s="37">
        <v>45330</v>
      </c>
      <c r="C4307" s="36" t="s">
        <v>1198</v>
      </c>
      <c r="D4307" s="36" t="s">
        <v>1812</v>
      </c>
      <c r="E4307" s="36" t="s">
        <v>77</v>
      </c>
      <c r="J4307" s="38">
        <v>12678600</v>
      </c>
      <c r="K4307" s="85">
        <v>2024</v>
      </c>
      <c r="L4307" s="85">
        <v>1</v>
      </c>
      <c r="N4307" s="1" t="s">
        <v>44</v>
      </c>
    </row>
    <row r="4308" spans="1:14">
      <c r="A4308" s="36" t="s">
        <v>32</v>
      </c>
      <c r="B4308" s="37">
        <v>45316</v>
      </c>
      <c r="C4308" s="36" t="s">
        <v>1332</v>
      </c>
      <c r="D4308" s="36" t="s">
        <v>1867</v>
      </c>
      <c r="E4308" s="36" t="s">
        <v>148</v>
      </c>
      <c r="J4308" s="87">
        <v>30591000</v>
      </c>
      <c r="K4308" s="85">
        <v>2023</v>
      </c>
      <c r="L4308" s="85">
        <v>12</v>
      </c>
      <c r="N4308" s="1" t="s">
        <v>44</v>
      </c>
    </row>
    <row r="4309" spans="1:14">
      <c r="A4309" s="36" t="s">
        <v>32</v>
      </c>
      <c r="B4309" s="37">
        <v>45337</v>
      </c>
      <c r="C4309" s="36" t="s">
        <v>291</v>
      </c>
      <c r="D4309" s="36" t="s">
        <v>1938</v>
      </c>
      <c r="E4309" s="36" t="s">
        <v>148</v>
      </c>
      <c r="J4309" s="87">
        <v>31072800</v>
      </c>
      <c r="K4309" s="85">
        <v>2024</v>
      </c>
      <c r="L4309" s="85">
        <v>1</v>
      </c>
      <c r="N4309" s="1" t="s">
        <v>44</v>
      </c>
    </row>
    <row r="4310" spans="1:14">
      <c r="A4310" s="36" t="s">
        <v>32</v>
      </c>
      <c r="B4310" s="37">
        <v>45337</v>
      </c>
      <c r="C4310" s="36" t="s">
        <v>209</v>
      </c>
      <c r="D4310" s="36" t="s">
        <v>2035</v>
      </c>
      <c r="E4310" s="36" t="s">
        <v>77</v>
      </c>
      <c r="J4310" s="38">
        <v>192346000</v>
      </c>
      <c r="K4310" s="85">
        <v>2024</v>
      </c>
      <c r="L4310" s="85">
        <v>2</v>
      </c>
      <c r="N4310" s="1" t="s">
        <v>44</v>
      </c>
    </row>
    <row r="4311" spans="1:14">
      <c r="A4311" s="36" t="s">
        <v>32</v>
      </c>
      <c r="B4311" s="37">
        <v>45337</v>
      </c>
      <c r="C4311" s="36" t="s">
        <v>1468</v>
      </c>
      <c r="D4311" s="36" t="s">
        <v>1915</v>
      </c>
      <c r="E4311" s="36" t="s">
        <v>77</v>
      </c>
      <c r="J4311" s="87">
        <v>17310205</v>
      </c>
      <c r="K4311" s="85">
        <v>2024</v>
      </c>
      <c r="L4311" s="85">
        <v>1</v>
      </c>
      <c r="N4311" s="1" t="s">
        <v>44</v>
      </c>
    </row>
    <row r="4312" spans="1:14">
      <c r="A4312" s="36" t="s">
        <v>32</v>
      </c>
      <c r="B4312" s="37">
        <v>45338</v>
      </c>
      <c r="C4312" s="36" t="s">
        <v>1468</v>
      </c>
      <c r="D4312" s="36" t="s">
        <v>1800</v>
      </c>
      <c r="E4312" s="36" t="s">
        <v>77</v>
      </c>
      <c r="J4312" s="87">
        <v>9901980</v>
      </c>
      <c r="K4312" s="85">
        <v>2024</v>
      </c>
      <c r="L4312" s="85">
        <v>1</v>
      </c>
      <c r="N4312" s="1" t="s">
        <v>44</v>
      </c>
    </row>
    <row r="4313" spans="1:14">
      <c r="A4313" s="36" t="s">
        <v>32</v>
      </c>
      <c r="B4313" s="37">
        <v>45338</v>
      </c>
      <c r="C4313" s="36" t="s">
        <v>552</v>
      </c>
      <c r="D4313" s="36" t="s">
        <v>1820</v>
      </c>
      <c r="E4313" s="36" t="s">
        <v>148</v>
      </c>
      <c r="J4313" s="87">
        <v>11799370</v>
      </c>
      <c r="K4313" s="85">
        <v>2024</v>
      </c>
      <c r="L4313" s="85">
        <v>1</v>
      </c>
      <c r="N4313" s="1" t="s">
        <v>44</v>
      </c>
    </row>
    <row r="4314" spans="1:14">
      <c r="A4314" s="36" t="s">
        <v>33</v>
      </c>
      <c r="B4314" s="37">
        <v>45330</v>
      </c>
      <c r="C4314" s="36" t="s">
        <v>838</v>
      </c>
      <c r="D4314" s="36" t="s">
        <v>1337</v>
      </c>
      <c r="E4314" s="36" t="s">
        <v>165</v>
      </c>
      <c r="G4314" s="87">
        <v>3600000</v>
      </c>
      <c r="H4314" s="87">
        <v>360000</v>
      </c>
      <c r="I4314" s="87">
        <v>3960000</v>
      </c>
      <c r="K4314" s="85">
        <v>2024</v>
      </c>
      <c r="L4314" s="85">
        <v>2</v>
      </c>
      <c r="N4314" s="1" t="s">
        <v>44</v>
      </c>
    </row>
    <row r="4315" spans="1:14">
      <c r="A4315" s="36" t="s">
        <v>33</v>
      </c>
      <c r="B4315" s="37">
        <v>45337</v>
      </c>
      <c r="C4315" s="36" t="s">
        <v>119</v>
      </c>
      <c r="D4315" s="36" t="s">
        <v>1899</v>
      </c>
      <c r="E4315" s="36" t="s">
        <v>267</v>
      </c>
      <c r="G4315" s="87">
        <v>651000</v>
      </c>
      <c r="H4315" s="87">
        <v>65100</v>
      </c>
      <c r="I4315" s="87">
        <v>716100</v>
      </c>
      <c r="K4315" s="85">
        <v>2024</v>
      </c>
      <c r="L4315" s="85">
        <v>2</v>
      </c>
      <c r="N4315" s="1" t="s">
        <v>44</v>
      </c>
    </row>
    <row r="4316" spans="1:14">
      <c r="A4316" s="36" t="s">
        <v>33</v>
      </c>
      <c r="B4316" s="37">
        <v>45342</v>
      </c>
      <c r="C4316" s="36" t="s">
        <v>971</v>
      </c>
      <c r="D4316" s="36" t="s">
        <v>1993</v>
      </c>
      <c r="E4316" s="36" t="s">
        <v>1994</v>
      </c>
      <c r="G4316" s="87">
        <v>5955600</v>
      </c>
      <c r="H4316" s="87">
        <v>595560</v>
      </c>
      <c r="I4316" s="87">
        <v>6551160</v>
      </c>
      <c r="K4316" s="85">
        <v>2024</v>
      </c>
      <c r="L4316" s="85">
        <v>2</v>
      </c>
      <c r="N4316" s="1" t="s">
        <v>44</v>
      </c>
    </row>
    <row r="4317" spans="1:14">
      <c r="A4317" s="36" t="s">
        <v>33</v>
      </c>
      <c r="B4317" s="37">
        <v>45343</v>
      </c>
      <c r="C4317" s="36" t="s">
        <v>771</v>
      </c>
      <c r="D4317" s="36" t="s">
        <v>772</v>
      </c>
      <c r="E4317" s="36" t="s">
        <v>148</v>
      </c>
      <c r="J4317" s="87">
        <v>3036000</v>
      </c>
      <c r="K4317" s="85">
        <v>2024</v>
      </c>
      <c r="L4317" s="85">
        <v>1</v>
      </c>
      <c r="N4317" s="1" t="s">
        <v>44</v>
      </c>
    </row>
    <row r="4318" spans="1:14">
      <c r="A4318" s="36" t="s">
        <v>33</v>
      </c>
      <c r="B4318" s="37">
        <v>45345</v>
      </c>
      <c r="C4318" s="36" t="s">
        <v>1335</v>
      </c>
      <c r="D4318" s="36" t="s">
        <v>1523</v>
      </c>
      <c r="E4318" s="36" t="s">
        <v>148</v>
      </c>
      <c r="J4318" s="87">
        <v>1644500</v>
      </c>
      <c r="K4318" s="85">
        <v>2024</v>
      </c>
      <c r="L4318" s="85">
        <v>1</v>
      </c>
      <c r="N4318" s="1" t="s">
        <v>44</v>
      </c>
    </row>
    <row r="4319" spans="1:14">
      <c r="A4319" s="36" t="s">
        <v>33</v>
      </c>
      <c r="B4319" s="37">
        <v>45345</v>
      </c>
      <c r="C4319" s="36" t="s">
        <v>1720</v>
      </c>
      <c r="D4319" s="36" t="s">
        <v>865</v>
      </c>
      <c r="E4319" s="36" t="s">
        <v>148</v>
      </c>
      <c r="J4319" s="87">
        <v>3542000</v>
      </c>
      <c r="K4319" s="85">
        <v>2024</v>
      </c>
      <c r="L4319" s="85">
        <v>1</v>
      </c>
      <c r="N4319" s="1" t="s">
        <v>44</v>
      </c>
    </row>
    <row r="4320" spans="1:14">
      <c r="A4320" s="36" t="s">
        <v>33</v>
      </c>
      <c r="B4320" s="37">
        <v>45345</v>
      </c>
      <c r="C4320" s="36" t="s">
        <v>590</v>
      </c>
      <c r="D4320" s="36" t="s">
        <v>591</v>
      </c>
      <c r="E4320" s="36" t="s">
        <v>148</v>
      </c>
      <c r="J4320" s="87">
        <v>2530000</v>
      </c>
      <c r="K4320" s="85">
        <v>2024</v>
      </c>
      <c r="L4320" s="85">
        <v>1</v>
      </c>
      <c r="N4320" s="1" t="s">
        <v>44</v>
      </c>
    </row>
    <row r="4321" spans="1:14">
      <c r="A4321" s="36" t="s">
        <v>32</v>
      </c>
      <c r="B4321" s="37">
        <v>45345</v>
      </c>
      <c r="C4321" s="36" t="s">
        <v>654</v>
      </c>
      <c r="D4321" s="36" t="s">
        <v>1941</v>
      </c>
      <c r="E4321" s="36" t="s">
        <v>148</v>
      </c>
      <c r="J4321" s="87">
        <v>2420770</v>
      </c>
      <c r="K4321" s="85">
        <v>2024</v>
      </c>
      <c r="L4321" s="85">
        <v>1</v>
      </c>
      <c r="N4321" s="1" t="s">
        <v>44</v>
      </c>
    </row>
    <row r="4322" spans="1:14">
      <c r="A4322" s="36" t="s">
        <v>32</v>
      </c>
      <c r="B4322" s="37">
        <v>45348</v>
      </c>
      <c r="C4322" s="36" t="s">
        <v>1332</v>
      </c>
      <c r="D4322" s="36" t="s">
        <v>1867</v>
      </c>
      <c r="E4322" s="36" t="s">
        <v>148</v>
      </c>
      <c r="J4322" s="87">
        <v>42025500</v>
      </c>
      <c r="K4322" s="85">
        <v>2024</v>
      </c>
      <c r="L4322" s="85">
        <v>1</v>
      </c>
      <c r="N4322" s="1" t="s">
        <v>44</v>
      </c>
    </row>
    <row r="4323" spans="1:14">
      <c r="A4323" s="36" t="s">
        <v>32</v>
      </c>
      <c r="B4323" s="37">
        <v>45350</v>
      </c>
      <c r="C4323" s="36" t="s">
        <v>209</v>
      </c>
      <c r="D4323" s="36" t="s">
        <v>1892</v>
      </c>
      <c r="E4323" s="36" t="s">
        <v>148</v>
      </c>
      <c r="J4323" s="38">
        <v>20019320</v>
      </c>
      <c r="K4323" s="85">
        <v>2023</v>
      </c>
      <c r="L4323" s="85">
        <v>11</v>
      </c>
      <c r="M4323" s="36" t="s">
        <v>1995</v>
      </c>
      <c r="N4323" s="1" t="s">
        <v>44</v>
      </c>
    </row>
    <row r="4324" spans="1:14">
      <c r="A4324" s="36" t="s">
        <v>32</v>
      </c>
      <c r="B4324" s="37">
        <v>45350</v>
      </c>
      <c r="C4324" s="36" t="s">
        <v>209</v>
      </c>
      <c r="D4324" s="36" t="s">
        <v>1892</v>
      </c>
      <c r="E4324" s="36" t="s">
        <v>148</v>
      </c>
      <c r="J4324" s="87">
        <v>81770700</v>
      </c>
      <c r="K4324" s="85">
        <v>2023</v>
      </c>
      <c r="L4324" s="85">
        <v>12</v>
      </c>
      <c r="M4324" s="36" t="s">
        <v>1996</v>
      </c>
      <c r="N4324" s="1" t="s">
        <v>44</v>
      </c>
    </row>
    <row r="4325" spans="1:14">
      <c r="A4325" s="36" t="s">
        <v>32</v>
      </c>
      <c r="B4325" s="37">
        <v>45350</v>
      </c>
      <c r="C4325" s="36" t="s">
        <v>209</v>
      </c>
      <c r="D4325" s="36" t="s">
        <v>1892</v>
      </c>
      <c r="E4325" s="36" t="s">
        <v>148</v>
      </c>
      <c r="J4325" s="38">
        <v>17453020</v>
      </c>
      <c r="K4325" s="85">
        <v>2024</v>
      </c>
      <c r="L4325" s="85">
        <v>1</v>
      </c>
      <c r="M4325" s="36" t="s">
        <v>1997</v>
      </c>
      <c r="N4325" s="1" t="s">
        <v>44</v>
      </c>
    </row>
    <row r="4326" spans="1:14">
      <c r="A4326" s="36" t="s">
        <v>32</v>
      </c>
      <c r="B4326" s="37">
        <v>45350</v>
      </c>
      <c r="C4326" s="36" t="s">
        <v>209</v>
      </c>
      <c r="D4326" s="36" t="s">
        <v>1699</v>
      </c>
      <c r="E4326" s="36" t="s">
        <v>148</v>
      </c>
      <c r="J4326" s="87">
        <v>19333380</v>
      </c>
      <c r="K4326" s="85">
        <v>2024</v>
      </c>
      <c r="L4326" s="85">
        <v>1</v>
      </c>
      <c r="M4326" s="36" t="s">
        <v>1998</v>
      </c>
      <c r="N4326" s="1" t="s">
        <v>44</v>
      </c>
    </row>
    <row r="4327" spans="1:14">
      <c r="A4327" s="36" t="s">
        <v>32</v>
      </c>
      <c r="B4327" s="37">
        <v>45350</v>
      </c>
      <c r="C4327" s="36" t="s">
        <v>209</v>
      </c>
      <c r="D4327" s="36" t="s">
        <v>1885</v>
      </c>
      <c r="E4327" s="36" t="s">
        <v>148</v>
      </c>
      <c r="J4327" s="87">
        <v>26451040</v>
      </c>
      <c r="K4327" s="85">
        <v>2023</v>
      </c>
      <c r="L4327" s="85">
        <v>12</v>
      </c>
      <c r="M4327" s="36" t="s">
        <v>1999</v>
      </c>
      <c r="N4327" s="1" t="s">
        <v>44</v>
      </c>
    </row>
    <row r="4328" spans="1:14">
      <c r="A4328" s="36" t="s">
        <v>32</v>
      </c>
      <c r="B4328" s="37">
        <v>45350</v>
      </c>
      <c r="C4328" s="36" t="s">
        <v>209</v>
      </c>
      <c r="D4328" s="36" t="s">
        <v>1885</v>
      </c>
      <c r="E4328" s="36" t="s">
        <v>148</v>
      </c>
      <c r="J4328" s="87">
        <v>8363740</v>
      </c>
      <c r="K4328" s="85">
        <v>2024</v>
      </c>
      <c r="L4328" s="85">
        <v>1</v>
      </c>
      <c r="M4328" s="36" t="s">
        <v>2000</v>
      </c>
      <c r="N4328" s="1" t="s">
        <v>44</v>
      </c>
    </row>
    <row r="4329" spans="1:14">
      <c r="A4329" s="36" t="s">
        <v>32</v>
      </c>
      <c r="B4329" s="37">
        <v>45350</v>
      </c>
      <c r="C4329" s="36" t="s">
        <v>209</v>
      </c>
      <c r="D4329" s="36" t="s">
        <v>2001</v>
      </c>
      <c r="E4329" s="36" t="s">
        <v>148</v>
      </c>
      <c r="J4329" s="87">
        <v>6608800</v>
      </c>
      <c r="K4329" s="85">
        <v>2024</v>
      </c>
      <c r="L4329" s="85">
        <v>1</v>
      </c>
      <c r="M4329" s="36" t="s">
        <v>2002</v>
      </c>
      <c r="N4329" s="1" t="s">
        <v>44</v>
      </c>
    </row>
    <row r="4330" spans="1:14">
      <c r="A4330" s="36" t="s">
        <v>32</v>
      </c>
      <c r="B4330" s="37">
        <v>45351</v>
      </c>
      <c r="C4330" s="36" t="s">
        <v>307</v>
      </c>
      <c r="D4330" s="36" t="s">
        <v>1752</v>
      </c>
      <c r="E4330" s="36" t="s">
        <v>148</v>
      </c>
      <c r="J4330" s="87">
        <v>6466460</v>
      </c>
      <c r="K4330" s="85">
        <v>2024</v>
      </c>
      <c r="L4330" s="85">
        <v>1</v>
      </c>
      <c r="N4330" s="1" t="s">
        <v>44</v>
      </c>
    </row>
    <row r="4331" spans="1:14">
      <c r="A4331" s="36" t="s">
        <v>32</v>
      </c>
      <c r="B4331" s="37">
        <v>45351</v>
      </c>
      <c r="C4331" s="36" t="s">
        <v>1470</v>
      </c>
      <c r="D4331" s="36" t="s">
        <v>1821</v>
      </c>
      <c r="E4331" s="36" t="s">
        <v>148</v>
      </c>
      <c r="J4331" s="87">
        <v>39301284</v>
      </c>
      <c r="K4331" s="85">
        <v>2024</v>
      </c>
      <c r="L4331" s="85">
        <v>1</v>
      </c>
      <c r="N4331" s="1" t="s">
        <v>44</v>
      </c>
    </row>
    <row r="4332" spans="1:14">
      <c r="A4332" s="36" t="s">
        <v>32</v>
      </c>
      <c r="B4332" s="37">
        <v>45351</v>
      </c>
      <c r="C4332" s="36" t="s">
        <v>1810</v>
      </c>
      <c r="D4332" s="36" t="s">
        <v>1946</v>
      </c>
      <c r="E4332" s="36" t="s">
        <v>148</v>
      </c>
      <c r="J4332" s="87">
        <v>178079880</v>
      </c>
      <c r="K4332" s="85">
        <v>2024</v>
      </c>
      <c r="L4332" s="85">
        <v>1</v>
      </c>
      <c r="N4332" s="1" t="s">
        <v>44</v>
      </c>
    </row>
    <row r="4333" spans="1:14">
      <c r="A4333" s="36" t="s">
        <v>32</v>
      </c>
      <c r="B4333" s="37">
        <v>45351</v>
      </c>
      <c r="C4333" s="36" t="s">
        <v>989</v>
      </c>
      <c r="D4333" s="36" t="s">
        <v>1950</v>
      </c>
      <c r="E4333" s="36" t="s">
        <v>148</v>
      </c>
      <c r="J4333" s="87">
        <v>7185200</v>
      </c>
      <c r="K4333" s="85">
        <v>2024</v>
      </c>
      <c r="L4333" s="85">
        <v>1</v>
      </c>
      <c r="N4333" s="1" t="s">
        <v>44</v>
      </c>
    </row>
    <row r="4334" spans="1:14">
      <c r="A4334" s="36" t="s">
        <v>32</v>
      </c>
      <c r="B4334" s="37">
        <v>45351</v>
      </c>
      <c r="C4334" s="36" t="s">
        <v>1933</v>
      </c>
      <c r="D4334" s="36" t="s">
        <v>2097</v>
      </c>
      <c r="E4334" s="36" t="s">
        <v>148</v>
      </c>
      <c r="J4334" s="87">
        <v>20790000</v>
      </c>
      <c r="K4334" s="85">
        <v>2024</v>
      </c>
      <c r="L4334" s="85">
        <v>1</v>
      </c>
      <c r="N4334" s="1" t="s">
        <v>44</v>
      </c>
    </row>
    <row r="4335" spans="1:14">
      <c r="A4335" s="36" t="s">
        <v>32</v>
      </c>
      <c r="B4335" s="37">
        <v>45351</v>
      </c>
      <c r="C4335" s="36" t="s">
        <v>264</v>
      </c>
      <c r="D4335" s="36" t="s">
        <v>1948</v>
      </c>
      <c r="E4335" s="36" t="s">
        <v>148</v>
      </c>
      <c r="J4335" s="87">
        <v>25740000</v>
      </c>
      <c r="K4335" s="85">
        <v>2024</v>
      </c>
      <c r="L4335" s="85">
        <v>1</v>
      </c>
      <c r="N4335" s="1" t="s">
        <v>44</v>
      </c>
    </row>
    <row r="4336" spans="1:14">
      <c r="A4336" s="36" t="s">
        <v>33</v>
      </c>
      <c r="B4336" s="37">
        <v>45351</v>
      </c>
      <c r="C4336" s="36" t="s">
        <v>1266</v>
      </c>
      <c r="D4336" s="36" t="s">
        <v>1277</v>
      </c>
      <c r="E4336" s="36" t="s">
        <v>148</v>
      </c>
      <c r="J4336" s="87">
        <v>10879000</v>
      </c>
      <c r="K4336" s="85">
        <v>2024</v>
      </c>
      <c r="L4336" s="85">
        <v>1</v>
      </c>
      <c r="N4336" s="1" t="s">
        <v>44</v>
      </c>
    </row>
    <row r="4337" spans="1:14">
      <c r="A4337" s="36" t="s">
        <v>33</v>
      </c>
      <c r="B4337" s="37">
        <v>45351</v>
      </c>
      <c r="C4337" s="36" t="s">
        <v>1650</v>
      </c>
      <c r="D4337" s="36" t="s">
        <v>790</v>
      </c>
      <c r="E4337" s="36" t="s">
        <v>148</v>
      </c>
      <c r="J4337" s="87">
        <v>15292145</v>
      </c>
      <c r="K4337" s="85">
        <v>2024</v>
      </c>
      <c r="L4337" s="85">
        <v>1</v>
      </c>
      <c r="N4337" s="1" t="s">
        <v>44</v>
      </c>
    </row>
    <row r="4338" spans="1:14">
      <c r="A4338" s="36" t="s">
        <v>32</v>
      </c>
      <c r="B4338" s="37">
        <v>45351</v>
      </c>
      <c r="C4338" s="36" t="s">
        <v>1586</v>
      </c>
      <c r="D4338" s="36" t="s">
        <v>1608</v>
      </c>
      <c r="E4338" s="36" t="s">
        <v>148</v>
      </c>
      <c r="J4338" s="38">
        <v>4000000</v>
      </c>
      <c r="K4338" s="85">
        <v>2023</v>
      </c>
      <c r="L4338" s="85">
        <v>10</v>
      </c>
      <c r="N4338" s="1" t="s">
        <v>44</v>
      </c>
    </row>
    <row r="4339" spans="1:14">
      <c r="A4339" s="36" t="s">
        <v>32</v>
      </c>
      <c r="B4339" s="37">
        <v>45351</v>
      </c>
      <c r="C4339" s="36" t="s">
        <v>654</v>
      </c>
      <c r="D4339" s="36" t="s">
        <v>1931</v>
      </c>
      <c r="E4339" s="36" t="s">
        <v>148</v>
      </c>
      <c r="J4339" s="87">
        <v>5800000</v>
      </c>
      <c r="K4339" s="85">
        <v>2024</v>
      </c>
      <c r="L4339" s="85">
        <v>1</v>
      </c>
      <c r="N4339" s="1" t="s">
        <v>44</v>
      </c>
    </row>
    <row r="4340" spans="1:14">
      <c r="A4340" s="36" t="s">
        <v>32</v>
      </c>
      <c r="B4340" s="37">
        <v>45351</v>
      </c>
      <c r="C4340" s="36" t="s">
        <v>654</v>
      </c>
      <c r="D4340" s="36" t="s">
        <v>1942</v>
      </c>
      <c r="E4340" s="36" t="s">
        <v>148</v>
      </c>
      <c r="J4340" s="87">
        <v>254078700</v>
      </c>
      <c r="K4340" s="85">
        <v>2024</v>
      </c>
      <c r="L4340" s="85">
        <v>1</v>
      </c>
      <c r="N4340" s="1" t="s">
        <v>44</v>
      </c>
    </row>
    <row r="4341" spans="1:14">
      <c r="A4341" s="36" t="s">
        <v>32</v>
      </c>
      <c r="B4341" s="37">
        <v>45351</v>
      </c>
      <c r="C4341" s="36" t="s">
        <v>654</v>
      </c>
      <c r="D4341" s="36" t="s">
        <v>1944</v>
      </c>
      <c r="E4341" s="36" t="s">
        <v>148</v>
      </c>
      <c r="J4341" s="87">
        <v>13776400</v>
      </c>
      <c r="K4341" s="85">
        <v>2024</v>
      </c>
      <c r="L4341" s="85">
        <v>1</v>
      </c>
      <c r="N4341" s="1" t="s">
        <v>44</v>
      </c>
    </row>
    <row r="4342" spans="1:14">
      <c r="A4342" s="36" t="s">
        <v>32</v>
      </c>
      <c r="B4342" s="37">
        <v>45352</v>
      </c>
      <c r="C4342" s="36" t="s">
        <v>1587</v>
      </c>
      <c r="D4342" s="36" t="s">
        <v>1865</v>
      </c>
      <c r="E4342" s="36" t="s">
        <v>148</v>
      </c>
      <c r="J4342" s="87">
        <v>2019600</v>
      </c>
      <c r="K4342" s="85">
        <v>2024</v>
      </c>
      <c r="L4342" s="85">
        <v>1</v>
      </c>
      <c r="N4342" s="1" t="s">
        <v>44</v>
      </c>
    </row>
    <row r="4343" spans="1:14">
      <c r="A4343" s="36" t="s">
        <v>32</v>
      </c>
      <c r="B4343" s="37">
        <v>45351</v>
      </c>
      <c r="C4343" s="36" t="s">
        <v>654</v>
      </c>
      <c r="D4343" s="36" t="s">
        <v>1945</v>
      </c>
      <c r="E4343" s="36" t="s">
        <v>148</v>
      </c>
      <c r="J4343" s="38">
        <v>23924130</v>
      </c>
      <c r="K4343" s="85">
        <v>2024</v>
      </c>
      <c r="L4343" s="85">
        <v>1</v>
      </c>
      <c r="N4343" s="1" t="s">
        <v>44</v>
      </c>
    </row>
    <row r="4344" spans="1:14">
      <c r="A4344" s="36" t="s">
        <v>33</v>
      </c>
      <c r="B4344" s="37">
        <v>45351</v>
      </c>
      <c r="C4344" s="36" t="s">
        <v>1914</v>
      </c>
      <c r="D4344" s="36" t="s">
        <v>1915</v>
      </c>
      <c r="E4344" s="36" t="s">
        <v>165</v>
      </c>
      <c r="G4344" s="87">
        <v>140000</v>
      </c>
      <c r="H4344" s="87">
        <v>14000</v>
      </c>
      <c r="I4344" s="87">
        <v>154000</v>
      </c>
      <c r="K4344" s="85">
        <v>2024</v>
      </c>
      <c r="L4344" s="85">
        <v>2</v>
      </c>
      <c r="N4344" s="1" t="s">
        <v>44</v>
      </c>
    </row>
    <row r="4345" spans="1:14">
      <c r="A4345" s="36" t="s">
        <v>33</v>
      </c>
      <c r="B4345" s="37">
        <v>45351</v>
      </c>
      <c r="C4345" s="36" t="s">
        <v>1842</v>
      </c>
      <c r="D4345" s="36" t="s">
        <v>1754</v>
      </c>
      <c r="E4345" s="36" t="s">
        <v>259</v>
      </c>
      <c r="G4345" s="87">
        <v>801818</v>
      </c>
      <c r="H4345" s="87">
        <v>80181.8</v>
      </c>
      <c r="I4345" s="87">
        <v>881999.8</v>
      </c>
      <c r="K4345" s="85">
        <v>2024</v>
      </c>
      <c r="L4345" s="85">
        <v>2</v>
      </c>
      <c r="N4345" s="1" t="s">
        <v>44</v>
      </c>
    </row>
    <row r="4346" spans="1:14">
      <c r="A4346" s="36" t="s">
        <v>33</v>
      </c>
      <c r="B4346" s="37">
        <v>45355</v>
      </c>
      <c r="C4346" s="36" t="s">
        <v>912</v>
      </c>
      <c r="D4346" s="36" t="s">
        <v>1579</v>
      </c>
      <c r="E4346" s="36" t="s">
        <v>447</v>
      </c>
      <c r="G4346" s="87">
        <v>20500000</v>
      </c>
      <c r="H4346" s="87">
        <v>2050000</v>
      </c>
      <c r="I4346" s="87">
        <v>22550000</v>
      </c>
      <c r="K4346" s="85">
        <v>2024</v>
      </c>
      <c r="L4346" s="85">
        <v>2</v>
      </c>
      <c r="N4346" s="1" t="s">
        <v>44</v>
      </c>
    </row>
    <row r="4347" spans="1:14">
      <c r="A4347" s="36" t="s">
        <v>33</v>
      </c>
      <c r="B4347" s="37">
        <v>45351</v>
      </c>
      <c r="C4347" s="36" t="s">
        <v>912</v>
      </c>
      <c r="D4347" s="36" t="s">
        <v>1579</v>
      </c>
      <c r="E4347" s="36" t="s">
        <v>77</v>
      </c>
      <c r="J4347" s="38">
        <v>22550000</v>
      </c>
      <c r="K4347" s="85">
        <v>2024</v>
      </c>
      <c r="L4347" s="85">
        <v>2</v>
      </c>
      <c r="M4347" s="36" t="s">
        <v>2046</v>
      </c>
      <c r="N4347" s="1" t="s">
        <v>44</v>
      </c>
    </row>
    <row r="4348" spans="1:14">
      <c r="A4348" s="36" t="s">
        <v>33</v>
      </c>
      <c r="B4348" s="37">
        <v>45351</v>
      </c>
      <c r="C4348" s="36" t="s">
        <v>912</v>
      </c>
      <c r="D4348" s="36" t="s">
        <v>1579</v>
      </c>
      <c r="E4348" s="36" t="s">
        <v>77</v>
      </c>
      <c r="J4348" s="38">
        <v>22550000</v>
      </c>
      <c r="K4348" s="85">
        <v>2024</v>
      </c>
      <c r="L4348" s="85">
        <v>3</v>
      </c>
      <c r="N4348" s="1" t="s">
        <v>44</v>
      </c>
    </row>
    <row r="4349" spans="1:14">
      <c r="A4349" s="36" t="s">
        <v>32</v>
      </c>
      <c r="B4349" s="37">
        <v>45355</v>
      </c>
      <c r="C4349" s="36" t="s">
        <v>174</v>
      </c>
      <c r="D4349" s="36" t="s">
        <v>1747</v>
      </c>
      <c r="E4349" s="36" t="s">
        <v>148</v>
      </c>
      <c r="J4349" s="87">
        <v>9578360</v>
      </c>
      <c r="K4349" s="85">
        <v>2023</v>
      </c>
      <c r="L4349" s="85">
        <v>10</v>
      </c>
      <c r="N4349" s="1" t="s">
        <v>44</v>
      </c>
    </row>
    <row r="4350" spans="1:14">
      <c r="A4350" s="36" t="s">
        <v>33</v>
      </c>
      <c r="B4350" s="37">
        <v>45351</v>
      </c>
      <c r="C4350" s="36" t="s">
        <v>1842</v>
      </c>
      <c r="D4350" s="36" t="s">
        <v>1754</v>
      </c>
      <c r="E4350" s="36" t="s">
        <v>148</v>
      </c>
      <c r="J4350" s="87">
        <v>7055999.5</v>
      </c>
      <c r="K4350" s="85">
        <v>2024</v>
      </c>
      <c r="L4350" s="85">
        <v>1</v>
      </c>
      <c r="N4350" s="1" t="s">
        <v>44</v>
      </c>
    </row>
    <row r="4351" spans="1:14">
      <c r="A4351" s="36" t="s">
        <v>33</v>
      </c>
      <c r="B4351" s="37">
        <v>45351</v>
      </c>
      <c r="C4351" s="36" t="s">
        <v>1919</v>
      </c>
      <c r="D4351" s="36" t="s">
        <v>1754</v>
      </c>
      <c r="E4351" s="36" t="s">
        <v>148</v>
      </c>
      <c r="J4351" s="87">
        <v>2864400</v>
      </c>
      <c r="K4351" s="85">
        <v>2024</v>
      </c>
      <c r="L4351" s="85">
        <v>1</v>
      </c>
      <c r="N4351" s="1" t="s">
        <v>44</v>
      </c>
    </row>
    <row r="4352" spans="1:14">
      <c r="A4352" s="36" t="s">
        <v>33</v>
      </c>
      <c r="B4352" s="37">
        <v>45351</v>
      </c>
      <c r="C4352" s="36" t="s">
        <v>1569</v>
      </c>
      <c r="D4352" s="36" t="s">
        <v>1412</v>
      </c>
      <c r="E4352" s="36" t="s">
        <v>148</v>
      </c>
      <c r="J4352" s="87">
        <v>47013890</v>
      </c>
      <c r="K4352" s="85">
        <v>2023</v>
      </c>
      <c r="L4352" s="85">
        <v>12</v>
      </c>
      <c r="N4352" s="1" t="s">
        <v>44</v>
      </c>
    </row>
    <row r="4353" spans="1:14">
      <c r="A4353" s="36" t="s">
        <v>33</v>
      </c>
      <c r="B4353" s="37">
        <v>45351</v>
      </c>
      <c r="C4353" s="36" t="s">
        <v>1391</v>
      </c>
      <c r="D4353" s="36" t="s">
        <v>1227</v>
      </c>
      <c r="E4353" s="36" t="s">
        <v>148</v>
      </c>
      <c r="J4353" s="87">
        <v>20860125</v>
      </c>
      <c r="K4353" s="85">
        <v>2023</v>
      </c>
      <c r="L4353" s="85">
        <v>12</v>
      </c>
      <c r="N4353" s="1" t="s">
        <v>44</v>
      </c>
    </row>
    <row r="4354" spans="1:14">
      <c r="A4354" s="36" t="s">
        <v>33</v>
      </c>
      <c r="B4354" s="37">
        <v>45351</v>
      </c>
      <c r="C4354" s="36" t="s">
        <v>1848</v>
      </c>
      <c r="D4354" s="36" t="s">
        <v>1849</v>
      </c>
      <c r="E4354" s="36" t="s">
        <v>148</v>
      </c>
      <c r="J4354" s="87">
        <v>528000</v>
      </c>
      <c r="K4354" s="85">
        <v>2024</v>
      </c>
      <c r="L4354" s="85">
        <v>1</v>
      </c>
      <c r="N4354" s="1" t="s">
        <v>44</v>
      </c>
    </row>
    <row r="4355" spans="1:14">
      <c r="A4355" s="36" t="s">
        <v>33</v>
      </c>
      <c r="B4355" s="37">
        <v>45351</v>
      </c>
      <c r="C4355" s="36" t="s">
        <v>1914</v>
      </c>
      <c r="D4355" s="36" t="s">
        <v>1915</v>
      </c>
      <c r="E4355" s="36" t="s">
        <v>148</v>
      </c>
      <c r="J4355" s="87">
        <v>616000</v>
      </c>
      <c r="K4355" s="85">
        <v>2024</v>
      </c>
      <c r="L4355" s="85">
        <v>1</v>
      </c>
      <c r="N4355" s="1" t="s">
        <v>44</v>
      </c>
    </row>
    <row r="4356" spans="1:14">
      <c r="A4356" s="36" t="s">
        <v>33</v>
      </c>
      <c r="B4356" s="37">
        <v>45351</v>
      </c>
      <c r="C4356" s="36" t="s">
        <v>1920</v>
      </c>
      <c r="D4356" s="36" t="s">
        <v>1953</v>
      </c>
      <c r="E4356" s="36" t="s">
        <v>148</v>
      </c>
      <c r="J4356" s="87">
        <v>847000</v>
      </c>
      <c r="K4356" s="85">
        <v>2024</v>
      </c>
      <c r="L4356" s="85">
        <v>1</v>
      </c>
      <c r="N4356" s="1" t="s">
        <v>44</v>
      </c>
    </row>
    <row r="4357" spans="1:14">
      <c r="A4357" s="36" t="s">
        <v>33</v>
      </c>
      <c r="B4357" s="37">
        <v>45322</v>
      </c>
      <c r="C4357" s="36" t="s">
        <v>1925</v>
      </c>
      <c r="D4357" s="36" t="s">
        <v>1921</v>
      </c>
      <c r="E4357" s="36" t="s">
        <v>148</v>
      </c>
      <c r="J4357" s="87">
        <v>1078000</v>
      </c>
      <c r="K4357" s="85">
        <v>2024</v>
      </c>
      <c r="L4357" s="85">
        <v>1</v>
      </c>
      <c r="N4357" s="1" t="s">
        <v>44</v>
      </c>
    </row>
    <row r="4358" spans="1:14">
      <c r="A4358" s="36" t="s">
        <v>33</v>
      </c>
      <c r="B4358" s="37">
        <v>45351</v>
      </c>
      <c r="C4358" s="36" t="s">
        <v>96</v>
      </c>
      <c r="D4358" s="36" t="s">
        <v>1928</v>
      </c>
      <c r="E4358" s="36" t="s">
        <v>148</v>
      </c>
      <c r="J4358" s="87">
        <v>1089000</v>
      </c>
      <c r="K4358" s="85">
        <v>2024</v>
      </c>
      <c r="L4358" s="85">
        <v>1</v>
      </c>
      <c r="N4358" s="1" t="s">
        <v>44</v>
      </c>
    </row>
    <row r="4359" spans="1:14">
      <c r="A4359" s="36" t="s">
        <v>33</v>
      </c>
      <c r="B4359" s="37">
        <v>45351</v>
      </c>
      <c r="C4359" s="36" t="s">
        <v>119</v>
      </c>
      <c r="D4359" s="36" t="s">
        <v>1899</v>
      </c>
      <c r="E4359" s="36" t="s">
        <v>148</v>
      </c>
      <c r="J4359" s="87">
        <v>29858840</v>
      </c>
      <c r="K4359" s="85">
        <v>2024</v>
      </c>
      <c r="L4359" s="85">
        <v>1</v>
      </c>
      <c r="N4359" s="1" t="s">
        <v>44</v>
      </c>
    </row>
    <row r="4360" spans="1:14">
      <c r="A4360" s="36" t="s">
        <v>33</v>
      </c>
      <c r="B4360" s="37">
        <v>45351</v>
      </c>
      <c r="C4360" s="36" t="s">
        <v>119</v>
      </c>
      <c r="D4360" s="36" t="s">
        <v>1899</v>
      </c>
      <c r="E4360" s="36" t="s">
        <v>148</v>
      </c>
      <c r="J4360" s="87">
        <v>716100</v>
      </c>
      <c r="K4360" s="85">
        <v>2024</v>
      </c>
      <c r="L4360" s="85">
        <v>2</v>
      </c>
      <c r="N4360" s="1" t="s">
        <v>44</v>
      </c>
    </row>
    <row r="4361" spans="1:14">
      <c r="A4361" s="36" t="s">
        <v>33</v>
      </c>
      <c r="B4361" s="37">
        <v>45351</v>
      </c>
      <c r="C4361" s="36" t="s">
        <v>1439</v>
      </c>
      <c r="D4361" s="36" t="s">
        <v>1800</v>
      </c>
      <c r="E4361" s="36" t="s">
        <v>148</v>
      </c>
      <c r="J4361" s="87">
        <v>231000</v>
      </c>
      <c r="K4361" s="85">
        <v>2024</v>
      </c>
      <c r="L4361" s="85">
        <v>1</v>
      </c>
      <c r="N4361" s="1" t="s">
        <v>44</v>
      </c>
    </row>
    <row r="4362" spans="1:14">
      <c r="A4362" s="36" t="s">
        <v>33</v>
      </c>
      <c r="B4362" s="37">
        <v>45351</v>
      </c>
      <c r="C4362" s="36" t="s">
        <v>1852</v>
      </c>
      <c r="D4362" s="36" t="s">
        <v>1754</v>
      </c>
      <c r="E4362" s="36" t="s">
        <v>148</v>
      </c>
      <c r="J4362" s="87">
        <v>169400</v>
      </c>
      <c r="K4362" s="85">
        <v>2024</v>
      </c>
      <c r="L4362" s="85">
        <v>1</v>
      </c>
      <c r="N4362" s="1" t="s">
        <v>44</v>
      </c>
    </row>
    <row r="4363" spans="1:14">
      <c r="A4363" s="36" t="s">
        <v>33</v>
      </c>
      <c r="B4363" s="37">
        <v>45351</v>
      </c>
      <c r="C4363" s="36" t="s">
        <v>838</v>
      </c>
      <c r="D4363" s="36" t="s">
        <v>1337</v>
      </c>
      <c r="E4363" s="36" t="s">
        <v>148</v>
      </c>
      <c r="J4363" s="87">
        <v>3960000</v>
      </c>
      <c r="K4363" s="85">
        <v>2024</v>
      </c>
      <c r="L4363" s="85">
        <v>2</v>
      </c>
      <c r="N4363" s="1" t="s">
        <v>44</v>
      </c>
    </row>
    <row r="4364" spans="1:14">
      <c r="A4364" s="36" t="s">
        <v>32</v>
      </c>
      <c r="B4364" s="37">
        <v>45356</v>
      </c>
      <c r="C4364" s="36" t="s">
        <v>664</v>
      </c>
      <c r="D4364" s="36" t="s">
        <v>629</v>
      </c>
      <c r="E4364" s="36" t="s">
        <v>267</v>
      </c>
      <c r="G4364" s="87">
        <v>-414600</v>
      </c>
      <c r="H4364" s="87">
        <v>-41460</v>
      </c>
      <c r="I4364" s="87">
        <v>-456060</v>
      </c>
      <c r="K4364" s="85">
        <v>2023</v>
      </c>
      <c r="L4364" s="85">
        <v>2</v>
      </c>
      <c r="N4364" s="1" t="s">
        <v>44</v>
      </c>
    </row>
    <row r="4365" spans="1:14">
      <c r="A4365" s="36" t="s">
        <v>32</v>
      </c>
      <c r="B4365" s="37">
        <v>45356</v>
      </c>
      <c r="C4365" s="36" t="s">
        <v>664</v>
      </c>
      <c r="D4365" s="36" t="s">
        <v>1342</v>
      </c>
      <c r="E4365" s="36" t="s">
        <v>267</v>
      </c>
      <c r="G4365" s="87">
        <v>-921000</v>
      </c>
      <c r="H4365" s="87">
        <v>-92100</v>
      </c>
      <c r="I4365" s="87">
        <v>-1013100</v>
      </c>
      <c r="K4365" s="85">
        <v>2023</v>
      </c>
      <c r="L4365" s="85">
        <v>4</v>
      </c>
      <c r="N4365" s="1" t="s">
        <v>44</v>
      </c>
    </row>
    <row r="4366" spans="1:14">
      <c r="A4366" s="36" t="s">
        <v>33</v>
      </c>
      <c r="B4366" s="37">
        <v>45351</v>
      </c>
      <c r="C4366" s="36" t="s">
        <v>1920</v>
      </c>
      <c r="D4366" s="36" t="s">
        <v>1993</v>
      </c>
      <c r="E4366" s="36" t="s">
        <v>157</v>
      </c>
      <c r="G4366" s="87">
        <v>420000</v>
      </c>
      <c r="H4366" s="87">
        <v>42000</v>
      </c>
      <c r="I4366" s="87">
        <v>462000</v>
      </c>
      <c r="K4366" s="85">
        <v>2024</v>
      </c>
      <c r="L4366" s="85">
        <v>2</v>
      </c>
      <c r="N4366" s="1" t="s">
        <v>44</v>
      </c>
    </row>
    <row r="4367" spans="1:14">
      <c r="A4367" s="36" t="s">
        <v>33</v>
      </c>
      <c r="B4367" s="37">
        <v>45351</v>
      </c>
      <c r="C4367" s="36" t="s">
        <v>1919</v>
      </c>
      <c r="D4367" s="36" t="s">
        <v>1754</v>
      </c>
      <c r="E4367" s="36" t="s">
        <v>125</v>
      </c>
      <c r="G4367" s="87">
        <v>6948000</v>
      </c>
      <c r="H4367" s="87">
        <v>694800</v>
      </c>
      <c r="I4367" s="87">
        <v>7642800</v>
      </c>
      <c r="K4367" s="85">
        <v>2024</v>
      </c>
      <c r="L4367" s="85">
        <v>2</v>
      </c>
      <c r="N4367" s="1" t="s">
        <v>44</v>
      </c>
    </row>
    <row r="4368" spans="1:14">
      <c r="A4368" s="36" t="s">
        <v>33</v>
      </c>
      <c r="B4368" s="37">
        <v>45351</v>
      </c>
      <c r="C4368" s="36" t="s">
        <v>1650</v>
      </c>
      <c r="D4368" s="36" t="s">
        <v>2003</v>
      </c>
      <c r="E4368" s="36" t="s">
        <v>1222</v>
      </c>
      <c r="G4368" s="87">
        <v>4056500</v>
      </c>
      <c r="H4368" s="87">
        <v>405650</v>
      </c>
      <c r="I4368" s="87">
        <v>4462150</v>
      </c>
      <c r="K4368" s="85">
        <v>2024</v>
      </c>
      <c r="L4368" s="85">
        <v>2</v>
      </c>
      <c r="N4368" s="1" t="s">
        <v>44</v>
      </c>
    </row>
    <row r="4369" spans="1:14">
      <c r="A4369" s="36" t="s">
        <v>33</v>
      </c>
      <c r="B4369" s="37">
        <v>45351</v>
      </c>
      <c r="C4369" s="36" t="s">
        <v>1218</v>
      </c>
      <c r="D4369" s="36" t="s">
        <v>2004</v>
      </c>
      <c r="E4369" s="36" t="s">
        <v>1492</v>
      </c>
      <c r="G4369" s="87">
        <v>3931400</v>
      </c>
      <c r="H4369" s="87">
        <v>393140</v>
      </c>
      <c r="I4369" s="87">
        <v>4324540</v>
      </c>
      <c r="K4369" s="85">
        <v>2024</v>
      </c>
      <c r="L4369" s="85">
        <v>2</v>
      </c>
      <c r="N4369" s="1" t="s">
        <v>44</v>
      </c>
    </row>
    <row r="4370" spans="1:14">
      <c r="A4370" s="36" t="s">
        <v>33</v>
      </c>
      <c r="B4370" s="37">
        <v>45351</v>
      </c>
      <c r="C4370" s="36" t="s">
        <v>2005</v>
      </c>
      <c r="D4370" s="36" t="s">
        <v>2089</v>
      </c>
      <c r="E4370" s="36" t="s">
        <v>267</v>
      </c>
      <c r="G4370" s="87">
        <v>13910000</v>
      </c>
      <c r="H4370" s="87">
        <v>1391000</v>
      </c>
      <c r="I4370" s="87">
        <v>15301000</v>
      </c>
      <c r="K4370" s="85">
        <v>2024</v>
      </c>
      <c r="L4370" s="85">
        <v>2</v>
      </c>
      <c r="N4370" s="1" t="s">
        <v>44</v>
      </c>
    </row>
    <row r="4371" spans="1:14">
      <c r="A4371" s="36" t="s">
        <v>33</v>
      </c>
      <c r="B4371" s="37">
        <v>45351</v>
      </c>
      <c r="C4371" s="36" t="s">
        <v>2006</v>
      </c>
      <c r="D4371" s="36" t="s">
        <v>2146</v>
      </c>
      <c r="E4371" s="36" t="s">
        <v>2053</v>
      </c>
      <c r="G4371" s="87">
        <v>719500</v>
      </c>
      <c r="H4371" s="87">
        <v>71950</v>
      </c>
      <c r="I4371" s="87">
        <v>791450</v>
      </c>
      <c r="K4371" s="85">
        <v>2024</v>
      </c>
      <c r="L4371" s="85">
        <v>2</v>
      </c>
      <c r="N4371" s="1" t="s">
        <v>44</v>
      </c>
    </row>
    <row r="4372" spans="1:14">
      <c r="A4372" s="36" t="s">
        <v>33</v>
      </c>
      <c r="B4372" s="37">
        <v>45351</v>
      </c>
      <c r="C4372" s="36" t="s">
        <v>1926</v>
      </c>
      <c r="D4372" s="36" t="s">
        <v>2007</v>
      </c>
      <c r="E4372" s="36" t="s">
        <v>2008</v>
      </c>
      <c r="G4372" s="87">
        <v>400000</v>
      </c>
      <c r="H4372" s="87">
        <v>40000</v>
      </c>
      <c r="I4372" s="87">
        <v>440000</v>
      </c>
      <c r="K4372" s="85">
        <v>2024</v>
      </c>
      <c r="L4372" s="85">
        <v>2</v>
      </c>
      <c r="N4372" s="1" t="s">
        <v>44</v>
      </c>
    </row>
    <row r="4373" spans="1:14">
      <c r="A4373" s="36" t="s">
        <v>33</v>
      </c>
      <c r="B4373" s="37">
        <v>45351</v>
      </c>
      <c r="C4373" s="36" t="s">
        <v>2009</v>
      </c>
      <c r="D4373" s="36" t="s">
        <v>197</v>
      </c>
      <c r="E4373" s="36" t="s">
        <v>2010</v>
      </c>
      <c r="G4373" s="87">
        <v>1239000</v>
      </c>
      <c r="H4373" s="87">
        <v>123900</v>
      </c>
      <c r="I4373" s="87">
        <v>1362900</v>
      </c>
      <c r="K4373" s="85">
        <v>2024</v>
      </c>
      <c r="L4373" s="85">
        <v>2</v>
      </c>
      <c r="N4373" s="1" t="s">
        <v>44</v>
      </c>
    </row>
    <row r="4374" spans="1:14">
      <c r="A4374" s="36" t="s">
        <v>33</v>
      </c>
      <c r="B4374" s="37">
        <v>45351</v>
      </c>
      <c r="C4374" s="36" t="s">
        <v>1925</v>
      </c>
      <c r="D4374" s="36" t="s">
        <v>1921</v>
      </c>
      <c r="E4374" s="36" t="s">
        <v>143</v>
      </c>
      <c r="G4374" s="87">
        <v>280000</v>
      </c>
      <c r="H4374" s="87">
        <v>28000</v>
      </c>
      <c r="I4374" s="87">
        <v>308000</v>
      </c>
      <c r="K4374" s="85">
        <v>2024</v>
      </c>
      <c r="L4374" s="85">
        <v>2</v>
      </c>
      <c r="N4374" s="1" t="s">
        <v>44</v>
      </c>
    </row>
    <row r="4375" spans="1:14">
      <c r="A4375" s="36" t="s">
        <v>33</v>
      </c>
      <c r="B4375" s="37">
        <v>45351</v>
      </c>
      <c r="C4375" s="36" t="s">
        <v>1467</v>
      </c>
      <c r="D4375" s="36" t="s">
        <v>1431</v>
      </c>
      <c r="E4375" s="36" t="s">
        <v>2011</v>
      </c>
      <c r="G4375" s="87">
        <v>8286500</v>
      </c>
      <c r="H4375" s="87">
        <v>828650</v>
      </c>
      <c r="I4375" s="87">
        <v>9115150</v>
      </c>
      <c r="K4375" s="85">
        <v>2024</v>
      </c>
      <c r="L4375" s="85">
        <v>2</v>
      </c>
      <c r="N4375" s="1" t="s">
        <v>44</v>
      </c>
    </row>
    <row r="4376" spans="1:14">
      <c r="A4376" s="36" t="s">
        <v>33</v>
      </c>
      <c r="B4376" s="37">
        <v>45351</v>
      </c>
      <c r="C4376" s="36" t="s">
        <v>1467</v>
      </c>
      <c r="D4376" s="36" t="s">
        <v>2012</v>
      </c>
      <c r="E4376" s="36" t="s">
        <v>2011</v>
      </c>
      <c r="G4376" s="87">
        <v>6928020</v>
      </c>
      <c r="H4376" s="87">
        <v>692802</v>
      </c>
      <c r="I4376" s="87">
        <v>7620822</v>
      </c>
      <c r="K4376" s="85">
        <v>2024</v>
      </c>
      <c r="L4376" s="85">
        <v>2</v>
      </c>
      <c r="N4376" s="1" t="s">
        <v>44</v>
      </c>
    </row>
    <row r="4377" spans="1:14">
      <c r="A4377" s="36" t="s">
        <v>33</v>
      </c>
      <c r="B4377" s="37">
        <v>45351</v>
      </c>
      <c r="C4377" s="36" t="s">
        <v>1467</v>
      </c>
      <c r="D4377" s="36" t="s">
        <v>2013</v>
      </c>
      <c r="E4377" s="36" t="s">
        <v>2011</v>
      </c>
      <c r="G4377" s="87">
        <v>10430000</v>
      </c>
      <c r="H4377" s="87">
        <v>1043000</v>
      </c>
      <c r="I4377" s="87">
        <v>11473000</v>
      </c>
      <c r="K4377" s="85">
        <v>2024</v>
      </c>
      <c r="L4377" s="85">
        <v>2</v>
      </c>
      <c r="N4377" s="1" t="s">
        <v>44</v>
      </c>
    </row>
    <row r="4378" spans="1:14">
      <c r="A4378" s="36" t="s">
        <v>33</v>
      </c>
      <c r="B4378" s="37">
        <v>45351</v>
      </c>
      <c r="C4378" s="36" t="s">
        <v>1569</v>
      </c>
      <c r="D4378" s="36" t="s">
        <v>1412</v>
      </c>
      <c r="E4378" s="36" t="s">
        <v>1924</v>
      </c>
      <c r="G4378" s="87">
        <v>15586700</v>
      </c>
      <c r="H4378" s="87">
        <v>1558670</v>
      </c>
      <c r="I4378" s="87">
        <v>17145370</v>
      </c>
      <c r="K4378" s="85">
        <v>2024</v>
      </c>
      <c r="L4378" s="85">
        <v>2</v>
      </c>
      <c r="N4378" s="1" t="s">
        <v>44</v>
      </c>
    </row>
    <row r="4379" spans="1:14">
      <c r="A4379" s="36" t="s">
        <v>33</v>
      </c>
      <c r="B4379" s="37">
        <v>45351</v>
      </c>
      <c r="C4379" s="36" t="s">
        <v>96</v>
      </c>
      <c r="D4379" s="36" t="s">
        <v>1803</v>
      </c>
      <c r="E4379" s="36" t="s">
        <v>97</v>
      </c>
      <c r="G4379" s="87">
        <v>1690000</v>
      </c>
      <c r="H4379" s="87">
        <v>169000</v>
      </c>
      <c r="I4379" s="87">
        <v>1859000</v>
      </c>
      <c r="K4379" s="85">
        <v>2024</v>
      </c>
      <c r="L4379" s="85">
        <v>2</v>
      </c>
      <c r="N4379" s="1" t="s">
        <v>44</v>
      </c>
    </row>
    <row r="4380" spans="1:14">
      <c r="A4380" s="36" t="s">
        <v>33</v>
      </c>
      <c r="B4380" s="37">
        <v>45351</v>
      </c>
      <c r="C4380" s="36" t="s">
        <v>96</v>
      </c>
      <c r="D4380" s="36" t="s">
        <v>2014</v>
      </c>
      <c r="E4380" s="36" t="s">
        <v>97</v>
      </c>
      <c r="G4380" s="87">
        <v>210000</v>
      </c>
      <c r="H4380" s="87">
        <v>21000</v>
      </c>
      <c r="I4380" s="87">
        <v>231000</v>
      </c>
      <c r="K4380" s="85">
        <v>2024</v>
      </c>
      <c r="L4380" s="85">
        <v>2</v>
      </c>
      <c r="N4380" s="1" t="s">
        <v>44</v>
      </c>
    </row>
    <row r="4381" spans="1:14">
      <c r="A4381" s="36" t="s">
        <v>32</v>
      </c>
      <c r="B4381" s="37">
        <v>45362</v>
      </c>
      <c r="C4381" s="36" t="s">
        <v>1467</v>
      </c>
      <c r="D4381" s="36" t="s">
        <v>1750</v>
      </c>
      <c r="E4381" s="36" t="s">
        <v>148</v>
      </c>
      <c r="J4381" s="87">
        <v>16879500</v>
      </c>
      <c r="K4381" s="85">
        <v>2024</v>
      </c>
      <c r="L4381" s="85">
        <v>1</v>
      </c>
      <c r="N4381" s="1" t="s">
        <v>44</v>
      </c>
    </row>
    <row r="4382" spans="1:14">
      <c r="A4382" s="36" t="s">
        <v>32</v>
      </c>
      <c r="B4382" s="37">
        <v>45362</v>
      </c>
      <c r="C4382" s="36" t="s">
        <v>1467</v>
      </c>
      <c r="D4382" s="36" t="s">
        <v>1814</v>
      </c>
      <c r="E4382" s="36" t="s">
        <v>148</v>
      </c>
      <c r="J4382" s="87">
        <v>40738500</v>
      </c>
      <c r="K4382" s="85">
        <v>2024</v>
      </c>
      <c r="L4382" s="85">
        <v>1</v>
      </c>
      <c r="N4382" s="1" t="s">
        <v>44</v>
      </c>
    </row>
    <row r="4383" spans="1:14">
      <c r="A4383" s="36" t="s">
        <v>32</v>
      </c>
      <c r="B4383" s="37">
        <v>45358</v>
      </c>
      <c r="C4383" s="36" t="s">
        <v>288</v>
      </c>
      <c r="D4383" s="36" t="s">
        <v>1949</v>
      </c>
      <c r="E4383" s="36" t="s">
        <v>148</v>
      </c>
      <c r="J4383" s="38">
        <v>50000000</v>
      </c>
      <c r="K4383" s="85">
        <v>2024</v>
      </c>
      <c r="L4383" s="85">
        <v>1</v>
      </c>
      <c r="N4383" s="1" t="s">
        <v>44</v>
      </c>
    </row>
    <row r="4384" spans="1:14">
      <c r="A4384" s="36" t="s">
        <v>33</v>
      </c>
      <c r="B4384" s="37">
        <v>45351</v>
      </c>
      <c r="C4384" s="36" t="s">
        <v>119</v>
      </c>
      <c r="D4384" s="36" t="s">
        <v>2012</v>
      </c>
      <c r="E4384" s="36" t="s">
        <v>267</v>
      </c>
      <c r="G4384" s="87">
        <v>46005120</v>
      </c>
      <c r="H4384" s="87">
        <v>4600512</v>
      </c>
      <c r="I4384" s="87">
        <v>50605632</v>
      </c>
      <c r="K4384" s="85">
        <v>2024</v>
      </c>
      <c r="L4384" s="85">
        <v>2</v>
      </c>
      <c r="N4384" s="1" t="s">
        <v>44</v>
      </c>
    </row>
    <row r="4385" spans="1:14">
      <c r="A4385" s="36" t="s">
        <v>33</v>
      </c>
      <c r="B4385" s="37">
        <v>45351</v>
      </c>
      <c r="C4385" s="36" t="s">
        <v>1650</v>
      </c>
      <c r="D4385" s="36" t="s">
        <v>790</v>
      </c>
      <c r="E4385" s="36" t="s">
        <v>76</v>
      </c>
      <c r="G4385" s="87">
        <v>9660000</v>
      </c>
      <c r="H4385" s="87">
        <v>966000</v>
      </c>
      <c r="I4385" s="87">
        <v>10626000</v>
      </c>
      <c r="K4385" s="85">
        <v>2024</v>
      </c>
      <c r="L4385" s="85">
        <v>2</v>
      </c>
      <c r="N4385" s="1" t="s">
        <v>44</v>
      </c>
    </row>
    <row r="4386" spans="1:14">
      <c r="A4386" s="36" t="s">
        <v>33</v>
      </c>
      <c r="B4386" s="37">
        <v>45351</v>
      </c>
      <c r="C4386" s="36" t="s">
        <v>1391</v>
      </c>
      <c r="D4386" s="36" t="s">
        <v>197</v>
      </c>
      <c r="E4386" s="36" t="s">
        <v>198</v>
      </c>
      <c r="G4386" s="87">
        <v>27540000</v>
      </c>
      <c r="H4386" s="87">
        <v>2754000</v>
      </c>
      <c r="I4386" s="87">
        <v>30294000</v>
      </c>
      <c r="K4386" s="85">
        <v>2024</v>
      </c>
      <c r="L4386" s="85">
        <v>2</v>
      </c>
      <c r="N4386" s="1" t="s">
        <v>44</v>
      </c>
    </row>
    <row r="4387" spans="1:14">
      <c r="A4387" s="36" t="s">
        <v>33</v>
      </c>
      <c r="B4387" s="37">
        <v>45351</v>
      </c>
      <c r="C4387" s="36" t="s">
        <v>1391</v>
      </c>
      <c r="D4387" s="36" t="s">
        <v>1227</v>
      </c>
      <c r="E4387" s="36" t="s">
        <v>198</v>
      </c>
      <c r="G4387" s="87">
        <v>2010000</v>
      </c>
      <c r="H4387" s="87">
        <v>201000</v>
      </c>
      <c r="I4387" s="87">
        <v>2211000</v>
      </c>
      <c r="K4387" s="85">
        <v>2024</v>
      </c>
      <c r="L4387" s="85">
        <v>2</v>
      </c>
      <c r="N4387" s="1" t="s">
        <v>44</v>
      </c>
    </row>
    <row r="4388" spans="1:14">
      <c r="A4388" s="36" t="s">
        <v>32</v>
      </c>
      <c r="B4388" s="37">
        <v>45323</v>
      </c>
      <c r="C4388" s="36" t="s">
        <v>2015</v>
      </c>
      <c r="D4388" s="36" t="s">
        <v>2017</v>
      </c>
      <c r="E4388" s="36" t="s">
        <v>267</v>
      </c>
      <c r="G4388" s="87">
        <v>11000000</v>
      </c>
      <c r="H4388" s="87">
        <v>1100000</v>
      </c>
      <c r="I4388" s="87">
        <v>12100000</v>
      </c>
      <c r="K4388" s="85">
        <v>2024</v>
      </c>
      <c r="L4388" s="85">
        <v>2</v>
      </c>
      <c r="N4388" s="1" t="s">
        <v>44</v>
      </c>
    </row>
    <row r="4389" spans="1:14">
      <c r="A4389" s="36" t="s">
        <v>32</v>
      </c>
      <c r="B4389" s="37">
        <v>45342</v>
      </c>
      <c r="C4389" s="36" t="s">
        <v>2016</v>
      </c>
      <c r="D4389" s="36" t="s">
        <v>2033</v>
      </c>
      <c r="E4389" s="36" t="s">
        <v>76</v>
      </c>
      <c r="G4389" s="87">
        <v>1000000</v>
      </c>
      <c r="H4389" s="87">
        <v>100000</v>
      </c>
      <c r="I4389" s="87">
        <v>1100000</v>
      </c>
      <c r="K4389" s="85">
        <v>2024</v>
      </c>
      <c r="L4389" s="85">
        <v>2</v>
      </c>
      <c r="N4389" s="1" t="s">
        <v>44</v>
      </c>
    </row>
    <row r="4390" spans="1:14">
      <c r="A4390" s="36" t="s">
        <v>32</v>
      </c>
      <c r="B4390" s="37">
        <v>45345</v>
      </c>
      <c r="C4390" s="36" t="s">
        <v>1468</v>
      </c>
      <c r="D4390" s="36" t="s">
        <v>2018</v>
      </c>
      <c r="E4390" s="36" t="s">
        <v>267</v>
      </c>
      <c r="G4390" s="87">
        <v>22909340</v>
      </c>
      <c r="H4390" s="87">
        <v>2290934</v>
      </c>
      <c r="I4390" s="87">
        <v>25200274</v>
      </c>
      <c r="K4390" s="85">
        <v>2024</v>
      </c>
      <c r="L4390" s="85">
        <v>2</v>
      </c>
      <c r="N4390" s="1" t="s">
        <v>44</v>
      </c>
    </row>
    <row r="4391" spans="1:14">
      <c r="A4391" s="36" t="s">
        <v>32</v>
      </c>
      <c r="B4391" s="37">
        <v>45345</v>
      </c>
      <c r="C4391" s="36" t="s">
        <v>1468</v>
      </c>
      <c r="D4391" s="36" t="s">
        <v>2019</v>
      </c>
      <c r="E4391" s="36" t="s">
        <v>1492</v>
      </c>
      <c r="G4391" s="87">
        <v>7076520</v>
      </c>
      <c r="H4391" s="87">
        <v>707652</v>
      </c>
      <c r="I4391" s="87">
        <v>7784172</v>
      </c>
      <c r="K4391" s="85">
        <v>2024</v>
      </c>
      <c r="L4391" s="85">
        <v>2</v>
      </c>
      <c r="N4391" s="1" t="s">
        <v>44</v>
      </c>
    </row>
    <row r="4392" spans="1:14">
      <c r="A4392" s="36" t="s">
        <v>32</v>
      </c>
      <c r="B4392" s="37">
        <v>45345</v>
      </c>
      <c r="C4392" s="36" t="s">
        <v>1468</v>
      </c>
      <c r="D4392" s="36" t="s">
        <v>2020</v>
      </c>
      <c r="E4392" s="36" t="s">
        <v>267</v>
      </c>
      <c r="G4392" s="87">
        <v>22655070</v>
      </c>
      <c r="H4392" s="87">
        <v>2265507</v>
      </c>
      <c r="I4392" s="87">
        <v>24920577</v>
      </c>
      <c r="K4392" s="85">
        <v>2024</v>
      </c>
      <c r="L4392" s="85">
        <v>2</v>
      </c>
      <c r="N4392" s="1" t="s">
        <v>44</v>
      </c>
    </row>
    <row r="4393" spans="1:14">
      <c r="A4393" s="36" t="s">
        <v>32</v>
      </c>
      <c r="B4393" s="37">
        <v>45345</v>
      </c>
      <c r="C4393" s="36" t="s">
        <v>1468</v>
      </c>
      <c r="D4393" s="36" t="s">
        <v>2071</v>
      </c>
      <c r="E4393" s="36" t="s">
        <v>267</v>
      </c>
      <c r="G4393" s="87">
        <v>51196670</v>
      </c>
      <c r="H4393" s="87">
        <v>5119667</v>
      </c>
      <c r="I4393" s="87">
        <v>56316337</v>
      </c>
      <c r="K4393" s="85">
        <v>2024</v>
      </c>
      <c r="L4393" s="85">
        <v>2</v>
      </c>
      <c r="N4393" s="1" t="s">
        <v>44</v>
      </c>
    </row>
    <row r="4394" spans="1:14">
      <c r="A4394" s="36" t="s">
        <v>32</v>
      </c>
      <c r="B4394" s="37">
        <v>45345</v>
      </c>
      <c r="C4394" s="36" t="s">
        <v>1468</v>
      </c>
      <c r="D4394" s="36" t="s">
        <v>2021</v>
      </c>
      <c r="E4394" s="36" t="s">
        <v>1492</v>
      </c>
      <c r="G4394" s="87">
        <v>4567860</v>
      </c>
      <c r="H4394" s="87">
        <v>456786</v>
      </c>
      <c r="I4394" s="87">
        <v>5024646</v>
      </c>
      <c r="K4394" s="85">
        <v>2024</v>
      </c>
      <c r="L4394" s="85">
        <v>2</v>
      </c>
      <c r="N4394" s="1" t="s">
        <v>44</v>
      </c>
    </row>
    <row r="4395" spans="1:14">
      <c r="A4395" s="36" t="s">
        <v>32</v>
      </c>
      <c r="B4395" s="37">
        <v>45349</v>
      </c>
      <c r="C4395" s="36" t="s">
        <v>188</v>
      </c>
      <c r="D4395" s="36" t="s">
        <v>2022</v>
      </c>
      <c r="E4395" s="36" t="s">
        <v>267</v>
      </c>
      <c r="G4395" s="87">
        <v>2000000</v>
      </c>
      <c r="H4395" s="87">
        <v>200000</v>
      </c>
      <c r="I4395" s="87">
        <v>2200000</v>
      </c>
      <c r="K4395" s="85">
        <v>2024</v>
      </c>
      <c r="L4395" s="85">
        <v>2</v>
      </c>
      <c r="N4395" s="1" t="s">
        <v>44</v>
      </c>
    </row>
    <row r="4396" spans="1:14">
      <c r="A4396" s="36" t="s">
        <v>32</v>
      </c>
      <c r="B4396" s="37">
        <v>45350</v>
      </c>
      <c r="C4396" s="36" t="s">
        <v>654</v>
      </c>
      <c r="D4396" s="36" t="s">
        <v>1941</v>
      </c>
      <c r="E4396" s="36" t="s">
        <v>76</v>
      </c>
      <c r="G4396" s="87">
        <v>15724060</v>
      </c>
      <c r="H4396" s="87">
        <v>1572406</v>
      </c>
      <c r="I4396" s="87">
        <v>17296466</v>
      </c>
      <c r="K4396" s="85">
        <v>2024</v>
      </c>
      <c r="L4396" s="85">
        <v>2</v>
      </c>
      <c r="N4396" s="1" t="s">
        <v>44</v>
      </c>
    </row>
    <row r="4397" spans="1:14">
      <c r="A4397" s="36" t="s">
        <v>32</v>
      </c>
      <c r="B4397" s="37">
        <v>45351</v>
      </c>
      <c r="C4397" s="36" t="s">
        <v>654</v>
      </c>
      <c r="D4397" s="36" t="s">
        <v>1754</v>
      </c>
      <c r="E4397" s="36" t="s">
        <v>76</v>
      </c>
      <c r="G4397" s="87">
        <v>197497100</v>
      </c>
      <c r="H4397" s="87">
        <v>19749710</v>
      </c>
      <c r="I4397" s="87">
        <v>217246810</v>
      </c>
      <c r="K4397" s="85">
        <v>2024</v>
      </c>
      <c r="L4397" s="85">
        <v>2</v>
      </c>
      <c r="N4397" s="1" t="s">
        <v>44</v>
      </c>
    </row>
    <row r="4398" spans="1:14">
      <c r="A4398" s="36" t="s">
        <v>32</v>
      </c>
      <c r="B4398" s="37">
        <v>45351</v>
      </c>
      <c r="C4398" s="36" t="s">
        <v>654</v>
      </c>
      <c r="D4398" s="36" t="s">
        <v>2023</v>
      </c>
      <c r="E4398" s="36" t="s">
        <v>76</v>
      </c>
      <c r="G4398" s="87">
        <v>4923000</v>
      </c>
      <c r="H4398" s="87">
        <v>492300</v>
      </c>
      <c r="I4398" s="87">
        <v>5415300</v>
      </c>
      <c r="K4398" s="85">
        <v>2024</v>
      </c>
      <c r="L4398" s="85">
        <v>2</v>
      </c>
      <c r="N4398" s="1" t="s">
        <v>44</v>
      </c>
    </row>
    <row r="4399" spans="1:14">
      <c r="A4399" s="36" t="s">
        <v>32</v>
      </c>
      <c r="B4399" s="37">
        <v>45351</v>
      </c>
      <c r="C4399" s="36" t="s">
        <v>209</v>
      </c>
      <c r="D4399" s="36" t="s">
        <v>1699</v>
      </c>
      <c r="E4399" s="36" t="s">
        <v>76</v>
      </c>
      <c r="G4399" s="87">
        <v>20752100</v>
      </c>
      <c r="H4399" s="87">
        <v>2075210</v>
      </c>
      <c r="I4399" s="87">
        <v>22827310</v>
      </c>
      <c r="K4399" s="85">
        <v>2024</v>
      </c>
      <c r="L4399" s="85">
        <v>2</v>
      </c>
      <c r="N4399" s="1" t="s">
        <v>44</v>
      </c>
    </row>
    <row r="4400" spans="1:14">
      <c r="A4400" s="36" t="s">
        <v>32</v>
      </c>
      <c r="B4400" s="37">
        <v>45351</v>
      </c>
      <c r="C4400" s="36" t="s">
        <v>209</v>
      </c>
      <c r="D4400" s="36" t="s">
        <v>1885</v>
      </c>
      <c r="E4400" s="36" t="s">
        <v>1492</v>
      </c>
      <c r="G4400" s="87">
        <v>2125900</v>
      </c>
      <c r="H4400" s="87">
        <v>212590</v>
      </c>
      <c r="I4400" s="87">
        <v>2338490</v>
      </c>
      <c r="K4400" s="85">
        <v>2024</v>
      </c>
      <c r="L4400" s="85">
        <v>2</v>
      </c>
      <c r="N4400" s="1" t="s">
        <v>44</v>
      </c>
    </row>
    <row r="4401" spans="1:14">
      <c r="A4401" s="36" t="s">
        <v>32</v>
      </c>
      <c r="B4401" s="37">
        <v>45351</v>
      </c>
      <c r="C4401" s="36" t="s">
        <v>209</v>
      </c>
      <c r="D4401" s="36" t="s">
        <v>2001</v>
      </c>
      <c r="E4401" s="36" t="s">
        <v>76</v>
      </c>
      <c r="G4401" s="87">
        <v>30494400</v>
      </c>
      <c r="H4401" s="87">
        <v>3049440</v>
      </c>
      <c r="I4401" s="87">
        <v>33543840</v>
      </c>
      <c r="K4401" s="85">
        <v>2024</v>
      </c>
      <c r="L4401" s="85">
        <v>2</v>
      </c>
      <c r="N4401" s="1" t="s">
        <v>44</v>
      </c>
    </row>
    <row r="4402" spans="1:14">
      <c r="A4402" s="36" t="s">
        <v>32</v>
      </c>
      <c r="B4402" s="37">
        <v>45351</v>
      </c>
      <c r="C4402" s="36" t="s">
        <v>209</v>
      </c>
      <c r="D4402" s="36" t="s">
        <v>2103</v>
      </c>
      <c r="E4402" s="36" t="s">
        <v>1492</v>
      </c>
      <c r="G4402" s="87">
        <v>10341600</v>
      </c>
      <c r="H4402" s="87">
        <v>1034160</v>
      </c>
      <c r="I4402" s="87">
        <v>11375760</v>
      </c>
      <c r="K4402" s="85">
        <v>2024</v>
      </c>
      <c r="L4402" s="85">
        <v>2</v>
      </c>
      <c r="N4402" s="1" t="s">
        <v>44</v>
      </c>
    </row>
    <row r="4403" spans="1:14">
      <c r="A4403" s="36" t="s">
        <v>32</v>
      </c>
      <c r="B4403" s="37">
        <v>45351</v>
      </c>
      <c r="C4403" s="36" t="s">
        <v>209</v>
      </c>
      <c r="D4403" s="36" t="s">
        <v>1866</v>
      </c>
      <c r="E4403" s="36" t="s">
        <v>76</v>
      </c>
      <c r="G4403" s="87">
        <v>70776900</v>
      </c>
      <c r="H4403" s="87">
        <v>7077690</v>
      </c>
      <c r="I4403" s="87">
        <v>77854590</v>
      </c>
      <c r="K4403" s="85">
        <v>2024</v>
      </c>
      <c r="L4403" s="85">
        <v>2</v>
      </c>
      <c r="N4403" s="1" t="s">
        <v>44</v>
      </c>
    </row>
    <row r="4404" spans="1:14">
      <c r="A4404" s="36" t="s">
        <v>32</v>
      </c>
      <c r="B4404" s="37">
        <v>45351</v>
      </c>
      <c r="C4404" s="36" t="s">
        <v>209</v>
      </c>
      <c r="D4404" s="36" t="s">
        <v>2024</v>
      </c>
      <c r="E4404" s="36" t="s">
        <v>1492</v>
      </c>
      <c r="G4404" s="87">
        <v>22986900</v>
      </c>
      <c r="H4404" s="87">
        <v>2298690</v>
      </c>
      <c r="I4404" s="87">
        <v>25285590</v>
      </c>
      <c r="K4404" s="85">
        <v>2024</v>
      </c>
      <c r="L4404" s="85">
        <v>2</v>
      </c>
      <c r="N4404" s="1" t="s">
        <v>44</v>
      </c>
    </row>
    <row r="4405" spans="1:14">
      <c r="A4405" s="36" t="s">
        <v>32</v>
      </c>
      <c r="B4405" s="37">
        <v>45351</v>
      </c>
      <c r="C4405" s="36" t="s">
        <v>209</v>
      </c>
      <c r="D4405" s="36" t="s">
        <v>1639</v>
      </c>
      <c r="E4405" s="36" t="s">
        <v>1492</v>
      </c>
      <c r="G4405" s="87">
        <v>53338700</v>
      </c>
      <c r="H4405" s="87">
        <v>5333870</v>
      </c>
      <c r="I4405" s="87">
        <v>58672570</v>
      </c>
      <c r="K4405" s="85">
        <v>2024</v>
      </c>
      <c r="L4405" s="85">
        <v>2</v>
      </c>
      <c r="N4405" s="1" t="s">
        <v>44</v>
      </c>
    </row>
    <row r="4406" spans="1:14">
      <c r="A4406" s="36" t="s">
        <v>32</v>
      </c>
      <c r="B4406" s="37">
        <v>45351</v>
      </c>
      <c r="C4406" s="36" t="s">
        <v>209</v>
      </c>
      <c r="D4406" s="36" t="s">
        <v>2035</v>
      </c>
      <c r="E4406" s="36" t="s">
        <v>76</v>
      </c>
      <c r="G4406" s="87">
        <v>97300000</v>
      </c>
      <c r="H4406" s="87">
        <v>9730000</v>
      </c>
      <c r="I4406" s="87">
        <v>107030000</v>
      </c>
      <c r="K4406" s="85">
        <v>2024</v>
      </c>
      <c r="L4406" s="85">
        <v>2</v>
      </c>
      <c r="N4406" s="1" t="s">
        <v>44</v>
      </c>
    </row>
    <row r="4407" spans="1:14">
      <c r="A4407" s="36" t="s">
        <v>32</v>
      </c>
      <c r="B4407" s="37">
        <v>45351</v>
      </c>
      <c r="C4407" s="36" t="s">
        <v>1467</v>
      </c>
      <c r="D4407" s="36" t="s">
        <v>1814</v>
      </c>
      <c r="E4407" s="36" t="s">
        <v>76</v>
      </c>
      <c r="G4407" s="87">
        <v>46345000</v>
      </c>
      <c r="H4407" s="87">
        <v>4634500</v>
      </c>
      <c r="I4407" s="87">
        <v>50979500</v>
      </c>
      <c r="K4407" s="85">
        <v>2024</v>
      </c>
      <c r="L4407" s="85">
        <v>2</v>
      </c>
      <c r="N4407" s="1" t="s">
        <v>44</v>
      </c>
    </row>
    <row r="4408" spans="1:14">
      <c r="A4408" s="36" t="s">
        <v>32</v>
      </c>
      <c r="B4408" s="37">
        <v>45351</v>
      </c>
      <c r="C4408" s="36" t="s">
        <v>174</v>
      </c>
      <c r="D4408" s="36" t="s">
        <v>2025</v>
      </c>
      <c r="E4408" s="36" t="s">
        <v>76</v>
      </c>
      <c r="G4408" s="87">
        <v>10224000</v>
      </c>
      <c r="H4408" s="87">
        <v>1022400</v>
      </c>
      <c r="I4408" s="87">
        <v>11246400</v>
      </c>
      <c r="K4408" s="85">
        <v>2024</v>
      </c>
      <c r="L4408" s="85">
        <v>2</v>
      </c>
      <c r="N4408" s="1" t="s">
        <v>44</v>
      </c>
    </row>
    <row r="4409" spans="1:14">
      <c r="A4409" s="36" t="s">
        <v>32</v>
      </c>
      <c r="B4409" s="37">
        <v>45351</v>
      </c>
      <c r="C4409" s="36" t="s">
        <v>174</v>
      </c>
      <c r="D4409" s="36" t="s">
        <v>2026</v>
      </c>
      <c r="E4409" s="36" t="s">
        <v>267</v>
      </c>
      <c r="G4409" s="87">
        <v>35000000</v>
      </c>
      <c r="H4409" s="87">
        <v>3500000</v>
      </c>
      <c r="I4409" s="87">
        <v>38500000</v>
      </c>
      <c r="K4409" s="85">
        <v>2024</v>
      </c>
      <c r="L4409" s="85">
        <v>2</v>
      </c>
      <c r="N4409" s="1" t="s">
        <v>44</v>
      </c>
    </row>
    <row r="4410" spans="1:14">
      <c r="A4410" s="36" t="s">
        <v>32</v>
      </c>
      <c r="B4410" s="37">
        <v>45351</v>
      </c>
      <c r="C4410" s="36" t="s">
        <v>1198</v>
      </c>
      <c r="D4410" s="36" t="s">
        <v>2027</v>
      </c>
      <c r="E4410" s="36" t="s">
        <v>267</v>
      </c>
      <c r="G4410" s="87">
        <v>6183000</v>
      </c>
      <c r="H4410" s="87">
        <v>618300</v>
      </c>
      <c r="I4410" s="87">
        <v>6801300</v>
      </c>
      <c r="K4410" s="85">
        <v>2024</v>
      </c>
      <c r="L4410" s="85">
        <v>2</v>
      </c>
      <c r="N4410" s="1" t="s">
        <v>44</v>
      </c>
    </row>
    <row r="4411" spans="1:14">
      <c r="A4411" s="36" t="s">
        <v>32</v>
      </c>
      <c r="B4411" s="37">
        <v>45351</v>
      </c>
      <c r="C4411" s="36" t="s">
        <v>1198</v>
      </c>
      <c r="D4411" s="36" t="s">
        <v>1872</v>
      </c>
      <c r="E4411" s="36" t="s">
        <v>267</v>
      </c>
      <c r="G4411" s="87">
        <v>4604000</v>
      </c>
      <c r="H4411" s="87">
        <v>460400</v>
      </c>
      <c r="I4411" s="87">
        <v>5064400</v>
      </c>
      <c r="K4411" s="85">
        <v>2024</v>
      </c>
      <c r="L4411" s="85">
        <v>2</v>
      </c>
      <c r="N4411" s="1" t="s">
        <v>44</v>
      </c>
    </row>
    <row r="4412" spans="1:14">
      <c r="A4412" s="36" t="s">
        <v>32</v>
      </c>
      <c r="B4412" s="37">
        <v>45351</v>
      </c>
      <c r="C4412" s="36" t="s">
        <v>1198</v>
      </c>
      <c r="D4412" s="36" t="s">
        <v>1683</v>
      </c>
      <c r="E4412" s="36" t="s">
        <v>267</v>
      </c>
      <c r="G4412" s="87">
        <v>8165000</v>
      </c>
      <c r="H4412" s="87">
        <v>816500</v>
      </c>
      <c r="I4412" s="87">
        <v>8981500</v>
      </c>
      <c r="K4412" s="85">
        <v>2024</v>
      </c>
      <c r="L4412" s="85">
        <v>2</v>
      </c>
      <c r="N4412" s="1" t="s">
        <v>44</v>
      </c>
    </row>
    <row r="4413" spans="1:14">
      <c r="A4413" s="36" t="s">
        <v>32</v>
      </c>
      <c r="B4413" s="37">
        <v>45351</v>
      </c>
      <c r="C4413" s="36" t="s">
        <v>1470</v>
      </c>
      <c r="D4413" s="36" t="s">
        <v>1487</v>
      </c>
      <c r="E4413" s="36" t="s">
        <v>76</v>
      </c>
      <c r="G4413" s="87">
        <v>86843460</v>
      </c>
      <c r="H4413" s="87">
        <v>8684346</v>
      </c>
      <c r="I4413" s="87">
        <v>95527806</v>
      </c>
      <c r="K4413" s="85">
        <v>2024</v>
      </c>
      <c r="L4413" s="85">
        <v>2</v>
      </c>
      <c r="N4413" s="1" t="s">
        <v>44</v>
      </c>
    </row>
    <row r="4414" spans="1:14">
      <c r="A4414" s="36" t="s">
        <v>32</v>
      </c>
      <c r="B4414" s="37">
        <v>45351</v>
      </c>
      <c r="C4414" s="36" t="s">
        <v>307</v>
      </c>
      <c r="D4414" s="36" t="s">
        <v>2106</v>
      </c>
      <c r="E4414" s="36" t="s">
        <v>267</v>
      </c>
      <c r="G4414" s="87">
        <v>4480000</v>
      </c>
      <c r="H4414" s="87">
        <v>448000</v>
      </c>
      <c r="I4414" s="87">
        <v>4928000</v>
      </c>
      <c r="K4414" s="85">
        <v>2024</v>
      </c>
      <c r="L4414" s="85">
        <v>2</v>
      </c>
      <c r="N4414" s="1" t="s">
        <v>44</v>
      </c>
    </row>
    <row r="4415" spans="1:14">
      <c r="A4415" s="36" t="s">
        <v>32</v>
      </c>
      <c r="B4415" s="37">
        <v>45351</v>
      </c>
      <c r="C4415" s="36" t="s">
        <v>307</v>
      </c>
      <c r="D4415" s="36" t="s">
        <v>1752</v>
      </c>
      <c r="E4415" s="36" t="s">
        <v>76</v>
      </c>
      <c r="G4415" s="87">
        <v>3426000</v>
      </c>
      <c r="H4415" s="87">
        <v>342600</v>
      </c>
      <c r="I4415" s="87">
        <v>3768600</v>
      </c>
      <c r="K4415" s="85">
        <v>2024</v>
      </c>
      <c r="L4415" s="85">
        <v>2</v>
      </c>
      <c r="N4415" s="1" t="s">
        <v>44</v>
      </c>
    </row>
    <row r="4416" spans="1:14">
      <c r="A4416" s="36" t="s">
        <v>32</v>
      </c>
      <c r="B4416" s="37">
        <v>45351</v>
      </c>
      <c r="C4416" s="36" t="s">
        <v>1741</v>
      </c>
      <c r="D4416" s="36" t="s">
        <v>1745</v>
      </c>
      <c r="E4416" s="36" t="s">
        <v>267</v>
      </c>
      <c r="G4416" s="87">
        <v>2100000</v>
      </c>
      <c r="H4416" s="87">
        <v>210000</v>
      </c>
      <c r="I4416" s="87">
        <v>2310000</v>
      </c>
      <c r="K4416" s="85">
        <v>2024</v>
      </c>
      <c r="L4416" s="85">
        <v>2</v>
      </c>
      <c r="N4416" s="1" t="s">
        <v>44</v>
      </c>
    </row>
    <row r="4417" spans="1:14">
      <c r="A4417" s="36" t="s">
        <v>32</v>
      </c>
      <c r="B4417" s="37">
        <v>45351</v>
      </c>
      <c r="C4417" s="36" t="s">
        <v>1332</v>
      </c>
      <c r="D4417" s="36" t="s">
        <v>1867</v>
      </c>
      <c r="E4417" s="36" t="s">
        <v>76</v>
      </c>
      <c r="G4417" s="87">
        <v>12015000</v>
      </c>
      <c r="H4417" s="87">
        <v>1201500</v>
      </c>
      <c r="I4417" s="87">
        <v>13216500</v>
      </c>
      <c r="K4417" s="85">
        <v>2024</v>
      </c>
      <c r="L4417" s="85">
        <v>2</v>
      </c>
      <c r="N4417" s="1" t="s">
        <v>44</v>
      </c>
    </row>
    <row r="4418" spans="1:14">
      <c r="A4418" s="36" t="s">
        <v>32</v>
      </c>
      <c r="B4418" s="37">
        <v>45351</v>
      </c>
      <c r="C4418" s="36" t="s">
        <v>552</v>
      </c>
      <c r="D4418" s="36" t="s">
        <v>1820</v>
      </c>
      <c r="E4418" s="36" t="s">
        <v>76</v>
      </c>
      <c r="G4418" s="87">
        <v>10925600</v>
      </c>
      <c r="H4418" s="87">
        <v>1092560</v>
      </c>
      <c r="I4418" s="87">
        <v>12018160</v>
      </c>
      <c r="K4418" s="85">
        <v>2024</v>
      </c>
      <c r="L4418" s="85">
        <v>2</v>
      </c>
      <c r="N4418" s="1" t="s">
        <v>44</v>
      </c>
    </row>
    <row r="4419" spans="1:14">
      <c r="A4419" s="36" t="s">
        <v>32</v>
      </c>
      <c r="B4419" s="37">
        <v>45351</v>
      </c>
      <c r="C4419" s="36" t="s">
        <v>1933</v>
      </c>
      <c r="D4419" s="36" t="s">
        <v>2097</v>
      </c>
      <c r="E4419" s="36" t="s">
        <v>267</v>
      </c>
      <c r="G4419" s="87">
        <v>16800000</v>
      </c>
      <c r="H4419" s="87">
        <v>1680000</v>
      </c>
      <c r="I4419" s="87">
        <v>18480000</v>
      </c>
      <c r="K4419" s="85">
        <v>2024</v>
      </c>
      <c r="L4419" s="85">
        <v>2</v>
      </c>
      <c r="N4419" s="1" t="s">
        <v>44</v>
      </c>
    </row>
    <row r="4420" spans="1:14">
      <c r="A4420" s="36" t="s">
        <v>32</v>
      </c>
      <c r="B4420" s="37">
        <v>45351</v>
      </c>
      <c r="C4420" s="36" t="s">
        <v>1933</v>
      </c>
      <c r="D4420" s="36" t="s">
        <v>2098</v>
      </c>
      <c r="E4420" s="36" t="s">
        <v>1492</v>
      </c>
      <c r="G4420" s="87">
        <v>10953000</v>
      </c>
      <c r="H4420" s="87">
        <v>1095300</v>
      </c>
      <c r="I4420" s="87">
        <v>12048300</v>
      </c>
      <c r="K4420" s="85">
        <v>2024</v>
      </c>
      <c r="L4420" s="85">
        <v>2</v>
      </c>
      <c r="N4420" s="1" t="s">
        <v>44</v>
      </c>
    </row>
    <row r="4421" spans="1:14">
      <c r="A4421" s="36" t="s">
        <v>32</v>
      </c>
      <c r="B4421" s="37">
        <v>45351</v>
      </c>
      <c r="C4421" s="36" t="s">
        <v>1862</v>
      </c>
      <c r="D4421" s="36" t="s">
        <v>1874</v>
      </c>
      <c r="E4421" s="36" t="s">
        <v>76</v>
      </c>
      <c r="G4421" s="87">
        <v>7020000</v>
      </c>
      <c r="H4421" s="87">
        <v>702000</v>
      </c>
      <c r="I4421" s="87">
        <v>7722000</v>
      </c>
      <c r="K4421" s="85">
        <v>2024</v>
      </c>
      <c r="L4421" s="85">
        <v>2</v>
      </c>
      <c r="N4421" s="1" t="s">
        <v>44</v>
      </c>
    </row>
    <row r="4422" spans="1:14">
      <c r="A4422" s="36" t="s">
        <v>32</v>
      </c>
      <c r="B4422" s="37">
        <v>45351</v>
      </c>
      <c r="C4422" s="36" t="s">
        <v>834</v>
      </c>
      <c r="D4422" s="36" t="s">
        <v>2028</v>
      </c>
      <c r="E4422" s="36" t="s">
        <v>76</v>
      </c>
      <c r="G4422" s="87">
        <v>16083000</v>
      </c>
      <c r="H4422" s="87">
        <v>1608300</v>
      </c>
      <c r="I4422" s="87">
        <v>17691300</v>
      </c>
      <c r="K4422" s="85">
        <v>2024</v>
      </c>
      <c r="L4422" s="85">
        <v>2</v>
      </c>
      <c r="N4422" s="1" t="s">
        <v>44</v>
      </c>
    </row>
    <row r="4423" spans="1:14">
      <c r="A4423" s="36" t="s">
        <v>32</v>
      </c>
      <c r="B4423" s="37">
        <v>45351</v>
      </c>
      <c r="C4423" s="36" t="s">
        <v>2063</v>
      </c>
      <c r="D4423" s="36" t="s">
        <v>2029</v>
      </c>
      <c r="E4423" s="36" t="s">
        <v>1492</v>
      </c>
      <c r="G4423" s="87">
        <v>3000000</v>
      </c>
      <c r="H4423" s="87">
        <v>300000</v>
      </c>
      <c r="I4423" s="87">
        <v>3300000</v>
      </c>
      <c r="K4423" s="85">
        <v>2024</v>
      </c>
      <c r="L4423" s="85">
        <v>2</v>
      </c>
      <c r="N4423" s="1" t="s">
        <v>44</v>
      </c>
    </row>
    <row r="4424" spans="1:14">
      <c r="A4424" s="36" t="s">
        <v>32</v>
      </c>
      <c r="B4424" s="37">
        <v>45351</v>
      </c>
      <c r="C4424" s="36" t="s">
        <v>1531</v>
      </c>
      <c r="D4424" s="36" t="s">
        <v>2187</v>
      </c>
      <c r="E4424" s="36" t="s">
        <v>1492</v>
      </c>
      <c r="G4424" s="87">
        <v>14875200</v>
      </c>
      <c r="H4424" s="87">
        <v>1487520</v>
      </c>
      <c r="I4424" s="87">
        <v>16362720</v>
      </c>
      <c r="K4424" s="85">
        <v>2024</v>
      </c>
      <c r="L4424" s="85">
        <v>2</v>
      </c>
      <c r="N4424" s="1" t="s">
        <v>44</v>
      </c>
    </row>
    <row r="4425" spans="1:14">
      <c r="A4425" s="36" t="s">
        <v>32</v>
      </c>
      <c r="B4425" s="37">
        <v>45351</v>
      </c>
      <c r="C4425" s="36" t="s">
        <v>264</v>
      </c>
      <c r="D4425" s="36" t="s">
        <v>2030</v>
      </c>
      <c r="E4425" s="36" t="s">
        <v>76</v>
      </c>
      <c r="G4425" s="87">
        <v>23500000</v>
      </c>
      <c r="H4425" s="87">
        <v>2350000</v>
      </c>
      <c r="I4425" s="87">
        <v>25850000</v>
      </c>
      <c r="K4425" s="85">
        <v>2024</v>
      </c>
      <c r="L4425" s="85">
        <v>2</v>
      </c>
      <c r="N4425" s="1" t="s">
        <v>44</v>
      </c>
    </row>
    <row r="4426" spans="1:14">
      <c r="A4426" s="36" t="s">
        <v>32</v>
      </c>
      <c r="B4426" s="37">
        <v>45351</v>
      </c>
      <c r="C4426" s="36" t="s">
        <v>1266</v>
      </c>
      <c r="D4426" s="36" t="s">
        <v>2031</v>
      </c>
      <c r="E4426" s="36" t="s">
        <v>76</v>
      </c>
      <c r="G4426" s="87">
        <v>2300000</v>
      </c>
      <c r="H4426" s="87">
        <v>230000</v>
      </c>
      <c r="I4426" s="87">
        <v>2530000</v>
      </c>
      <c r="K4426" s="85">
        <v>2024</v>
      </c>
      <c r="L4426" s="85">
        <v>2</v>
      </c>
      <c r="N4426" s="1" t="s">
        <v>44</v>
      </c>
    </row>
    <row r="4427" spans="1:14">
      <c r="A4427" s="36" t="s">
        <v>32</v>
      </c>
      <c r="B4427" s="37">
        <v>45351</v>
      </c>
      <c r="C4427" s="36" t="s">
        <v>1662</v>
      </c>
      <c r="D4427" s="36" t="s">
        <v>2032</v>
      </c>
      <c r="E4427" s="36" t="s">
        <v>267</v>
      </c>
      <c r="G4427" s="87">
        <v>7895400</v>
      </c>
      <c r="H4427" s="87">
        <v>789540</v>
      </c>
      <c r="I4427" s="87">
        <v>8684940</v>
      </c>
      <c r="K4427" s="85">
        <v>2024</v>
      </c>
      <c r="L4427" s="85">
        <v>2</v>
      </c>
      <c r="N4427" s="1" t="s">
        <v>44</v>
      </c>
    </row>
    <row r="4428" spans="1:14">
      <c r="A4428" s="36" t="s">
        <v>32</v>
      </c>
      <c r="B4428" s="37">
        <v>45337</v>
      </c>
      <c r="C4428" s="36" t="s">
        <v>2015</v>
      </c>
      <c r="D4428" s="36" t="s">
        <v>2017</v>
      </c>
      <c r="E4428" s="36" t="s">
        <v>148</v>
      </c>
      <c r="J4428" s="38">
        <v>6000000</v>
      </c>
      <c r="K4428" s="85">
        <v>2024</v>
      </c>
      <c r="L4428" s="85">
        <v>9</v>
      </c>
      <c r="N4428" s="1" t="s">
        <v>44</v>
      </c>
    </row>
    <row r="4429" spans="1:14">
      <c r="A4429" s="36" t="s">
        <v>32</v>
      </c>
      <c r="B4429" s="37">
        <v>45342</v>
      </c>
      <c r="C4429" s="36" t="s">
        <v>2016</v>
      </c>
      <c r="D4429" s="36" t="s">
        <v>2033</v>
      </c>
      <c r="E4429" s="36" t="s">
        <v>2034</v>
      </c>
      <c r="J4429" s="87">
        <v>1100000</v>
      </c>
      <c r="K4429" s="85">
        <v>2024</v>
      </c>
      <c r="L4429" s="85">
        <v>2</v>
      </c>
      <c r="N4429" s="1" t="s">
        <v>44</v>
      </c>
    </row>
    <row r="4430" spans="1:14">
      <c r="A4430" s="36" t="s">
        <v>32</v>
      </c>
      <c r="B4430" s="37">
        <v>45362</v>
      </c>
      <c r="C4430" s="36" t="s">
        <v>1468</v>
      </c>
      <c r="D4430" s="36" t="s">
        <v>2020</v>
      </c>
      <c r="E4430" s="36" t="s">
        <v>148</v>
      </c>
      <c r="J4430" s="87">
        <v>24920577</v>
      </c>
      <c r="K4430" s="85">
        <v>2024</v>
      </c>
      <c r="L4430" s="85">
        <v>2</v>
      </c>
      <c r="N4430" s="1" t="s">
        <v>44</v>
      </c>
    </row>
    <row r="4431" spans="1:14">
      <c r="A4431" s="36" t="s">
        <v>32</v>
      </c>
      <c r="B4431" s="37">
        <v>45349</v>
      </c>
      <c r="C4431" s="36" t="s">
        <v>188</v>
      </c>
      <c r="D4431" s="36" t="s">
        <v>2022</v>
      </c>
      <c r="E4431" s="36" t="s">
        <v>148</v>
      </c>
      <c r="J4431" s="87">
        <v>2200000</v>
      </c>
      <c r="K4431" s="85">
        <v>2024</v>
      </c>
      <c r="L4431" s="85">
        <v>2</v>
      </c>
      <c r="N4431" s="1" t="s">
        <v>44</v>
      </c>
    </row>
    <row r="4432" spans="1:14">
      <c r="A4432" s="36" t="s">
        <v>32</v>
      </c>
      <c r="B4432" s="37">
        <v>45362</v>
      </c>
      <c r="C4432" s="36" t="s">
        <v>209</v>
      </c>
      <c r="D4432" s="36" t="s">
        <v>1866</v>
      </c>
      <c r="E4432" s="36" t="s">
        <v>148</v>
      </c>
      <c r="J4432" s="87">
        <v>77854590</v>
      </c>
      <c r="K4432" s="85">
        <v>2024</v>
      </c>
      <c r="L4432" s="85">
        <v>2</v>
      </c>
      <c r="N4432" s="1" t="s">
        <v>44</v>
      </c>
    </row>
    <row r="4433" spans="1:14">
      <c r="A4433" s="36" t="s">
        <v>32</v>
      </c>
      <c r="B4433" s="37">
        <v>45366</v>
      </c>
      <c r="C4433" s="36" t="s">
        <v>209</v>
      </c>
      <c r="D4433" s="36" t="s">
        <v>2035</v>
      </c>
      <c r="E4433" s="36" t="s">
        <v>148</v>
      </c>
      <c r="J4433" s="87">
        <v>107030000</v>
      </c>
      <c r="K4433" s="85">
        <v>2024</v>
      </c>
      <c r="L4433" s="85">
        <v>2</v>
      </c>
      <c r="N4433" s="1" t="s">
        <v>44</v>
      </c>
    </row>
    <row r="4434" spans="1:14">
      <c r="A4434" s="36" t="s">
        <v>33</v>
      </c>
      <c r="B4434" s="37">
        <v>45369</v>
      </c>
      <c r="C4434" s="36" t="s">
        <v>1218</v>
      </c>
      <c r="D4434" s="36" t="s">
        <v>2004</v>
      </c>
      <c r="E4434" s="36" t="s">
        <v>148</v>
      </c>
      <c r="J4434" s="87">
        <v>4324540</v>
      </c>
      <c r="K4434" s="85">
        <v>2024</v>
      </c>
      <c r="L4434" s="85">
        <v>2</v>
      </c>
      <c r="N4434" s="1" t="s">
        <v>44</v>
      </c>
    </row>
    <row r="4435" spans="1:14">
      <c r="A4435" s="36" t="s">
        <v>33</v>
      </c>
      <c r="B4435" s="37">
        <v>45369</v>
      </c>
      <c r="C4435" s="36" t="s">
        <v>119</v>
      </c>
      <c r="D4435" s="36" t="s">
        <v>2012</v>
      </c>
      <c r="E4435" s="36" t="s">
        <v>148</v>
      </c>
      <c r="J4435" s="87">
        <v>50605632</v>
      </c>
      <c r="K4435" s="85">
        <v>2024</v>
      </c>
      <c r="L4435" s="85">
        <v>2</v>
      </c>
      <c r="N4435" s="1" t="s">
        <v>44</v>
      </c>
    </row>
    <row r="4436" spans="1:14">
      <c r="A4436" s="36" t="s">
        <v>32</v>
      </c>
      <c r="B4436" s="37">
        <v>45369</v>
      </c>
      <c r="C4436" s="36" t="s">
        <v>672</v>
      </c>
      <c r="D4436" s="36" t="s">
        <v>1267</v>
      </c>
      <c r="E4436" s="36" t="s">
        <v>148</v>
      </c>
      <c r="J4436" s="87">
        <v>5500000</v>
      </c>
      <c r="K4436" s="85">
        <v>2023</v>
      </c>
      <c r="L4436" s="85">
        <v>4</v>
      </c>
      <c r="N4436" s="1" t="s">
        <v>44</v>
      </c>
    </row>
    <row r="4437" spans="1:14">
      <c r="A4437" s="36" t="s">
        <v>32</v>
      </c>
      <c r="B4437" s="37">
        <v>45369</v>
      </c>
      <c r="C4437" s="36" t="s">
        <v>1468</v>
      </c>
      <c r="D4437" s="36" t="s">
        <v>2018</v>
      </c>
      <c r="E4437" s="36" t="s">
        <v>148</v>
      </c>
      <c r="J4437" s="38">
        <v>25200274</v>
      </c>
      <c r="K4437" s="85">
        <v>2024</v>
      </c>
      <c r="L4437" s="85">
        <v>2</v>
      </c>
      <c r="N4437" s="1" t="s">
        <v>44</v>
      </c>
    </row>
    <row r="4438" spans="1:14">
      <c r="A4438" s="36" t="s">
        <v>32</v>
      </c>
      <c r="B4438" s="37">
        <v>45369</v>
      </c>
      <c r="C4438" s="36" t="s">
        <v>1468</v>
      </c>
      <c r="D4438" s="36" t="s">
        <v>2019</v>
      </c>
      <c r="E4438" s="36" t="s">
        <v>148</v>
      </c>
      <c r="J4438" s="38">
        <v>7784172</v>
      </c>
      <c r="K4438" s="85">
        <v>2024</v>
      </c>
      <c r="L4438" s="85">
        <v>2</v>
      </c>
      <c r="N4438" s="1" t="s">
        <v>44</v>
      </c>
    </row>
    <row r="4439" spans="1:14">
      <c r="A4439" s="36" t="s">
        <v>32</v>
      </c>
      <c r="B4439" s="37">
        <v>45369</v>
      </c>
      <c r="C4439" s="36" t="s">
        <v>1468</v>
      </c>
      <c r="D4439" s="36" t="s">
        <v>2071</v>
      </c>
      <c r="E4439" s="36" t="s">
        <v>148</v>
      </c>
      <c r="J4439" s="38">
        <v>56316337</v>
      </c>
      <c r="K4439" s="85">
        <v>2024</v>
      </c>
      <c r="L4439" s="85">
        <v>2</v>
      </c>
      <c r="N4439" s="1" t="s">
        <v>44</v>
      </c>
    </row>
    <row r="4440" spans="1:14">
      <c r="A4440" s="36" t="s">
        <v>32</v>
      </c>
      <c r="B4440" s="37">
        <v>45369</v>
      </c>
      <c r="C4440" s="36" t="s">
        <v>1468</v>
      </c>
      <c r="D4440" s="36" t="s">
        <v>2021</v>
      </c>
      <c r="E4440" s="36" t="s">
        <v>148</v>
      </c>
      <c r="J4440" s="38">
        <v>5024646</v>
      </c>
      <c r="K4440" s="85">
        <v>2024</v>
      </c>
      <c r="L4440" s="85">
        <v>2</v>
      </c>
      <c r="N4440" s="1" t="s">
        <v>44</v>
      </c>
    </row>
    <row r="4441" spans="1:14">
      <c r="A4441" s="36" t="s">
        <v>32</v>
      </c>
      <c r="B4441" s="37">
        <v>45370</v>
      </c>
      <c r="C4441" s="36" t="s">
        <v>552</v>
      </c>
      <c r="D4441" s="36" t="s">
        <v>1820</v>
      </c>
      <c r="E4441" s="36" t="s">
        <v>148</v>
      </c>
      <c r="J4441" s="87">
        <v>12018160</v>
      </c>
      <c r="K4441" s="85">
        <v>2024</v>
      </c>
      <c r="L4441" s="85">
        <v>2</v>
      </c>
      <c r="N4441" s="1" t="s">
        <v>44</v>
      </c>
    </row>
    <row r="4442" spans="1:14">
      <c r="A4442" s="36" t="s">
        <v>33</v>
      </c>
      <c r="B4442" s="37">
        <v>45371</v>
      </c>
      <c r="C4442" s="36" t="s">
        <v>2036</v>
      </c>
      <c r="D4442" s="36" t="s">
        <v>2037</v>
      </c>
      <c r="E4442" s="36" t="s">
        <v>2038</v>
      </c>
      <c r="G4442" s="87">
        <v>800000</v>
      </c>
      <c r="H4442" s="87">
        <v>80000</v>
      </c>
      <c r="I4442" s="87">
        <v>880000</v>
      </c>
      <c r="K4442" s="85">
        <v>2024</v>
      </c>
      <c r="L4442" s="85">
        <v>2</v>
      </c>
      <c r="N4442" s="1" t="s">
        <v>44</v>
      </c>
    </row>
    <row r="4443" spans="1:14">
      <c r="A4443" s="36" t="s">
        <v>33</v>
      </c>
      <c r="B4443" s="37">
        <v>45371</v>
      </c>
      <c r="C4443" s="36" t="s">
        <v>2036</v>
      </c>
      <c r="D4443" s="36" t="s">
        <v>2037</v>
      </c>
      <c r="E4443" s="36" t="s">
        <v>77</v>
      </c>
      <c r="J4443" s="38">
        <v>880000</v>
      </c>
      <c r="K4443" s="85">
        <v>2024</v>
      </c>
      <c r="L4443" s="85">
        <v>2</v>
      </c>
      <c r="N4443" s="1" t="s">
        <v>44</v>
      </c>
    </row>
    <row r="4444" spans="1:14">
      <c r="A4444" s="36" t="s">
        <v>33</v>
      </c>
      <c r="B4444" s="37">
        <v>45371</v>
      </c>
      <c r="C4444" s="36" t="s">
        <v>2039</v>
      </c>
      <c r="D4444" s="36" t="s">
        <v>2037</v>
      </c>
      <c r="E4444" s="36" t="s">
        <v>157</v>
      </c>
      <c r="G4444" s="87">
        <v>210000</v>
      </c>
      <c r="H4444" s="87">
        <v>21000</v>
      </c>
      <c r="I4444" s="87">
        <v>231000</v>
      </c>
      <c r="K4444" s="85">
        <v>2024</v>
      </c>
      <c r="L4444" s="85">
        <v>2</v>
      </c>
      <c r="N4444" s="1" t="s">
        <v>44</v>
      </c>
    </row>
    <row r="4445" spans="1:14">
      <c r="A4445" s="36" t="s">
        <v>33</v>
      </c>
      <c r="B4445" s="37">
        <v>45371</v>
      </c>
      <c r="C4445" s="36" t="s">
        <v>2039</v>
      </c>
      <c r="D4445" s="36" t="s">
        <v>2037</v>
      </c>
      <c r="E4445" s="36" t="s">
        <v>77</v>
      </c>
      <c r="J4445" s="38">
        <v>231000</v>
      </c>
      <c r="K4445" s="85">
        <v>2024</v>
      </c>
      <c r="L4445" s="85">
        <v>2</v>
      </c>
      <c r="N4445" s="1" t="s">
        <v>44</v>
      </c>
    </row>
    <row r="4446" spans="1:14">
      <c r="A4446" s="36" t="s">
        <v>33</v>
      </c>
      <c r="B4446" s="37">
        <v>45374</v>
      </c>
      <c r="C4446" s="36" t="s">
        <v>2039</v>
      </c>
      <c r="D4446" s="36" t="s">
        <v>2037</v>
      </c>
      <c r="E4446" s="36" t="s">
        <v>157</v>
      </c>
      <c r="G4446" s="87">
        <v>70000</v>
      </c>
      <c r="H4446" s="87">
        <v>7000</v>
      </c>
      <c r="I4446" s="87">
        <v>77000</v>
      </c>
      <c r="K4446" s="85">
        <v>2024</v>
      </c>
      <c r="L4446" s="85">
        <v>3</v>
      </c>
      <c r="N4446" s="1" t="s">
        <v>44</v>
      </c>
    </row>
    <row r="4447" spans="1:14">
      <c r="A4447" s="36" t="s">
        <v>33</v>
      </c>
      <c r="B4447" s="37">
        <v>45376</v>
      </c>
      <c r="C4447" s="36" t="s">
        <v>2039</v>
      </c>
      <c r="D4447" s="36" t="s">
        <v>2037</v>
      </c>
      <c r="E4447" s="36" t="s">
        <v>77</v>
      </c>
      <c r="J4447" s="38">
        <v>77000</v>
      </c>
      <c r="K4447" s="85">
        <v>2024</v>
      </c>
      <c r="L4447" s="85">
        <v>3</v>
      </c>
      <c r="N4447" s="1" t="s">
        <v>44</v>
      </c>
    </row>
    <row r="4448" spans="1:14">
      <c r="A4448" s="36" t="s">
        <v>32</v>
      </c>
      <c r="B4448" s="37">
        <v>45376</v>
      </c>
      <c r="C4448" s="36" t="s">
        <v>1332</v>
      </c>
      <c r="D4448" s="36" t="s">
        <v>1867</v>
      </c>
      <c r="E4448" s="36" t="s">
        <v>148</v>
      </c>
      <c r="J4448" s="87">
        <v>13216500</v>
      </c>
      <c r="K4448" s="85">
        <v>2024</v>
      </c>
      <c r="L4448" s="85">
        <v>2</v>
      </c>
      <c r="N4448" s="1" t="s">
        <v>44</v>
      </c>
    </row>
    <row r="4449" spans="1:14">
      <c r="A4449" s="36" t="s">
        <v>33</v>
      </c>
      <c r="B4449" s="37">
        <v>45376</v>
      </c>
      <c r="C4449" s="36" t="s">
        <v>1848</v>
      </c>
      <c r="D4449" s="36" t="s">
        <v>1849</v>
      </c>
      <c r="E4449" s="36" t="s">
        <v>157</v>
      </c>
      <c r="G4449" s="87">
        <v>800000</v>
      </c>
      <c r="H4449" s="87">
        <v>80000</v>
      </c>
      <c r="I4449" s="87">
        <v>880000</v>
      </c>
      <c r="K4449" s="85">
        <v>2024</v>
      </c>
      <c r="L4449" s="85">
        <v>3</v>
      </c>
      <c r="N4449" s="1" t="s">
        <v>44</v>
      </c>
    </row>
    <row r="4450" spans="1:14">
      <c r="A4450" s="36" t="s">
        <v>32</v>
      </c>
      <c r="B4450" s="37">
        <v>45380</v>
      </c>
      <c r="C4450" s="36" t="s">
        <v>654</v>
      </c>
      <c r="D4450" s="36" t="s">
        <v>1941</v>
      </c>
      <c r="E4450" s="36" t="s">
        <v>148</v>
      </c>
      <c r="J4450" s="87">
        <v>17296466</v>
      </c>
      <c r="K4450" s="85">
        <v>2024</v>
      </c>
      <c r="L4450" s="85">
        <v>2</v>
      </c>
      <c r="N4450" s="1" t="s">
        <v>44</v>
      </c>
    </row>
    <row r="4451" spans="1:14">
      <c r="A4451" s="36" t="s">
        <v>32</v>
      </c>
      <c r="B4451" s="37">
        <v>45380</v>
      </c>
      <c r="C4451" s="36" t="s">
        <v>1741</v>
      </c>
      <c r="D4451" s="36" t="s">
        <v>1745</v>
      </c>
      <c r="E4451" s="36" t="s">
        <v>148</v>
      </c>
      <c r="J4451" s="87">
        <v>2310000</v>
      </c>
      <c r="K4451" s="85">
        <v>2024</v>
      </c>
      <c r="L4451" s="85">
        <v>2</v>
      </c>
      <c r="N4451" s="1" t="s">
        <v>44</v>
      </c>
    </row>
    <row r="4452" spans="1:14">
      <c r="A4452" s="36" t="s">
        <v>32</v>
      </c>
      <c r="B4452" s="37">
        <v>45380</v>
      </c>
      <c r="C4452" s="36" t="s">
        <v>834</v>
      </c>
      <c r="D4452" s="36" t="s">
        <v>2028</v>
      </c>
      <c r="E4452" s="36" t="s">
        <v>148</v>
      </c>
      <c r="J4452" s="87">
        <v>17691300</v>
      </c>
      <c r="K4452" s="85">
        <v>2024</v>
      </c>
      <c r="L4452" s="85">
        <v>2</v>
      </c>
      <c r="N4452" s="1" t="s">
        <v>44</v>
      </c>
    </row>
    <row r="4453" spans="1:14">
      <c r="A4453" s="36" t="s">
        <v>32</v>
      </c>
      <c r="B4453" s="37">
        <v>45380</v>
      </c>
      <c r="C4453" s="36" t="s">
        <v>1470</v>
      </c>
      <c r="D4453" s="36" t="s">
        <v>1487</v>
      </c>
      <c r="E4453" s="36" t="s">
        <v>148</v>
      </c>
      <c r="J4453" s="87">
        <v>95527806</v>
      </c>
      <c r="K4453" s="85">
        <v>2024</v>
      </c>
      <c r="L4453" s="85">
        <v>2</v>
      </c>
      <c r="N4453" s="1" t="s">
        <v>44</v>
      </c>
    </row>
    <row r="4454" spans="1:14">
      <c r="A4454" s="36" t="s">
        <v>32</v>
      </c>
      <c r="B4454" s="37">
        <v>45380</v>
      </c>
      <c r="C4454" s="36" t="s">
        <v>1933</v>
      </c>
      <c r="D4454" s="36" t="s">
        <v>2097</v>
      </c>
      <c r="E4454" s="36" t="s">
        <v>148</v>
      </c>
      <c r="J4454" s="87">
        <v>18480000</v>
      </c>
      <c r="K4454" s="85">
        <v>2024</v>
      </c>
      <c r="L4454" s="85">
        <v>2</v>
      </c>
      <c r="N4454" s="1" t="s">
        <v>44</v>
      </c>
    </row>
    <row r="4455" spans="1:14">
      <c r="A4455" s="36" t="s">
        <v>32</v>
      </c>
      <c r="B4455" s="37">
        <v>45380</v>
      </c>
      <c r="C4455" s="36" t="s">
        <v>288</v>
      </c>
      <c r="D4455" s="36" t="s">
        <v>1949</v>
      </c>
      <c r="E4455" s="36" t="s">
        <v>148</v>
      </c>
      <c r="J4455" s="38">
        <v>24321280</v>
      </c>
      <c r="K4455" s="85">
        <v>2024</v>
      </c>
      <c r="L4455" s="85">
        <v>1</v>
      </c>
      <c r="M4455" s="239" t="s">
        <v>2095</v>
      </c>
      <c r="N4455" s="1" t="s">
        <v>44</v>
      </c>
    </row>
    <row r="4456" spans="1:14">
      <c r="A4456" s="36" t="s">
        <v>32</v>
      </c>
      <c r="B4456" s="37">
        <v>45380</v>
      </c>
      <c r="C4456" s="36" t="s">
        <v>307</v>
      </c>
      <c r="D4456" s="36" t="s">
        <v>2106</v>
      </c>
      <c r="E4456" s="36" t="s">
        <v>148</v>
      </c>
      <c r="J4456" s="87">
        <v>4928000</v>
      </c>
      <c r="K4456" s="85">
        <v>2024</v>
      </c>
      <c r="L4456" s="85">
        <v>2</v>
      </c>
      <c r="N4456" s="1" t="s">
        <v>44</v>
      </c>
    </row>
    <row r="4457" spans="1:14">
      <c r="A4457" s="36" t="s">
        <v>32</v>
      </c>
      <c r="B4457" s="37">
        <v>45380</v>
      </c>
      <c r="C4457" s="36" t="s">
        <v>307</v>
      </c>
      <c r="D4457" s="36" t="s">
        <v>1752</v>
      </c>
      <c r="E4457" s="36" t="s">
        <v>148</v>
      </c>
      <c r="J4457" s="87">
        <v>3768600</v>
      </c>
      <c r="K4457" s="85">
        <v>2024</v>
      </c>
      <c r="L4457" s="85">
        <v>2</v>
      </c>
      <c r="N4457" s="1" t="s">
        <v>44</v>
      </c>
    </row>
    <row r="4458" spans="1:14">
      <c r="A4458" s="36" t="s">
        <v>32</v>
      </c>
      <c r="B4458" s="37">
        <v>45380</v>
      </c>
      <c r="C4458" s="36" t="s">
        <v>1662</v>
      </c>
      <c r="D4458" s="36" t="s">
        <v>1819</v>
      </c>
      <c r="E4458" s="36" t="s">
        <v>148</v>
      </c>
      <c r="J4458" s="87">
        <v>23836010</v>
      </c>
      <c r="K4458" s="85">
        <v>2024</v>
      </c>
      <c r="L4458" s="85">
        <v>1</v>
      </c>
      <c r="N4458" s="1" t="s">
        <v>44</v>
      </c>
    </row>
    <row r="4459" spans="1:14">
      <c r="A4459" s="36" t="s">
        <v>32</v>
      </c>
      <c r="B4459" s="37">
        <v>45380</v>
      </c>
      <c r="C4459" s="36" t="s">
        <v>654</v>
      </c>
      <c r="D4459" s="36" t="s">
        <v>1931</v>
      </c>
      <c r="E4459" s="36" t="s">
        <v>148</v>
      </c>
      <c r="J4459" s="87">
        <v>580000</v>
      </c>
      <c r="K4459" s="85">
        <v>2024</v>
      </c>
      <c r="L4459" s="85">
        <v>1</v>
      </c>
      <c r="N4459" s="1" t="s">
        <v>44</v>
      </c>
    </row>
    <row r="4460" spans="1:14">
      <c r="A4460" s="36" t="s">
        <v>32</v>
      </c>
      <c r="B4460" s="37">
        <v>45380</v>
      </c>
      <c r="C4460" s="36" t="s">
        <v>654</v>
      </c>
      <c r="D4460" s="36" t="s">
        <v>1754</v>
      </c>
      <c r="E4460" s="36" t="s">
        <v>148</v>
      </c>
      <c r="J4460" s="87">
        <v>197497100</v>
      </c>
      <c r="K4460" s="85">
        <v>2024</v>
      </c>
      <c r="L4460" s="85">
        <v>2</v>
      </c>
      <c r="N4460" s="1" t="s">
        <v>44</v>
      </c>
    </row>
    <row r="4461" spans="1:14">
      <c r="A4461" s="36" t="s">
        <v>32</v>
      </c>
      <c r="B4461" s="37">
        <v>45380</v>
      </c>
      <c r="C4461" s="36" t="s">
        <v>654</v>
      </c>
      <c r="D4461" s="36" t="s">
        <v>2023</v>
      </c>
      <c r="E4461" s="36" t="s">
        <v>148</v>
      </c>
      <c r="J4461" s="87">
        <v>5415300</v>
      </c>
      <c r="K4461" s="85">
        <v>2024</v>
      </c>
      <c r="L4461" s="85">
        <v>2</v>
      </c>
      <c r="N4461" s="1" t="s">
        <v>44</v>
      </c>
    </row>
    <row r="4462" spans="1:14">
      <c r="A4462" s="36" t="s">
        <v>32</v>
      </c>
      <c r="B4462" s="37">
        <v>45383</v>
      </c>
      <c r="C4462" s="36" t="s">
        <v>209</v>
      </c>
      <c r="D4462" s="36" t="s">
        <v>2001</v>
      </c>
      <c r="E4462" s="36" t="s">
        <v>148</v>
      </c>
      <c r="J4462" s="87">
        <v>33543840</v>
      </c>
      <c r="K4462" s="85">
        <v>2024</v>
      </c>
      <c r="L4462" s="85">
        <v>2</v>
      </c>
      <c r="N4462" s="1" t="s">
        <v>44</v>
      </c>
    </row>
    <row r="4463" spans="1:14">
      <c r="A4463" s="36" t="s">
        <v>33</v>
      </c>
      <c r="B4463" s="37">
        <v>45382</v>
      </c>
      <c r="C4463" s="36" t="s">
        <v>171</v>
      </c>
      <c r="D4463" s="36" t="s">
        <v>2148</v>
      </c>
      <c r="E4463" s="36" t="s">
        <v>2040</v>
      </c>
      <c r="G4463" s="87">
        <v>3000000</v>
      </c>
      <c r="H4463" s="87">
        <v>300000</v>
      </c>
      <c r="I4463" s="87">
        <v>3300000</v>
      </c>
      <c r="K4463" s="85">
        <v>2024</v>
      </c>
      <c r="L4463" s="85">
        <v>3</v>
      </c>
      <c r="N4463" s="1" t="s">
        <v>44</v>
      </c>
    </row>
    <row r="4464" spans="1:14">
      <c r="A4464" s="36" t="s">
        <v>33</v>
      </c>
      <c r="B4464" s="37">
        <v>45383</v>
      </c>
      <c r="C4464" s="36" t="s">
        <v>171</v>
      </c>
      <c r="D4464" s="36" t="s">
        <v>2148</v>
      </c>
      <c r="E4464" s="36" t="s">
        <v>77</v>
      </c>
      <c r="J4464" s="38">
        <v>3300000</v>
      </c>
      <c r="K4464" s="85">
        <v>2024</v>
      </c>
      <c r="L4464" s="85">
        <v>3</v>
      </c>
      <c r="N4464" s="1" t="s">
        <v>44</v>
      </c>
    </row>
    <row r="4465" spans="1:14">
      <c r="A4465" s="36" t="s">
        <v>33</v>
      </c>
      <c r="B4465" s="37">
        <v>45382</v>
      </c>
      <c r="C4465" s="36" t="s">
        <v>1914</v>
      </c>
      <c r="D4465" s="36" t="s">
        <v>1915</v>
      </c>
      <c r="E4465" s="36" t="s">
        <v>165</v>
      </c>
      <c r="G4465" s="87">
        <v>420000</v>
      </c>
      <c r="H4465" s="87">
        <v>42000</v>
      </c>
      <c r="I4465" s="87">
        <v>462000</v>
      </c>
      <c r="K4465" s="85">
        <v>2024</v>
      </c>
      <c r="L4465" s="85">
        <v>3</v>
      </c>
      <c r="N4465" s="1" t="s">
        <v>44</v>
      </c>
    </row>
    <row r="4466" spans="1:14">
      <c r="A4466" s="36" t="s">
        <v>33</v>
      </c>
      <c r="B4466" s="37">
        <v>45380</v>
      </c>
      <c r="C4466" s="36" t="s">
        <v>1218</v>
      </c>
      <c r="D4466" s="36" t="s">
        <v>1929</v>
      </c>
      <c r="E4466" s="36" t="s">
        <v>148</v>
      </c>
      <c r="J4466" s="87">
        <v>16965300</v>
      </c>
      <c r="K4466" s="85">
        <v>2024</v>
      </c>
      <c r="L4466" s="85">
        <v>1</v>
      </c>
      <c r="N4466" s="1" t="s">
        <v>44</v>
      </c>
    </row>
    <row r="4467" spans="1:14">
      <c r="A4467" s="36" t="s">
        <v>33</v>
      </c>
      <c r="B4467" s="37">
        <v>45380</v>
      </c>
      <c r="C4467" s="36" t="s">
        <v>1914</v>
      </c>
      <c r="D4467" s="36" t="s">
        <v>1915</v>
      </c>
      <c r="E4467" s="36" t="s">
        <v>148</v>
      </c>
      <c r="J4467" s="87">
        <v>154000</v>
      </c>
      <c r="K4467" s="85">
        <v>2024</v>
      </c>
      <c r="L4467" s="85">
        <v>2</v>
      </c>
      <c r="N4467" s="1" t="s">
        <v>44</v>
      </c>
    </row>
    <row r="4468" spans="1:14">
      <c r="A4468" s="36" t="s">
        <v>33</v>
      </c>
      <c r="B4468" s="37">
        <v>45380</v>
      </c>
      <c r="C4468" s="36" t="s">
        <v>1842</v>
      </c>
      <c r="D4468" s="36" t="s">
        <v>1754</v>
      </c>
      <c r="E4468" s="36" t="s">
        <v>148</v>
      </c>
      <c r="J4468" s="87">
        <v>881999.8</v>
      </c>
      <c r="K4468" s="85">
        <v>2024</v>
      </c>
      <c r="L4468" s="85">
        <v>2</v>
      </c>
      <c r="N4468" s="1" t="s">
        <v>44</v>
      </c>
    </row>
    <row r="4469" spans="1:14">
      <c r="A4469" s="36" t="s">
        <v>33</v>
      </c>
      <c r="B4469" s="37">
        <v>45380</v>
      </c>
      <c r="C4469" s="36" t="s">
        <v>1920</v>
      </c>
      <c r="D4469" s="36" t="s">
        <v>1993</v>
      </c>
      <c r="E4469" s="36" t="s">
        <v>148</v>
      </c>
      <c r="J4469" s="87">
        <v>462000</v>
      </c>
      <c r="K4469" s="85">
        <v>2024</v>
      </c>
      <c r="L4469" s="85">
        <v>2</v>
      </c>
      <c r="N4469" s="1" t="s">
        <v>44</v>
      </c>
    </row>
    <row r="4470" spans="1:14">
      <c r="A4470" s="36" t="s">
        <v>33</v>
      </c>
      <c r="B4470" s="37">
        <v>45380</v>
      </c>
      <c r="C4470" s="36" t="s">
        <v>1919</v>
      </c>
      <c r="D4470" s="36" t="s">
        <v>1754</v>
      </c>
      <c r="E4470" s="36" t="s">
        <v>148</v>
      </c>
      <c r="J4470" s="87">
        <v>7642800</v>
      </c>
      <c r="K4470" s="85">
        <v>2024</v>
      </c>
      <c r="L4470" s="85">
        <v>2</v>
      </c>
      <c r="N4470" s="1" t="s">
        <v>44</v>
      </c>
    </row>
    <row r="4471" spans="1:14">
      <c r="A4471" s="36" t="s">
        <v>33</v>
      </c>
      <c r="B4471" s="37">
        <v>45380</v>
      </c>
      <c r="C4471" s="36" t="s">
        <v>1650</v>
      </c>
      <c r="D4471" s="36" t="s">
        <v>2003</v>
      </c>
      <c r="E4471" s="36" t="s">
        <v>148</v>
      </c>
      <c r="J4471" s="87">
        <v>4462150</v>
      </c>
      <c r="K4471" s="85">
        <v>2024</v>
      </c>
      <c r="L4471" s="85">
        <v>2</v>
      </c>
      <c r="N4471" s="1" t="s">
        <v>44</v>
      </c>
    </row>
    <row r="4472" spans="1:14">
      <c r="A4472" s="36" t="s">
        <v>33</v>
      </c>
      <c r="B4472" s="37">
        <v>45380</v>
      </c>
      <c r="C4472" s="36" t="s">
        <v>2009</v>
      </c>
      <c r="D4472" s="36" t="s">
        <v>197</v>
      </c>
      <c r="E4472" s="36" t="s">
        <v>148</v>
      </c>
      <c r="J4472" s="87">
        <v>1362900</v>
      </c>
      <c r="K4472" s="85">
        <v>2024</v>
      </c>
      <c r="L4472" s="85">
        <v>2</v>
      </c>
      <c r="N4472" s="1" t="s">
        <v>44</v>
      </c>
    </row>
    <row r="4473" spans="1:14">
      <c r="A4473" s="36" t="s">
        <v>33</v>
      </c>
      <c r="B4473" s="37">
        <v>45380</v>
      </c>
      <c r="C4473" s="36" t="s">
        <v>1925</v>
      </c>
      <c r="D4473" s="36" t="s">
        <v>1921</v>
      </c>
      <c r="E4473" s="36" t="s">
        <v>148</v>
      </c>
      <c r="J4473" s="87">
        <v>308000</v>
      </c>
      <c r="K4473" s="85">
        <v>2024</v>
      </c>
      <c r="L4473" s="85">
        <v>2</v>
      </c>
      <c r="N4473" s="1" t="s">
        <v>44</v>
      </c>
    </row>
    <row r="4474" spans="1:14">
      <c r="A4474" s="36" t="s">
        <v>33</v>
      </c>
      <c r="B4474" s="37">
        <v>45380</v>
      </c>
      <c r="C4474" s="36" t="s">
        <v>96</v>
      </c>
      <c r="D4474" s="36" t="s">
        <v>1803</v>
      </c>
      <c r="E4474" s="36" t="s">
        <v>148</v>
      </c>
      <c r="J4474" s="87">
        <v>1859000</v>
      </c>
      <c r="K4474" s="85">
        <v>2024</v>
      </c>
      <c r="L4474" s="85">
        <v>2</v>
      </c>
      <c r="N4474" s="1" t="s">
        <v>44</v>
      </c>
    </row>
    <row r="4475" spans="1:14">
      <c r="A4475" s="36" t="s">
        <v>33</v>
      </c>
      <c r="B4475" s="37">
        <v>45380</v>
      </c>
      <c r="C4475" s="36" t="s">
        <v>96</v>
      </c>
      <c r="D4475" s="36" t="s">
        <v>2014</v>
      </c>
      <c r="E4475" s="36" t="s">
        <v>148</v>
      </c>
      <c r="J4475" s="87">
        <v>231000</v>
      </c>
      <c r="K4475" s="85">
        <v>2024</v>
      </c>
      <c r="L4475" s="85">
        <v>2</v>
      </c>
      <c r="N4475" s="1" t="s">
        <v>44</v>
      </c>
    </row>
    <row r="4476" spans="1:14">
      <c r="A4476" s="36" t="s">
        <v>33</v>
      </c>
      <c r="B4476" s="37">
        <v>45380</v>
      </c>
      <c r="C4476" s="36" t="s">
        <v>1650</v>
      </c>
      <c r="D4476" s="36" t="s">
        <v>790</v>
      </c>
      <c r="E4476" s="36" t="s">
        <v>148</v>
      </c>
      <c r="J4476" s="87">
        <v>10626000</v>
      </c>
      <c r="K4476" s="85">
        <v>2024</v>
      </c>
      <c r="L4476" s="85">
        <v>2</v>
      </c>
      <c r="N4476" s="1" t="s">
        <v>44</v>
      </c>
    </row>
    <row r="4477" spans="1:14">
      <c r="A4477" s="36" t="s">
        <v>32</v>
      </c>
      <c r="B4477" s="37">
        <v>45356</v>
      </c>
      <c r="C4477" s="36" t="s">
        <v>1266</v>
      </c>
      <c r="D4477" s="36" t="s">
        <v>2031</v>
      </c>
      <c r="E4477" s="36" t="s">
        <v>76</v>
      </c>
      <c r="G4477" s="87">
        <v>-2300000</v>
      </c>
      <c r="H4477" s="87">
        <v>-230000</v>
      </c>
      <c r="I4477" s="87">
        <v>-2530000</v>
      </c>
      <c r="K4477" s="85">
        <v>2024</v>
      </c>
      <c r="L4477" s="85">
        <v>2</v>
      </c>
      <c r="N4477" s="1" t="s">
        <v>44</v>
      </c>
    </row>
    <row r="4478" spans="1:14">
      <c r="A4478" s="36" t="s">
        <v>32</v>
      </c>
      <c r="B4478" s="37">
        <v>45380</v>
      </c>
      <c r="C4478" s="36" t="s">
        <v>654</v>
      </c>
      <c r="D4478" s="36" t="s">
        <v>1945</v>
      </c>
      <c r="E4478" s="36" t="s">
        <v>148</v>
      </c>
      <c r="J4478" s="38">
        <v>7741670</v>
      </c>
      <c r="K4478" s="85">
        <v>2024</v>
      </c>
      <c r="L4478" s="85">
        <v>1</v>
      </c>
      <c r="N4478" s="1" t="s">
        <v>44</v>
      </c>
    </row>
    <row r="4479" spans="1:14">
      <c r="A4479" s="36" t="s">
        <v>32</v>
      </c>
      <c r="B4479" s="37">
        <v>45383</v>
      </c>
      <c r="C4479" s="36" t="s">
        <v>174</v>
      </c>
      <c r="D4479" s="36" t="s">
        <v>1747</v>
      </c>
      <c r="E4479" s="36" t="s">
        <v>148</v>
      </c>
      <c r="J4479" s="87">
        <v>37774880</v>
      </c>
      <c r="K4479" s="85">
        <v>2023</v>
      </c>
      <c r="L4479" s="85">
        <v>11</v>
      </c>
      <c r="N4479" s="1" t="s">
        <v>44</v>
      </c>
    </row>
    <row r="4480" spans="1:14">
      <c r="A4480" s="36" t="s">
        <v>32</v>
      </c>
      <c r="B4480" s="37">
        <v>45383</v>
      </c>
      <c r="C4480" s="36" t="s">
        <v>209</v>
      </c>
      <c r="D4480" s="36" t="s">
        <v>1892</v>
      </c>
      <c r="E4480" s="36" t="s">
        <v>148</v>
      </c>
      <c r="J4480" s="38">
        <v>43785190</v>
      </c>
      <c r="K4480" s="85">
        <v>2024</v>
      </c>
      <c r="L4480" s="85">
        <v>1</v>
      </c>
      <c r="M4480" s="36" t="s">
        <v>2041</v>
      </c>
      <c r="N4480" s="1" t="s">
        <v>44</v>
      </c>
    </row>
    <row r="4481" spans="1:14">
      <c r="A4481" s="36" t="s">
        <v>32</v>
      </c>
      <c r="B4481" s="37">
        <v>45383</v>
      </c>
      <c r="C4481" s="36" t="s">
        <v>209</v>
      </c>
      <c r="D4481" s="36" t="s">
        <v>1699</v>
      </c>
      <c r="E4481" s="36" t="s">
        <v>148</v>
      </c>
      <c r="J4481" s="87">
        <v>22827310</v>
      </c>
      <c r="K4481" s="85">
        <v>2024</v>
      </c>
      <c r="L4481" s="85">
        <v>2</v>
      </c>
      <c r="M4481" s="36" t="s">
        <v>2042</v>
      </c>
      <c r="N4481" s="1" t="s">
        <v>44</v>
      </c>
    </row>
    <row r="4482" spans="1:14">
      <c r="A4482" s="36" t="s">
        <v>32</v>
      </c>
      <c r="B4482" s="37">
        <v>45383</v>
      </c>
      <c r="C4482" s="36" t="s">
        <v>209</v>
      </c>
      <c r="D4482" s="36" t="s">
        <v>1885</v>
      </c>
      <c r="E4482" s="36" t="s">
        <v>148</v>
      </c>
      <c r="J4482" s="87">
        <v>2338490</v>
      </c>
      <c r="K4482" s="85">
        <v>2024</v>
      </c>
      <c r="L4482" s="85">
        <v>2</v>
      </c>
      <c r="M4482" s="36" t="s">
        <v>2043</v>
      </c>
      <c r="N4482" s="1" t="s">
        <v>44</v>
      </c>
    </row>
    <row r="4483" spans="1:14">
      <c r="A4483" s="36" t="s">
        <v>32</v>
      </c>
      <c r="B4483" s="37">
        <v>45383</v>
      </c>
      <c r="C4483" s="36" t="s">
        <v>209</v>
      </c>
      <c r="D4483" s="36" t="s">
        <v>2103</v>
      </c>
      <c r="E4483" s="36" t="s">
        <v>148</v>
      </c>
      <c r="J4483" s="87">
        <v>11375760</v>
      </c>
      <c r="K4483" s="85">
        <v>2024</v>
      </c>
      <c r="L4483" s="85">
        <v>2</v>
      </c>
      <c r="M4483" s="36" t="s">
        <v>2105</v>
      </c>
      <c r="N4483" s="1" t="s">
        <v>44</v>
      </c>
    </row>
    <row r="4484" spans="1:14">
      <c r="A4484" s="36" t="s">
        <v>32</v>
      </c>
      <c r="B4484" s="37">
        <v>45383</v>
      </c>
      <c r="C4484" s="36" t="s">
        <v>209</v>
      </c>
      <c r="D4484" s="36" t="s">
        <v>2024</v>
      </c>
      <c r="E4484" s="36" t="s">
        <v>148</v>
      </c>
      <c r="J4484" s="38">
        <v>19673250</v>
      </c>
      <c r="K4484" s="85">
        <v>2024</v>
      </c>
      <c r="L4484" s="85">
        <v>2</v>
      </c>
      <c r="M4484" s="36" t="s">
        <v>2105</v>
      </c>
      <c r="N4484" s="1" t="s">
        <v>44</v>
      </c>
    </row>
    <row r="4485" spans="1:14">
      <c r="A4485" s="36" t="s">
        <v>32</v>
      </c>
      <c r="B4485" s="37">
        <v>45383</v>
      </c>
      <c r="C4485" s="36" t="s">
        <v>264</v>
      </c>
      <c r="D4485" s="36" t="s">
        <v>2030</v>
      </c>
      <c r="E4485" s="36" t="s">
        <v>148</v>
      </c>
      <c r="J4485" s="87">
        <v>25850000</v>
      </c>
      <c r="K4485" s="85">
        <v>2024</v>
      </c>
      <c r="L4485" s="85">
        <v>2</v>
      </c>
      <c r="N4485" s="1" t="s">
        <v>44</v>
      </c>
    </row>
    <row r="4486" spans="1:14">
      <c r="A4486" s="36" t="s">
        <v>32</v>
      </c>
      <c r="B4486" s="37">
        <v>45352</v>
      </c>
      <c r="C4486" s="36" t="s">
        <v>1660</v>
      </c>
      <c r="D4486" s="36" t="s">
        <v>1407</v>
      </c>
      <c r="E4486" s="36" t="s">
        <v>2044</v>
      </c>
      <c r="G4486" s="87">
        <v>-600000</v>
      </c>
      <c r="H4486" s="87">
        <v>-60000</v>
      </c>
      <c r="I4486" s="87">
        <v>-660000</v>
      </c>
      <c r="K4486" s="85">
        <v>2023</v>
      </c>
      <c r="L4486" s="85">
        <v>9</v>
      </c>
      <c r="N4486" s="1" t="s">
        <v>44</v>
      </c>
    </row>
    <row r="4487" spans="1:14">
      <c r="A4487" s="36" t="s">
        <v>33</v>
      </c>
      <c r="B4487" s="37">
        <v>45384</v>
      </c>
      <c r="C4487" s="36" t="s">
        <v>912</v>
      </c>
      <c r="D4487" s="36" t="s">
        <v>1579</v>
      </c>
      <c r="E4487" s="36" t="s">
        <v>447</v>
      </c>
      <c r="G4487" s="87">
        <v>20500000</v>
      </c>
      <c r="H4487" s="87">
        <v>2050000</v>
      </c>
      <c r="I4487" s="87">
        <v>22550000</v>
      </c>
      <c r="K4487" s="85">
        <v>2024</v>
      </c>
      <c r="L4487" s="85">
        <v>3</v>
      </c>
      <c r="N4487" s="1" t="s">
        <v>44</v>
      </c>
    </row>
    <row r="4488" spans="1:14">
      <c r="A4488" s="36" t="s">
        <v>33</v>
      </c>
      <c r="B4488" s="37">
        <v>45382</v>
      </c>
      <c r="C4488" s="36" t="s">
        <v>1920</v>
      </c>
      <c r="D4488" s="36" t="s">
        <v>1993</v>
      </c>
      <c r="E4488" s="36" t="s">
        <v>157</v>
      </c>
      <c r="G4488" s="87">
        <v>280000</v>
      </c>
      <c r="H4488" s="87">
        <v>28000</v>
      </c>
      <c r="I4488" s="87">
        <v>308000</v>
      </c>
      <c r="K4488" s="85">
        <v>2024</v>
      </c>
      <c r="L4488" s="85">
        <v>3</v>
      </c>
      <c r="N4488" s="1" t="s">
        <v>44</v>
      </c>
    </row>
    <row r="4489" spans="1:14">
      <c r="A4489" s="36" t="s">
        <v>33</v>
      </c>
      <c r="B4489" s="37">
        <v>45382</v>
      </c>
      <c r="C4489" s="36" t="s">
        <v>2045</v>
      </c>
      <c r="D4489" s="36" t="s">
        <v>1826</v>
      </c>
      <c r="E4489" s="36" t="s">
        <v>125</v>
      </c>
      <c r="G4489" s="87">
        <v>66000</v>
      </c>
      <c r="H4489" s="87">
        <v>6600</v>
      </c>
      <c r="I4489" s="87">
        <v>72600</v>
      </c>
      <c r="K4489" s="85">
        <v>2024</v>
      </c>
      <c r="L4489" s="85">
        <v>3</v>
      </c>
      <c r="N4489" s="1" t="s">
        <v>44</v>
      </c>
    </row>
    <row r="4490" spans="1:14">
      <c r="A4490" s="36" t="s">
        <v>33</v>
      </c>
      <c r="B4490" s="37">
        <v>45383</v>
      </c>
      <c r="C4490" s="36" t="s">
        <v>1391</v>
      </c>
      <c r="D4490" s="36" t="s">
        <v>1227</v>
      </c>
      <c r="E4490" s="36" t="s">
        <v>148</v>
      </c>
      <c r="J4490" s="87">
        <v>7467625</v>
      </c>
      <c r="K4490" s="85">
        <v>2024</v>
      </c>
      <c r="L4490" s="85">
        <v>1</v>
      </c>
      <c r="N4490" s="1" t="s">
        <v>44</v>
      </c>
    </row>
    <row r="4491" spans="1:14">
      <c r="A4491" s="36" t="s">
        <v>33</v>
      </c>
      <c r="B4491" s="37">
        <v>45383</v>
      </c>
      <c r="C4491" s="36" t="s">
        <v>1569</v>
      </c>
      <c r="D4491" s="36" t="s">
        <v>1412</v>
      </c>
      <c r="E4491" s="36" t="s">
        <v>148</v>
      </c>
      <c r="J4491" s="87">
        <v>67005620</v>
      </c>
      <c r="K4491" s="85">
        <v>2024</v>
      </c>
      <c r="L4491" s="85">
        <v>1</v>
      </c>
      <c r="N4491" s="1" t="s">
        <v>44</v>
      </c>
    </row>
    <row r="4492" spans="1:14">
      <c r="A4492" s="36" t="s">
        <v>33</v>
      </c>
      <c r="B4492" s="37">
        <v>45382</v>
      </c>
      <c r="C4492" s="36" t="s">
        <v>2009</v>
      </c>
      <c r="D4492" s="36" t="s">
        <v>197</v>
      </c>
      <c r="E4492" s="36" t="s">
        <v>2047</v>
      </c>
      <c r="G4492" s="87">
        <v>2835000</v>
      </c>
      <c r="H4492" s="87">
        <v>283500</v>
      </c>
      <c r="I4492" s="87">
        <v>3118500</v>
      </c>
      <c r="K4492" s="85">
        <v>2024</v>
      </c>
      <c r="L4492" s="85">
        <v>3</v>
      </c>
      <c r="N4492" s="1" t="s">
        <v>44</v>
      </c>
    </row>
    <row r="4493" spans="1:14">
      <c r="A4493" s="36" t="s">
        <v>32</v>
      </c>
      <c r="B4493" s="37">
        <v>45384</v>
      </c>
      <c r="C4493" s="36" t="s">
        <v>1198</v>
      </c>
      <c r="D4493" s="36" t="s">
        <v>2027</v>
      </c>
      <c r="E4493" s="36" t="s">
        <v>148</v>
      </c>
      <c r="J4493" s="87">
        <v>6801300</v>
      </c>
      <c r="K4493" s="85">
        <v>2024</v>
      </c>
      <c r="L4493" s="85">
        <v>2</v>
      </c>
      <c r="N4493" s="1" t="s">
        <v>44</v>
      </c>
    </row>
    <row r="4494" spans="1:14">
      <c r="A4494" s="36" t="s">
        <v>32</v>
      </c>
      <c r="B4494" s="37">
        <v>45384</v>
      </c>
      <c r="C4494" s="36" t="s">
        <v>1198</v>
      </c>
      <c r="D4494" s="36" t="s">
        <v>1872</v>
      </c>
      <c r="E4494" s="36" t="s">
        <v>148</v>
      </c>
      <c r="J4494" s="87">
        <v>5064400</v>
      </c>
      <c r="K4494" s="85">
        <v>2024</v>
      </c>
      <c r="L4494" s="85">
        <v>2</v>
      </c>
      <c r="N4494" s="1" t="s">
        <v>44</v>
      </c>
    </row>
    <row r="4495" spans="1:14">
      <c r="A4495" s="36" t="s">
        <v>33</v>
      </c>
      <c r="B4495" s="37">
        <v>45382</v>
      </c>
      <c r="C4495" s="36" t="s">
        <v>119</v>
      </c>
      <c r="D4495" s="36" t="s">
        <v>2012</v>
      </c>
      <c r="E4495" s="36" t="s">
        <v>267</v>
      </c>
      <c r="G4495" s="87">
        <v>49700040</v>
      </c>
      <c r="H4495" s="87">
        <v>4970004</v>
      </c>
      <c r="I4495" s="87">
        <v>54670044</v>
      </c>
      <c r="K4495" s="85">
        <v>2024</v>
      </c>
      <c r="L4495" s="85">
        <v>3</v>
      </c>
      <c r="N4495" s="1" t="s">
        <v>44</v>
      </c>
    </row>
    <row r="4496" spans="1:14">
      <c r="A4496" s="36" t="s">
        <v>33</v>
      </c>
      <c r="B4496" s="37">
        <v>45385</v>
      </c>
      <c r="C4496" s="36" t="s">
        <v>2045</v>
      </c>
      <c r="D4496" s="36" t="s">
        <v>1826</v>
      </c>
      <c r="E4496" s="36" t="s">
        <v>148</v>
      </c>
      <c r="J4496" s="87">
        <v>72600</v>
      </c>
      <c r="K4496" s="85">
        <v>2024</v>
      </c>
      <c r="L4496" s="85">
        <v>3</v>
      </c>
      <c r="N4496" s="1" t="s">
        <v>44</v>
      </c>
    </row>
    <row r="4497" spans="1:14">
      <c r="A4497" s="36" t="s">
        <v>33</v>
      </c>
      <c r="B4497" s="37">
        <v>45382</v>
      </c>
      <c r="C4497" s="36" t="s">
        <v>2016</v>
      </c>
      <c r="D4497" s="36" t="s">
        <v>2048</v>
      </c>
      <c r="E4497" s="36" t="s">
        <v>1492</v>
      </c>
      <c r="G4497" s="87">
        <v>11000000</v>
      </c>
      <c r="H4497" s="87">
        <v>1100000</v>
      </c>
      <c r="I4497" s="87">
        <v>12100000</v>
      </c>
      <c r="K4497" s="85">
        <v>2024</v>
      </c>
      <c r="L4497" s="85">
        <v>3</v>
      </c>
      <c r="N4497" s="1" t="s">
        <v>44</v>
      </c>
    </row>
    <row r="4498" spans="1:14">
      <c r="A4498" s="36" t="s">
        <v>32</v>
      </c>
      <c r="B4498" s="37">
        <v>45352</v>
      </c>
      <c r="C4498" s="36" t="s">
        <v>288</v>
      </c>
      <c r="D4498" s="36" t="s">
        <v>1949</v>
      </c>
      <c r="E4498" s="36" t="s">
        <v>78</v>
      </c>
      <c r="G4498" s="87">
        <v>-26823960</v>
      </c>
      <c r="H4498" s="87">
        <v>-2682396</v>
      </c>
      <c r="I4498" s="87">
        <v>-29506356</v>
      </c>
      <c r="K4498" s="85">
        <v>2024</v>
      </c>
      <c r="L4498" s="85">
        <v>1</v>
      </c>
      <c r="N4498" s="1" t="s">
        <v>44</v>
      </c>
    </row>
    <row r="4499" spans="1:14">
      <c r="A4499" s="36" t="s">
        <v>33</v>
      </c>
      <c r="B4499" s="37">
        <v>45382</v>
      </c>
      <c r="C4499" s="36" t="s">
        <v>1467</v>
      </c>
      <c r="D4499" s="36" t="s">
        <v>2012</v>
      </c>
      <c r="E4499" s="36" t="s">
        <v>267</v>
      </c>
      <c r="G4499" s="87">
        <v>8203140</v>
      </c>
      <c r="H4499" s="87">
        <v>820314</v>
      </c>
      <c r="I4499" s="87">
        <v>9023454</v>
      </c>
      <c r="K4499" s="85">
        <v>2024</v>
      </c>
      <c r="L4499" s="85">
        <v>3</v>
      </c>
      <c r="N4499" s="1" t="s">
        <v>44</v>
      </c>
    </row>
    <row r="4500" spans="1:14">
      <c r="A4500" s="36" t="s">
        <v>33</v>
      </c>
      <c r="B4500" s="37">
        <v>45382</v>
      </c>
      <c r="C4500" s="36" t="s">
        <v>1467</v>
      </c>
      <c r="D4500" s="36" t="s">
        <v>1431</v>
      </c>
      <c r="E4500" s="36" t="s">
        <v>637</v>
      </c>
      <c r="G4500" s="87">
        <v>13268700</v>
      </c>
      <c r="H4500" s="87">
        <v>1326870</v>
      </c>
      <c r="I4500" s="87">
        <v>14595570</v>
      </c>
      <c r="K4500" s="85">
        <v>2024</v>
      </c>
      <c r="L4500" s="85">
        <v>3</v>
      </c>
      <c r="N4500" s="1" t="s">
        <v>44</v>
      </c>
    </row>
    <row r="4501" spans="1:14">
      <c r="A4501" s="36" t="s">
        <v>33</v>
      </c>
      <c r="B4501" s="37">
        <v>45382</v>
      </c>
      <c r="C4501" s="36" t="s">
        <v>1925</v>
      </c>
      <c r="D4501" s="36" t="s">
        <v>1921</v>
      </c>
      <c r="E4501" s="36" t="s">
        <v>2049</v>
      </c>
      <c r="G4501" s="87">
        <v>1920000</v>
      </c>
      <c r="H4501" s="87">
        <v>192000</v>
      </c>
      <c r="I4501" s="87">
        <v>2112000</v>
      </c>
      <c r="K4501" s="85">
        <v>2024</v>
      </c>
      <c r="L4501" s="85">
        <v>3</v>
      </c>
      <c r="N4501" s="1" t="s">
        <v>44</v>
      </c>
    </row>
    <row r="4502" spans="1:14">
      <c r="A4502" s="36" t="s">
        <v>33</v>
      </c>
      <c r="B4502" s="37">
        <v>45382</v>
      </c>
      <c r="C4502" s="36" t="s">
        <v>2050</v>
      </c>
      <c r="D4502" s="36" t="s">
        <v>1423</v>
      </c>
      <c r="E4502" s="36" t="s">
        <v>125</v>
      </c>
      <c r="G4502" s="87">
        <v>929091</v>
      </c>
      <c r="H4502" s="87">
        <v>92909.1</v>
      </c>
      <c r="I4502" s="87">
        <v>1022000.1</v>
      </c>
      <c r="K4502" s="85">
        <v>2024</v>
      </c>
      <c r="L4502" s="85">
        <v>3</v>
      </c>
      <c r="N4502" s="1" t="s">
        <v>44</v>
      </c>
    </row>
    <row r="4503" spans="1:14">
      <c r="A4503" s="36" t="s">
        <v>33</v>
      </c>
      <c r="B4503" s="37">
        <v>45382</v>
      </c>
      <c r="C4503" s="36" t="s">
        <v>1919</v>
      </c>
      <c r="D4503" s="36" t="s">
        <v>1754</v>
      </c>
      <c r="E4503" s="36" t="s">
        <v>125</v>
      </c>
      <c r="G4503" s="87">
        <v>6810000</v>
      </c>
      <c r="H4503" s="87">
        <v>681000</v>
      </c>
      <c r="I4503" s="87">
        <v>7491000</v>
      </c>
      <c r="K4503" s="85">
        <v>2024</v>
      </c>
      <c r="L4503" s="85">
        <v>3</v>
      </c>
      <c r="N4503" s="1" t="s">
        <v>44</v>
      </c>
    </row>
    <row r="4504" spans="1:14">
      <c r="A4504" s="36" t="s">
        <v>33</v>
      </c>
      <c r="B4504" s="37">
        <v>45382</v>
      </c>
      <c r="C4504" s="36" t="s">
        <v>2051</v>
      </c>
      <c r="D4504" s="36" t="s">
        <v>790</v>
      </c>
      <c r="E4504" s="36" t="s">
        <v>76</v>
      </c>
      <c r="G4504" s="87">
        <v>22885000</v>
      </c>
      <c r="H4504" s="87">
        <v>2288500</v>
      </c>
      <c r="I4504" s="87">
        <v>25173500</v>
      </c>
      <c r="K4504" s="85">
        <v>2024</v>
      </c>
      <c r="L4504" s="85">
        <v>3</v>
      </c>
      <c r="N4504" s="1" t="s">
        <v>44</v>
      </c>
    </row>
    <row r="4505" spans="1:14">
      <c r="A4505" s="36" t="s">
        <v>33</v>
      </c>
      <c r="B4505" s="37">
        <v>45382</v>
      </c>
      <c r="C4505" s="36" t="s">
        <v>1569</v>
      </c>
      <c r="D4505" s="36" t="s">
        <v>1412</v>
      </c>
      <c r="E4505" s="36" t="s">
        <v>1851</v>
      </c>
      <c r="G4505" s="87">
        <v>38226000</v>
      </c>
      <c r="H4505" s="87">
        <v>3822600</v>
      </c>
      <c r="I4505" s="87">
        <v>42048600</v>
      </c>
      <c r="K4505" s="85">
        <v>2024</v>
      </c>
      <c r="L4505" s="85">
        <v>3</v>
      </c>
      <c r="N4505" s="1" t="s">
        <v>44</v>
      </c>
    </row>
    <row r="4506" spans="1:14">
      <c r="A4506" s="36" t="s">
        <v>33</v>
      </c>
      <c r="B4506" s="37">
        <v>45382</v>
      </c>
      <c r="C4506" s="36" t="s">
        <v>1467</v>
      </c>
      <c r="D4506" s="36" t="s">
        <v>1921</v>
      </c>
      <c r="E4506" s="36" t="s">
        <v>2052</v>
      </c>
      <c r="G4506" s="87">
        <v>720000</v>
      </c>
      <c r="H4506" s="87">
        <v>72000</v>
      </c>
      <c r="I4506" s="87">
        <v>792000</v>
      </c>
      <c r="K4506" s="85">
        <v>2024</v>
      </c>
      <c r="L4506" s="85">
        <v>3</v>
      </c>
      <c r="N4506" s="1" t="s">
        <v>44</v>
      </c>
    </row>
    <row r="4507" spans="1:14">
      <c r="A4507" s="36" t="s">
        <v>33</v>
      </c>
      <c r="B4507" s="37">
        <v>45382</v>
      </c>
      <c r="C4507" s="36" t="s">
        <v>2006</v>
      </c>
      <c r="D4507" s="36" t="s">
        <v>2146</v>
      </c>
      <c r="E4507" s="36" t="s">
        <v>2053</v>
      </c>
      <c r="G4507" s="87">
        <v>2884500</v>
      </c>
      <c r="H4507" s="87">
        <v>288450</v>
      </c>
      <c r="I4507" s="87">
        <v>3172950</v>
      </c>
      <c r="K4507" s="85">
        <v>2024</v>
      </c>
      <c r="L4507" s="85">
        <v>3</v>
      </c>
      <c r="N4507" s="1" t="s">
        <v>44</v>
      </c>
    </row>
    <row r="4508" spans="1:14">
      <c r="A4508" s="36" t="s">
        <v>33</v>
      </c>
      <c r="B4508" s="37">
        <v>45391</v>
      </c>
      <c r="C4508" s="36" t="s">
        <v>971</v>
      </c>
      <c r="D4508" s="36" t="s">
        <v>1913</v>
      </c>
      <c r="E4508" s="36" t="s">
        <v>148</v>
      </c>
      <c r="J4508" s="87">
        <v>4083200</v>
      </c>
      <c r="K4508" s="85">
        <v>2024</v>
      </c>
      <c r="L4508" s="85">
        <v>1</v>
      </c>
      <c r="N4508" s="1" t="s">
        <v>44</v>
      </c>
    </row>
    <row r="4509" spans="1:14">
      <c r="A4509" s="36" t="s">
        <v>33</v>
      </c>
      <c r="B4509" s="37">
        <v>45391</v>
      </c>
      <c r="C4509" s="36" t="s">
        <v>971</v>
      </c>
      <c r="D4509" s="36" t="s">
        <v>1993</v>
      </c>
      <c r="E4509" s="36" t="s">
        <v>148</v>
      </c>
      <c r="J4509" s="87">
        <v>6551160</v>
      </c>
      <c r="K4509" s="85">
        <v>2024</v>
      </c>
      <c r="L4509" s="85">
        <v>2</v>
      </c>
      <c r="N4509" s="1" t="s">
        <v>44</v>
      </c>
    </row>
    <row r="4510" spans="1:14">
      <c r="A4510" s="36" t="s">
        <v>33</v>
      </c>
      <c r="B4510" s="37">
        <v>45382</v>
      </c>
      <c r="C4510" s="36" t="s">
        <v>1720</v>
      </c>
      <c r="D4510" s="36" t="s">
        <v>865</v>
      </c>
      <c r="E4510" s="36" t="s">
        <v>267</v>
      </c>
      <c r="G4510" s="87">
        <v>28466150</v>
      </c>
      <c r="H4510" s="87">
        <v>2846615</v>
      </c>
      <c r="I4510" s="87">
        <v>31312765</v>
      </c>
      <c r="K4510" s="85">
        <v>2024</v>
      </c>
      <c r="L4510" s="85">
        <v>3</v>
      </c>
      <c r="N4510" s="1" t="s">
        <v>44</v>
      </c>
    </row>
    <row r="4511" spans="1:14">
      <c r="A4511" s="36" t="s">
        <v>33</v>
      </c>
      <c r="B4511" s="37">
        <v>45382</v>
      </c>
      <c r="C4511" s="36" t="s">
        <v>1218</v>
      </c>
      <c r="D4511" s="36" t="s">
        <v>1921</v>
      </c>
      <c r="E4511" s="36" t="s">
        <v>1492</v>
      </c>
      <c r="G4511" s="87">
        <v>5881700</v>
      </c>
      <c r="H4511" s="87">
        <v>588170</v>
      </c>
      <c r="I4511" s="87">
        <v>6469870</v>
      </c>
      <c r="K4511" s="85">
        <v>2024</v>
      </c>
      <c r="L4511" s="85">
        <v>3</v>
      </c>
      <c r="N4511" s="1" t="s">
        <v>44</v>
      </c>
    </row>
    <row r="4512" spans="1:14">
      <c r="A4512" s="36" t="s">
        <v>33</v>
      </c>
      <c r="B4512" s="37">
        <v>45382</v>
      </c>
      <c r="C4512" s="36" t="s">
        <v>590</v>
      </c>
      <c r="D4512" s="36" t="s">
        <v>2016</v>
      </c>
      <c r="E4512" s="36" t="s">
        <v>1253</v>
      </c>
      <c r="G4512" s="87">
        <v>11960000</v>
      </c>
      <c r="H4512" s="87">
        <v>1196000</v>
      </c>
      <c r="I4512" s="87">
        <v>13156000</v>
      </c>
      <c r="K4512" s="85">
        <v>2024</v>
      </c>
      <c r="L4512" s="85">
        <v>3</v>
      </c>
      <c r="M4512" s="36" t="s">
        <v>2054</v>
      </c>
      <c r="N4512" s="1" t="s">
        <v>44</v>
      </c>
    </row>
    <row r="4513" spans="1:14">
      <c r="A4513" s="36" t="s">
        <v>33</v>
      </c>
      <c r="B4513" s="37">
        <v>45382</v>
      </c>
      <c r="C4513" s="36" t="s">
        <v>1391</v>
      </c>
      <c r="D4513" s="36" t="s">
        <v>197</v>
      </c>
      <c r="E4513" s="36" t="s">
        <v>1392</v>
      </c>
      <c r="G4513" s="87">
        <v>39754000</v>
      </c>
      <c r="H4513" s="87">
        <v>3975400</v>
      </c>
      <c r="I4513" s="87">
        <v>43729400</v>
      </c>
      <c r="K4513" s="85">
        <v>2024</v>
      </c>
      <c r="L4513" s="85">
        <v>3</v>
      </c>
      <c r="N4513" s="1" t="s">
        <v>44</v>
      </c>
    </row>
    <row r="4514" spans="1:14">
      <c r="A4514" s="36" t="s">
        <v>33</v>
      </c>
      <c r="B4514" s="37">
        <v>45382</v>
      </c>
      <c r="C4514" s="36" t="s">
        <v>1391</v>
      </c>
      <c r="D4514" s="36" t="s">
        <v>1227</v>
      </c>
      <c r="E4514" s="36" t="s">
        <v>1392</v>
      </c>
      <c r="G4514" s="87">
        <v>5333750</v>
      </c>
      <c r="H4514" s="87">
        <v>533375</v>
      </c>
      <c r="I4514" s="87">
        <v>5867125</v>
      </c>
      <c r="K4514" s="85">
        <v>2024</v>
      </c>
      <c r="L4514" s="85">
        <v>3</v>
      </c>
      <c r="N4514" s="1" t="s">
        <v>44</v>
      </c>
    </row>
    <row r="4515" spans="1:14">
      <c r="A4515" s="36" t="s">
        <v>33</v>
      </c>
      <c r="B4515" s="37">
        <v>45382</v>
      </c>
      <c r="C4515" s="36" t="s">
        <v>96</v>
      </c>
      <c r="D4515" s="36" t="s">
        <v>1227</v>
      </c>
      <c r="E4515" s="36" t="s">
        <v>2055</v>
      </c>
      <c r="G4515" s="87">
        <v>660000</v>
      </c>
      <c r="H4515" s="87">
        <v>66000</v>
      </c>
      <c r="I4515" s="87">
        <v>726000</v>
      </c>
      <c r="K4515" s="85">
        <v>2024</v>
      </c>
      <c r="L4515" s="85">
        <v>3</v>
      </c>
      <c r="N4515" s="1" t="s">
        <v>44</v>
      </c>
    </row>
    <row r="4516" spans="1:14">
      <c r="A4516" s="36" t="s">
        <v>33</v>
      </c>
      <c r="B4516" s="37">
        <v>45382</v>
      </c>
      <c r="C4516" s="36" t="s">
        <v>96</v>
      </c>
      <c r="D4516" s="36" t="s">
        <v>197</v>
      </c>
      <c r="E4516" s="36" t="s">
        <v>2056</v>
      </c>
      <c r="G4516" s="87">
        <v>1090000</v>
      </c>
      <c r="H4516" s="87">
        <v>109000</v>
      </c>
      <c r="I4516" s="87">
        <v>1199000</v>
      </c>
      <c r="K4516" s="85">
        <v>2024</v>
      </c>
      <c r="L4516" s="85">
        <v>3</v>
      </c>
      <c r="N4516" s="1" t="s">
        <v>44</v>
      </c>
    </row>
    <row r="4517" spans="1:14">
      <c r="A4517" s="36" t="s">
        <v>33</v>
      </c>
      <c r="B4517" s="37">
        <v>45382</v>
      </c>
      <c r="C4517" s="36" t="s">
        <v>1467</v>
      </c>
      <c r="D4517" s="36" t="s">
        <v>2013</v>
      </c>
      <c r="E4517" s="36" t="s">
        <v>1394</v>
      </c>
      <c r="G4517" s="87">
        <v>5200000</v>
      </c>
      <c r="H4517" s="87">
        <v>520000</v>
      </c>
      <c r="I4517" s="87">
        <v>5720000</v>
      </c>
      <c r="K4517" s="85">
        <v>2024</v>
      </c>
      <c r="L4517" s="85">
        <v>3</v>
      </c>
      <c r="N4517" s="1" t="s">
        <v>44</v>
      </c>
    </row>
    <row r="4518" spans="1:14">
      <c r="A4518" s="36" t="s">
        <v>33</v>
      </c>
      <c r="B4518" s="37">
        <v>45382</v>
      </c>
      <c r="C4518" s="36" t="s">
        <v>664</v>
      </c>
      <c r="D4518" s="36" t="s">
        <v>2057</v>
      </c>
      <c r="E4518" s="36" t="s">
        <v>1560</v>
      </c>
      <c r="G4518" s="87">
        <v>956414</v>
      </c>
      <c r="H4518" s="87">
        <v>95641.400000000009</v>
      </c>
      <c r="I4518" s="87">
        <v>1052055.3999999999</v>
      </c>
      <c r="K4518" s="85">
        <v>2024</v>
      </c>
      <c r="L4518" s="85">
        <v>3</v>
      </c>
      <c r="N4518" s="1" t="s">
        <v>44</v>
      </c>
    </row>
    <row r="4519" spans="1:14">
      <c r="A4519" s="36" t="s">
        <v>32</v>
      </c>
      <c r="B4519" s="37">
        <v>45364</v>
      </c>
      <c r="C4519" s="36" t="s">
        <v>1218</v>
      </c>
      <c r="D4519" s="36" t="s">
        <v>1871</v>
      </c>
      <c r="E4519" s="36" t="s">
        <v>76</v>
      </c>
      <c r="G4519" s="87">
        <v>3780000</v>
      </c>
      <c r="H4519" s="87">
        <v>378000</v>
      </c>
      <c r="I4519" s="87">
        <v>4158000</v>
      </c>
      <c r="K4519" s="85">
        <v>2024</v>
      </c>
      <c r="L4519" s="85">
        <v>3</v>
      </c>
      <c r="N4519" s="1" t="s">
        <v>44</v>
      </c>
    </row>
    <row r="4520" spans="1:14">
      <c r="A4520" s="36" t="s">
        <v>32</v>
      </c>
      <c r="B4520" s="37">
        <v>45352</v>
      </c>
      <c r="C4520" s="36" t="s">
        <v>1662</v>
      </c>
      <c r="D4520" s="36" t="s">
        <v>2064</v>
      </c>
      <c r="E4520" s="36" t="s">
        <v>267</v>
      </c>
      <c r="G4520" s="87">
        <v>17185000</v>
      </c>
      <c r="H4520" s="87">
        <v>1718500</v>
      </c>
      <c r="I4520" s="87">
        <v>18903500</v>
      </c>
      <c r="K4520" s="85">
        <v>2024</v>
      </c>
      <c r="L4520" s="85">
        <v>3</v>
      </c>
      <c r="M4520" s="36" t="s">
        <v>2112</v>
      </c>
      <c r="N4520" s="1" t="s">
        <v>44</v>
      </c>
    </row>
    <row r="4521" spans="1:14">
      <c r="A4521" s="36" t="s">
        <v>32</v>
      </c>
      <c r="B4521" s="37">
        <v>45371</v>
      </c>
      <c r="C4521" s="36" t="s">
        <v>2058</v>
      </c>
      <c r="D4521" s="36" t="s">
        <v>2086</v>
      </c>
      <c r="E4521" s="36" t="s">
        <v>76</v>
      </c>
      <c r="G4521" s="87">
        <v>35000000</v>
      </c>
      <c r="H4521" s="87">
        <v>3500000</v>
      </c>
      <c r="I4521" s="87">
        <v>38500000</v>
      </c>
      <c r="K4521" s="85">
        <v>2024</v>
      </c>
      <c r="L4521" s="85">
        <v>3</v>
      </c>
      <c r="N4521" s="1" t="s">
        <v>44</v>
      </c>
    </row>
    <row r="4522" spans="1:14">
      <c r="A4522" s="36" t="s">
        <v>32</v>
      </c>
      <c r="B4522" s="37">
        <v>45380</v>
      </c>
      <c r="C4522" s="36" t="s">
        <v>209</v>
      </c>
      <c r="D4522" s="36" t="s">
        <v>1699</v>
      </c>
      <c r="E4522" s="36" t="s">
        <v>76</v>
      </c>
      <c r="G4522" s="87">
        <v>8658600</v>
      </c>
      <c r="H4522" s="87">
        <v>865860</v>
      </c>
      <c r="I4522" s="87">
        <v>9524460</v>
      </c>
      <c r="K4522" s="85">
        <v>2024</v>
      </c>
      <c r="L4522" s="85">
        <v>3</v>
      </c>
      <c r="N4522" s="1" t="s">
        <v>44</v>
      </c>
    </row>
    <row r="4523" spans="1:14">
      <c r="A4523" s="36" t="s">
        <v>32</v>
      </c>
      <c r="B4523" s="37">
        <v>45380</v>
      </c>
      <c r="C4523" s="36" t="s">
        <v>209</v>
      </c>
      <c r="D4523" s="36" t="s">
        <v>1885</v>
      </c>
      <c r="E4523" s="36" t="s">
        <v>1492</v>
      </c>
      <c r="G4523" s="87">
        <v>6947500</v>
      </c>
      <c r="H4523" s="87">
        <v>694750</v>
      </c>
      <c r="I4523" s="87">
        <v>7642250</v>
      </c>
      <c r="K4523" s="85">
        <v>2024</v>
      </c>
      <c r="L4523" s="85">
        <v>3</v>
      </c>
      <c r="N4523" s="1" t="s">
        <v>44</v>
      </c>
    </row>
    <row r="4524" spans="1:14">
      <c r="A4524" s="36" t="s">
        <v>32</v>
      </c>
      <c r="B4524" s="37">
        <v>45382</v>
      </c>
      <c r="C4524" s="36" t="s">
        <v>209</v>
      </c>
      <c r="D4524" s="36" t="s">
        <v>1866</v>
      </c>
      <c r="E4524" s="36" t="s">
        <v>76</v>
      </c>
      <c r="G4524" s="87">
        <v>79502820</v>
      </c>
      <c r="H4524" s="87">
        <v>7950282</v>
      </c>
      <c r="I4524" s="87">
        <v>87453102</v>
      </c>
      <c r="K4524" s="85">
        <v>2024</v>
      </c>
      <c r="L4524" s="85">
        <v>3</v>
      </c>
      <c r="N4524" s="1" t="s">
        <v>44</v>
      </c>
    </row>
    <row r="4525" spans="1:14">
      <c r="A4525" s="36" t="s">
        <v>32</v>
      </c>
      <c r="B4525" s="37">
        <v>45382</v>
      </c>
      <c r="C4525" s="36" t="s">
        <v>209</v>
      </c>
      <c r="D4525" s="36" t="s">
        <v>2024</v>
      </c>
      <c r="E4525" s="36" t="s">
        <v>1492</v>
      </c>
      <c r="G4525" s="87">
        <v>35996032</v>
      </c>
      <c r="H4525" s="87">
        <v>3599603.2</v>
      </c>
      <c r="I4525" s="87">
        <v>39595635.200000003</v>
      </c>
      <c r="K4525" s="85">
        <v>2024</v>
      </c>
      <c r="L4525" s="85">
        <v>3</v>
      </c>
      <c r="N4525" s="1" t="s">
        <v>44</v>
      </c>
    </row>
    <row r="4526" spans="1:14">
      <c r="A4526" s="36" t="s">
        <v>32</v>
      </c>
      <c r="B4526" s="37">
        <v>45382</v>
      </c>
      <c r="C4526" s="36" t="s">
        <v>209</v>
      </c>
      <c r="D4526" s="36" t="s">
        <v>2001</v>
      </c>
      <c r="E4526" s="36" t="s">
        <v>76</v>
      </c>
      <c r="G4526" s="87">
        <v>94227167</v>
      </c>
      <c r="H4526" s="87">
        <v>9422716.7000000011</v>
      </c>
      <c r="I4526" s="87">
        <v>103649883.7</v>
      </c>
      <c r="K4526" s="85">
        <v>2024</v>
      </c>
      <c r="L4526" s="85">
        <v>3</v>
      </c>
      <c r="N4526" s="1" t="s">
        <v>44</v>
      </c>
    </row>
    <row r="4527" spans="1:14">
      <c r="A4527" s="36" t="s">
        <v>32</v>
      </c>
      <c r="B4527" s="37">
        <v>45382</v>
      </c>
      <c r="C4527" s="36" t="s">
        <v>209</v>
      </c>
      <c r="D4527" s="36" t="s">
        <v>2103</v>
      </c>
      <c r="E4527" s="36" t="s">
        <v>1492</v>
      </c>
      <c r="G4527" s="87">
        <v>17495600</v>
      </c>
      <c r="H4527" s="87">
        <v>1749560</v>
      </c>
      <c r="I4527" s="87">
        <v>19245160</v>
      </c>
      <c r="K4527" s="85">
        <v>2024</v>
      </c>
      <c r="L4527" s="85">
        <v>3</v>
      </c>
      <c r="N4527" s="1" t="s">
        <v>44</v>
      </c>
    </row>
    <row r="4528" spans="1:14">
      <c r="A4528" s="36" t="s">
        <v>32</v>
      </c>
      <c r="B4528" s="37">
        <v>45382</v>
      </c>
      <c r="C4528" s="36" t="s">
        <v>209</v>
      </c>
      <c r="D4528" s="36" t="s">
        <v>2065</v>
      </c>
      <c r="E4528" s="36" t="s">
        <v>76</v>
      </c>
      <c r="G4528" s="87">
        <v>162820000</v>
      </c>
      <c r="H4528" s="87">
        <v>16282000</v>
      </c>
      <c r="I4528" s="87">
        <v>179102000</v>
      </c>
      <c r="K4528" s="85">
        <v>2024</v>
      </c>
      <c r="L4528" s="85">
        <v>3</v>
      </c>
      <c r="N4528" s="1" t="s">
        <v>44</v>
      </c>
    </row>
    <row r="4529" spans="1:14">
      <c r="A4529" s="36" t="s">
        <v>32</v>
      </c>
      <c r="B4529" s="37">
        <v>45382</v>
      </c>
      <c r="C4529" s="36" t="s">
        <v>209</v>
      </c>
      <c r="D4529" s="36" t="s">
        <v>1892</v>
      </c>
      <c r="E4529" s="36" t="s">
        <v>1492</v>
      </c>
      <c r="G4529" s="87">
        <v>44748500</v>
      </c>
      <c r="H4529" s="87">
        <v>4474850</v>
      </c>
      <c r="I4529" s="87">
        <v>49223350</v>
      </c>
      <c r="K4529" s="85">
        <v>2024</v>
      </c>
      <c r="L4529" s="85">
        <v>3</v>
      </c>
      <c r="N4529" s="1" t="s">
        <v>44</v>
      </c>
    </row>
    <row r="4530" spans="1:14">
      <c r="A4530" s="36" t="s">
        <v>32</v>
      </c>
      <c r="B4530" s="37">
        <v>45382</v>
      </c>
      <c r="C4530" s="36" t="s">
        <v>1468</v>
      </c>
      <c r="D4530" s="36" t="s">
        <v>2066</v>
      </c>
      <c r="E4530" s="36" t="s">
        <v>2087</v>
      </c>
      <c r="G4530" s="87">
        <v>21901890</v>
      </c>
      <c r="H4530" s="87">
        <v>2190189</v>
      </c>
      <c r="I4530" s="87">
        <v>24092079</v>
      </c>
      <c r="K4530" s="85">
        <v>2024</v>
      </c>
      <c r="L4530" s="85">
        <v>3</v>
      </c>
      <c r="N4530" s="1" t="s">
        <v>44</v>
      </c>
    </row>
    <row r="4531" spans="1:14">
      <c r="A4531" s="36" t="s">
        <v>32</v>
      </c>
      <c r="B4531" s="37">
        <v>45382</v>
      </c>
      <c r="C4531" s="36" t="s">
        <v>1468</v>
      </c>
      <c r="D4531" s="36" t="s">
        <v>2067</v>
      </c>
      <c r="E4531" s="36" t="s">
        <v>1492</v>
      </c>
      <c r="G4531" s="87">
        <v>3191400</v>
      </c>
      <c r="H4531" s="87">
        <v>319140</v>
      </c>
      <c r="I4531" s="87">
        <v>3510540</v>
      </c>
      <c r="K4531" s="85">
        <v>2024</v>
      </c>
      <c r="L4531" s="85">
        <v>3</v>
      </c>
      <c r="N4531" s="1" t="s">
        <v>44</v>
      </c>
    </row>
    <row r="4532" spans="1:14">
      <c r="A4532" s="36" t="s">
        <v>32</v>
      </c>
      <c r="B4532" s="37">
        <v>45382</v>
      </c>
      <c r="C4532" s="36" t="s">
        <v>1468</v>
      </c>
      <c r="D4532" s="36" t="s">
        <v>2068</v>
      </c>
      <c r="E4532" s="36" t="s">
        <v>267</v>
      </c>
      <c r="G4532" s="87">
        <v>21469610</v>
      </c>
      <c r="H4532" s="87">
        <v>2146961</v>
      </c>
      <c r="I4532" s="87">
        <v>23616571</v>
      </c>
      <c r="K4532" s="85">
        <v>2024</v>
      </c>
      <c r="L4532" s="85">
        <v>3</v>
      </c>
      <c r="N4532" s="1" t="s">
        <v>44</v>
      </c>
    </row>
    <row r="4533" spans="1:14">
      <c r="A4533" s="36" t="s">
        <v>32</v>
      </c>
      <c r="B4533" s="37">
        <v>45382</v>
      </c>
      <c r="C4533" s="36" t="s">
        <v>1468</v>
      </c>
      <c r="D4533" s="36" t="s">
        <v>2069</v>
      </c>
      <c r="E4533" s="36" t="s">
        <v>267</v>
      </c>
      <c r="G4533" s="87">
        <v>24236810</v>
      </c>
      <c r="H4533" s="87">
        <v>2423681</v>
      </c>
      <c r="I4533" s="87">
        <v>26660491</v>
      </c>
      <c r="K4533" s="85">
        <v>2024</v>
      </c>
      <c r="L4533" s="85">
        <v>3</v>
      </c>
      <c r="N4533" s="1" t="s">
        <v>44</v>
      </c>
    </row>
    <row r="4534" spans="1:14">
      <c r="A4534" s="36" t="s">
        <v>32</v>
      </c>
      <c r="B4534" s="37">
        <v>45382</v>
      </c>
      <c r="C4534" s="36" t="s">
        <v>1468</v>
      </c>
      <c r="D4534" s="36" t="s">
        <v>2070</v>
      </c>
      <c r="E4534" s="36" t="s">
        <v>267</v>
      </c>
      <c r="G4534" s="87">
        <v>20306880</v>
      </c>
      <c r="H4534" s="87">
        <v>2030688</v>
      </c>
      <c r="I4534" s="87">
        <v>22337568</v>
      </c>
      <c r="K4534" s="85">
        <v>2024</v>
      </c>
      <c r="L4534" s="85">
        <v>3</v>
      </c>
      <c r="N4534" s="1" t="s">
        <v>44</v>
      </c>
    </row>
    <row r="4535" spans="1:14">
      <c r="A4535" s="36" t="s">
        <v>32</v>
      </c>
      <c r="B4535" s="37">
        <v>45382</v>
      </c>
      <c r="C4535" s="36" t="s">
        <v>1468</v>
      </c>
      <c r="D4535" s="36" t="s">
        <v>2071</v>
      </c>
      <c r="E4535" s="36" t="s">
        <v>267</v>
      </c>
      <c r="G4535" s="87">
        <v>42349070</v>
      </c>
      <c r="H4535" s="87">
        <v>4234907</v>
      </c>
      <c r="I4535" s="87">
        <v>46583977</v>
      </c>
      <c r="K4535" s="85">
        <v>2024</v>
      </c>
      <c r="L4535" s="85">
        <v>3</v>
      </c>
      <c r="N4535" s="1" t="s">
        <v>44</v>
      </c>
    </row>
    <row r="4536" spans="1:14">
      <c r="A4536" s="36" t="s">
        <v>32</v>
      </c>
      <c r="B4536" s="37">
        <v>45382</v>
      </c>
      <c r="C4536" s="36" t="s">
        <v>1468</v>
      </c>
      <c r="D4536" s="36" t="s">
        <v>2072</v>
      </c>
      <c r="E4536" s="36" t="s">
        <v>1492</v>
      </c>
      <c r="G4536" s="87">
        <v>5749920</v>
      </c>
      <c r="H4536" s="87">
        <v>574992</v>
      </c>
      <c r="I4536" s="87">
        <v>6324912</v>
      </c>
      <c r="K4536" s="85">
        <v>2024</v>
      </c>
      <c r="L4536" s="85">
        <v>3</v>
      </c>
      <c r="N4536" s="1" t="s">
        <v>44</v>
      </c>
    </row>
    <row r="4537" spans="1:14">
      <c r="A4537" s="36" t="s">
        <v>32</v>
      </c>
      <c r="B4537" s="37">
        <v>45382</v>
      </c>
      <c r="C4537" s="36" t="s">
        <v>654</v>
      </c>
      <c r="D4537" s="36" t="s">
        <v>2073</v>
      </c>
      <c r="E4537" s="36" t="s">
        <v>76</v>
      </c>
      <c r="G4537" s="87">
        <v>6529440</v>
      </c>
      <c r="H4537" s="87">
        <v>652944</v>
      </c>
      <c r="I4537" s="87">
        <v>7182384</v>
      </c>
      <c r="K4537" s="85">
        <v>2024</v>
      </c>
      <c r="L4537" s="85">
        <v>3</v>
      </c>
      <c r="N4537" s="1" t="s">
        <v>44</v>
      </c>
    </row>
    <row r="4538" spans="1:14">
      <c r="A4538" s="36" t="s">
        <v>32</v>
      </c>
      <c r="B4538" s="37">
        <v>45382</v>
      </c>
      <c r="C4538" s="36" t="s">
        <v>654</v>
      </c>
      <c r="D4538" s="36" t="s">
        <v>2074</v>
      </c>
      <c r="E4538" s="36" t="s">
        <v>76</v>
      </c>
      <c r="G4538" s="87">
        <v>4233000</v>
      </c>
      <c r="H4538" s="87">
        <v>423300</v>
      </c>
      <c r="I4538" s="87">
        <v>4656300</v>
      </c>
      <c r="K4538" s="85">
        <v>2024</v>
      </c>
      <c r="L4538" s="85">
        <v>3</v>
      </c>
      <c r="N4538" s="1" t="s">
        <v>44</v>
      </c>
    </row>
    <row r="4539" spans="1:14">
      <c r="A4539" s="36" t="s">
        <v>32</v>
      </c>
      <c r="B4539" s="37">
        <v>45382</v>
      </c>
      <c r="C4539" s="36" t="s">
        <v>654</v>
      </c>
      <c r="D4539" s="36" t="s">
        <v>1941</v>
      </c>
      <c r="E4539" s="36" t="s">
        <v>76</v>
      </c>
      <c r="G4539" s="87">
        <v>10979480</v>
      </c>
      <c r="H4539" s="87">
        <v>1097948</v>
      </c>
      <c r="I4539" s="87">
        <v>12077428</v>
      </c>
      <c r="K4539" s="85">
        <v>2024</v>
      </c>
      <c r="L4539" s="85">
        <v>3</v>
      </c>
      <c r="N4539" s="1" t="s">
        <v>44</v>
      </c>
    </row>
    <row r="4540" spans="1:14">
      <c r="A4540" s="36" t="s">
        <v>32</v>
      </c>
      <c r="B4540" s="37">
        <v>45382</v>
      </c>
      <c r="C4540" s="36" t="s">
        <v>654</v>
      </c>
      <c r="D4540" s="36" t="s">
        <v>1754</v>
      </c>
      <c r="E4540" s="36" t="s">
        <v>76</v>
      </c>
      <c r="G4540" s="87">
        <v>277814143</v>
      </c>
      <c r="H4540" s="87">
        <v>27781414.300000001</v>
      </c>
      <c r="I4540" s="87">
        <v>305595557.30000001</v>
      </c>
      <c r="K4540" s="85">
        <v>2024</v>
      </c>
      <c r="L4540" s="85">
        <v>3</v>
      </c>
      <c r="N4540" s="1" t="s">
        <v>44</v>
      </c>
    </row>
    <row r="4541" spans="1:14">
      <c r="A4541" s="36" t="s">
        <v>32</v>
      </c>
      <c r="B4541" s="37">
        <v>45382</v>
      </c>
      <c r="C4541" s="36" t="s">
        <v>1467</v>
      </c>
      <c r="D4541" s="36" t="s">
        <v>1814</v>
      </c>
      <c r="E4541" s="36" t="s">
        <v>76</v>
      </c>
      <c r="G4541" s="87">
        <v>21740000</v>
      </c>
      <c r="H4541" s="87">
        <v>2174000</v>
      </c>
      <c r="I4541" s="87">
        <v>23914000</v>
      </c>
      <c r="K4541" s="85">
        <v>2024</v>
      </c>
      <c r="L4541" s="85">
        <v>3</v>
      </c>
      <c r="N4541" s="1" t="s">
        <v>44</v>
      </c>
    </row>
    <row r="4542" spans="1:14">
      <c r="A4542" s="36" t="s">
        <v>32</v>
      </c>
      <c r="B4542" s="37">
        <v>45382</v>
      </c>
      <c r="C4542" s="36" t="s">
        <v>1467</v>
      </c>
      <c r="D4542" s="36" t="s">
        <v>1750</v>
      </c>
      <c r="E4542" s="36" t="s">
        <v>76</v>
      </c>
      <c r="G4542" s="87">
        <v>9559900</v>
      </c>
      <c r="H4542" s="87">
        <v>955990</v>
      </c>
      <c r="I4542" s="87">
        <v>10515890</v>
      </c>
      <c r="K4542" s="85">
        <v>2024</v>
      </c>
      <c r="L4542" s="85">
        <v>3</v>
      </c>
      <c r="N4542" s="1" t="s">
        <v>44</v>
      </c>
    </row>
    <row r="4543" spans="1:14">
      <c r="A4543" s="36" t="s">
        <v>32</v>
      </c>
      <c r="B4543" s="37">
        <v>45382</v>
      </c>
      <c r="C4543" s="36" t="s">
        <v>2059</v>
      </c>
      <c r="D4543" s="36" t="s">
        <v>1938</v>
      </c>
      <c r="E4543" s="36" t="s">
        <v>76</v>
      </c>
      <c r="G4543" s="87">
        <v>1200000</v>
      </c>
      <c r="H4543" s="87">
        <v>120000</v>
      </c>
      <c r="I4543" s="87">
        <v>1320000</v>
      </c>
      <c r="K4543" s="85">
        <v>2024</v>
      </c>
      <c r="L4543" s="85">
        <v>3</v>
      </c>
      <c r="N4543" s="1" t="s">
        <v>44</v>
      </c>
    </row>
    <row r="4544" spans="1:14">
      <c r="A4544" s="36" t="s">
        <v>32</v>
      </c>
      <c r="B4544" s="37">
        <v>45382</v>
      </c>
      <c r="C4544" s="36" t="s">
        <v>204</v>
      </c>
      <c r="D4544" s="36" t="s">
        <v>2075</v>
      </c>
      <c r="E4544" s="36" t="s">
        <v>76</v>
      </c>
      <c r="G4544" s="87">
        <v>6642000</v>
      </c>
      <c r="H4544" s="87">
        <v>664200</v>
      </c>
      <c r="I4544" s="87">
        <v>7306200</v>
      </c>
      <c r="K4544" s="85">
        <v>2024</v>
      </c>
      <c r="L4544" s="85">
        <v>3</v>
      </c>
      <c r="N4544" s="1" t="s">
        <v>44</v>
      </c>
    </row>
    <row r="4545" spans="1:14">
      <c r="A4545" s="36" t="s">
        <v>32</v>
      </c>
      <c r="B4545" s="37">
        <v>45382</v>
      </c>
      <c r="C4545" s="36" t="s">
        <v>664</v>
      </c>
      <c r="D4545" s="36" t="s">
        <v>2076</v>
      </c>
      <c r="E4545" s="36" t="s">
        <v>76</v>
      </c>
      <c r="G4545" s="87">
        <v>17191000</v>
      </c>
      <c r="H4545" s="87">
        <v>1719100</v>
      </c>
      <c r="I4545" s="87">
        <v>18910100</v>
      </c>
      <c r="K4545" s="85">
        <v>2024</v>
      </c>
      <c r="L4545" s="85">
        <v>3</v>
      </c>
      <c r="N4545" s="1" t="s">
        <v>44</v>
      </c>
    </row>
    <row r="4546" spans="1:14">
      <c r="A4546" s="36" t="s">
        <v>32</v>
      </c>
      <c r="B4546" s="37">
        <v>45382</v>
      </c>
      <c r="C4546" s="36" t="s">
        <v>2060</v>
      </c>
      <c r="D4546" s="36" t="s">
        <v>2077</v>
      </c>
      <c r="E4546" s="36" t="s">
        <v>267</v>
      </c>
      <c r="G4546" s="87">
        <v>16000000</v>
      </c>
      <c r="H4546" s="87">
        <v>1600000</v>
      </c>
      <c r="I4546" s="87">
        <v>17600000</v>
      </c>
      <c r="K4546" s="85">
        <v>2024</v>
      </c>
      <c r="L4546" s="85">
        <v>3</v>
      </c>
      <c r="N4546" s="1" t="s">
        <v>44</v>
      </c>
    </row>
    <row r="4547" spans="1:14">
      <c r="A4547" s="36" t="s">
        <v>32</v>
      </c>
      <c r="B4547" s="37">
        <v>45382</v>
      </c>
      <c r="C4547" s="36" t="s">
        <v>1880</v>
      </c>
      <c r="D4547" s="36" t="s">
        <v>2078</v>
      </c>
      <c r="E4547" s="36" t="s">
        <v>76</v>
      </c>
      <c r="G4547" s="87">
        <v>18900000</v>
      </c>
      <c r="H4547" s="87">
        <v>1890000</v>
      </c>
      <c r="I4547" s="87">
        <v>20790000</v>
      </c>
      <c r="K4547" s="85">
        <v>2024</v>
      </c>
      <c r="L4547" s="85">
        <v>3</v>
      </c>
      <c r="N4547" s="1" t="s">
        <v>44</v>
      </c>
    </row>
    <row r="4548" spans="1:14">
      <c r="A4548" s="36" t="s">
        <v>32</v>
      </c>
      <c r="B4548" s="37">
        <v>45382</v>
      </c>
      <c r="C4548" s="36" t="s">
        <v>307</v>
      </c>
      <c r="D4548" s="36" t="s">
        <v>1752</v>
      </c>
      <c r="E4548" s="36" t="s">
        <v>76</v>
      </c>
      <c r="G4548" s="87">
        <v>11398000</v>
      </c>
      <c r="H4548" s="87">
        <v>1139800</v>
      </c>
      <c r="I4548" s="87">
        <v>12537800</v>
      </c>
      <c r="K4548" s="85">
        <v>2024</v>
      </c>
      <c r="L4548" s="85">
        <v>3</v>
      </c>
      <c r="N4548" s="1" t="s">
        <v>44</v>
      </c>
    </row>
    <row r="4549" spans="1:14">
      <c r="A4549" s="36" t="s">
        <v>32</v>
      </c>
      <c r="B4549" s="37">
        <v>45382</v>
      </c>
      <c r="C4549" s="36" t="s">
        <v>989</v>
      </c>
      <c r="D4549" s="36" t="s">
        <v>1950</v>
      </c>
      <c r="E4549" s="36" t="s">
        <v>76</v>
      </c>
      <c r="G4549" s="87">
        <v>4473000</v>
      </c>
      <c r="H4549" s="87">
        <v>447300</v>
      </c>
      <c r="I4549" s="87">
        <v>4920300</v>
      </c>
      <c r="K4549" s="85">
        <v>2024</v>
      </c>
      <c r="L4549" s="85">
        <v>3</v>
      </c>
      <c r="N4549" s="1" t="s">
        <v>44</v>
      </c>
    </row>
    <row r="4550" spans="1:14">
      <c r="A4550" s="36" t="s">
        <v>32</v>
      </c>
      <c r="B4550" s="37">
        <v>45382</v>
      </c>
      <c r="C4550" s="36" t="s">
        <v>1862</v>
      </c>
      <c r="D4550" s="36" t="s">
        <v>1874</v>
      </c>
      <c r="E4550" s="36" t="s">
        <v>76</v>
      </c>
      <c r="G4550" s="87">
        <v>13500000</v>
      </c>
      <c r="H4550" s="87">
        <v>1350000</v>
      </c>
      <c r="I4550" s="87">
        <v>14850000</v>
      </c>
      <c r="K4550" s="85">
        <v>2024</v>
      </c>
      <c r="L4550" s="85">
        <v>3</v>
      </c>
      <c r="N4550" s="1" t="s">
        <v>44</v>
      </c>
    </row>
    <row r="4551" spans="1:14">
      <c r="A4551" s="36" t="s">
        <v>32</v>
      </c>
      <c r="B4551" s="37">
        <v>45382</v>
      </c>
      <c r="C4551" s="36" t="s">
        <v>1198</v>
      </c>
      <c r="D4551" s="36" t="s">
        <v>2079</v>
      </c>
      <c r="E4551" s="36" t="s">
        <v>267</v>
      </c>
      <c r="G4551" s="87">
        <v>3166800</v>
      </c>
      <c r="H4551" s="87">
        <v>316680</v>
      </c>
      <c r="I4551" s="87">
        <v>3483480</v>
      </c>
      <c r="K4551" s="85">
        <v>2024</v>
      </c>
      <c r="L4551" s="85">
        <v>3</v>
      </c>
      <c r="N4551" s="1" t="s">
        <v>44</v>
      </c>
    </row>
    <row r="4552" spans="1:14">
      <c r="A4552" s="36" t="s">
        <v>32</v>
      </c>
      <c r="B4552" s="37">
        <v>45382</v>
      </c>
      <c r="C4552" s="36" t="s">
        <v>1198</v>
      </c>
      <c r="D4552" s="36" t="s">
        <v>2027</v>
      </c>
      <c r="E4552" s="36" t="s">
        <v>267</v>
      </c>
      <c r="G4552" s="87">
        <v>9550200</v>
      </c>
      <c r="H4552" s="87">
        <v>955020</v>
      </c>
      <c r="I4552" s="87">
        <v>10505220</v>
      </c>
      <c r="K4552" s="85">
        <v>2024</v>
      </c>
      <c r="L4552" s="85">
        <v>3</v>
      </c>
      <c r="N4552" s="1" t="s">
        <v>44</v>
      </c>
    </row>
    <row r="4553" spans="1:14">
      <c r="A4553" s="36" t="s">
        <v>32</v>
      </c>
      <c r="B4553" s="37">
        <v>45382</v>
      </c>
      <c r="C4553" s="36" t="s">
        <v>1198</v>
      </c>
      <c r="D4553" s="36" t="s">
        <v>2080</v>
      </c>
      <c r="E4553" s="36" t="s">
        <v>76</v>
      </c>
      <c r="G4553" s="87">
        <v>7919300</v>
      </c>
      <c r="H4553" s="87">
        <v>791930</v>
      </c>
      <c r="I4553" s="87">
        <v>8711230</v>
      </c>
      <c r="K4553" s="85">
        <v>2024</v>
      </c>
      <c r="L4553" s="85">
        <v>3</v>
      </c>
      <c r="N4553" s="1" t="s">
        <v>44</v>
      </c>
    </row>
    <row r="4554" spans="1:14">
      <c r="A4554" s="36" t="s">
        <v>32</v>
      </c>
      <c r="B4554" s="37">
        <v>45382</v>
      </c>
      <c r="C4554" s="36" t="s">
        <v>1470</v>
      </c>
      <c r="D4554" s="36" t="s">
        <v>1821</v>
      </c>
      <c r="E4554" s="36" t="s">
        <v>76</v>
      </c>
      <c r="G4554" s="87">
        <v>149765600</v>
      </c>
      <c r="H4554" s="87">
        <v>14976560</v>
      </c>
      <c r="I4554" s="87">
        <v>164742160</v>
      </c>
      <c r="K4554" s="85">
        <v>2024</v>
      </c>
      <c r="L4554" s="85">
        <v>3</v>
      </c>
      <c r="N4554" s="1" t="s">
        <v>44</v>
      </c>
    </row>
    <row r="4555" spans="1:14">
      <c r="A4555" s="36" t="s">
        <v>32</v>
      </c>
      <c r="B4555" s="37">
        <v>45382</v>
      </c>
      <c r="C4555" s="36" t="s">
        <v>552</v>
      </c>
      <c r="D4555" s="36" t="s">
        <v>1820</v>
      </c>
      <c r="E4555" s="36" t="s">
        <v>76</v>
      </c>
      <c r="G4555" s="87">
        <v>6226200</v>
      </c>
      <c r="H4555" s="87">
        <v>622620</v>
      </c>
      <c r="I4555" s="87">
        <v>6848820</v>
      </c>
      <c r="K4555" s="85">
        <v>2024</v>
      </c>
      <c r="L4555" s="85">
        <v>3</v>
      </c>
      <c r="N4555" s="1" t="s">
        <v>44</v>
      </c>
    </row>
    <row r="4556" spans="1:14">
      <c r="A4556" s="36" t="s">
        <v>32</v>
      </c>
      <c r="B4556" s="37">
        <v>45382</v>
      </c>
      <c r="C4556" s="36" t="s">
        <v>288</v>
      </c>
      <c r="D4556" s="36" t="s">
        <v>1949</v>
      </c>
      <c r="E4556" s="36" t="s">
        <v>267</v>
      </c>
      <c r="G4556" s="87">
        <v>23140379</v>
      </c>
      <c r="H4556" s="87">
        <v>2314037.9</v>
      </c>
      <c r="I4556" s="87">
        <v>25454416.899999999</v>
      </c>
      <c r="K4556" s="85">
        <v>2024</v>
      </c>
      <c r="L4556" s="85">
        <v>3</v>
      </c>
      <c r="N4556" s="1" t="s">
        <v>44</v>
      </c>
    </row>
    <row r="4557" spans="1:14">
      <c r="A4557" s="36" t="s">
        <v>32</v>
      </c>
      <c r="B4557" s="37">
        <v>45382</v>
      </c>
      <c r="C4557" s="36" t="s">
        <v>288</v>
      </c>
      <c r="D4557" s="36" t="s">
        <v>1414</v>
      </c>
      <c r="E4557" s="36" t="s">
        <v>267</v>
      </c>
      <c r="G4557" s="87">
        <v>8105400</v>
      </c>
      <c r="H4557" s="87">
        <v>810540</v>
      </c>
      <c r="I4557" s="87">
        <v>8915940</v>
      </c>
      <c r="K4557" s="85">
        <v>2024</v>
      </c>
      <c r="L4557" s="85">
        <v>3</v>
      </c>
      <c r="N4557" s="1" t="s">
        <v>44</v>
      </c>
    </row>
    <row r="4558" spans="1:14">
      <c r="A4558" s="36" t="s">
        <v>32</v>
      </c>
      <c r="B4558" s="37">
        <v>45382</v>
      </c>
      <c r="C4558" s="36" t="s">
        <v>1662</v>
      </c>
      <c r="D4558" s="36" t="s">
        <v>1819</v>
      </c>
      <c r="E4558" s="36" t="s">
        <v>267</v>
      </c>
      <c r="G4558" s="87">
        <v>14156900</v>
      </c>
      <c r="H4558" s="87">
        <v>1415690</v>
      </c>
      <c r="I4558" s="87">
        <v>15572590</v>
      </c>
      <c r="K4558" s="85">
        <v>2024</v>
      </c>
      <c r="L4558" s="85">
        <v>3</v>
      </c>
      <c r="N4558" s="1" t="s">
        <v>44</v>
      </c>
    </row>
    <row r="4559" spans="1:14">
      <c r="A4559" s="36" t="s">
        <v>32</v>
      </c>
      <c r="B4559" s="37">
        <v>45382</v>
      </c>
      <c r="C4559" s="36" t="s">
        <v>1662</v>
      </c>
      <c r="D4559" s="36" t="s">
        <v>2081</v>
      </c>
      <c r="E4559" s="36" t="s">
        <v>267</v>
      </c>
      <c r="G4559" s="87">
        <v>14220000</v>
      </c>
      <c r="H4559" s="87">
        <v>1422000</v>
      </c>
      <c r="I4559" s="87">
        <v>15642000</v>
      </c>
      <c r="K4559" s="85">
        <v>2024</v>
      </c>
      <c r="L4559" s="85">
        <v>3</v>
      </c>
      <c r="M4559" s="36" t="s">
        <v>2113</v>
      </c>
      <c r="N4559" s="1" t="s">
        <v>44</v>
      </c>
    </row>
    <row r="4560" spans="1:14">
      <c r="A4560" s="36" t="s">
        <v>32</v>
      </c>
      <c r="B4560" s="37">
        <v>45382</v>
      </c>
      <c r="C4560" s="36" t="s">
        <v>1587</v>
      </c>
      <c r="D4560" s="36" t="s">
        <v>2082</v>
      </c>
      <c r="E4560" s="36" t="s">
        <v>76</v>
      </c>
      <c r="G4560" s="87">
        <v>5270000</v>
      </c>
      <c r="H4560" s="87">
        <v>527000</v>
      </c>
      <c r="I4560" s="87">
        <v>5797000</v>
      </c>
      <c r="K4560" s="85">
        <v>2024</v>
      </c>
      <c r="L4560" s="85">
        <v>3</v>
      </c>
      <c r="N4560" s="1" t="s">
        <v>44</v>
      </c>
    </row>
    <row r="4561" spans="1:14">
      <c r="A4561" s="36" t="s">
        <v>32</v>
      </c>
      <c r="B4561" s="37">
        <v>45382</v>
      </c>
      <c r="C4561" s="36" t="s">
        <v>264</v>
      </c>
      <c r="D4561" s="36" t="s">
        <v>880</v>
      </c>
      <c r="E4561" s="36" t="s">
        <v>76</v>
      </c>
      <c r="G4561" s="87">
        <v>18100000</v>
      </c>
      <c r="H4561" s="87">
        <v>1810000</v>
      </c>
      <c r="I4561" s="87">
        <v>19910000</v>
      </c>
      <c r="K4561" s="85">
        <v>2024</v>
      </c>
      <c r="L4561" s="85">
        <v>3</v>
      </c>
      <c r="N4561" s="1" t="s">
        <v>44</v>
      </c>
    </row>
    <row r="4562" spans="1:14">
      <c r="A4562" s="36" t="s">
        <v>32</v>
      </c>
      <c r="B4562" s="37">
        <v>45382</v>
      </c>
      <c r="C4562" s="36" t="s">
        <v>2061</v>
      </c>
      <c r="D4562" s="36" t="s">
        <v>2083</v>
      </c>
      <c r="E4562" s="36" t="s">
        <v>267</v>
      </c>
      <c r="G4562" s="87">
        <v>840000</v>
      </c>
      <c r="H4562" s="87">
        <v>84000</v>
      </c>
      <c r="I4562" s="87">
        <v>924000</v>
      </c>
      <c r="K4562" s="85">
        <v>2024</v>
      </c>
      <c r="L4562" s="85">
        <v>3</v>
      </c>
      <c r="N4562" s="1" t="s">
        <v>44</v>
      </c>
    </row>
    <row r="4563" spans="1:14">
      <c r="A4563" s="36" t="s">
        <v>32</v>
      </c>
      <c r="B4563" s="37">
        <v>45382</v>
      </c>
      <c r="C4563" s="36" t="s">
        <v>834</v>
      </c>
      <c r="D4563" s="36" t="s">
        <v>2028</v>
      </c>
      <c r="E4563" s="36" t="s">
        <v>76</v>
      </c>
      <c r="G4563" s="87">
        <v>90784400</v>
      </c>
      <c r="H4563" s="87">
        <v>9078440</v>
      </c>
      <c r="I4563" s="87">
        <v>99862840</v>
      </c>
      <c r="K4563" s="85">
        <v>2024</v>
      </c>
      <c r="L4563" s="85">
        <v>3</v>
      </c>
      <c r="N4563" s="1" t="s">
        <v>44</v>
      </c>
    </row>
    <row r="4564" spans="1:14">
      <c r="A4564" s="36" t="s">
        <v>32</v>
      </c>
      <c r="B4564" s="37">
        <v>45382</v>
      </c>
      <c r="C4564" s="36" t="s">
        <v>1933</v>
      </c>
      <c r="D4564" s="36" t="s">
        <v>2097</v>
      </c>
      <c r="E4564" s="36" t="s">
        <v>267</v>
      </c>
      <c r="G4564" s="87">
        <v>34050000</v>
      </c>
      <c r="H4564" s="87">
        <v>3405000</v>
      </c>
      <c r="I4564" s="87">
        <v>37455000</v>
      </c>
      <c r="K4564" s="85">
        <v>2024</v>
      </c>
      <c r="L4564" s="85">
        <v>3</v>
      </c>
      <c r="N4564" s="1" t="s">
        <v>44</v>
      </c>
    </row>
    <row r="4565" spans="1:14">
      <c r="A4565" s="36" t="s">
        <v>32</v>
      </c>
      <c r="B4565" s="37">
        <v>45382</v>
      </c>
      <c r="C4565" s="36" t="s">
        <v>1933</v>
      </c>
      <c r="D4565" s="36" t="s">
        <v>2098</v>
      </c>
      <c r="E4565" s="36" t="s">
        <v>1492</v>
      </c>
      <c r="G4565" s="87">
        <v>14322000</v>
      </c>
      <c r="H4565" s="87">
        <v>1432200</v>
      </c>
      <c r="I4565" s="87">
        <v>15754200</v>
      </c>
      <c r="K4565" s="85">
        <v>2024</v>
      </c>
      <c r="L4565" s="85">
        <v>3</v>
      </c>
      <c r="N4565" s="1" t="s">
        <v>44</v>
      </c>
    </row>
    <row r="4566" spans="1:14">
      <c r="A4566" s="36" t="s">
        <v>32</v>
      </c>
      <c r="B4566" s="37">
        <v>45382</v>
      </c>
      <c r="C4566" s="36" t="s">
        <v>2062</v>
      </c>
      <c r="D4566" s="36" t="s">
        <v>2084</v>
      </c>
      <c r="E4566" s="36" t="s">
        <v>1492</v>
      </c>
      <c r="G4566" s="87">
        <v>12092000</v>
      </c>
      <c r="H4566" s="87">
        <v>1209200</v>
      </c>
      <c r="I4566" s="87">
        <v>13301200</v>
      </c>
      <c r="K4566" s="85">
        <v>2024</v>
      </c>
      <c r="L4566" s="85">
        <v>3</v>
      </c>
      <c r="N4566" s="1" t="s">
        <v>44</v>
      </c>
    </row>
    <row r="4567" spans="1:14">
      <c r="A4567" s="36" t="s">
        <v>32</v>
      </c>
      <c r="B4567" s="37">
        <v>45382</v>
      </c>
      <c r="C4567" s="36" t="s">
        <v>291</v>
      </c>
      <c r="D4567" s="36" t="s">
        <v>1938</v>
      </c>
      <c r="E4567" s="36" t="s">
        <v>267</v>
      </c>
      <c r="G4567" s="87">
        <v>22412000</v>
      </c>
      <c r="H4567" s="87">
        <v>2241200</v>
      </c>
      <c r="I4567" s="87">
        <v>24653200</v>
      </c>
      <c r="K4567" s="85">
        <v>2024</v>
      </c>
      <c r="L4567" s="85">
        <v>3</v>
      </c>
      <c r="N4567" s="1" t="s">
        <v>44</v>
      </c>
    </row>
    <row r="4568" spans="1:14">
      <c r="A4568" s="36" t="s">
        <v>32</v>
      </c>
      <c r="B4568" s="37">
        <v>45382</v>
      </c>
      <c r="C4568" s="36" t="s">
        <v>174</v>
      </c>
      <c r="D4568" s="36" t="s">
        <v>2085</v>
      </c>
      <c r="E4568" s="36" t="s">
        <v>267</v>
      </c>
      <c r="G4568" s="87">
        <v>49600800</v>
      </c>
      <c r="H4568" s="87">
        <v>4960080</v>
      </c>
      <c r="I4568" s="87">
        <v>54560880</v>
      </c>
      <c r="K4568" s="85">
        <v>2024</v>
      </c>
      <c r="L4568" s="85">
        <v>3</v>
      </c>
      <c r="N4568" s="1" t="s">
        <v>44</v>
      </c>
    </row>
    <row r="4569" spans="1:14">
      <c r="A4569" s="36" t="s">
        <v>32</v>
      </c>
      <c r="B4569" s="37">
        <v>45382</v>
      </c>
      <c r="C4569" s="36" t="s">
        <v>2063</v>
      </c>
      <c r="D4569" s="36" t="s">
        <v>2029</v>
      </c>
      <c r="E4569" s="36" t="s">
        <v>1492</v>
      </c>
      <c r="G4569" s="87">
        <v>7080000</v>
      </c>
      <c r="H4569" s="87">
        <v>708000</v>
      </c>
      <c r="I4569" s="87">
        <v>7788000</v>
      </c>
      <c r="K4569" s="85">
        <v>2024</v>
      </c>
      <c r="L4569" s="85">
        <v>3</v>
      </c>
      <c r="N4569" s="1" t="s">
        <v>44</v>
      </c>
    </row>
    <row r="4570" spans="1:14">
      <c r="A4570" s="36" t="s">
        <v>32</v>
      </c>
      <c r="B4570" s="37">
        <v>45382</v>
      </c>
      <c r="C4570" s="36" t="s">
        <v>1531</v>
      </c>
      <c r="D4570" s="36" t="s">
        <v>2187</v>
      </c>
      <c r="E4570" s="36" t="s">
        <v>1492</v>
      </c>
      <c r="G4570" s="87">
        <v>6015600</v>
      </c>
      <c r="H4570" s="87">
        <v>601560</v>
      </c>
      <c r="I4570" s="87">
        <v>6617160</v>
      </c>
      <c r="K4570" s="85">
        <v>2024</v>
      </c>
      <c r="L4570" s="85">
        <v>3</v>
      </c>
      <c r="N4570" s="1" t="s">
        <v>44</v>
      </c>
    </row>
    <row r="4571" spans="1:14">
      <c r="A4571" s="36" t="s">
        <v>32</v>
      </c>
      <c r="B4571" s="37">
        <v>45380</v>
      </c>
      <c r="C4571" s="36" t="s">
        <v>1218</v>
      </c>
      <c r="D4571" s="36" t="s">
        <v>1871</v>
      </c>
      <c r="E4571" s="36" t="s">
        <v>77</v>
      </c>
      <c r="J4571" s="38">
        <v>4158000</v>
      </c>
      <c r="K4571" s="85">
        <v>2024</v>
      </c>
      <c r="L4571" s="85">
        <v>3</v>
      </c>
      <c r="M4571" s="36" t="s">
        <v>2107</v>
      </c>
      <c r="N4571" s="1" t="s">
        <v>44</v>
      </c>
    </row>
    <row r="4572" spans="1:14">
      <c r="A4572" s="36" t="s">
        <v>32</v>
      </c>
      <c r="B4572" s="37">
        <v>45371</v>
      </c>
      <c r="C4572" s="36" t="s">
        <v>1662</v>
      </c>
      <c r="D4572" s="36" t="s">
        <v>2064</v>
      </c>
      <c r="E4572" s="36" t="s">
        <v>77</v>
      </c>
      <c r="J4572" s="38">
        <v>18903500</v>
      </c>
      <c r="K4572" s="85">
        <v>2024</v>
      </c>
      <c r="L4572" s="85">
        <v>3</v>
      </c>
      <c r="N4572" s="1" t="s">
        <v>44</v>
      </c>
    </row>
    <row r="4573" spans="1:14">
      <c r="A4573" s="36" t="s">
        <v>32</v>
      </c>
      <c r="B4573" s="37">
        <v>45387</v>
      </c>
      <c r="C4573" s="36" t="s">
        <v>2058</v>
      </c>
      <c r="D4573" s="36" t="s">
        <v>2086</v>
      </c>
      <c r="E4573" s="36" t="s">
        <v>77</v>
      </c>
      <c r="J4573" s="38">
        <v>38500000</v>
      </c>
      <c r="K4573" s="85">
        <v>2024</v>
      </c>
      <c r="L4573" s="85">
        <v>3</v>
      </c>
      <c r="N4573" s="1" t="s">
        <v>44</v>
      </c>
    </row>
    <row r="4574" spans="1:14">
      <c r="A4574" s="36" t="s">
        <v>32</v>
      </c>
      <c r="B4574" s="37">
        <v>45393</v>
      </c>
      <c r="C4574" s="36" t="s">
        <v>209</v>
      </c>
      <c r="D4574" s="36" t="s">
        <v>1866</v>
      </c>
      <c r="E4574" s="36" t="s">
        <v>77</v>
      </c>
      <c r="J4574" s="38">
        <v>87453102</v>
      </c>
      <c r="K4574" s="85">
        <v>2024</v>
      </c>
      <c r="L4574" s="85">
        <v>3</v>
      </c>
      <c r="N4574" s="1" t="s">
        <v>44</v>
      </c>
    </row>
    <row r="4575" spans="1:14">
      <c r="A4575" s="36" t="s">
        <v>32</v>
      </c>
      <c r="B4575" s="37">
        <v>45393</v>
      </c>
      <c r="C4575" s="36" t="s">
        <v>1468</v>
      </c>
      <c r="D4575" s="36" t="s">
        <v>2068</v>
      </c>
      <c r="E4575" s="36" t="s">
        <v>77</v>
      </c>
      <c r="J4575" s="38">
        <v>23616571</v>
      </c>
      <c r="K4575" s="85">
        <v>2024</v>
      </c>
      <c r="L4575" s="85">
        <v>3</v>
      </c>
      <c r="N4575" s="1" t="s">
        <v>44</v>
      </c>
    </row>
    <row r="4576" spans="1:14">
      <c r="A4576" s="36" t="s">
        <v>32</v>
      </c>
      <c r="B4576" s="37">
        <v>45393</v>
      </c>
      <c r="C4576" s="36" t="s">
        <v>1468</v>
      </c>
      <c r="D4576" s="36" t="s">
        <v>2070</v>
      </c>
      <c r="E4576" s="36" t="s">
        <v>77</v>
      </c>
      <c r="J4576" s="38">
        <v>22337568</v>
      </c>
      <c r="K4576" s="85">
        <v>2024</v>
      </c>
      <c r="L4576" s="85">
        <v>3</v>
      </c>
      <c r="N4576" s="1" t="s">
        <v>44</v>
      </c>
    </row>
    <row r="4577" spans="1:14">
      <c r="A4577" s="36" t="s">
        <v>32</v>
      </c>
      <c r="B4577" s="37">
        <v>45391</v>
      </c>
      <c r="C4577" s="36" t="s">
        <v>2061</v>
      </c>
      <c r="D4577" s="36" t="s">
        <v>2083</v>
      </c>
      <c r="E4577" s="36" t="s">
        <v>148</v>
      </c>
      <c r="J4577" s="87">
        <v>924000</v>
      </c>
      <c r="K4577" s="85">
        <v>2024</v>
      </c>
      <c r="L4577" s="85">
        <v>3</v>
      </c>
      <c r="N4577" s="1" t="s">
        <v>44</v>
      </c>
    </row>
    <row r="4578" spans="1:14">
      <c r="A4578" s="36" t="s">
        <v>32</v>
      </c>
      <c r="B4578" s="37">
        <v>45397</v>
      </c>
      <c r="C4578" s="36" t="s">
        <v>209</v>
      </c>
      <c r="D4578" s="36" t="s">
        <v>2065</v>
      </c>
      <c r="E4578" s="36" t="s">
        <v>2101</v>
      </c>
      <c r="J4578" s="87">
        <v>179102000</v>
      </c>
      <c r="K4578" s="85">
        <v>2024</v>
      </c>
      <c r="L4578" s="85">
        <v>3</v>
      </c>
      <c r="N4578" s="1" t="s">
        <v>44</v>
      </c>
    </row>
    <row r="4579" spans="1:14">
      <c r="A4579" s="36" t="s">
        <v>32</v>
      </c>
      <c r="B4579" s="37">
        <v>45397</v>
      </c>
      <c r="C4579" s="36" t="s">
        <v>1468</v>
      </c>
      <c r="D4579" s="36" t="s">
        <v>2069</v>
      </c>
      <c r="E4579" s="36" t="s">
        <v>77</v>
      </c>
      <c r="J4579" s="87">
        <v>26660491</v>
      </c>
      <c r="K4579" s="85">
        <v>2024</v>
      </c>
      <c r="L4579" s="85">
        <v>3</v>
      </c>
      <c r="N4579" s="1" t="s">
        <v>44</v>
      </c>
    </row>
    <row r="4580" spans="1:14">
      <c r="A4580" s="36" t="s">
        <v>33</v>
      </c>
      <c r="B4580" s="37">
        <v>45397</v>
      </c>
      <c r="C4580" s="36" t="s">
        <v>2051</v>
      </c>
      <c r="D4580" s="36" t="s">
        <v>790</v>
      </c>
      <c r="E4580" s="36" t="s">
        <v>148</v>
      </c>
      <c r="J4580" s="87">
        <v>25173500</v>
      </c>
      <c r="K4580" s="85">
        <v>2024</v>
      </c>
      <c r="L4580" s="85">
        <v>3</v>
      </c>
      <c r="N4580" s="1" t="s">
        <v>44</v>
      </c>
    </row>
    <row r="4581" spans="1:14">
      <c r="A4581" s="36" t="s">
        <v>33</v>
      </c>
      <c r="B4581" s="37">
        <v>45397</v>
      </c>
      <c r="C4581" s="36" t="s">
        <v>1926</v>
      </c>
      <c r="D4581" s="36" t="s">
        <v>2093</v>
      </c>
      <c r="E4581" s="36" t="s">
        <v>148</v>
      </c>
      <c r="J4581" s="87">
        <v>550000</v>
      </c>
      <c r="K4581" s="85">
        <v>2024</v>
      </c>
      <c r="L4581" s="85">
        <v>1</v>
      </c>
      <c r="N4581" s="1" t="s">
        <v>44</v>
      </c>
    </row>
    <row r="4582" spans="1:14">
      <c r="A4582" s="36" t="s">
        <v>33</v>
      </c>
      <c r="B4582" s="37">
        <v>45397</v>
      </c>
      <c r="C4582" s="36" t="s">
        <v>1926</v>
      </c>
      <c r="D4582" s="36" t="s">
        <v>2007</v>
      </c>
      <c r="E4582" s="36" t="s">
        <v>148</v>
      </c>
      <c r="J4582" s="87">
        <v>440000</v>
      </c>
      <c r="K4582" s="85">
        <v>2024</v>
      </c>
      <c r="L4582" s="85">
        <v>2</v>
      </c>
      <c r="N4582" s="1" t="s">
        <v>44</v>
      </c>
    </row>
    <row r="4583" spans="1:14">
      <c r="A4583" s="36" t="s">
        <v>33</v>
      </c>
      <c r="B4583" s="37">
        <v>45383</v>
      </c>
      <c r="C4583" s="36" t="s">
        <v>1218</v>
      </c>
      <c r="D4583" s="36" t="s">
        <v>2088</v>
      </c>
      <c r="E4583" s="36" t="s">
        <v>1492</v>
      </c>
      <c r="G4583" s="87">
        <v>2500000</v>
      </c>
      <c r="H4583" s="87">
        <v>250000</v>
      </c>
      <c r="I4583" s="87">
        <v>2750000</v>
      </c>
      <c r="K4583" s="85">
        <v>2024</v>
      </c>
      <c r="L4583" s="85">
        <v>4</v>
      </c>
      <c r="N4583" s="1" t="s">
        <v>44</v>
      </c>
    </row>
    <row r="4584" spans="1:14">
      <c r="A4584" s="36" t="s">
        <v>33</v>
      </c>
      <c r="B4584" s="37">
        <v>45383</v>
      </c>
      <c r="C4584" s="36" t="s">
        <v>1218</v>
      </c>
      <c r="D4584" s="36" t="s">
        <v>1929</v>
      </c>
      <c r="E4584" s="36" t="s">
        <v>1492</v>
      </c>
      <c r="G4584" s="87">
        <v>6657000</v>
      </c>
      <c r="H4584" s="87">
        <v>665700</v>
      </c>
      <c r="I4584" s="87">
        <v>7322700</v>
      </c>
      <c r="K4584" s="85">
        <v>2024</v>
      </c>
      <c r="L4584" s="85">
        <v>4</v>
      </c>
      <c r="N4584" s="1" t="s">
        <v>44</v>
      </c>
    </row>
    <row r="4585" spans="1:14">
      <c r="A4585" s="36" t="s">
        <v>33</v>
      </c>
      <c r="B4585" s="37">
        <v>45398</v>
      </c>
      <c r="C4585" s="36" t="s">
        <v>1218</v>
      </c>
      <c r="D4585" s="36" t="s">
        <v>2088</v>
      </c>
      <c r="E4585" s="36" t="s">
        <v>77</v>
      </c>
      <c r="J4585" s="38">
        <v>2750000</v>
      </c>
      <c r="K4585" s="85">
        <v>2024</v>
      </c>
      <c r="L4585" s="85">
        <v>4</v>
      </c>
      <c r="N4585" s="1" t="s">
        <v>44</v>
      </c>
    </row>
    <row r="4586" spans="1:14">
      <c r="A4586" s="36" t="s">
        <v>33</v>
      </c>
      <c r="B4586" s="37">
        <v>45398</v>
      </c>
      <c r="C4586" s="36" t="s">
        <v>119</v>
      </c>
      <c r="D4586" s="36" t="s">
        <v>2012</v>
      </c>
      <c r="E4586" s="36" t="s">
        <v>148</v>
      </c>
      <c r="J4586" s="87">
        <v>54670044</v>
      </c>
      <c r="K4586" s="85">
        <v>2024</v>
      </c>
      <c r="L4586" s="85">
        <v>3</v>
      </c>
      <c r="N4586" s="1" t="s">
        <v>44</v>
      </c>
    </row>
    <row r="4587" spans="1:14">
      <c r="A4587" s="36" t="s">
        <v>33</v>
      </c>
      <c r="B4587" s="37">
        <v>45398</v>
      </c>
      <c r="C4587" s="36" t="s">
        <v>1218</v>
      </c>
      <c r="D4587" s="36" t="s">
        <v>1921</v>
      </c>
      <c r="E4587" s="36" t="s">
        <v>77</v>
      </c>
      <c r="J4587" s="87">
        <v>6469870</v>
      </c>
      <c r="K4587" s="85">
        <v>2024</v>
      </c>
      <c r="L4587" s="85">
        <v>3</v>
      </c>
      <c r="N4587" s="1" t="s">
        <v>44</v>
      </c>
    </row>
    <row r="4588" spans="1:14">
      <c r="A4588" s="36" t="s">
        <v>32</v>
      </c>
      <c r="B4588" s="37">
        <v>45398</v>
      </c>
      <c r="C4588" s="36" t="s">
        <v>1468</v>
      </c>
      <c r="D4588" s="36" t="s">
        <v>2071</v>
      </c>
      <c r="E4588" s="36" t="s">
        <v>77</v>
      </c>
      <c r="J4588" s="87">
        <v>46583977</v>
      </c>
      <c r="K4588" s="85">
        <v>2024</v>
      </c>
      <c r="L4588" s="85">
        <v>3</v>
      </c>
      <c r="N4588" s="1" t="s">
        <v>44</v>
      </c>
    </row>
    <row r="4589" spans="1:14">
      <c r="A4589" s="36" t="s">
        <v>32</v>
      </c>
      <c r="B4589" s="37">
        <v>45398</v>
      </c>
      <c r="C4589" s="36" t="s">
        <v>1468</v>
      </c>
      <c r="D4589" s="36" t="s">
        <v>2072</v>
      </c>
      <c r="E4589" s="36" t="s">
        <v>77</v>
      </c>
      <c r="J4589" s="87">
        <v>6324912</v>
      </c>
      <c r="K4589" s="85">
        <v>2024</v>
      </c>
      <c r="L4589" s="85">
        <v>3</v>
      </c>
      <c r="N4589" s="1" t="s">
        <v>44</v>
      </c>
    </row>
    <row r="4590" spans="1:14">
      <c r="A4590" s="36" t="s">
        <v>32</v>
      </c>
      <c r="B4590" s="37">
        <v>45398</v>
      </c>
      <c r="C4590" s="36" t="s">
        <v>1468</v>
      </c>
      <c r="D4590" s="36" t="s">
        <v>2067</v>
      </c>
      <c r="E4590" s="36" t="s">
        <v>77</v>
      </c>
      <c r="J4590" s="87">
        <v>3510540</v>
      </c>
      <c r="K4590" s="85">
        <v>2024</v>
      </c>
      <c r="L4590" s="85">
        <v>3</v>
      </c>
      <c r="N4590" s="1" t="s">
        <v>44</v>
      </c>
    </row>
    <row r="4591" spans="1:14">
      <c r="A4591" s="36" t="s">
        <v>33</v>
      </c>
      <c r="B4591" s="37">
        <v>45398</v>
      </c>
      <c r="C4591" s="36" t="s">
        <v>912</v>
      </c>
      <c r="D4591" s="36" t="s">
        <v>1636</v>
      </c>
      <c r="E4591" s="36" t="s">
        <v>1703</v>
      </c>
      <c r="J4591" s="87">
        <v>8879622.4000000004</v>
      </c>
      <c r="K4591" s="85">
        <v>2023</v>
      </c>
      <c r="L4591" s="85">
        <v>11</v>
      </c>
      <c r="N4591" s="1" t="s">
        <v>44</v>
      </c>
    </row>
    <row r="4592" spans="1:14">
      <c r="A4592" s="36" t="s">
        <v>33</v>
      </c>
      <c r="B4592" s="37">
        <v>45398</v>
      </c>
      <c r="C4592" s="36" t="s">
        <v>1467</v>
      </c>
      <c r="D4592" s="36" t="s">
        <v>2012</v>
      </c>
      <c r="E4592" s="36" t="s">
        <v>148</v>
      </c>
      <c r="J4592" s="87">
        <v>7620822</v>
      </c>
      <c r="K4592" s="85">
        <v>2024</v>
      </c>
      <c r="L4592" s="85">
        <v>2</v>
      </c>
      <c r="N4592" s="1" t="s">
        <v>44</v>
      </c>
    </row>
    <row r="4593" spans="1:14">
      <c r="A4593" s="36" t="s">
        <v>33</v>
      </c>
      <c r="B4593" s="37">
        <v>45398</v>
      </c>
      <c r="C4593" s="36" t="s">
        <v>1467</v>
      </c>
      <c r="D4593" s="36" t="s">
        <v>1921</v>
      </c>
      <c r="E4593" s="36" t="s">
        <v>148</v>
      </c>
      <c r="J4593" s="87">
        <v>792000</v>
      </c>
      <c r="K4593" s="85">
        <v>2024</v>
      </c>
      <c r="L4593" s="85">
        <v>3</v>
      </c>
      <c r="N4593" s="1" t="s">
        <v>44</v>
      </c>
    </row>
    <row r="4594" spans="1:14">
      <c r="A4594" s="36" t="s">
        <v>32</v>
      </c>
      <c r="B4594" s="37">
        <v>45398</v>
      </c>
      <c r="C4594" s="36" t="s">
        <v>1468</v>
      </c>
      <c r="D4594" s="36" t="s">
        <v>2066</v>
      </c>
      <c r="E4594" s="36" t="s">
        <v>148</v>
      </c>
      <c r="J4594" s="87">
        <v>24092079</v>
      </c>
      <c r="K4594" s="85">
        <v>2024</v>
      </c>
      <c r="L4594" s="85">
        <v>3</v>
      </c>
      <c r="N4594" s="1" t="s">
        <v>44</v>
      </c>
    </row>
    <row r="4595" spans="1:14">
      <c r="A4595" s="36" t="s">
        <v>32</v>
      </c>
      <c r="B4595" s="37">
        <v>45397</v>
      </c>
      <c r="C4595" s="36" t="s">
        <v>2060</v>
      </c>
      <c r="D4595" s="36" t="s">
        <v>2077</v>
      </c>
      <c r="E4595" s="36" t="s">
        <v>148</v>
      </c>
      <c r="J4595" s="87">
        <v>17600000</v>
      </c>
      <c r="K4595" s="85">
        <v>2024</v>
      </c>
      <c r="L4595" s="85">
        <v>3</v>
      </c>
      <c r="N4595" s="1" t="s">
        <v>44</v>
      </c>
    </row>
    <row r="4596" spans="1:14">
      <c r="A4596" s="36" t="s">
        <v>32</v>
      </c>
      <c r="B4596" s="37">
        <v>45393</v>
      </c>
      <c r="C4596" s="36" t="s">
        <v>1467</v>
      </c>
      <c r="D4596" s="36" t="s">
        <v>1814</v>
      </c>
      <c r="E4596" s="36" t="s">
        <v>148</v>
      </c>
      <c r="J4596" s="38">
        <v>50579500</v>
      </c>
      <c r="K4596" s="85">
        <v>2024</v>
      </c>
      <c r="L4596" s="85">
        <v>2</v>
      </c>
      <c r="N4596" s="1" t="s">
        <v>44</v>
      </c>
    </row>
    <row r="4597" spans="1:14">
      <c r="A4597" s="36" t="s">
        <v>32</v>
      </c>
      <c r="B4597" s="37">
        <v>45399</v>
      </c>
      <c r="C4597" s="36" t="s">
        <v>1467</v>
      </c>
      <c r="D4597" s="36" t="s">
        <v>1814</v>
      </c>
      <c r="E4597" s="36" t="s">
        <v>148</v>
      </c>
      <c r="J4597" s="38">
        <v>400000</v>
      </c>
      <c r="K4597" s="85">
        <v>2024</v>
      </c>
      <c r="L4597" s="85">
        <v>2</v>
      </c>
      <c r="N4597" s="1" t="s">
        <v>44</v>
      </c>
    </row>
    <row r="4598" spans="1:14">
      <c r="A4598" s="36" t="s">
        <v>33</v>
      </c>
      <c r="B4598" s="37">
        <v>45400</v>
      </c>
      <c r="C4598" s="36" t="s">
        <v>2005</v>
      </c>
      <c r="D4598" s="36" t="s">
        <v>2089</v>
      </c>
      <c r="E4598" s="36" t="s">
        <v>2090</v>
      </c>
      <c r="G4598" s="87">
        <v>-13910000</v>
      </c>
      <c r="H4598" s="87">
        <v>-1391000</v>
      </c>
      <c r="I4598" s="87">
        <v>-15301000</v>
      </c>
      <c r="K4598" s="85">
        <v>2024</v>
      </c>
      <c r="L4598" s="85">
        <v>2</v>
      </c>
      <c r="N4598" s="1" t="s">
        <v>44</v>
      </c>
    </row>
    <row r="4599" spans="1:14">
      <c r="A4599" s="36" t="s">
        <v>33</v>
      </c>
      <c r="B4599" s="37">
        <v>45400</v>
      </c>
      <c r="C4599" s="36" t="s">
        <v>2005</v>
      </c>
      <c r="D4599" s="36" t="s">
        <v>2089</v>
      </c>
      <c r="E4599" s="36" t="s">
        <v>2091</v>
      </c>
      <c r="G4599" s="87">
        <v>5000000</v>
      </c>
      <c r="H4599" s="87">
        <v>500000</v>
      </c>
      <c r="I4599" s="87">
        <v>5500000</v>
      </c>
      <c r="K4599" s="85">
        <v>2024</v>
      </c>
      <c r="L4599" s="85">
        <v>4</v>
      </c>
      <c r="N4599" s="1" t="s">
        <v>44</v>
      </c>
    </row>
    <row r="4600" spans="1:14">
      <c r="A4600" s="36" t="s">
        <v>33</v>
      </c>
      <c r="B4600" s="37">
        <v>45401</v>
      </c>
      <c r="C4600" s="36" t="s">
        <v>2005</v>
      </c>
      <c r="D4600" s="36" t="s">
        <v>2089</v>
      </c>
      <c r="E4600" s="36" t="s">
        <v>148</v>
      </c>
      <c r="J4600" s="87">
        <v>5500000</v>
      </c>
      <c r="K4600" s="85">
        <v>2024</v>
      </c>
      <c r="L4600" s="85">
        <v>4</v>
      </c>
      <c r="N4600" s="1" t="s">
        <v>44</v>
      </c>
    </row>
    <row r="4601" spans="1:14">
      <c r="A4601" s="36" t="s">
        <v>33</v>
      </c>
      <c r="B4601" s="37">
        <v>45401</v>
      </c>
      <c r="C4601" s="36" t="s">
        <v>1720</v>
      </c>
      <c r="D4601" s="36" t="s">
        <v>865</v>
      </c>
      <c r="E4601" s="36" t="s">
        <v>148</v>
      </c>
      <c r="J4601" s="87">
        <v>31312765</v>
      </c>
      <c r="K4601" s="85">
        <v>2024</v>
      </c>
      <c r="L4601" s="85">
        <v>3</v>
      </c>
      <c r="N4601" s="1" t="s">
        <v>44</v>
      </c>
    </row>
    <row r="4602" spans="1:14">
      <c r="A4602" s="36" t="s">
        <v>32</v>
      </c>
      <c r="B4602" s="37">
        <v>45400</v>
      </c>
      <c r="C4602" s="36" t="s">
        <v>1587</v>
      </c>
      <c r="D4602" s="36" t="s">
        <v>2082</v>
      </c>
      <c r="E4602" s="36" t="s">
        <v>148</v>
      </c>
      <c r="J4602" s="87">
        <v>5797000</v>
      </c>
      <c r="K4602" s="85">
        <v>2024</v>
      </c>
      <c r="L4602" s="85">
        <v>3</v>
      </c>
      <c r="N4602" s="1" t="s">
        <v>44</v>
      </c>
    </row>
    <row r="4603" spans="1:14">
      <c r="A4603" s="36" t="s">
        <v>33</v>
      </c>
      <c r="B4603" s="37">
        <v>45405</v>
      </c>
      <c r="C4603" s="36" t="s">
        <v>2036</v>
      </c>
      <c r="D4603" s="36" t="s">
        <v>2037</v>
      </c>
      <c r="E4603" s="36" t="s">
        <v>2092</v>
      </c>
      <c r="G4603" s="87">
        <v>800000</v>
      </c>
      <c r="H4603" s="87">
        <v>80000</v>
      </c>
      <c r="I4603" s="87">
        <v>880000</v>
      </c>
      <c r="K4603" s="85">
        <v>2024</v>
      </c>
      <c r="L4603" s="85">
        <v>4</v>
      </c>
      <c r="N4603" s="1" t="s">
        <v>44</v>
      </c>
    </row>
    <row r="4604" spans="1:14">
      <c r="A4604" s="36" t="s">
        <v>33</v>
      </c>
      <c r="B4604" s="37">
        <v>45405</v>
      </c>
      <c r="C4604" s="36" t="s">
        <v>2039</v>
      </c>
      <c r="D4604" s="36" t="s">
        <v>2037</v>
      </c>
      <c r="E4604" s="36" t="s">
        <v>157</v>
      </c>
      <c r="G4604" s="87">
        <v>210000</v>
      </c>
      <c r="H4604" s="87">
        <v>21000</v>
      </c>
      <c r="I4604" s="87">
        <v>231000</v>
      </c>
      <c r="K4604" s="85">
        <v>2024</v>
      </c>
      <c r="L4604" s="85">
        <v>4</v>
      </c>
      <c r="N4604" s="1" t="s">
        <v>44</v>
      </c>
    </row>
    <row r="4605" spans="1:14">
      <c r="A4605" s="36" t="s">
        <v>33</v>
      </c>
      <c r="B4605" s="37">
        <v>45406</v>
      </c>
      <c r="C4605" s="36" t="s">
        <v>2036</v>
      </c>
      <c r="D4605" s="36" t="s">
        <v>2037</v>
      </c>
      <c r="E4605" s="36" t="s">
        <v>77</v>
      </c>
      <c r="J4605" s="38">
        <v>880000</v>
      </c>
      <c r="K4605" s="85">
        <v>2024</v>
      </c>
      <c r="L4605" s="85">
        <v>4</v>
      </c>
      <c r="N4605" s="1" t="s">
        <v>44</v>
      </c>
    </row>
    <row r="4606" spans="1:14">
      <c r="A4606" s="36" t="s">
        <v>33</v>
      </c>
      <c r="B4606" s="37">
        <v>45406</v>
      </c>
      <c r="C4606" s="36" t="s">
        <v>2039</v>
      </c>
      <c r="D4606" s="36" t="s">
        <v>2037</v>
      </c>
      <c r="E4606" s="36" t="s">
        <v>77</v>
      </c>
      <c r="J4606" s="38">
        <v>231000</v>
      </c>
      <c r="K4606" s="85">
        <v>2024</v>
      </c>
      <c r="L4606" s="85">
        <v>4</v>
      </c>
      <c r="N4606" s="1" t="s">
        <v>44</v>
      </c>
    </row>
    <row r="4607" spans="1:14">
      <c r="A4607" s="36" t="s">
        <v>33</v>
      </c>
      <c r="B4607" s="37">
        <v>45406</v>
      </c>
      <c r="C4607" s="36" t="s">
        <v>2006</v>
      </c>
      <c r="D4607" s="36" t="s">
        <v>2146</v>
      </c>
      <c r="E4607" s="36" t="s">
        <v>2355</v>
      </c>
      <c r="J4607" s="87">
        <v>791450</v>
      </c>
      <c r="K4607" s="85">
        <v>2024</v>
      </c>
      <c r="L4607" s="85">
        <v>2</v>
      </c>
      <c r="N4607" s="1" t="s">
        <v>44</v>
      </c>
    </row>
    <row r="4608" spans="1:14">
      <c r="A4608" s="36" t="s">
        <v>32</v>
      </c>
      <c r="B4608" s="37">
        <v>45406</v>
      </c>
      <c r="C4608" s="36" t="s">
        <v>654</v>
      </c>
      <c r="D4608" s="36" t="s">
        <v>2073</v>
      </c>
      <c r="E4608" s="36" t="s">
        <v>148</v>
      </c>
      <c r="J4608" s="87">
        <v>7182384</v>
      </c>
      <c r="K4608" s="85">
        <v>2024</v>
      </c>
      <c r="L4608" s="85">
        <v>3</v>
      </c>
      <c r="N4608" s="1" t="s">
        <v>44</v>
      </c>
    </row>
    <row r="4609" spans="1:14">
      <c r="A4609" s="36" t="s">
        <v>32</v>
      </c>
      <c r="B4609" s="37">
        <v>45398</v>
      </c>
      <c r="C4609" s="36" t="s">
        <v>2063</v>
      </c>
      <c r="D4609" s="36" t="s">
        <v>2029</v>
      </c>
      <c r="E4609" s="36" t="s">
        <v>148</v>
      </c>
      <c r="J4609" s="87">
        <v>3300000</v>
      </c>
      <c r="K4609" s="85">
        <v>2024</v>
      </c>
      <c r="L4609" s="85">
        <v>2</v>
      </c>
      <c r="N4609" s="1" t="s">
        <v>44</v>
      </c>
    </row>
    <row r="4610" spans="1:14">
      <c r="A4610" s="36" t="s">
        <v>33</v>
      </c>
      <c r="B4610" s="37">
        <v>45406</v>
      </c>
      <c r="C4610" s="36" t="s">
        <v>1779</v>
      </c>
      <c r="D4610" s="36" t="s">
        <v>197</v>
      </c>
      <c r="E4610" s="36" t="s">
        <v>2094</v>
      </c>
      <c r="G4610" s="87">
        <v>1800000</v>
      </c>
      <c r="H4610" s="87">
        <v>180000</v>
      </c>
      <c r="I4610" s="87">
        <v>1980000</v>
      </c>
      <c r="K4610" s="85">
        <v>2024</v>
      </c>
      <c r="L4610" s="85">
        <v>4</v>
      </c>
      <c r="N4610" s="1" t="s">
        <v>44</v>
      </c>
    </row>
    <row r="4611" spans="1:14">
      <c r="A4611" s="36" t="s">
        <v>32</v>
      </c>
      <c r="B4611" s="37">
        <v>45407</v>
      </c>
      <c r="C4611" s="36" t="s">
        <v>1198</v>
      </c>
      <c r="D4611" s="36" t="s">
        <v>1683</v>
      </c>
      <c r="E4611" s="36" t="s">
        <v>148</v>
      </c>
      <c r="J4611" s="87">
        <v>8981500</v>
      </c>
      <c r="K4611" s="85">
        <v>2024</v>
      </c>
      <c r="L4611" s="85">
        <v>2</v>
      </c>
      <c r="N4611" s="1" t="s">
        <v>44</v>
      </c>
    </row>
    <row r="4612" spans="1:14">
      <c r="A4612" s="36" t="s">
        <v>33</v>
      </c>
      <c r="B4612" s="37">
        <v>45411</v>
      </c>
      <c r="C4612" s="36" t="s">
        <v>2016</v>
      </c>
      <c r="D4612" s="36" t="s">
        <v>2048</v>
      </c>
      <c r="E4612" s="36" t="s">
        <v>148</v>
      </c>
      <c r="J4612" s="87">
        <v>12100000</v>
      </c>
      <c r="K4612" s="85">
        <v>2024</v>
      </c>
      <c r="L4612" s="85">
        <v>3</v>
      </c>
      <c r="N4612" s="1" t="s">
        <v>44</v>
      </c>
    </row>
    <row r="4613" spans="1:14">
      <c r="A4613" s="36" t="s">
        <v>32</v>
      </c>
      <c r="B4613" s="37">
        <v>45411</v>
      </c>
      <c r="C4613" s="36" t="s">
        <v>1464</v>
      </c>
      <c r="D4613" s="36" t="s">
        <v>1939</v>
      </c>
      <c r="E4613" s="36" t="s">
        <v>148</v>
      </c>
      <c r="J4613" s="87">
        <v>5438400</v>
      </c>
      <c r="K4613" s="85">
        <v>2024</v>
      </c>
      <c r="L4613" s="85">
        <v>1</v>
      </c>
      <c r="N4613" s="1" t="s">
        <v>44</v>
      </c>
    </row>
    <row r="4614" spans="1:14">
      <c r="A4614" s="36" t="s">
        <v>32</v>
      </c>
      <c r="B4614" s="37">
        <v>45382</v>
      </c>
      <c r="C4614" s="36" t="s">
        <v>288</v>
      </c>
      <c r="D4614" s="36" t="s">
        <v>1949</v>
      </c>
      <c r="E4614" s="36" t="s">
        <v>148</v>
      </c>
      <c r="J4614" s="38">
        <v>5678720</v>
      </c>
      <c r="K4614" s="85">
        <v>2024</v>
      </c>
      <c r="L4614" s="85">
        <v>3</v>
      </c>
      <c r="M4614" s="157" t="s">
        <v>2096</v>
      </c>
      <c r="N4614" s="1" t="s">
        <v>44</v>
      </c>
    </row>
    <row r="4615" spans="1:14">
      <c r="A4615" s="36" t="s">
        <v>32</v>
      </c>
      <c r="B4615" s="37">
        <v>45411</v>
      </c>
      <c r="C4615" s="36" t="s">
        <v>209</v>
      </c>
      <c r="D4615" s="36" t="s">
        <v>2024</v>
      </c>
      <c r="E4615" s="36" t="s">
        <v>148</v>
      </c>
      <c r="J4615" s="38">
        <v>5612340</v>
      </c>
      <c r="K4615" s="85">
        <v>2024</v>
      </c>
      <c r="L4615" s="85">
        <v>2</v>
      </c>
      <c r="M4615" s="36" t="s">
        <v>2102</v>
      </c>
      <c r="N4615" s="1" t="s">
        <v>44</v>
      </c>
    </row>
    <row r="4616" spans="1:14">
      <c r="A4616" s="36" t="s">
        <v>32</v>
      </c>
      <c r="B4616" s="37">
        <v>45411</v>
      </c>
      <c r="C4616" s="36" t="s">
        <v>209</v>
      </c>
      <c r="D4616" s="36" t="s">
        <v>2024</v>
      </c>
      <c r="E4616" s="36" t="s">
        <v>148</v>
      </c>
      <c r="J4616" s="38">
        <v>2958940</v>
      </c>
      <c r="K4616" s="85">
        <v>2024</v>
      </c>
      <c r="L4616" s="85">
        <v>3</v>
      </c>
      <c r="M4616" s="36" t="s">
        <v>2102</v>
      </c>
      <c r="N4616" s="1" t="s">
        <v>44</v>
      </c>
    </row>
    <row r="4617" spans="1:14">
      <c r="A4617" s="36" t="s">
        <v>32</v>
      </c>
      <c r="B4617" s="37">
        <v>45411</v>
      </c>
      <c r="C4617" s="36" t="s">
        <v>209</v>
      </c>
      <c r="D4617" s="36" t="s">
        <v>1892</v>
      </c>
      <c r="E4617" s="36" t="s">
        <v>2100</v>
      </c>
      <c r="J4617" s="87">
        <v>58672570</v>
      </c>
      <c r="K4617" s="85">
        <v>2024</v>
      </c>
      <c r="L4617" s="85">
        <v>2</v>
      </c>
      <c r="M4617" s="36" t="s">
        <v>2102</v>
      </c>
      <c r="N4617" s="1" t="s">
        <v>44</v>
      </c>
    </row>
    <row r="4618" spans="1:14">
      <c r="A4618" s="36" t="s">
        <v>32</v>
      </c>
      <c r="B4618" s="37">
        <v>45411</v>
      </c>
      <c r="C4618" s="36" t="s">
        <v>209</v>
      </c>
      <c r="D4618" s="36" t="s">
        <v>1699</v>
      </c>
      <c r="E4618" s="36" t="s">
        <v>148</v>
      </c>
      <c r="J4618" s="87">
        <v>9524460</v>
      </c>
      <c r="K4618" s="85">
        <v>2024</v>
      </c>
      <c r="L4618" s="85">
        <v>3</v>
      </c>
      <c r="M4618" s="36" t="s">
        <v>2102</v>
      </c>
      <c r="N4618" s="1" t="s">
        <v>44</v>
      </c>
    </row>
    <row r="4619" spans="1:14">
      <c r="A4619" s="36" t="s">
        <v>32</v>
      </c>
      <c r="B4619" s="37">
        <v>45411</v>
      </c>
      <c r="C4619" s="36" t="s">
        <v>209</v>
      </c>
      <c r="D4619" s="36" t="s">
        <v>1885</v>
      </c>
      <c r="E4619" s="36" t="s">
        <v>148</v>
      </c>
      <c r="J4619" s="87">
        <v>7642250</v>
      </c>
      <c r="K4619" s="85">
        <v>2024</v>
      </c>
      <c r="L4619" s="85">
        <v>3</v>
      </c>
      <c r="M4619" s="36" t="s">
        <v>2102</v>
      </c>
      <c r="N4619" s="1" t="s">
        <v>44</v>
      </c>
    </row>
    <row r="4620" spans="1:14">
      <c r="A4620" s="36" t="s">
        <v>32</v>
      </c>
      <c r="B4620" s="37">
        <v>45411</v>
      </c>
      <c r="C4620" s="36" t="s">
        <v>209</v>
      </c>
      <c r="D4620" s="36" t="s">
        <v>2001</v>
      </c>
      <c r="E4620" s="36" t="s">
        <v>148</v>
      </c>
      <c r="J4620" s="87">
        <v>103649883.7</v>
      </c>
      <c r="K4620" s="85">
        <v>2024</v>
      </c>
      <c r="L4620" s="85">
        <v>3</v>
      </c>
      <c r="M4620" s="36" t="s">
        <v>2104</v>
      </c>
      <c r="N4620" s="1" t="s">
        <v>44</v>
      </c>
    </row>
    <row r="4621" spans="1:14">
      <c r="A4621" s="36" t="s">
        <v>32</v>
      </c>
      <c r="B4621" s="37">
        <v>45412</v>
      </c>
      <c r="C4621" s="36" t="s">
        <v>989</v>
      </c>
      <c r="D4621" s="36" t="s">
        <v>1950</v>
      </c>
      <c r="E4621" s="36" t="s">
        <v>148</v>
      </c>
      <c r="J4621" s="87">
        <v>4920300</v>
      </c>
      <c r="K4621" s="85">
        <v>2024</v>
      </c>
      <c r="L4621" s="85">
        <v>3</v>
      </c>
      <c r="N4621" s="1" t="s">
        <v>44</v>
      </c>
    </row>
    <row r="4622" spans="1:14">
      <c r="A4622" s="36" t="s">
        <v>32</v>
      </c>
      <c r="B4622" s="37">
        <v>45412</v>
      </c>
      <c r="C4622" s="36" t="s">
        <v>2062</v>
      </c>
      <c r="D4622" s="36" t="s">
        <v>2084</v>
      </c>
      <c r="E4622" s="36" t="s">
        <v>148</v>
      </c>
      <c r="J4622" s="87">
        <v>13301200</v>
      </c>
      <c r="K4622" s="85">
        <v>2024</v>
      </c>
      <c r="L4622" s="85">
        <v>3</v>
      </c>
      <c r="N4622" s="1" t="s">
        <v>44</v>
      </c>
    </row>
    <row r="4623" spans="1:14">
      <c r="A4623" s="36" t="s">
        <v>32</v>
      </c>
      <c r="B4623" s="37">
        <v>45412</v>
      </c>
      <c r="C4623" s="36" t="s">
        <v>664</v>
      </c>
      <c r="D4623" s="36" t="s">
        <v>2076</v>
      </c>
      <c r="E4623" s="36" t="s">
        <v>148</v>
      </c>
      <c r="J4623" s="87">
        <v>18910100</v>
      </c>
      <c r="K4623" s="85">
        <v>2024</v>
      </c>
      <c r="L4623" s="85">
        <v>3</v>
      </c>
      <c r="N4623" s="1" t="s">
        <v>44</v>
      </c>
    </row>
    <row r="4624" spans="1:14">
      <c r="A4624" s="36" t="s">
        <v>32</v>
      </c>
      <c r="B4624" s="37">
        <v>45412</v>
      </c>
      <c r="C4624" s="36" t="s">
        <v>1862</v>
      </c>
      <c r="D4624" s="36" t="s">
        <v>1874</v>
      </c>
      <c r="E4624" s="36" t="s">
        <v>148</v>
      </c>
      <c r="J4624" s="87">
        <v>18265500</v>
      </c>
      <c r="K4624" s="85">
        <v>2024</v>
      </c>
      <c r="L4624" s="85">
        <v>1</v>
      </c>
      <c r="N4624" s="1" t="s">
        <v>44</v>
      </c>
    </row>
    <row r="4625" spans="1:14">
      <c r="A4625" s="36" t="s">
        <v>32</v>
      </c>
      <c r="B4625" s="37">
        <v>45412</v>
      </c>
      <c r="C4625" s="36" t="s">
        <v>1862</v>
      </c>
      <c r="D4625" s="36" t="s">
        <v>1874</v>
      </c>
      <c r="E4625" s="36" t="s">
        <v>148</v>
      </c>
      <c r="J4625" s="87">
        <v>7722000</v>
      </c>
      <c r="K4625" s="85">
        <v>2024</v>
      </c>
      <c r="L4625" s="85">
        <v>2</v>
      </c>
      <c r="N4625" s="1" t="s">
        <v>44</v>
      </c>
    </row>
    <row r="4626" spans="1:14">
      <c r="A4626" s="36" t="s">
        <v>32</v>
      </c>
      <c r="B4626" s="37">
        <v>45412</v>
      </c>
      <c r="C4626" s="36" t="s">
        <v>1880</v>
      </c>
      <c r="D4626" s="36" t="s">
        <v>2078</v>
      </c>
      <c r="E4626" s="36" t="s">
        <v>148</v>
      </c>
      <c r="J4626" s="87">
        <v>20790000</v>
      </c>
      <c r="K4626" s="85">
        <v>2024</v>
      </c>
      <c r="L4626" s="85">
        <v>3</v>
      </c>
      <c r="N4626" s="1" t="s">
        <v>44</v>
      </c>
    </row>
    <row r="4627" spans="1:14">
      <c r="A4627" s="36" t="s">
        <v>32</v>
      </c>
      <c r="B4627" s="37">
        <v>45412</v>
      </c>
      <c r="C4627" s="36" t="s">
        <v>1933</v>
      </c>
      <c r="D4627" s="36" t="s">
        <v>2098</v>
      </c>
      <c r="E4627" s="36" t="s">
        <v>148</v>
      </c>
      <c r="J4627" s="87">
        <v>12048300</v>
      </c>
      <c r="K4627" s="85">
        <v>2024</v>
      </c>
      <c r="L4627" s="85">
        <v>2</v>
      </c>
      <c r="N4627" s="1" t="s">
        <v>44</v>
      </c>
    </row>
    <row r="4628" spans="1:14">
      <c r="A4628" s="36" t="s">
        <v>32</v>
      </c>
      <c r="B4628" s="37">
        <v>45412</v>
      </c>
      <c r="C4628" s="36" t="s">
        <v>307</v>
      </c>
      <c r="D4628" s="36" t="s">
        <v>1752</v>
      </c>
      <c r="E4628" s="36" t="s">
        <v>148</v>
      </c>
      <c r="J4628" s="38">
        <v>4000000</v>
      </c>
      <c r="K4628" s="85">
        <v>2024</v>
      </c>
      <c r="L4628" s="85">
        <v>3</v>
      </c>
      <c r="N4628" s="1" t="s">
        <v>44</v>
      </c>
    </row>
    <row r="4629" spans="1:14">
      <c r="A4629" s="36" t="s">
        <v>32</v>
      </c>
      <c r="B4629" s="37">
        <v>45412</v>
      </c>
      <c r="C4629" s="36" t="s">
        <v>1218</v>
      </c>
      <c r="D4629" s="36" t="s">
        <v>1937</v>
      </c>
      <c r="E4629" s="36" t="s">
        <v>148</v>
      </c>
      <c r="J4629" s="87">
        <v>3080000</v>
      </c>
      <c r="K4629" s="85">
        <v>2024</v>
      </c>
      <c r="L4629" s="85">
        <v>1</v>
      </c>
      <c r="M4629" s="36" t="s">
        <v>2107</v>
      </c>
      <c r="N4629" s="1" t="s">
        <v>44</v>
      </c>
    </row>
    <row r="4630" spans="1:14">
      <c r="A4630" s="36" t="s">
        <v>32</v>
      </c>
      <c r="B4630" s="37">
        <v>45412</v>
      </c>
      <c r="C4630" s="36" t="s">
        <v>1933</v>
      </c>
      <c r="D4630" s="36" t="s">
        <v>2097</v>
      </c>
      <c r="E4630" s="36" t="s">
        <v>148</v>
      </c>
      <c r="J4630" s="87">
        <v>37455000</v>
      </c>
      <c r="K4630" s="85">
        <v>2024</v>
      </c>
      <c r="L4630" s="85">
        <v>3</v>
      </c>
      <c r="N4630" s="1" t="s">
        <v>44</v>
      </c>
    </row>
    <row r="4631" spans="1:14">
      <c r="A4631" s="36" t="s">
        <v>32</v>
      </c>
      <c r="B4631" s="37">
        <v>45412</v>
      </c>
      <c r="C4631" s="36" t="s">
        <v>1470</v>
      </c>
      <c r="D4631" s="36" t="s">
        <v>1821</v>
      </c>
      <c r="E4631" s="36" t="s">
        <v>148</v>
      </c>
      <c r="J4631" s="87">
        <v>164742160</v>
      </c>
      <c r="K4631" s="85">
        <v>2024</v>
      </c>
      <c r="L4631" s="85">
        <v>3</v>
      </c>
      <c r="N4631" s="1" t="s">
        <v>44</v>
      </c>
    </row>
    <row r="4632" spans="1:14">
      <c r="A4632" s="36" t="s">
        <v>32</v>
      </c>
      <c r="B4632" s="37">
        <v>45412</v>
      </c>
      <c r="C4632" s="36" t="s">
        <v>672</v>
      </c>
      <c r="D4632" s="36" t="s">
        <v>1267</v>
      </c>
      <c r="E4632" s="36" t="s">
        <v>148</v>
      </c>
      <c r="J4632" s="87">
        <v>1650000</v>
      </c>
      <c r="K4632" s="85">
        <v>2023</v>
      </c>
      <c r="L4632" s="85">
        <v>6</v>
      </c>
      <c r="M4632" s="36" t="s">
        <v>2108</v>
      </c>
      <c r="N4632" s="1" t="s">
        <v>44</v>
      </c>
    </row>
    <row r="4633" spans="1:14">
      <c r="A4633" s="36" t="s">
        <v>32</v>
      </c>
      <c r="B4633" s="37">
        <v>45412</v>
      </c>
      <c r="C4633" s="36" t="s">
        <v>672</v>
      </c>
      <c r="D4633" s="36" t="s">
        <v>1596</v>
      </c>
      <c r="E4633" s="36" t="s">
        <v>148</v>
      </c>
      <c r="J4633" s="38">
        <v>350000</v>
      </c>
      <c r="K4633" s="85">
        <v>2023</v>
      </c>
      <c r="L4633" s="85">
        <v>8</v>
      </c>
      <c r="M4633" s="36" t="s">
        <v>2108</v>
      </c>
      <c r="N4633" s="1" t="s">
        <v>44</v>
      </c>
    </row>
    <row r="4634" spans="1:14">
      <c r="A4634" s="36" t="s">
        <v>32</v>
      </c>
      <c r="B4634" s="37">
        <v>45412</v>
      </c>
      <c r="C4634" s="36" t="s">
        <v>654</v>
      </c>
      <c r="D4634" s="36" t="s">
        <v>1754</v>
      </c>
      <c r="E4634" s="36" t="s">
        <v>148</v>
      </c>
      <c r="J4634" s="87">
        <v>277814143</v>
      </c>
      <c r="K4634" s="85">
        <v>2024</v>
      </c>
      <c r="L4634" s="85">
        <v>3</v>
      </c>
      <c r="N4634" s="1" t="s">
        <v>44</v>
      </c>
    </row>
    <row r="4635" spans="1:14">
      <c r="A4635" s="36" t="s">
        <v>32</v>
      </c>
      <c r="B4635" s="37">
        <v>45412</v>
      </c>
      <c r="C4635" s="36" t="s">
        <v>264</v>
      </c>
      <c r="D4635" s="36" t="s">
        <v>880</v>
      </c>
      <c r="E4635" s="36" t="s">
        <v>148</v>
      </c>
      <c r="J4635" s="87">
        <v>19910000</v>
      </c>
      <c r="K4635" s="85">
        <v>2024</v>
      </c>
      <c r="L4635" s="85">
        <v>3</v>
      </c>
      <c r="N4635" s="1" t="s">
        <v>44</v>
      </c>
    </row>
    <row r="4636" spans="1:14">
      <c r="A4636" s="36" t="s">
        <v>32</v>
      </c>
      <c r="B4636" s="37">
        <v>45412</v>
      </c>
      <c r="C4636" s="36" t="s">
        <v>834</v>
      </c>
      <c r="D4636" s="36" t="s">
        <v>2028</v>
      </c>
      <c r="E4636" s="36" t="s">
        <v>148</v>
      </c>
      <c r="J4636" s="38">
        <v>70000000</v>
      </c>
      <c r="K4636" s="85">
        <v>2024</v>
      </c>
      <c r="L4636" s="85">
        <v>3</v>
      </c>
      <c r="N4636" s="1" t="s">
        <v>44</v>
      </c>
    </row>
    <row r="4637" spans="1:14">
      <c r="A4637" s="36" t="s">
        <v>32</v>
      </c>
      <c r="B4637" s="37">
        <v>45412</v>
      </c>
      <c r="C4637" s="36" t="s">
        <v>288</v>
      </c>
      <c r="D4637" s="36" t="s">
        <v>1949</v>
      </c>
      <c r="E4637" s="36" t="s">
        <v>148</v>
      </c>
      <c r="J4637" s="38">
        <v>19775697</v>
      </c>
      <c r="K4637" s="85">
        <v>2024</v>
      </c>
      <c r="L4637" s="85">
        <v>3</v>
      </c>
      <c r="N4637" s="1" t="s">
        <v>44</v>
      </c>
    </row>
    <row r="4638" spans="1:14">
      <c r="A4638" s="36" t="s">
        <v>32</v>
      </c>
      <c r="B4638" s="37">
        <v>45414</v>
      </c>
      <c r="C4638" s="36" t="s">
        <v>1531</v>
      </c>
      <c r="D4638" s="36" t="s">
        <v>2187</v>
      </c>
      <c r="E4638" s="36" t="s">
        <v>148</v>
      </c>
      <c r="J4638" s="38">
        <v>8181360</v>
      </c>
      <c r="K4638" s="85">
        <v>2024</v>
      </c>
      <c r="L4638" s="85">
        <v>2</v>
      </c>
      <c r="N4638" s="1" t="s">
        <v>44</v>
      </c>
    </row>
    <row r="4639" spans="1:14">
      <c r="A4639" s="36" t="s">
        <v>32</v>
      </c>
      <c r="B4639" s="37">
        <v>45414</v>
      </c>
      <c r="C4639" s="36" t="s">
        <v>1198</v>
      </c>
      <c r="D4639" s="36" t="s">
        <v>2027</v>
      </c>
      <c r="E4639" s="36" t="s">
        <v>148</v>
      </c>
      <c r="J4639" s="87">
        <v>10505220</v>
      </c>
      <c r="K4639" s="85">
        <v>2024</v>
      </c>
      <c r="L4639" s="85">
        <v>3</v>
      </c>
      <c r="N4639" s="1" t="s">
        <v>44</v>
      </c>
    </row>
    <row r="4640" spans="1:14">
      <c r="A4640" s="36" t="s">
        <v>32</v>
      </c>
      <c r="B4640" s="37">
        <v>45414</v>
      </c>
      <c r="C4640" s="36" t="s">
        <v>174</v>
      </c>
      <c r="D4640" s="36" t="s">
        <v>2025</v>
      </c>
      <c r="E4640" s="36" t="s">
        <v>148</v>
      </c>
      <c r="J4640" s="87">
        <v>11246400</v>
      </c>
      <c r="K4640" s="85">
        <v>2024</v>
      </c>
      <c r="L4640" s="85">
        <v>2</v>
      </c>
      <c r="N4640" s="1" t="s">
        <v>44</v>
      </c>
    </row>
    <row r="4641" spans="1:14">
      <c r="A4641" s="36" t="s">
        <v>32</v>
      </c>
      <c r="B4641" s="37">
        <v>45414</v>
      </c>
      <c r="C4641" s="36" t="s">
        <v>174</v>
      </c>
      <c r="D4641" s="36" t="s">
        <v>2026</v>
      </c>
      <c r="E4641" s="36" t="s">
        <v>148</v>
      </c>
      <c r="J4641" s="87">
        <v>38500000</v>
      </c>
      <c r="K4641" s="85">
        <v>2024</v>
      </c>
      <c r="L4641" s="85">
        <v>2</v>
      </c>
      <c r="N4641" s="1" t="s">
        <v>44</v>
      </c>
    </row>
    <row r="4642" spans="1:14">
      <c r="A4642" s="36" t="s">
        <v>32</v>
      </c>
      <c r="B4642" s="37">
        <v>45415</v>
      </c>
      <c r="C4642" s="36" t="s">
        <v>2059</v>
      </c>
      <c r="D4642" s="36" t="s">
        <v>1938</v>
      </c>
      <c r="E4642" s="36" t="s">
        <v>148</v>
      </c>
      <c r="J4642" s="87">
        <v>1320000</v>
      </c>
      <c r="K4642" s="85">
        <v>2024</v>
      </c>
      <c r="L4642" s="85">
        <v>3</v>
      </c>
      <c r="N4642" s="1" t="s">
        <v>44</v>
      </c>
    </row>
    <row r="4643" spans="1:14">
      <c r="A4643" s="36" t="s">
        <v>33</v>
      </c>
      <c r="B4643" s="37">
        <v>45412</v>
      </c>
      <c r="C4643" s="36" t="s">
        <v>1467</v>
      </c>
      <c r="D4643" s="36" t="s">
        <v>1431</v>
      </c>
      <c r="E4643" s="36" t="s">
        <v>148</v>
      </c>
      <c r="J4643" s="87">
        <v>9115150</v>
      </c>
      <c r="K4643" s="85">
        <v>2024</v>
      </c>
      <c r="L4643" s="85">
        <v>2</v>
      </c>
      <c r="N4643" s="1" t="s">
        <v>44</v>
      </c>
    </row>
    <row r="4644" spans="1:14">
      <c r="A4644" s="36" t="s">
        <v>33</v>
      </c>
      <c r="B4644" s="37">
        <v>45412</v>
      </c>
      <c r="C4644" s="36" t="s">
        <v>1569</v>
      </c>
      <c r="D4644" s="36" t="s">
        <v>1412</v>
      </c>
      <c r="E4644" s="36" t="s">
        <v>148</v>
      </c>
      <c r="J4644" s="87">
        <v>17145370</v>
      </c>
      <c r="K4644" s="85">
        <v>2024</v>
      </c>
      <c r="L4644" s="85">
        <v>2</v>
      </c>
      <c r="N4644" s="1" t="s">
        <v>44</v>
      </c>
    </row>
    <row r="4645" spans="1:14">
      <c r="A4645" s="36" t="s">
        <v>33</v>
      </c>
      <c r="B4645" s="37">
        <v>45412</v>
      </c>
      <c r="C4645" s="36" t="s">
        <v>1391</v>
      </c>
      <c r="D4645" s="36" t="s">
        <v>197</v>
      </c>
      <c r="E4645" s="36" t="s">
        <v>148</v>
      </c>
      <c r="J4645" s="87">
        <v>30294000</v>
      </c>
      <c r="K4645" s="85">
        <v>2024</v>
      </c>
      <c r="L4645" s="85">
        <v>2</v>
      </c>
      <c r="N4645" s="1" t="s">
        <v>44</v>
      </c>
    </row>
    <row r="4646" spans="1:14">
      <c r="A4646" s="36" t="s">
        <v>33</v>
      </c>
      <c r="B4646" s="37">
        <v>45412</v>
      </c>
      <c r="C4646" s="36" t="s">
        <v>1391</v>
      </c>
      <c r="D4646" s="36" t="s">
        <v>1227</v>
      </c>
      <c r="E4646" s="36" t="s">
        <v>148</v>
      </c>
      <c r="J4646" s="87">
        <v>2211000</v>
      </c>
      <c r="K4646" s="85">
        <v>2024</v>
      </c>
      <c r="L4646" s="85">
        <v>2</v>
      </c>
      <c r="N4646" s="1" t="s">
        <v>44</v>
      </c>
    </row>
    <row r="4647" spans="1:14">
      <c r="A4647" s="36" t="s">
        <v>33</v>
      </c>
      <c r="B4647" s="37">
        <v>45412</v>
      </c>
      <c r="C4647" s="36" t="s">
        <v>1848</v>
      </c>
      <c r="D4647" s="36" t="s">
        <v>1849</v>
      </c>
      <c r="E4647" s="36" t="s">
        <v>148</v>
      </c>
      <c r="J4647" s="87">
        <v>880000</v>
      </c>
      <c r="K4647" s="85">
        <v>2024</v>
      </c>
      <c r="L4647" s="85">
        <v>3</v>
      </c>
      <c r="N4647" s="1" t="s">
        <v>44</v>
      </c>
    </row>
    <row r="4648" spans="1:14">
      <c r="A4648" s="36" t="s">
        <v>33</v>
      </c>
      <c r="B4648" s="37">
        <v>45412</v>
      </c>
      <c r="C4648" s="36" t="s">
        <v>1914</v>
      </c>
      <c r="D4648" s="36" t="s">
        <v>1915</v>
      </c>
      <c r="E4648" s="36" t="s">
        <v>148</v>
      </c>
      <c r="J4648" s="87">
        <v>462000</v>
      </c>
      <c r="K4648" s="85">
        <v>2024</v>
      </c>
      <c r="L4648" s="85">
        <v>3</v>
      </c>
      <c r="N4648" s="1" t="s">
        <v>44</v>
      </c>
    </row>
    <row r="4649" spans="1:14">
      <c r="A4649" s="36" t="s">
        <v>33</v>
      </c>
      <c r="B4649" s="37">
        <v>45412</v>
      </c>
      <c r="C4649" s="36" t="s">
        <v>1920</v>
      </c>
      <c r="D4649" s="36" t="s">
        <v>1993</v>
      </c>
      <c r="E4649" s="36" t="s">
        <v>148</v>
      </c>
      <c r="J4649" s="87">
        <v>308000</v>
      </c>
      <c r="K4649" s="85">
        <v>2024</v>
      </c>
      <c r="L4649" s="85">
        <v>3</v>
      </c>
      <c r="N4649" s="1" t="s">
        <v>44</v>
      </c>
    </row>
    <row r="4650" spans="1:14">
      <c r="A4650" s="36" t="s">
        <v>33</v>
      </c>
      <c r="B4650" s="37">
        <v>45412</v>
      </c>
      <c r="C4650" s="36" t="s">
        <v>2009</v>
      </c>
      <c r="D4650" s="36" t="s">
        <v>197</v>
      </c>
      <c r="E4650" s="36" t="s">
        <v>148</v>
      </c>
      <c r="J4650" s="87">
        <v>3118500</v>
      </c>
      <c r="K4650" s="85">
        <v>2024</v>
      </c>
      <c r="L4650" s="85">
        <v>3</v>
      </c>
      <c r="N4650" s="1" t="s">
        <v>44</v>
      </c>
    </row>
    <row r="4651" spans="1:14">
      <c r="A4651" s="36" t="s">
        <v>33</v>
      </c>
      <c r="B4651" s="37">
        <v>45412</v>
      </c>
      <c r="C4651" s="36" t="s">
        <v>1925</v>
      </c>
      <c r="D4651" s="36" t="s">
        <v>1921</v>
      </c>
      <c r="E4651" s="36" t="s">
        <v>148</v>
      </c>
      <c r="J4651" s="87">
        <v>2112000</v>
      </c>
      <c r="K4651" s="85">
        <v>2024</v>
      </c>
      <c r="L4651" s="85">
        <v>3</v>
      </c>
      <c r="N4651" s="1" t="s">
        <v>44</v>
      </c>
    </row>
    <row r="4652" spans="1:14">
      <c r="A4652" s="36" t="s">
        <v>33</v>
      </c>
      <c r="B4652" s="37">
        <v>45412</v>
      </c>
      <c r="C4652" s="36" t="s">
        <v>2050</v>
      </c>
      <c r="D4652" s="36" t="s">
        <v>1423</v>
      </c>
      <c r="E4652" s="36" t="s">
        <v>148</v>
      </c>
      <c r="J4652" s="87">
        <v>1022000.1</v>
      </c>
      <c r="K4652" s="85">
        <v>2024</v>
      </c>
      <c r="L4652" s="85">
        <v>3</v>
      </c>
      <c r="N4652" s="1" t="s">
        <v>44</v>
      </c>
    </row>
    <row r="4653" spans="1:14">
      <c r="A4653" s="36" t="s">
        <v>33</v>
      </c>
      <c r="B4653" s="37">
        <v>45412</v>
      </c>
      <c r="C4653" s="36" t="s">
        <v>1919</v>
      </c>
      <c r="D4653" s="36" t="s">
        <v>1754</v>
      </c>
      <c r="E4653" s="36" t="s">
        <v>148</v>
      </c>
      <c r="J4653" s="87">
        <v>7491000</v>
      </c>
      <c r="K4653" s="85">
        <v>2024</v>
      </c>
      <c r="L4653" s="85">
        <v>3</v>
      </c>
      <c r="N4653" s="1" t="s">
        <v>44</v>
      </c>
    </row>
    <row r="4654" spans="1:14">
      <c r="A4654" s="36" t="s">
        <v>33</v>
      </c>
      <c r="B4654" s="37">
        <v>45412</v>
      </c>
      <c r="C4654" s="36" t="s">
        <v>96</v>
      </c>
      <c r="D4654" s="36" t="s">
        <v>1227</v>
      </c>
      <c r="E4654" s="36" t="s">
        <v>148</v>
      </c>
      <c r="J4654" s="87">
        <v>726000</v>
      </c>
      <c r="K4654" s="85">
        <v>2024</v>
      </c>
      <c r="L4654" s="85">
        <v>3</v>
      </c>
      <c r="N4654" s="1" t="s">
        <v>44</v>
      </c>
    </row>
    <row r="4655" spans="1:14">
      <c r="A4655" s="36" t="s">
        <v>33</v>
      </c>
      <c r="B4655" s="37">
        <v>45412</v>
      </c>
      <c r="C4655" s="36" t="s">
        <v>96</v>
      </c>
      <c r="D4655" s="36" t="s">
        <v>197</v>
      </c>
      <c r="E4655" s="36" t="s">
        <v>148</v>
      </c>
      <c r="J4655" s="87">
        <v>1199000</v>
      </c>
      <c r="K4655" s="85">
        <v>2024</v>
      </c>
      <c r="L4655" s="85">
        <v>3</v>
      </c>
      <c r="N4655" s="1" t="s">
        <v>44</v>
      </c>
    </row>
    <row r="4656" spans="1:14">
      <c r="A4656" s="36" t="s">
        <v>33</v>
      </c>
      <c r="B4656" s="37">
        <v>45412</v>
      </c>
      <c r="C4656" s="36" t="s">
        <v>1779</v>
      </c>
      <c r="D4656" s="36" t="s">
        <v>197</v>
      </c>
      <c r="E4656" s="36" t="s">
        <v>148</v>
      </c>
      <c r="J4656" s="87">
        <v>1980000</v>
      </c>
      <c r="K4656" s="85">
        <v>2024</v>
      </c>
      <c r="L4656" s="85">
        <v>4</v>
      </c>
      <c r="N4656" s="1" t="s">
        <v>44</v>
      </c>
    </row>
    <row r="4657" spans="1:14">
      <c r="A4657" s="36" t="s">
        <v>33</v>
      </c>
      <c r="B4657" s="37">
        <v>45412</v>
      </c>
      <c r="C4657" s="36" t="s">
        <v>2109</v>
      </c>
      <c r="D4657" s="36" t="s">
        <v>1915</v>
      </c>
      <c r="E4657" s="36" t="s">
        <v>2110</v>
      </c>
      <c r="G4657" s="87">
        <v>2429000</v>
      </c>
      <c r="H4657" s="87">
        <v>242900</v>
      </c>
      <c r="I4657" s="87">
        <v>2671900</v>
      </c>
      <c r="K4657" s="85">
        <v>2024</v>
      </c>
      <c r="L4657" s="85">
        <v>4</v>
      </c>
      <c r="N4657" s="1" t="s">
        <v>44</v>
      </c>
    </row>
    <row r="4658" spans="1:14">
      <c r="A4658" s="36" t="s">
        <v>33</v>
      </c>
      <c r="B4658" s="37">
        <v>45412</v>
      </c>
      <c r="C4658" s="36" t="s">
        <v>1914</v>
      </c>
      <c r="D4658" s="36" t="s">
        <v>1915</v>
      </c>
      <c r="E4658" s="36" t="s">
        <v>165</v>
      </c>
      <c r="G4658" s="87">
        <v>840000</v>
      </c>
      <c r="H4658" s="87">
        <v>84000</v>
      </c>
      <c r="I4658" s="87">
        <v>924000</v>
      </c>
      <c r="K4658" s="85">
        <v>2024</v>
      </c>
      <c r="L4658" s="85">
        <v>4</v>
      </c>
      <c r="N4658" s="1" t="s">
        <v>44</v>
      </c>
    </row>
    <row r="4659" spans="1:14">
      <c r="A4659" s="36" t="s">
        <v>33</v>
      </c>
      <c r="B4659" s="37">
        <v>45419</v>
      </c>
      <c r="C4659" s="36" t="s">
        <v>1218</v>
      </c>
      <c r="D4659" s="36" t="s">
        <v>1929</v>
      </c>
      <c r="E4659" s="36" t="s">
        <v>77</v>
      </c>
      <c r="J4659" s="87">
        <v>7322700</v>
      </c>
      <c r="K4659" s="85">
        <v>2024</v>
      </c>
      <c r="L4659" s="85">
        <v>4</v>
      </c>
      <c r="N4659" s="1" t="s">
        <v>44</v>
      </c>
    </row>
    <row r="4660" spans="1:14">
      <c r="A4660" s="36" t="s">
        <v>32</v>
      </c>
      <c r="B4660" s="37">
        <v>45415</v>
      </c>
      <c r="C4660" s="36" t="s">
        <v>654</v>
      </c>
      <c r="D4660" s="36" t="s">
        <v>1941</v>
      </c>
      <c r="E4660" s="36" t="s">
        <v>148</v>
      </c>
      <c r="J4660" s="87">
        <v>12077428</v>
      </c>
      <c r="K4660" s="85">
        <v>2024</v>
      </c>
      <c r="L4660" s="85">
        <v>3</v>
      </c>
      <c r="N4660" s="1" t="s">
        <v>44</v>
      </c>
    </row>
    <row r="4661" spans="1:14">
      <c r="A4661" s="36" t="s">
        <v>32</v>
      </c>
      <c r="B4661" s="37">
        <v>45415</v>
      </c>
      <c r="C4661" s="36" t="s">
        <v>209</v>
      </c>
      <c r="D4661" s="36" t="s">
        <v>2024</v>
      </c>
      <c r="E4661" s="36" t="s">
        <v>148</v>
      </c>
      <c r="J4661" s="38">
        <v>36636695</v>
      </c>
      <c r="K4661" s="85">
        <v>2024</v>
      </c>
      <c r="L4661" s="85">
        <v>3</v>
      </c>
      <c r="M4661" s="36" t="s">
        <v>2111</v>
      </c>
      <c r="N4661" s="1" t="s">
        <v>44</v>
      </c>
    </row>
    <row r="4662" spans="1:14">
      <c r="A4662" s="36" t="s">
        <v>32</v>
      </c>
      <c r="B4662" s="37">
        <v>45415</v>
      </c>
      <c r="C4662" s="36" t="s">
        <v>209</v>
      </c>
      <c r="D4662" s="36" t="s">
        <v>2103</v>
      </c>
      <c r="E4662" s="36" t="s">
        <v>148</v>
      </c>
      <c r="J4662" s="87">
        <v>19245160</v>
      </c>
      <c r="K4662" s="85">
        <v>2024</v>
      </c>
      <c r="L4662" s="85">
        <v>3</v>
      </c>
      <c r="M4662" s="36" t="s">
        <v>2111</v>
      </c>
      <c r="N4662" s="1" t="s">
        <v>44</v>
      </c>
    </row>
    <row r="4663" spans="1:14">
      <c r="A4663" s="36" t="s">
        <v>32</v>
      </c>
      <c r="B4663" s="37">
        <v>45415</v>
      </c>
      <c r="C4663" s="36" t="s">
        <v>209</v>
      </c>
      <c r="D4663" s="36" t="s">
        <v>1892</v>
      </c>
      <c r="E4663" s="36" t="s">
        <v>148</v>
      </c>
      <c r="J4663" s="38">
        <v>47767998</v>
      </c>
      <c r="K4663" s="85">
        <v>2024</v>
      </c>
      <c r="L4663" s="85">
        <v>3</v>
      </c>
      <c r="M4663" s="36" t="s">
        <v>2111</v>
      </c>
      <c r="N4663" s="1" t="s">
        <v>44</v>
      </c>
    </row>
    <row r="4664" spans="1:14">
      <c r="A4664" s="36" t="s">
        <v>33</v>
      </c>
      <c r="B4664" s="37">
        <v>45412</v>
      </c>
      <c r="C4664" s="36" t="s">
        <v>590</v>
      </c>
      <c r="D4664" s="36" t="s">
        <v>2016</v>
      </c>
      <c r="E4664" s="36" t="s">
        <v>148</v>
      </c>
      <c r="J4664" s="87">
        <v>13156000</v>
      </c>
      <c r="K4664" s="85">
        <v>2024</v>
      </c>
      <c r="L4664" s="85">
        <v>3</v>
      </c>
      <c r="M4664" s="36" t="s">
        <v>2054</v>
      </c>
      <c r="N4664" s="1" t="s">
        <v>44</v>
      </c>
    </row>
    <row r="4665" spans="1:14">
      <c r="A4665" s="36" t="s">
        <v>32</v>
      </c>
      <c r="B4665" s="37">
        <v>45419</v>
      </c>
      <c r="C4665" s="36" t="s">
        <v>667</v>
      </c>
      <c r="D4665" s="36" t="s">
        <v>1818</v>
      </c>
      <c r="E4665" s="36" t="s">
        <v>148</v>
      </c>
      <c r="J4665" s="87">
        <v>7656880</v>
      </c>
      <c r="K4665" s="85">
        <v>2023</v>
      </c>
      <c r="L4665" s="85">
        <v>12</v>
      </c>
      <c r="N4665" s="1" t="s">
        <v>44</v>
      </c>
    </row>
    <row r="4666" spans="1:14">
      <c r="A4666" s="36" t="s">
        <v>33</v>
      </c>
      <c r="B4666" s="37">
        <v>45412</v>
      </c>
      <c r="C4666" s="36" t="s">
        <v>96</v>
      </c>
      <c r="D4666" s="36" t="s">
        <v>2114</v>
      </c>
      <c r="E4666" s="36" t="s">
        <v>97</v>
      </c>
      <c r="G4666" s="87">
        <v>1930000</v>
      </c>
      <c r="H4666" s="87">
        <v>193000</v>
      </c>
      <c r="I4666" s="87">
        <v>2123000</v>
      </c>
      <c r="K4666" s="85">
        <v>2024</v>
      </c>
      <c r="L4666" s="85">
        <v>4</v>
      </c>
      <c r="N4666" s="1" t="s">
        <v>44</v>
      </c>
    </row>
    <row r="4667" spans="1:14">
      <c r="A4667" s="36" t="s">
        <v>33</v>
      </c>
      <c r="B4667" s="37">
        <v>45412</v>
      </c>
      <c r="C4667" s="36" t="s">
        <v>1467</v>
      </c>
      <c r="D4667" s="36" t="s">
        <v>1431</v>
      </c>
      <c r="E4667" s="36" t="s">
        <v>102</v>
      </c>
      <c r="G4667" s="87">
        <v>11182800</v>
      </c>
      <c r="H4667" s="87">
        <v>1118280</v>
      </c>
      <c r="I4667" s="87">
        <v>12301080</v>
      </c>
      <c r="K4667" s="85">
        <v>2024</v>
      </c>
      <c r="L4667" s="85">
        <v>4</v>
      </c>
      <c r="N4667" s="1" t="s">
        <v>44</v>
      </c>
    </row>
    <row r="4668" spans="1:14">
      <c r="A4668" s="36" t="s">
        <v>33</v>
      </c>
      <c r="B4668" s="37">
        <v>45412</v>
      </c>
      <c r="C4668" s="36" t="s">
        <v>1467</v>
      </c>
      <c r="D4668" s="36" t="s">
        <v>2013</v>
      </c>
      <c r="E4668" s="36" t="s">
        <v>102</v>
      </c>
      <c r="G4668" s="87">
        <v>4695600</v>
      </c>
      <c r="H4668" s="87">
        <v>469560</v>
      </c>
      <c r="I4668" s="87">
        <v>5165160</v>
      </c>
      <c r="K4668" s="85">
        <v>2024</v>
      </c>
      <c r="L4668" s="85">
        <v>4</v>
      </c>
      <c r="N4668" s="1" t="s">
        <v>44</v>
      </c>
    </row>
    <row r="4669" spans="1:14">
      <c r="A4669" s="36" t="s">
        <v>33</v>
      </c>
      <c r="B4669" s="37">
        <v>45412</v>
      </c>
      <c r="C4669" s="36" t="s">
        <v>1919</v>
      </c>
      <c r="D4669" s="36" t="s">
        <v>1754</v>
      </c>
      <c r="E4669" s="36" t="s">
        <v>2115</v>
      </c>
      <c r="G4669" s="87">
        <v>7416000</v>
      </c>
      <c r="H4669" s="87">
        <v>741600</v>
      </c>
      <c r="I4669" s="87">
        <v>8157600</v>
      </c>
      <c r="K4669" s="85">
        <v>2024</v>
      </c>
      <c r="L4669" s="85">
        <v>4</v>
      </c>
      <c r="N4669" s="1" t="s">
        <v>44</v>
      </c>
    </row>
    <row r="4670" spans="1:14">
      <c r="A4670" s="36" t="s">
        <v>33</v>
      </c>
      <c r="B4670" s="37">
        <v>45412</v>
      </c>
      <c r="C4670" s="36" t="s">
        <v>2116</v>
      </c>
      <c r="D4670" s="36" t="s">
        <v>2117</v>
      </c>
      <c r="E4670" s="36" t="s">
        <v>2118</v>
      </c>
      <c r="G4670" s="87">
        <v>133000</v>
      </c>
      <c r="H4670" s="87">
        <v>13300</v>
      </c>
      <c r="I4670" s="87">
        <v>146300</v>
      </c>
      <c r="K4670" s="85">
        <v>2024</v>
      </c>
      <c r="L4670" s="85">
        <v>4</v>
      </c>
      <c r="N4670" s="1" t="s">
        <v>44</v>
      </c>
    </row>
    <row r="4671" spans="1:14">
      <c r="A4671" s="36" t="s">
        <v>33</v>
      </c>
      <c r="B4671" s="37">
        <v>45412</v>
      </c>
      <c r="C4671" s="36" t="s">
        <v>2050</v>
      </c>
      <c r="D4671" s="36" t="s">
        <v>1423</v>
      </c>
      <c r="E4671" s="36" t="s">
        <v>472</v>
      </c>
      <c r="G4671" s="87">
        <v>2690909</v>
      </c>
      <c r="H4671" s="87">
        <v>269090.90000000002</v>
      </c>
      <c r="I4671" s="87">
        <v>2959999.9</v>
      </c>
      <c r="K4671" s="85">
        <v>2024</v>
      </c>
      <c r="L4671" s="85">
        <v>4</v>
      </c>
      <c r="N4671" s="1" t="s">
        <v>44</v>
      </c>
    </row>
    <row r="4672" spans="1:14">
      <c r="A4672" s="36" t="s">
        <v>33</v>
      </c>
      <c r="B4672" s="37">
        <v>45412</v>
      </c>
      <c r="C4672" s="36" t="s">
        <v>2009</v>
      </c>
      <c r="D4672" s="36" t="s">
        <v>197</v>
      </c>
      <c r="E4672" s="36" t="s">
        <v>2119</v>
      </c>
      <c r="G4672" s="87">
        <v>1246000</v>
      </c>
      <c r="H4672" s="87">
        <v>124600</v>
      </c>
      <c r="I4672" s="87">
        <v>1370600</v>
      </c>
      <c r="K4672" s="85">
        <v>2024</v>
      </c>
      <c r="L4672" s="85">
        <v>4</v>
      </c>
      <c r="N4672" s="1" t="s">
        <v>44</v>
      </c>
    </row>
    <row r="4673" spans="1:14">
      <c r="A4673" s="36" t="s">
        <v>33</v>
      </c>
      <c r="B4673" s="37">
        <v>45415</v>
      </c>
      <c r="C4673" s="36" t="s">
        <v>2039</v>
      </c>
      <c r="D4673" s="36" t="s">
        <v>2037</v>
      </c>
      <c r="E4673" s="36" t="s">
        <v>157</v>
      </c>
      <c r="G4673" s="87">
        <v>70000</v>
      </c>
      <c r="H4673" s="87">
        <v>7000</v>
      </c>
      <c r="I4673" s="87">
        <v>77000</v>
      </c>
      <c r="K4673" s="85">
        <v>2024</v>
      </c>
      <c r="L4673" s="85">
        <v>5</v>
      </c>
      <c r="N4673" s="1" t="s">
        <v>44</v>
      </c>
    </row>
    <row r="4674" spans="1:14">
      <c r="A4674" s="36" t="s">
        <v>33</v>
      </c>
      <c r="B4674" s="37">
        <v>45412</v>
      </c>
      <c r="C4674" s="36" t="s">
        <v>1720</v>
      </c>
      <c r="D4674" s="36" t="s">
        <v>2121</v>
      </c>
      <c r="E4674" s="36" t="s">
        <v>2120</v>
      </c>
      <c r="G4674" s="87">
        <v>12008450</v>
      </c>
      <c r="H4674" s="87">
        <v>1200845</v>
      </c>
      <c r="I4674" s="87">
        <v>13209295</v>
      </c>
      <c r="K4674" s="85">
        <v>2024</v>
      </c>
      <c r="L4674" s="85">
        <v>4</v>
      </c>
      <c r="N4674" s="1" t="s">
        <v>44</v>
      </c>
    </row>
    <row r="4675" spans="1:14">
      <c r="A4675" s="36" t="s">
        <v>32</v>
      </c>
      <c r="B4675" s="37">
        <v>45420</v>
      </c>
      <c r="C4675" s="36" t="s">
        <v>288</v>
      </c>
      <c r="D4675" s="36" t="s">
        <v>1414</v>
      </c>
      <c r="E4675" s="36" t="s">
        <v>148</v>
      </c>
      <c r="J4675" s="87">
        <v>8915940</v>
      </c>
      <c r="K4675" s="85">
        <v>2024</v>
      </c>
      <c r="L4675" s="85">
        <v>3</v>
      </c>
      <c r="N4675" s="1" t="s">
        <v>44</v>
      </c>
    </row>
    <row r="4676" spans="1:14">
      <c r="A4676" s="36" t="s">
        <v>33</v>
      </c>
      <c r="B4676" s="37">
        <v>45421</v>
      </c>
      <c r="C4676" s="36" t="s">
        <v>2039</v>
      </c>
      <c r="D4676" s="36" t="s">
        <v>2037</v>
      </c>
      <c r="E4676" s="36" t="s">
        <v>148</v>
      </c>
      <c r="J4676" s="87">
        <v>77000</v>
      </c>
      <c r="K4676" s="85">
        <v>2024</v>
      </c>
      <c r="L4676" s="85">
        <v>5</v>
      </c>
      <c r="N4676" s="1" t="s">
        <v>44</v>
      </c>
    </row>
    <row r="4677" spans="1:14">
      <c r="A4677" s="36" t="s">
        <v>33</v>
      </c>
      <c r="B4677" s="37">
        <v>45412</v>
      </c>
      <c r="C4677" s="36" t="s">
        <v>2122</v>
      </c>
      <c r="D4677" s="36" t="s">
        <v>1921</v>
      </c>
      <c r="E4677" s="36" t="s">
        <v>2123</v>
      </c>
      <c r="G4677" s="87">
        <v>2380000</v>
      </c>
      <c r="H4677" s="87">
        <v>238000</v>
      </c>
      <c r="I4677" s="87">
        <v>2618000</v>
      </c>
      <c r="K4677" s="85">
        <v>2024</v>
      </c>
      <c r="L4677" s="85">
        <v>4</v>
      </c>
      <c r="N4677" s="1" t="s">
        <v>44</v>
      </c>
    </row>
    <row r="4678" spans="1:14">
      <c r="A4678" s="36" t="s">
        <v>33</v>
      </c>
      <c r="B4678" s="37">
        <v>45412</v>
      </c>
      <c r="C4678" s="36" t="s">
        <v>2124</v>
      </c>
      <c r="D4678" s="36" t="s">
        <v>790</v>
      </c>
      <c r="E4678" s="36" t="s">
        <v>76</v>
      </c>
      <c r="G4678" s="87">
        <v>17480000</v>
      </c>
      <c r="H4678" s="87">
        <v>1748000</v>
      </c>
      <c r="I4678" s="87">
        <v>19228000</v>
      </c>
      <c r="K4678" s="85">
        <v>2024</v>
      </c>
      <c r="L4678" s="85">
        <v>4</v>
      </c>
      <c r="N4678" s="1" t="s">
        <v>44</v>
      </c>
    </row>
    <row r="4679" spans="1:14">
      <c r="A4679" s="36" t="s">
        <v>33</v>
      </c>
      <c r="B4679" s="37">
        <v>45412</v>
      </c>
      <c r="C4679" s="36" t="s">
        <v>1467</v>
      </c>
      <c r="D4679" s="36" t="s">
        <v>1921</v>
      </c>
      <c r="E4679" s="36" t="s">
        <v>1232</v>
      </c>
      <c r="G4679" s="87">
        <v>180000</v>
      </c>
      <c r="H4679" s="87">
        <v>18000</v>
      </c>
      <c r="I4679" s="87">
        <v>198000</v>
      </c>
      <c r="K4679" s="85">
        <v>2024</v>
      </c>
      <c r="L4679" s="85">
        <v>4</v>
      </c>
      <c r="N4679" s="1" t="s">
        <v>44</v>
      </c>
    </row>
    <row r="4680" spans="1:14">
      <c r="A4680" s="36" t="s">
        <v>33</v>
      </c>
      <c r="B4680" s="37">
        <v>45412</v>
      </c>
      <c r="C4680" s="36" t="s">
        <v>1569</v>
      </c>
      <c r="D4680" s="36" t="s">
        <v>1412</v>
      </c>
      <c r="E4680" s="36" t="s">
        <v>102</v>
      </c>
      <c r="G4680" s="87">
        <v>2545000</v>
      </c>
      <c r="H4680" s="87">
        <v>254500</v>
      </c>
      <c r="I4680" s="87">
        <v>2799500</v>
      </c>
      <c r="K4680" s="85">
        <v>2024</v>
      </c>
      <c r="L4680" s="85">
        <v>4</v>
      </c>
      <c r="N4680" s="1" t="s">
        <v>44</v>
      </c>
    </row>
    <row r="4681" spans="1:14">
      <c r="A4681" s="36" t="s">
        <v>33</v>
      </c>
      <c r="B4681" s="37">
        <v>45412</v>
      </c>
      <c r="C4681" s="36" t="s">
        <v>1779</v>
      </c>
      <c r="D4681" s="36" t="s">
        <v>197</v>
      </c>
      <c r="E4681" s="36" t="s">
        <v>2125</v>
      </c>
      <c r="G4681" s="87">
        <v>1850000</v>
      </c>
      <c r="H4681" s="87">
        <v>185000</v>
      </c>
      <c r="I4681" s="87">
        <v>2035000</v>
      </c>
      <c r="K4681" s="85">
        <v>2024</v>
      </c>
      <c r="L4681" s="85">
        <v>4</v>
      </c>
      <c r="N4681" s="1" t="s">
        <v>44</v>
      </c>
    </row>
    <row r="4682" spans="1:14">
      <c r="A4682" s="36" t="s">
        <v>33</v>
      </c>
      <c r="B4682" s="37">
        <v>45412</v>
      </c>
      <c r="C4682" s="36" t="s">
        <v>2006</v>
      </c>
      <c r="D4682" s="36" t="s">
        <v>2146</v>
      </c>
      <c r="E4682" s="36" t="s">
        <v>1394</v>
      </c>
      <c r="G4682" s="87">
        <v>8846000</v>
      </c>
      <c r="H4682" s="87">
        <v>884600</v>
      </c>
      <c r="I4682" s="87">
        <v>9730600</v>
      </c>
      <c r="K4682" s="85">
        <v>2024</v>
      </c>
      <c r="L4682" s="85">
        <v>4</v>
      </c>
      <c r="N4682" s="1" t="s">
        <v>44</v>
      </c>
    </row>
    <row r="4683" spans="1:14">
      <c r="A4683" s="36" t="s">
        <v>33</v>
      </c>
      <c r="B4683" s="37">
        <v>45412</v>
      </c>
      <c r="C4683" s="36" t="s">
        <v>1218</v>
      </c>
      <c r="D4683" s="36" t="s">
        <v>1921</v>
      </c>
      <c r="E4683" s="36" t="s">
        <v>102</v>
      </c>
      <c r="G4683" s="87">
        <v>6124800</v>
      </c>
      <c r="H4683" s="87">
        <v>612480</v>
      </c>
      <c r="I4683" s="87">
        <v>6737280</v>
      </c>
      <c r="K4683" s="85">
        <v>2024</v>
      </c>
      <c r="L4683" s="85">
        <v>4</v>
      </c>
      <c r="N4683" s="1" t="s">
        <v>44</v>
      </c>
    </row>
    <row r="4684" spans="1:14">
      <c r="A4684" s="36" t="s">
        <v>33</v>
      </c>
      <c r="B4684" s="37">
        <v>45412</v>
      </c>
      <c r="C4684" s="36" t="s">
        <v>664</v>
      </c>
      <c r="D4684" s="36" t="s">
        <v>2126</v>
      </c>
      <c r="E4684" s="36" t="s">
        <v>1232</v>
      </c>
      <c r="G4684" s="87">
        <v>1008612</v>
      </c>
      <c r="H4684" s="87">
        <v>100861.20000000001</v>
      </c>
      <c r="I4684" s="87">
        <v>1109473.2</v>
      </c>
      <c r="K4684" s="85">
        <v>2024</v>
      </c>
      <c r="L4684" s="85">
        <v>4</v>
      </c>
      <c r="N4684" s="1" t="s">
        <v>44</v>
      </c>
    </row>
    <row r="4685" spans="1:14">
      <c r="A4685" s="36" t="s">
        <v>33</v>
      </c>
      <c r="B4685" s="37">
        <v>45412</v>
      </c>
      <c r="C4685" s="36" t="s">
        <v>119</v>
      </c>
      <c r="D4685" s="36" t="s">
        <v>2012</v>
      </c>
      <c r="E4685" s="36" t="s">
        <v>267</v>
      </c>
      <c r="G4685" s="87">
        <v>88533880</v>
      </c>
      <c r="H4685" s="87">
        <v>8853388</v>
      </c>
      <c r="I4685" s="87">
        <v>97387268</v>
      </c>
      <c r="K4685" s="85">
        <v>2024</v>
      </c>
      <c r="L4685" s="85">
        <v>4</v>
      </c>
      <c r="N4685" s="1" t="s">
        <v>44</v>
      </c>
    </row>
    <row r="4686" spans="1:14">
      <c r="A4686" s="36" t="s">
        <v>33</v>
      </c>
      <c r="B4686" s="37">
        <v>45422</v>
      </c>
      <c r="C4686" s="36" t="s">
        <v>96</v>
      </c>
      <c r="D4686" s="36" t="s">
        <v>2114</v>
      </c>
      <c r="E4686" s="36" t="s">
        <v>148</v>
      </c>
      <c r="J4686" s="87">
        <v>2123000</v>
      </c>
      <c r="K4686" s="85">
        <v>2024</v>
      </c>
      <c r="L4686" s="85">
        <v>4</v>
      </c>
      <c r="N4686" s="1" t="s">
        <v>44</v>
      </c>
    </row>
    <row r="4687" spans="1:14">
      <c r="A4687" s="36" t="s">
        <v>33</v>
      </c>
      <c r="B4687" s="37">
        <v>45422</v>
      </c>
      <c r="C4687" s="36" t="s">
        <v>2116</v>
      </c>
      <c r="D4687" s="36" t="s">
        <v>2117</v>
      </c>
      <c r="E4687" s="36" t="s">
        <v>148</v>
      </c>
      <c r="J4687" s="87">
        <v>146300</v>
      </c>
      <c r="K4687" s="85">
        <v>2024</v>
      </c>
      <c r="L4687" s="85">
        <v>4</v>
      </c>
      <c r="N4687" s="1" t="s">
        <v>44</v>
      </c>
    </row>
    <row r="4688" spans="1:14">
      <c r="A4688" s="36" t="s">
        <v>33</v>
      </c>
      <c r="B4688" s="37">
        <v>45422</v>
      </c>
      <c r="C4688" s="36" t="s">
        <v>2050</v>
      </c>
      <c r="D4688" s="36" t="s">
        <v>1423</v>
      </c>
      <c r="E4688" s="36" t="s">
        <v>148</v>
      </c>
      <c r="J4688" s="87">
        <v>2959999.9</v>
      </c>
      <c r="K4688" s="85">
        <v>2024</v>
      </c>
      <c r="L4688" s="85">
        <v>4</v>
      </c>
      <c r="N4688" s="1" t="s">
        <v>44</v>
      </c>
    </row>
    <row r="4689" spans="1:14">
      <c r="A4689" s="36" t="s">
        <v>33</v>
      </c>
      <c r="B4689" s="37">
        <v>45422</v>
      </c>
      <c r="C4689" s="36" t="s">
        <v>2009</v>
      </c>
      <c r="D4689" s="36" t="s">
        <v>197</v>
      </c>
      <c r="E4689" s="36" t="s">
        <v>148</v>
      </c>
      <c r="J4689" s="87">
        <v>1370600</v>
      </c>
      <c r="K4689" s="85">
        <v>2024</v>
      </c>
      <c r="L4689" s="85">
        <v>4</v>
      </c>
      <c r="N4689" s="1" t="s">
        <v>44</v>
      </c>
    </row>
    <row r="4690" spans="1:14">
      <c r="A4690" s="36" t="s">
        <v>32</v>
      </c>
      <c r="B4690" s="37">
        <v>45422</v>
      </c>
      <c r="C4690" s="36" t="s">
        <v>654</v>
      </c>
      <c r="D4690" s="36" t="s">
        <v>2074</v>
      </c>
      <c r="E4690" s="36" t="s">
        <v>148</v>
      </c>
      <c r="J4690" s="87">
        <v>4656300</v>
      </c>
      <c r="K4690" s="85">
        <v>2024</v>
      </c>
      <c r="L4690" s="85">
        <v>3</v>
      </c>
      <c r="N4690" s="1" t="s">
        <v>44</v>
      </c>
    </row>
    <row r="4691" spans="1:14">
      <c r="A4691" s="36" t="s">
        <v>32</v>
      </c>
      <c r="B4691" s="37">
        <v>45422</v>
      </c>
      <c r="C4691" s="36" t="s">
        <v>1467</v>
      </c>
      <c r="D4691" s="36" t="s">
        <v>1814</v>
      </c>
      <c r="E4691" s="36" t="s">
        <v>148</v>
      </c>
      <c r="J4691" s="87">
        <v>23914000</v>
      </c>
      <c r="K4691" s="85">
        <v>2024</v>
      </c>
      <c r="L4691" s="85">
        <v>3</v>
      </c>
      <c r="N4691" s="1" t="s">
        <v>44</v>
      </c>
    </row>
    <row r="4692" spans="1:14">
      <c r="A4692" s="36" t="s">
        <v>32</v>
      </c>
      <c r="B4692" s="37">
        <v>45422</v>
      </c>
      <c r="C4692" s="36" t="s">
        <v>1467</v>
      </c>
      <c r="D4692" s="36" t="s">
        <v>1750</v>
      </c>
      <c r="E4692" s="36" t="s">
        <v>148</v>
      </c>
      <c r="J4692" s="87">
        <v>10515890</v>
      </c>
      <c r="K4692" s="85">
        <v>2024</v>
      </c>
      <c r="L4692" s="85">
        <v>3</v>
      </c>
      <c r="N4692" s="1" t="s">
        <v>44</v>
      </c>
    </row>
    <row r="4693" spans="1:14">
      <c r="A4693" s="36" t="s">
        <v>32</v>
      </c>
      <c r="B4693" s="37">
        <v>45397</v>
      </c>
      <c r="C4693" s="36" t="s">
        <v>2127</v>
      </c>
      <c r="D4693" s="36" t="s">
        <v>2130</v>
      </c>
      <c r="E4693" s="36" t="s">
        <v>267</v>
      </c>
      <c r="G4693" s="87">
        <v>5454546</v>
      </c>
      <c r="H4693" s="87">
        <v>545454</v>
      </c>
      <c r="I4693" s="87">
        <v>6000000</v>
      </c>
      <c r="K4693" s="85">
        <v>2024</v>
      </c>
      <c r="L4693" s="85">
        <v>4</v>
      </c>
      <c r="N4693" s="1" t="s">
        <v>44</v>
      </c>
    </row>
    <row r="4694" spans="1:14">
      <c r="A4694" s="36" t="s">
        <v>32</v>
      </c>
      <c r="B4694" s="37">
        <v>45411</v>
      </c>
      <c r="C4694" s="36" t="s">
        <v>654</v>
      </c>
      <c r="D4694" s="36" t="s">
        <v>1941</v>
      </c>
      <c r="E4694" s="36" t="s">
        <v>76</v>
      </c>
      <c r="G4694" s="87">
        <v>22448840</v>
      </c>
      <c r="H4694" s="87">
        <v>2244884</v>
      </c>
      <c r="I4694" s="87">
        <v>24693724</v>
      </c>
      <c r="K4694" s="85">
        <v>2024</v>
      </c>
      <c r="L4694" s="85">
        <v>4</v>
      </c>
      <c r="N4694" s="1" t="s">
        <v>44</v>
      </c>
    </row>
    <row r="4695" spans="1:14">
      <c r="A4695" s="36" t="s">
        <v>32</v>
      </c>
      <c r="B4695" s="37">
        <v>45411</v>
      </c>
      <c r="C4695" s="36" t="s">
        <v>654</v>
      </c>
      <c r="D4695" s="36" t="s">
        <v>2073</v>
      </c>
      <c r="E4695" s="36" t="s">
        <v>76</v>
      </c>
      <c r="G4695" s="87">
        <v>18889200</v>
      </c>
      <c r="H4695" s="87">
        <v>1888920</v>
      </c>
      <c r="I4695" s="87">
        <v>20778120</v>
      </c>
      <c r="K4695" s="85">
        <v>2024</v>
      </c>
      <c r="L4695" s="85">
        <v>4</v>
      </c>
      <c r="N4695" s="1" t="s">
        <v>44</v>
      </c>
    </row>
    <row r="4696" spans="1:14">
      <c r="A4696" s="36" t="s">
        <v>32</v>
      </c>
      <c r="B4696" s="37">
        <v>45412</v>
      </c>
      <c r="C4696" s="36" t="s">
        <v>654</v>
      </c>
      <c r="D4696" s="36" t="s">
        <v>2074</v>
      </c>
      <c r="E4696" s="36" t="s">
        <v>76</v>
      </c>
      <c r="G4696" s="87">
        <v>12433920</v>
      </c>
      <c r="H4696" s="87">
        <v>1243392</v>
      </c>
      <c r="I4696" s="87">
        <v>13677312</v>
      </c>
      <c r="K4696" s="85">
        <v>2024</v>
      </c>
      <c r="L4696" s="85">
        <v>4</v>
      </c>
      <c r="N4696" s="1" t="s">
        <v>44</v>
      </c>
    </row>
    <row r="4697" spans="1:14">
      <c r="A4697" s="36" t="s">
        <v>32</v>
      </c>
      <c r="B4697" s="37">
        <v>45412</v>
      </c>
      <c r="C4697" s="36" t="s">
        <v>654</v>
      </c>
      <c r="D4697" s="36" t="s">
        <v>2158</v>
      </c>
      <c r="E4697" s="36" t="s">
        <v>267</v>
      </c>
      <c r="G4697" s="87">
        <v>38484000</v>
      </c>
      <c r="H4697" s="87">
        <v>3848400</v>
      </c>
      <c r="I4697" s="87">
        <v>42332400</v>
      </c>
      <c r="K4697" s="85">
        <v>2024</v>
      </c>
      <c r="L4697" s="85">
        <v>4</v>
      </c>
      <c r="N4697" s="1" t="s">
        <v>44</v>
      </c>
    </row>
    <row r="4698" spans="1:14">
      <c r="A4698" s="36" t="s">
        <v>32</v>
      </c>
      <c r="B4698" s="37">
        <v>45412</v>
      </c>
      <c r="C4698" s="36" t="s">
        <v>654</v>
      </c>
      <c r="D4698" s="36" t="s">
        <v>2132</v>
      </c>
      <c r="E4698" s="36" t="s">
        <v>76</v>
      </c>
      <c r="G4698" s="87">
        <v>12032100</v>
      </c>
      <c r="H4698" s="87">
        <v>1203210</v>
      </c>
      <c r="I4698" s="87">
        <v>13235310</v>
      </c>
      <c r="K4698" s="85">
        <v>2024</v>
      </c>
      <c r="L4698" s="85">
        <v>4</v>
      </c>
      <c r="N4698" s="1" t="s">
        <v>44</v>
      </c>
    </row>
    <row r="4699" spans="1:14">
      <c r="A4699" s="36" t="s">
        <v>32</v>
      </c>
      <c r="B4699" s="37">
        <v>45412</v>
      </c>
      <c r="C4699" s="36" t="s">
        <v>654</v>
      </c>
      <c r="D4699" s="36" t="s">
        <v>1754</v>
      </c>
      <c r="E4699" s="36" t="s">
        <v>76</v>
      </c>
      <c r="G4699" s="87">
        <v>222913313</v>
      </c>
      <c r="H4699" s="87">
        <v>22291331.300000001</v>
      </c>
      <c r="I4699" s="87">
        <v>245204644.30000001</v>
      </c>
      <c r="K4699" s="85">
        <v>2024</v>
      </c>
      <c r="L4699" s="85">
        <v>4</v>
      </c>
      <c r="N4699" s="1" t="s">
        <v>44</v>
      </c>
    </row>
    <row r="4700" spans="1:14">
      <c r="A4700" s="36" t="s">
        <v>32</v>
      </c>
      <c r="B4700" s="37">
        <v>45412</v>
      </c>
      <c r="C4700" s="36" t="s">
        <v>2128</v>
      </c>
      <c r="D4700" s="36" t="s">
        <v>2133</v>
      </c>
      <c r="E4700" s="36" t="s">
        <v>267</v>
      </c>
      <c r="G4700" s="87">
        <v>7500000</v>
      </c>
      <c r="H4700" s="87">
        <v>750000</v>
      </c>
      <c r="I4700" s="87">
        <v>8250000</v>
      </c>
      <c r="K4700" s="85">
        <v>2024</v>
      </c>
      <c r="L4700" s="85">
        <v>4</v>
      </c>
      <c r="N4700" s="1" t="s">
        <v>44</v>
      </c>
    </row>
    <row r="4701" spans="1:14">
      <c r="A4701" s="36" t="s">
        <v>32</v>
      </c>
      <c r="B4701" s="37">
        <v>45412</v>
      </c>
      <c r="C4701" s="36" t="s">
        <v>209</v>
      </c>
      <c r="D4701" s="36" t="s">
        <v>1699</v>
      </c>
      <c r="E4701" s="36" t="s">
        <v>76</v>
      </c>
      <c r="G4701" s="87">
        <v>20466800</v>
      </c>
      <c r="H4701" s="87">
        <v>2046680</v>
      </c>
      <c r="I4701" s="87">
        <v>22513480</v>
      </c>
      <c r="K4701" s="85">
        <v>2024</v>
      </c>
      <c r="L4701" s="85">
        <v>4</v>
      </c>
      <c r="N4701" s="1" t="s">
        <v>44</v>
      </c>
    </row>
    <row r="4702" spans="1:14">
      <c r="A4702" s="36" t="s">
        <v>32</v>
      </c>
      <c r="B4702" s="37">
        <v>45412</v>
      </c>
      <c r="C4702" s="36" t="s">
        <v>209</v>
      </c>
      <c r="D4702" s="36" t="s">
        <v>1885</v>
      </c>
      <c r="E4702" s="36" t="s">
        <v>102</v>
      </c>
      <c r="G4702" s="87">
        <v>1407000</v>
      </c>
      <c r="H4702" s="87">
        <v>140700</v>
      </c>
      <c r="I4702" s="87">
        <v>1547700</v>
      </c>
      <c r="K4702" s="85">
        <v>2024</v>
      </c>
      <c r="L4702" s="85">
        <v>4</v>
      </c>
      <c r="N4702" s="1" t="s">
        <v>44</v>
      </c>
    </row>
    <row r="4703" spans="1:14">
      <c r="A4703" s="36" t="s">
        <v>32</v>
      </c>
      <c r="B4703" s="37">
        <v>45412</v>
      </c>
      <c r="C4703" s="36" t="s">
        <v>209</v>
      </c>
      <c r="D4703" s="36" t="s">
        <v>2065</v>
      </c>
      <c r="E4703" s="36" t="s">
        <v>76</v>
      </c>
      <c r="G4703" s="87">
        <v>124040000</v>
      </c>
      <c r="H4703" s="87">
        <v>12404000</v>
      </c>
      <c r="I4703" s="87">
        <v>136444000</v>
      </c>
      <c r="K4703" s="85">
        <v>2024</v>
      </c>
      <c r="L4703" s="85">
        <v>4</v>
      </c>
      <c r="N4703" s="1" t="s">
        <v>44</v>
      </c>
    </row>
    <row r="4704" spans="1:14">
      <c r="A4704" s="36" t="s">
        <v>32</v>
      </c>
      <c r="B4704" s="37">
        <v>45412</v>
      </c>
      <c r="C4704" s="36" t="s">
        <v>209</v>
      </c>
      <c r="D4704" s="36" t="s">
        <v>1892</v>
      </c>
      <c r="E4704" s="36" t="s">
        <v>102</v>
      </c>
      <c r="G4704" s="87">
        <v>2653700</v>
      </c>
      <c r="H4704" s="87">
        <v>265370</v>
      </c>
      <c r="I4704" s="87">
        <v>2919070</v>
      </c>
      <c r="K4704" s="85">
        <v>2024</v>
      </c>
      <c r="L4704" s="85">
        <v>4</v>
      </c>
      <c r="N4704" s="1" t="s">
        <v>44</v>
      </c>
    </row>
    <row r="4705" spans="1:14">
      <c r="A4705" s="36" t="s">
        <v>32</v>
      </c>
      <c r="B4705" s="37">
        <v>45412</v>
      </c>
      <c r="C4705" s="36" t="s">
        <v>209</v>
      </c>
      <c r="D4705" s="36" t="s">
        <v>1866</v>
      </c>
      <c r="E4705" s="36" t="s">
        <v>76</v>
      </c>
      <c r="G4705" s="87">
        <v>58683000</v>
      </c>
      <c r="H4705" s="87">
        <v>5868300</v>
      </c>
      <c r="I4705" s="87">
        <v>64551300</v>
      </c>
      <c r="K4705" s="85">
        <v>2024</v>
      </c>
      <c r="L4705" s="85">
        <v>4</v>
      </c>
      <c r="N4705" s="1" t="s">
        <v>44</v>
      </c>
    </row>
    <row r="4706" spans="1:14">
      <c r="A4706" s="36" t="s">
        <v>32</v>
      </c>
      <c r="B4706" s="37">
        <v>45412</v>
      </c>
      <c r="C4706" s="36" t="s">
        <v>209</v>
      </c>
      <c r="D4706" s="36" t="s">
        <v>2024</v>
      </c>
      <c r="E4706" s="36" t="s">
        <v>102</v>
      </c>
      <c r="G4706" s="87">
        <v>26971260</v>
      </c>
      <c r="H4706" s="87">
        <v>2697126</v>
      </c>
      <c r="I4706" s="87">
        <v>29668386</v>
      </c>
      <c r="K4706" s="85">
        <v>2024</v>
      </c>
      <c r="L4706" s="85">
        <v>4</v>
      </c>
      <c r="N4706" s="1" t="s">
        <v>44</v>
      </c>
    </row>
    <row r="4707" spans="1:14">
      <c r="A4707" s="36" t="s">
        <v>32</v>
      </c>
      <c r="B4707" s="37">
        <v>45412</v>
      </c>
      <c r="C4707" s="36" t="s">
        <v>209</v>
      </c>
      <c r="D4707" s="36" t="s">
        <v>2001</v>
      </c>
      <c r="E4707" s="36" t="s">
        <v>76</v>
      </c>
      <c r="G4707" s="87">
        <v>88857300</v>
      </c>
      <c r="H4707" s="87">
        <v>8885730</v>
      </c>
      <c r="I4707" s="87">
        <v>97743030</v>
      </c>
      <c r="K4707" s="85">
        <v>2024</v>
      </c>
      <c r="L4707" s="85">
        <v>4</v>
      </c>
      <c r="N4707" s="1" t="s">
        <v>44</v>
      </c>
    </row>
    <row r="4708" spans="1:14">
      <c r="A4708" s="36" t="s">
        <v>32</v>
      </c>
      <c r="B4708" s="37">
        <v>45412</v>
      </c>
      <c r="C4708" s="36" t="s">
        <v>209</v>
      </c>
      <c r="D4708" s="36" t="s">
        <v>2103</v>
      </c>
      <c r="E4708" s="36" t="s">
        <v>102</v>
      </c>
      <c r="G4708" s="87">
        <v>21750400</v>
      </c>
      <c r="H4708" s="87">
        <v>2175040</v>
      </c>
      <c r="I4708" s="87">
        <v>23925440</v>
      </c>
      <c r="K4708" s="85">
        <v>2024</v>
      </c>
      <c r="L4708" s="85">
        <v>4</v>
      </c>
      <c r="N4708" s="1" t="s">
        <v>44</v>
      </c>
    </row>
    <row r="4709" spans="1:14">
      <c r="A4709" s="36" t="s">
        <v>32</v>
      </c>
      <c r="B4709" s="37">
        <v>45412</v>
      </c>
      <c r="C4709" s="36" t="s">
        <v>1467</v>
      </c>
      <c r="D4709" s="36" t="s">
        <v>1813</v>
      </c>
      <c r="E4709" s="36" t="s">
        <v>267</v>
      </c>
      <c r="G4709" s="87">
        <v>3400000</v>
      </c>
      <c r="H4709" s="87">
        <v>340000</v>
      </c>
      <c r="I4709" s="87">
        <v>3740000</v>
      </c>
      <c r="K4709" s="85">
        <v>2024</v>
      </c>
      <c r="L4709" s="85">
        <v>4</v>
      </c>
      <c r="N4709" s="1" t="s">
        <v>44</v>
      </c>
    </row>
    <row r="4710" spans="1:14">
      <c r="A4710" s="36" t="s">
        <v>32</v>
      </c>
      <c r="B4710" s="37">
        <v>45412</v>
      </c>
      <c r="C4710" s="36" t="s">
        <v>1467</v>
      </c>
      <c r="D4710" s="36" t="s">
        <v>1676</v>
      </c>
      <c r="E4710" s="36" t="s">
        <v>76</v>
      </c>
      <c r="G4710" s="87">
        <v>2070000</v>
      </c>
      <c r="H4710" s="87">
        <v>207000</v>
      </c>
      <c r="I4710" s="87">
        <v>2277000</v>
      </c>
      <c r="K4710" s="85">
        <v>2024</v>
      </c>
      <c r="L4710" s="85">
        <v>4</v>
      </c>
      <c r="N4710" s="1" t="s">
        <v>44</v>
      </c>
    </row>
    <row r="4711" spans="1:14">
      <c r="A4711" s="36" t="s">
        <v>32</v>
      </c>
      <c r="B4711" s="37">
        <v>45412</v>
      </c>
      <c r="C4711" s="36" t="s">
        <v>1468</v>
      </c>
      <c r="D4711" s="36" t="s">
        <v>2071</v>
      </c>
      <c r="E4711" s="36" t="s">
        <v>267</v>
      </c>
      <c r="G4711" s="87">
        <v>88553880</v>
      </c>
      <c r="H4711" s="87">
        <v>8855388</v>
      </c>
      <c r="I4711" s="87">
        <v>97409268</v>
      </c>
      <c r="K4711" s="85">
        <v>2024</v>
      </c>
      <c r="L4711" s="85">
        <v>4</v>
      </c>
      <c r="N4711" s="1" t="s">
        <v>44</v>
      </c>
    </row>
    <row r="4712" spans="1:14">
      <c r="A4712" s="36" t="s">
        <v>32</v>
      </c>
      <c r="B4712" s="37">
        <v>45412</v>
      </c>
      <c r="C4712" s="36" t="s">
        <v>1468</v>
      </c>
      <c r="D4712" s="36" t="s">
        <v>2134</v>
      </c>
      <c r="E4712" s="36" t="s">
        <v>2142</v>
      </c>
      <c r="G4712" s="87">
        <v>7028340</v>
      </c>
      <c r="H4712" s="87">
        <v>702834</v>
      </c>
      <c r="I4712" s="87">
        <v>7731174</v>
      </c>
      <c r="K4712" s="85">
        <v>2024</v>
      </c>
      <c r="L4712" s="85">
        <v>4</v>
      </c>
      <c r="N4712" s="1" t="s">
        <v>44</v>
      </c>
    </row>
    <row r="4713" spans="1:14">
      <c r="A4713" s="36" t="s">
        <v>32</v>
      </c>
      <c r="B4713" s="37">
        <v>45412</v>
      </c>
      <c r="C4713" s="36" t="s">
        <v>1468</v>
      </c>
      <c r="D4713" s="36" t="s">
        <v>2066</v>
      </c>
      <c r="E4713" s="36" t="s">
        <v>267</v>
      </c>
      <c r="G4713" s="87">
        <v>41042990</v>
      </c>
      <c r="H4713" s="87">
        <v>4104299</v>
      </c>
      <c r="I4713" s="87">
        <v>45147289</v>
      </c>
      <c r="K4713" s="85">
        <v>2024</v>
      </c>
      <c r="L4713" s="85">
        <v>4</v>
      </c>
      <c r="N4713" s="1" t="s">
        <v>44</v>
      </c>
    </row>
    <row r="4714" spans="1:14">
      <c r="A4714" s="36" t="s">
        <v>32</v>
      </c>
      <c r="B4714" s="37">
        <v>45412</v>
      </c>
      <c r="C4714" s="36" t="s">
        <v>1468</v>
      </c>
      <c r="D4714" s="36" t="s">
        <v>2067</v>
      </c>
      <c r="E4714" s="36" t="s">
        <v>102</v>
      </c>
      <c r="G4714" s="87">
        <v>15081000</v>
      </c>
      <c r="H4714" s="87">
        <v>1508100</v>
      </c>
      <c r="I4714" s="87">
        <v>16589100</v>
      </c>
      <c r="K4714" s="85">
        <v>2024</v>
      </c>
      <c r="L4714" s="85">
        <v>4</v>
      </c>
      <c r="N4714" s="1" t="s">
        <v>44</v>
      </c>
    </row>
    <row r="4715" spans="1:14">
      <c r="A4715" s="36" t="s">
        <v>32</v>
      </c>
      <c r="B4715" s="37">
        <v>45412</v>
      </c>
      <c r="C4715" s="36" t="s">
        <v>1468</v>
      </c>
      <c r="D4715" s="36" t="s">
        <v>2069</v>
      </c>
      <c r="E4715" s="36" t="s">
        <v>267</v>
      </c>
      <c r="G4715" s="87">
        <v>16623860</v>
      </c>
      <c r="H4715" s="87">
        <v>1662386</v>
      </c>
      <c r="I4715" s="87">
        <v>18286246</v>
      </c>
      <c r="K4715" s="85">
        <v>2024</v>
      </c>
      <c r="L4715" s="85">
        <v>4</v>
      </c>
      <c r="N4715" s="1" t="s">
        <v>44</v>
      </c>
    </row>
    <row r="4716" spans="1:14">
      <c r="A4716" s="36" t="s">
        <v>32</v>
      </c>
      <c r="B4716" s="37">
        <v>45412</v>
      </c>
      <c r="C4716" s="36" t="s">
        <v>1468</v>
      </c>
      <c r="D4716" s="36" t="s">
        <v>2135</v>
      </c>
      <c r="E4716" s="36" t="s">
        <v>1767</v>
      </c>
      <c r="G4716" s="87">
        <v>10076000</v>
      </c>
      <c r="H4716" s="87">
        <v>1007600</v>
      </c>
      <c r="I4716" s="87">
        <v>11083600</v>
      </c>
      <c r="K4716" s="85">
        <v>2024</v>
      </c>
      <c r="L4716" s="85">
        <v>4</v>
      </c>
      <c r="N4716" s="1" t="s">
        <v>44</v>
      </c>
    </row>
    <row r="4717" spans="1:14">
      <c r="A4717" s="36" t="s">
        <v>32</v>
      </c>
      <c r="B4717" s="37">
        <v>45412</v>
      </c>
      <c r="C4717" s="36" t="s">
        <v>1198</v>
      </c>
      <c r="D4717" s="36" t="s">
        <v>2027</v>
      </c>
      <c r="E4717" s="36" t="s">
        <v>76</v>
      </c>
      <c r="G4717" s="87">
        <v>8226600</v>
      </c>
      <c r="H4717" s="87">
        <v>822660</v>
      </c>
      <c r="I4717" s="87">
        <v>9049260</v>
      </c>
      <c r="K4717" s="85">
        <v>2024</v>
      </c>
      <c r="L4717" s="85">
        <v>4</v>
      </c>
      <c r="N4717" s="1" t="s">
        <v>44</v>
      </c>
    </row>
    <row r="4718" spans="1:14">
      <c r="A4718" s="36" t="s">
        <v>32</v>
      </c>
      <c r="B4718" s="37">
        <v>45412</v>
      </c>
      <c r="C4718" s="36" t="s">
        <v>1198</v>
      </c>
      <c r="D4718" s="36" t="s">
        <v>2079</v>
      </c>
      <c r="E4718" s="36" t="s">
        <v>267</v>
      </c>
      <c r="G4718" s="87">
        <v>3447600</v>
      </c>
      <c r="H4718" s="87">
        <v>344760</v>
      </c>
      <c r="I4718" s="87">
        <v>3792360</v>
      </c>
      <c r="K4718" s="85">
        <v>2024</v>
      </c>
      <c r="L4718" s="85">
        <v>4</v>
      </c>
      <c r="N4718" s="1" t="s">
        <v>44</v>
      </c>
    </row>
    <row r="4719" spans="1:14">
      <c r="A4719" s="36" t="s">
        <v>32</v>
      </c>
      <c r="B4719" s="37">
        <v>45412</v>
      </c>
      <c r="C4719" s="36" t="s">
        <v>1198</v>
      </c>
      <c r="D4719" s="36" t="s">
        <v>2136</v>
      </c>
      <c r="E4719" s="36" t="s">
        <v>76</v>
      </c>
      <c r="G4719" s="87">
        <v>2133000</v>
      </c>
      <c r="H4719" s="87">
        <v>213300</v>
      </c>
      <c r="I4719" s="87">
        <v>2346300</v>
      </c>
      <c r="K4719" s="85">
        <v>2024</v>
      </c>
      <c r="L4719" s="85">
        <v>4</v>
      </c>
      <c r="N4719" s="1" t="s">
        <v>44</v>
      </c>
    </row>
    <row r="4720" spans="1:14">
      <c r="A4720" s="36" t="s">
        <v>32</v>
      </c>
      <c r="B4720" s="37">
        <v>45412</v>
      </c>
      <c r="C4720" s="36" t="s">
        <v>1198</v>
      </c>
      <c r="D4720" s="36" t="s">
        <v>2137</v>
      </c>
      <c r="E4720" s="36" t="s">
        <v>267</v>
      </c>
      <c r="G4720" s="87">
        <v>15773500</v>
      </c>
      <c r="H4720" s="87">
        <v>1577350</v>
      </c>
      <c r="I4720" s="87">
        <v>17350850</v>
      </c>
      <c r="K4720" s="85">
        <v>2024</v>
      </c>
      <c r="L4720" s="85">
        <v>4</v>
      </c>
      <c r="N4720" s="1" t="s">
        <v>44</v>
      </c>
    </row>
    <row r="4721" spans="1:14">
      <c r="A4721" s="36" t="s">
        <v>32</v>
      </c>
      <c r="B4721" s="37">
        <v>45412</v>
      </c>
      <c r="C4721" s="36" t="s">
        <v>1198</v>
      </c>
      <c r="D4721" s="36" t="s">
        <v>2137</v>
      </c>
      <c r="E4721" s="36" t="s">
        <v>76</v>
      </c>
      <c r="G4721" s="87">
        <v>2994300</v>
      </c>
      <c r="H4721" s="87">
        <v>299430</v>
      </c>
      <c r="I4721" s="87">
        <v>3293730</v>
      </c>
      <c r="K4721" s="85">
        <v>2024</v>
      </c>
      <c r="L4721" s="85">
        <v>4</v>
      </c>
      <c r="N4721" s="1" t="s">
        <v>44</v>
      </c>
    </row>
    <row r="4722" spans="1:14">
      <c r="A4722" s="36" t="s">
        <v>32</v>
      </c>
      <c r="B4722" s="37">
        <v>45412</v>
      </c>
      <c r="C4722" s="36" t="s">
        <v>1470</v>
      </c>
      <c r="D4722" s="36" t="s">
        <v>1821</v>
      </c>
      <c r="E4722" s="36" t="s">
        <v>76</v>
      </c>
      <c r="G4722" s="87">
        <v>244057040</v>
      </c>
      <c r="H4722" s="87">
        <v>24405704</v>
      </c>
      <c r="I4722" s="87">
        <v>268462744</v>
      </c>
      <c r="K4722" s="85">
        <v>2024</v>
      </c>
      <c r="L4722" s="85">
        <v>4</v>
      </c>
      <c r="N4722" s="1" t="s">
        <v>44</v>
      </c>
    </row>
    <row r="4723" spans="1:14">
      <c r="A4723" s="36" t="s">
        <v>32</v>
      </c>
      <c r="B4723" s="37">
        <v>45412</v>
      </c>
      <c r="C4723" s="36" t="s">
        <v>1880</v>
      </c>
      <c r="D4723" s="36" t="s">
        <v>2078</v>
      </c>
      <c r="E4723" s="36" t="s">
        <v>76</v>
      </c>
      <c r="G4723" s="87">
        <v>12040000</v>
      </c>
      <c r="H4723" s="87">
        <v>1204000</v>
      </c>
      <c r="I4723" s="87">
        <v>13244000</v>
      </c>
      <c r="K4723" s="85">
        <v>2024</v>
      </c>
      <c r="L4723" s="85">
        <v>4</v>
      </c>
      <c r="N4723" s="1" t="s">
        <v>44</v>
      </c>
    </row>
    <row r="4724" spans="1:14">
      <c r="A4724" s="36" t="s">
        <v>32</v>
      </c>
      <c r="B4724" s="37">
        <v>45412</v>
      </c>
      <c r="C4724" s="36" t="s">
        <v>307</v>
      </c>
      <c r="D4724" s="36" t="s">
        <v>1752</v>
      </c>
      <c r="E4724" s="36" t="s">
        <v>267</v>
      </c>
      <c r="G4724" s="87">
        <v>31301600</v>
      </c>
      <c r="H4724" s="87">
        <v>3130160</v>
      </c>
      <c r="I4724" s="87">
        <v>34431760</v>
      </c>
      <c r="K4724" s="85">
        <v>2024</v>
      </c>
      <c r="L4724" s="85">
        <v>4</v>
      </c>
      <c r="N4724" s="1" t="s">
        <v>44</v>
      </c>
    </row>
    <row r="4725" spans="1:14">
      <c r="A4725" s="36" t="s">
        <v>32</v>
      </c>
      <c r="B4725" s="37">
        <v>45412</v>
      </c>
      <c r="C4725" s="36" t="s">
        <v>989</v>
      </c>
      <c r="D4725" s="36" t="s">
        <v>1950</v>
      </c>
      <c r="E4725" s="36" t="s">
        <v>76</v>
      </c>
      <c r="G4725" s="87">
        <v>4402000</v>
      </c>
      <c r="H4725" s="87">
        <v>440200</v>
      </c>
      <c r="I4725" s="87">
        <v>4842200</v>
      </c>
      <c r="K4725" s="85">
        <v>2024</v>
      </c>
      <c r="L4725" s="85">
        <v>4</v>
      </c>
      <c r="N4725" s="1" t="s">
        <v>44</v>
      </c>
    </row>
    <row r="4726" spans="1:14">
      <c r="A4726" s="36" t="s">
        <v>32</v>
      </c>
      <c r="B4726" s="37">
        <v>45412</v>
      </c>
      <c r="C4726" s="36" t="s">
        <v>264</v>
      </c>
      <c r="D4726" s="36" t="s">
        <v>2138</v>
      </c>
      <c r="E4726" s="36" t="s">
        <v>76</v>
      </c>
      <c r="G4726" s="87">
        <v>25000000</v>
      </c>
      <c r="H4726" s="87">
        <v>2500000</v>
      </c>
      <c r="I4726" s="87">
        <v>27500000</v>
      </c>
      <c r="K4726" s="85">
        <v>2024</v>
      </c>
      <c r="L4726" s="85">
        <v>4</v>
      </c>
      <c r="N4726" s="1" t="s">
        <v>44</v>
      </c>
    </row>
    <row r="4727" spans="1:14">
      <c r="A4727" s="36" t="s">
        <v>32</v>
      </c>
      <c r="B4727" s="37">
        <v>45412</v>
      </c>
      <c r="C4727" s="36" t="s">
        <v>664</v>
      </c>
      <c r="D4727" s="36" t="s">
        <v>2076</v>
      </c>
      <c r="E4727" s="36" t="s">
        <v>267</v>
      </c>
      <c r="G4727" s="87">
        <v>11194000</v>
      </c>
      <c r="H4727" s="87">
        <v>1119400</v>
      </c>
      <c r="I4727" s="87">
        <v>12313400</v>
      </c>
      <c r="K4727" s="85">
        <v>2024</v>
      </c>
      <c r="L4727" s="85">
        <v>4</v>
      </c>
      <c r="N4727" s="1" t="s">
        <v>44</v>
      </c>
    </row>
    <row r="4728" spans="1:14">
      <c r="A4728" s="36" t="s">
        <v>32</v>
      </c>
      <c r="B4728" s="37">
        <v>45412</v>
      </c>
      <c r="C4728" s="36" t="s">
        <v>1862</v>
      </c>
      <c r="D4728" s="36" t="s">
        <v>1874</v>
      </c>
      <c r="E4728" s="36" t="s">
        <v>76</v>
      </c>
      <c r="G4728" s="87">
        <v>16794000</v>
      </c>
      <c r="H4728" s="87">
        <v>1679400</v>
      </c>
      <c r="I4728" s="87">
        <v>18473400</v>
      </c>
      <c r="K4728" s="85">
        <v>2024</v>
      </c>
      <c r="L4728" s="85">
        <v>4</v>
      </c>
      <c r="N4728" s="1" t="s">
        <v>44</v>
      </c>
    </row>
    <row r="4729" spans="1:14">
      <c r="A4729" s="36" t="s">
        <v>32</v>
      </c>
      <c r="B4729" s="37">
        <v>45412</v>
      </c>
      <c r="C4729" s="36" t="s">
        <v>2129</v>
      </c>
      <c r="D4729" s="36" t="s">
        <v>2139</v>
      </c>
      <c r="E4729" s="36" t="s">
        <v>102</v>
      </c>
      <c r="G4729" s="87">
        <v>4000000</v>
      </c>
      <c r="H4729" s="87">
        <v>400000</v>
      </c>
      <c r="I4729" s="87">
        <v>4400000</v>
      </c>
      <c r="K4729" s="85">
        <v>2024</v>
      </c>
      <c r="L4729" s="85">
        <v>4</v>
      </c>
      <c r="N4729" s="1" t="s">
        <v>44</v>
      </c>
    </row>
    <row r="4730" spans="1:14">
      <c r="A4730" s="36" t="s">
        <v>32</v>
      </c>
      <c r="B4730" s="37">
        <v>45412</v>
      </c>
      <c r="C4730" s="36" t="s">
        <v>2063</v>
      </c>
      <c r="D4730" s="36" t="s">
        <v>2140</v>
      </c>
      <c r="E4730" s="36" t="s">
        <v>102</v>
      </c>
      <c r="G4730" s="87">
        <v>10014480</v>
      </c>
      <c r="H4730" s="87">
        <v>1001448</v>
      </c>
      <c r="I4730" s="87">
        <v>11015928</v>
      </c>
      <c r="K4730" s="85">
        <v>2024</v>
      </c>
      <c r="L4730" s="85">
        <v>4</v>
      </c>
      <c r="N4730" s="1" t="s">
        <v>44</v>
      </c>
    </row>
    <row r="4731" spans="1:14">
      <c r="A4731" s="36" t="s">
        <v>32</v>
      </c>
      <c r="B4731" s="37">
        <v>45412</v>
      </c>
      <c r="C4731" s="36" t="s">
        <v>1531</v>
      </c>
      <c r="D4731" s="36" t="s">
        <v>2187</v>
      </c>
      <c r="E4731" s="36" t="s">
        <v>102</v>
      </c>
      <c r="G4731" s="87">
        <v>6211200</v>
      </c>
      <c r="H4731" s="87">
        <v>621120</v>
      </c>
      <c r="I4731" s="87">
        <v>6832320</v>
      </c>
      <c r="K4731" s="85">
        <v>2024</v>
      </c>
      <c r="L4731" s="85">
        <v>4</v>
      </c>
      <c r="N4731" s="1" t="s">
        <v>44</v>
      </c>
    </row>
    <row r="4732" spans="1:14">
      <c r="A4732" s="36" t="s">
        <v>32</v>
      </c>
      <c r="B4732" s="37">
        <v>45412</v>
      </c>
      <c r="C4732" s="36" t="s">
        <v>288</v>
      </c>
      <c r="D4732" s="36" t="s">
        <v>1949</v>
      </c>
      <c r="E4732" s="36" t="s">
        <v>267</v>
      </c>
      <c r="G4732" s="87">
        <v>27538521</v>
      </c>
      <c r="H4732" s="87">
        <v>2753852.1</v>
      </c>
      <c r="I4732" s="87">
        <v>30292373.100000001</v>
      </c>
      <c r="K4732" s="85">
        <v>2024</v>
      </c>
      <c r="L4732" s="85">
        <v>4</v>
      </c>
      <c r="N4732" s="1" t="s">
        <v>44</v>
      </c>
    </row>
    <row r="4733" spans="1:14">
      <c r="A4733" s="36" t="s">
        <v>32</v>
      </c>
      <c r="B4733" s="37">
        <v>45412</v>
      </c>
      <c r="C4733" s="36" t="s">
        <v>1933</v>
      </c>
      <c r="D4733" s="36" t="s">
        <v>2097</v>
      </c>
      <c r="E4733" s="36" t="s">
        <v>267</v>
      </c>
      <c r="G4733" s="87">
        <v>42600000</v>
      </c>
      <c r="H4733" s="87">
        <v>4260000</v>
      </c>
      <c r="I4733" s="87">
        <v>46860000</v>
      </c>
      <c r="K4733" s="85">
        <v>2024</v>
      </c>
      <c r="L4733" s="85">
        <v>4</v>
      </c>
      <c r="N4733" s="1" t="s">
        <v>44</v>
      </c>
    </row>
    <row r="4734" spans="1:14">
      <c r="A4734" s="36" t="s">
        <v>32</v>
      </c>
      <c r="B4734" s="37">
        <v>45412</v>
      </c>
      <c r="C4734" s="36" t="s">
        <v>1587</v>
      </c>
      <c r="D4734" s="36" t="s">
        <v>2141</v>
      </c>
      <c r="E4734" s="36" t="s">
        <v>76</v>
      </c>
      <c r="G4734" s="87">
        <v>1928808</v>
      </c>
      <c r="H4734" s="87">
        <v>192880.80000000002</v>
      </c>
      <c r="I4734" s="87">
        <v>2121688.7999999998</v>
      </c>
      <c r="K4734" s="85">
        <v>2024</v>
      </c>
      <c r="L4734" s="85">
        <v>4</v>
      </c>
      <c r="N4734" s="1" t="s">
        <v>44</v>
      </c>
    </row>
    <row r="4735" spans="1:14">
      <c r="A4735" s="36" t="s">
        <v>32</v>
      </c>
      <c r="B4735" s="37">
        <v>45412</v>
      </c>
      <c r="C4735" s="36" t="s">
        <v>1587</v>
      </c>
      <c r="D4735" s="36" t="s">
        <v>1865</v>
      </c>
      <c r="E4735" s="36" t="s">
        <v>76</v>
      </c>
      <c r="G4735" s="87">
        <v>4386000</v>
      </c>
      <c r="H4735" s="87">
        <v>438600</v>
      </c>
      <c r="I4735" s="87">
        <v>4824600</v>
      </c>
      <c r="K4735" s="85">
        <v>2024</v>
      </c>
      <c r="L4735" s="85">
        <v>4</v>
      </c>
      <c r="N4735" s="1" t="s">
        <v>44</v>
      </c>
    </row>
    <row r="4736" spans="1:14">
      <c r="A4736" s="36" t="s">
        <v>32</v>
      </c>
      <c r="B4736" s="37">
        <v>45412</v>
      </c>
      <c r="C4736" s="36" t="s">
        <v>175</v>
      </c>
      <c r="D4736" s="36" t="s">
        <v>1480</v>
      </c>
      <c r="E4736" s="36" t="s">
        <v>267</v>
      </c>
      <c r="G4736" s="87">
        <v>6165000</v>
      </c>
      <c r="H4736" s="87">
        <v>616500</v>
      </c>
      <c r="I4736" s="87">
        <v>6781500</v>
      </c>
      <c r="K4736" s="85">
        <v>2024</v>
      </c>
      <c r="L4736" s="85">
        <v>4</v>
      </c>
      <c r="N4736" s="1" t="s">
        <v>44</v>
      </c>
    </row>
    <row r="4737" spans="1:14">
      <c r="A4737" s="36" t="s">
        <v>32</v>
      </c>
      <c r="B4737" s="37">
        <v>45399</v>
      </c>
      <c r="C4737" s="36" t="s">
        <v>2127</v>
      </c>
      <c r="D4737" s="36" t="s">
        <v>2130</v>
      </c>
      <c r="E4737" s="36" t="s">
        <v>77</v>
      </c>
      <c r="J4737" s="38">
        <v>6000000</v>
      </c>
      <c r="K4737" s="85">
        <v>2024</v>
      </c>
      <c r="L4737" s="85">
        <v>4</v>
      </c>
      <c r="N4737" s="1" t="s">
        <v>44</v>
      </c>
    </row>
    <row r="4738" spans="1:14">
      <c r="A4738" s="36" t="s">
        <v>32</v>
      </c>
      <c r="B4738" s="37">
        <v>45426</v>
      </c>
      <c r="C4738" s="36" t="s">
        <v>209</v>
      </c>
      <c r="D4738" s="36" t="s">
        <v>2065</v>
      </c>
      <c r="E4738" s="36" t="s">
        <v>77</v>
      </c>
      <c r="J4738" s="38">
        <v>136444000</v>
      </c>
      <c r="K4738" s="85">
        <v>2024</v>
      </c>
      <c r="L4738" s="85">
        <v>4</v>
      </c>
      <c r="N4738" s="1" t="s">
        <v>44</v>
      </c>
    </row>
    <row r="4739" spans="1:14">
      <c r="A4739" s="36" t="s">
        <v>32</v>
      </c>
      <c r="B4739" s="37">
        <v>45422</v>
      </c>
      <c r="C4739" s="36" t="s">
        <v>209</v>
      </c>
      <c r="D4739" s="36" t="s">
        <v>1866</v>
      </c>
      <c r="E4739" s="36" t="s">
        <v>77</v>
      </c>
      <c r="J4739" s="38">
        <v>64551300</v>
      </c>
      <c r="K4739" s="85">
        <v>2024</v>
      </c>
      <c r="L4739" s="85">
        <v>4</v>
      </c>
      <c r="N4739" s="1" t="s">
        <v>44</v>
      </c>
    </row>
    <row r="4740" spans="1:14">
      <c r="A4740" s="36" t="s">
        <v>33</v>
      </c>
      <c r="B4740" s="37">
        <v>45412</v>
      </c>
      <c r="C4740" s="36" t="s">
        <v>1218</v>
      </c>
      <c r="D4740" s="36" t="s">
        <v>1929</v>
      </c>
      <c r="E4740" s="36" t="s">
        <v>1492</v>
      </c>
      <c r="G4740" s="87">
        <v>5809515</v>
      </c>
      <c r="H4740" s="87">
        <v>580951.5</v>
      </c>
      <c r="I4740" s="87">
        <v>6390466.5</v>
      </c>
      <c r="K4740" s="85">
        <v>2024</v>
      </c>
      <c r="L4740" s="85">
        <v>4</v>
      </c>
      <c r="N4740" s="1" t="s">
        <v>44</v>
      </c>
    </row>
    <row r="4741" spans="1:14">
      <c r="A4741" s="36" t="s">
        <v>33</v>
      </c>
      <c r="B4741" s="37">
        <v>45412</v>
      </c>
      <c r="C4741" s="36" t="s">
        <v>1391</v>
      </c>
      <c r="D4741" s="36" t="s">
        <v>1227</v>
      </c>
      <c r="E4741" s="36" t="s">
        <v>1392</v>
      </c>
      <c r="G4741" s="87">
        <v>1407000</v>
      </c>
      <c r="H4741" s="87">
        <v>140700</v>
      </c>
      <c r="I4741" s="87">
        <v>1547700</v>
      </c>
      <c r="K4741" s="85">
        <v>2024</v>
      </c>
      <c r="L4741" s="85">
        <v>4</v>
      </c>
      <c r="N4741" s="1" t="s">
        <v>44</v>
      </c>
    </row>
    <row r="4742" spans="1:14">
      <c r="A4742" s="36" t="s">
        <v>33</v>
      </c>
      <c r="B4742" s="37">
        <v>45412</v>
      </c>
      <c r="C4742" s="36" t="s">
        <v>1391</v>
      </c>
      <c r="D4742" s="36" t="s">
        <v>197</v>
      </c>
      <c r="E4742" s="36" t="s">
        <v>1392</v>
      </c>
      <c r="G4742" s="87">
        <v>40512400</v>
      </c>
      <c r="H4742" s="87">
        <v>4051240</v>
      </c>
      <c r="I4742" s="87">
        <v>44563640</v>
      </c>
      <c r="K4742" s="85">
        <v>2024</v>
      </c>
      <c r="L4742" s="85">
        <v>4</v>
      </c>
      <c r="N4742" s="1" t="s">
        <v>44</v>
      </c>
    </row>
    <row r="4743" spans="1:14">
      <c r="A4743" s="36" t="s">
        <v>33</v>
      </c>
      <c r="B4743" s="37">
        <v>45412</v>
      </c>
      <c r="C4743" s="36" t="s">
        <v>590</v>
      </c>
      <c r="D4743" s="36" t="s">
        <v>2144</v>
      </c>
      <c r="E4743" s="36" t="s">
        <v>76</v>
      </c>
      <c r="G4743" s="87">
        <v>3700500</v>
      </c>
      <c r="H4743" s="87">
        <v>370050</v>
      </c>
      <c r="I4743" s="87">
        <v>4070550</v>
      </c>
      <c r="K4743" s="85">
        <v>2024</v>
      </c>
      <c r="L4743" s="85">
        <v>4</v>
      </c>
      <c r="M4743" s="36" t="s">
        <v>2143</v>
      </c>
      <c r="N4743" s="1" t="s">
        <v>44</v>
      </c>
    </row>
    <row r="4744" spans="1:14">
      <c r="A4744" s="36" t="s">
        <v>32</v>
      </c>
      <c r="B4744" s="37">
        <v>45413</v>
      </c>
      <c r="C4744" s="36" t="s">
        <v>1533</v>
      </c>
      <c r="D4744" s="36" t="s">
        <v>1538</v>
      </c>
      <c r="E4744" s="36" t="s">
        <v>1026</v>
      </c>
      <c r="G4744" s="87">
        <v>-1555200</v>
      </c>
      <c r="H4744" s="87">
        <v>-155520</v>
      </c>
      <c r="I4744" s="87">
        <v>-1710720</v>
      </c>
      <c r="K4744" s="85">
        <v>2023</v>
      </c>
      <c r="L4744" s="85">
        <v>9</v>
      </c>
      <c r="N4744" s="1" t="s">
        <v>44</v>
      </c>
    </row>
    <row r="4745" spans="1:14">
      <c r="A4745" s="36" t="s">
        <v>33</v>
      </c>
      <c r="B4745" s="37">
        <v>45428</v>
      </c>
      <c r="C4745" s="36" t="s">
        <v>2124</v>
      </c>
      <c r="D4745" s="36" t="s">
        <v>790</v>
      </c>
      <c r="E4745" s="36" t="s">
        <v>148</v>
      </c>
      <c r="J4745" s="87">
        <v>19228000</v>
      </c>
      <c r="K4745" s="85">
        <v>2024</v>
      </c>
      <c r="L4745" s="85">
        <v>4</v>
      </c>
      <c r="N4745" s="1" t="s">
        <v>44</v>
      </c>
    </row>
    <row r="4746" spans="1:14">
      <c r="A4746" s="36" t="s">
        <v>33</v>
      </c>
      <c r="B4746" s="37">
        <v>45443</v>
      </c>
      <c r="C4746" s="36" t="s">
        <v>1720</v>
      </c>
      <c r="D4746" s="36" t="s">
        <v>2121</v>
      </c>
      <c r="E4746" s="36" t="s">
        <v>148</v>
      </c>
      <c r="J4746" s="87">
        <v>13209295</v>
      </c>
      <c r="K4746" s="85">
        <v>2024</v>
      </c>
      <c r="L4746" s="85">
        <v>4</v>
      </c>
      <c r="N4746" s="1" t="s">
        <v>44</v>
      </c>
    </row>
    <row r="4747" spans="1:14">
      <c r="A4747" s="36" t="s">
        <v>33</v>
      </c>
      <c r="B4747" s="37">
        <v>45443</v>
      </c>
      <c r="C4747" s="36" t="s">
        <v>590</v>
      </c>
      <c r="D4747" s="36" t="s">
        <v>2144</v>
      </c>
      <c r="E4747" s="36" t="s">
        <v>148</v>
      </c>
      <c r="J4747" s="87">
        <v>4070550</v>
      </c>
      <c r="K4747" s="85">
        <v>2024</v>
      </c>
      <c r="L4747" s="85">
        <v>4</v>
      </c>
      <c r="M4747" s="36" t="s">
        <v>2143</v>
      </c>
      <c r="N4747" s="1" t="s">
        <v>44</v>
      </c>
    </row>
    <row r="4748" spans="1:14">
      <c r="A4748" s="36" t="s">
        <v>33</v>
      </c>
      <c r="B4748" s="37">
        <v>45413</v>
      </c>
      <c r="C4748" s="36" t="s">
        <v>2016</v>
      </c>
      <c r="D4748" s="36" t="s">
        <v>2145</v>
      </c>
      <c r="E4748" s="36" t="s">
        <v>1492</v>
      </c>
      <c r="G4748" s="87">
        <v>15000000</v>
      </c>
      <c r="H4748" s="87">
        <v>1500000</v>
      </c>
      <c r="I4748" s="87">
        <v>16500000</v>
      </c>
      <c r="K4748" s="85">
        <v>2024</v>
      </c>
      <c r="L4748" s="85">
        <v>5</v>
      </c>
      <c r="N4748" s="1" t="s">
        <v>44</v>
      </c>
    </row>
    <row r="4749" spans="1:14">
      <c r="A4749" s="36" t="s">
        <v>33</v>
      </c>
      <c r="B4749" s="37">
        <v>45428</v>
      </c>
      <c r="C4749" s="36" t="s">
        <v>2016</v>
      </c>
      <c r="D4749" s="36" t="s">
        <v>2145</v>
      </c>
      <c r="E4749" s="36" t="s">
        <v>77</v>
      </c>
      <c r="J4749" s="38">
        <v>16500000</v>
      </c>
      <c r="K4749" s="85">
        <v>2024</v>
      </c>
      <c r="L4749" s="85">
        <v>5</v>
      </c>
      <c r="N4749" s="1" t="s">
        <v>44</v>
      </c>
    </row>
    <row r="4750" spans="1:14">
      <c r="A4750" s="36" t="s">
        <v>32</v>
      </c>
      <c r="B4750" s="37">
        <v>45428</v>
      </c>
      <c r="C4750" s="36" t="s">
        <v>1468</v>
      </c>
      <c r="D4750" s="36" t="s">
        <v>2071</v>
      </c>
      <c r="E4750" s="36" t="s">
        <v>148</v>
      </c>
      <c r="J4750" s="87">
        <v>97409268</v>
      </c>
      <c r="K4750" s="85">
        <v>2024</v>
      </c>
      <c r="L4750" s="85">
        <v>4</v>
      </c>
      <c r="N4750" s="1" t="s">
        <v>44</v>
      </c>
    </row>
    <row r="4751" spans="1:14">
      <c r="A4751" s="36" t="s">
        <v>32</v>
      </c>
      <c r="B4751" s="37">
        <v>45428</v>
      </c>
      <c r="C4751" s="36" t="s">
        <v>1468</v>
      </c>
      <c r="D4751" s="36" t="s">
        <v>2134</v>
      </c>
      <c r="E4751" s="36" t="s">
        <v>148</v>
      </c>
      <c r="J4751" s="87">
        <v>7731174</v>
      </c>
      <c r="K4751" s="85">
        <v>2024</v>
      </c>
      <c r="L4751" s="85">
        <v>4</v>
      </c>
      <c r="N4751" s="1" t="s">
        <v>44</v>
      </c>
    </row>
    <row r="4752" spans="1:14">
      <c r="A4752" s="36" t="s">
        <v>32</v>
      </c>
      <c r="B4752" s="37">
        <v>45428</v>
      </c>
      <c r="C4752" s="36" t="s">
        <v>1468</v>
      </c>
      <c r="D4752" s="36" t="s">
        <v>2066</v>
      </c>
      <c r="E4752" s="36" t="s">
        <v>148</v>
      </c>
      <c r="J4752" s="87">
        <v>45147289</v>
      </c>
      <c r="K4752" s="85">
        <v>2024</v>
      </c>
      <c r="L4752" s="85">
        <v>4</v>
      </c>
      <c r="N4752" s="1" t="s">
        <v>44</v>
      </c>
    </row>
    <row r="4753" spans="1:14">
      <c r="A4753" s="36" t="s">
        <v>32</v>
      </c>
      <c r="B4753" s="37">
        <v>45428</v>
      </c>
      <c r="C4753" s="36" t="s">
        <v>1468</v>
      </c>
      <c r="D4753" s="36" t="s">
        <v>2067</v>
      </c>
      <c r="E4753" s="36" t="s">
        <v>148</v>
      </c>
      <c r="J4753" s="87">
        <v>16589100</v>
      </c>
      <c r="K4753" s="85">
        <v>2024</v>
      </c>
      <c r="L4753" s="85">
        <v>4</v>
      </c>
      <c r="N4753" s="1" t="s">
        <v>44</v>
      </c>
    </row>
    <row r="4754" spans="1:14">
      <c r="A4754" s="36" t="s">
        <v>32</v>
      </c>
      <c r="B4754" s="37">
        <v>45428</v>
      </c>
      <c r="C4754" s="36" t="s">
        <v>1468</v>
      </c>
      <c r="D4754" s="36" t="s">
        <v>2069</v>
      </c>
      <c r="E4754" s="36" t="s">
        <v>148</v>
      </c>
      <c r="J4754" s="87">
        <v>18286246</v>
      </c>
      <c r="K4754" s="85">
        <v>2024</v>
      </c>
      <c r="L4754" s="85">
        <v>4</v>
      </c>
      <c r="N4754" s="1" t="s">
        <v>44</v>
      </c>
    </row>
    <row r="4755" spans="1:14">
      <c r="A4755" s="36" t="s">
        <v>32</v>
      </c>
      <c r="B4755" s="37">
        <v>45428</v>
      </c>
      <c r="C4755" s="36" t="s">
        <v>1468</v>
      </c>
      <c r="D4755" s="36" t="s">
        <v>2135</v>
      </c>
      <c r="E4755" s="36" t="s">
        <v>148</v>
      </c>
      <c r="J4755" s="87">
        <v>11083600</v>
      </c>
      <c r="K4755" s="85">
        <v>2024</v>
      </c>
      <c r="L4755" s="85">
        <v>4</v>
      </c>
      <c r="N4755" s="1" t="s">
        <v>44</v>
      </c>
    </row>
    <row r="4756" spans="1:14">
      <c r="A4756" s="36" t="s">
        <v>33</v>
      </c>
      <c r="B4756" s="37">
        <v>45428</v>
      </c>
      <c r="C4756" s="36" t="s">
        <v>171</v>
      </c>
      <c r="D4756" s="36" t="s">
        <v>2147</v>
      </c>
      <c r="E4756" s="36" t="s">
        <v>102</v>
      </c>
      <c r="G4756" s="87">
        <v>7062000</v>
      </c>
      <c r="H4756" s="87">
        <v>706200</v>
      </c>
      <c r="I4756" s="87">
        <v>7768200</v>
      </c>
      <c r="K4756" s="85">
        <v>2024</v>
      </c>
      <c r="L4756" s="85">
        <v>5</v>
      </c>
      <c r="N4756" s="1" t="s">
        <v>44</v>
      </c>
    </row>
    <row r="4757" spans="1:14">
      <c r="A4757" s="36" t="s">
        <v>32</v>
      </c>
      <c r="B4757" s="37">
        <v>45428</v>
      </c>
      <c r="C4757" s="36" t="s">
        <v>291</v>
      </c>
      <c r="D4757" s="36" t="s">
        <v>1938</v>
      </c>
      <c r="E4757" s="36" t="s">
        <v>148</v>
      </c>
      <c r="J4757" s="87">
        <v>24653200</v>
      </c>
      <c r="K4757" s="85">
        <v>2024</v>
      </c>
      <c r="L4757" s="85">
        <v>3</v>
      </c>
      <c r="N4757" s="1" t="s">
        <v>44</v>
      </c>
    </row>
    <row r="4758" spans="1:14">
      <c r="A4758" s="36" t="s">
        <v>33</v>
      </c>
      <c r="B4758" s="37">
        <v>45428</v>
      </c>
      <c r="C4758" s="36" t="s">
        <v>1467</v>
      </c>
      <c r="D4758" s="36" t="s">
        <v>2012</v>
      </c>
      <c r="E4758" s="36" t="s">
        <v>148</v>
      </c>
      <c r="J4758" s="87">
        <v>9023454</v>
      </c>
      <c r="K4758" s="85">
        <v>2024</v>
      </c>
      <c r="L4758" s="85">
        <v>3</v>
      </c>
      <c r="N4758" s="1" t="s">
        <v>44</v>
      </c>
    </row>
    <row r="4759" spans="1:14">
      <c r="A4759" s="36" t="s">
        <v>33</v>
      </c>
      <c r="B4759" s="37">
        <v>45428</v>
      </c>
      <c r="C4759" s="36" t="s">
        <v>1467</v>
      </c>
      <c r="D4759" s="36" t="s">
        <v>1921</v>
      </c>
      <c r="E4759" s="36" t="s">
        <v>148</v>
      </c>
      <c r="J4759" s="87">
        <v>198000</v>
      </c>
      <c r="K4759" s="85">
        <v>2024</v>
      </c>
      <c r="L4759" s="85">
        <v>4</v>
      </c>
      <c r="N4759" s="1" t="s">
        <v>44</v>
      </c>
    </row>
    <row r="4760" spans="1:14">
      <c r="A4760" s="36" t="s">
        <v>33</v>
      </c>
      <c r="B4760" s="37">
        <v>45428</v>
      </c>
      <c r="C4760" s="36" t="s">
        <v>664</v>
      </c>
      <c r="D4760" s="36" t="s">
        <v>2057</v>
      </c>
      <c r="E4760" s="36" t="s">
        <v>148</v>
      </c>
      <c r="J4760" s="87">
        <v>1052055.3999999999</v>
      </c>
      <c r="K4760" s="85">
        <v>2024</v>
      </c>
      <c r="L4760" s="85">
        <v>3</v>
      </c>
      <c r="N4760" s="1" t="s">
        <v>44</v>
      </c>
    </row>
    <row r="4761" spans="1:14">
      <c r="A4761" s="36" t="s">
        <v>33</v>
      </c>
      <c r="B4761" s="37">
        <v>45428</v>
      </c>
      <c r="C4761" s="36" t="s">
        <v>664</v>
      </c>
      <c r="D4761" s="36" t="s">
        <v>2126</v>
      </c>
      <c r="E4761" s="36" t="s">
        <v>148</v>
      </c>
      <c r="J4761" s="87">
        <v>1109473.2</v>
      </c>
      <c r="K4761" s="85">
        <v>2024</v>
      </c>
      <c r="L4761" s="85">
        <v>4</v>
      </c>
      <c r="N4761" s="1" t="s">
        <v>44</v>
      </c>
    </row>
    <row r="4762" spans="1:14">
      <c r="A4762" s="36" t="s">
        <v>33</v>
      </c>
      <c r="B4762" s="37">
        <v>45428</v>
      </c>
      <c r="C4762" s="36" t="s">
        <v>1218</v>
      </c>
      <c r="D4762" s="36" t="s">
        <v>1921</v>
      </c>
      <c r="E4762" s="36" t="s">
        <v>148</v>
      </c>
      <c r="J4762" s="87">
        <v>6737280</v>
      </c>
      <c r="K4762" s="85">
        <v>2024</v>
      </c>
      <c r="L4762" s="85">
        <v>4</v>
      </c>
      <c r="N4762" s="1" t="s">
        <v>44</v>
      </c>
    </row>
    <row r="4763" spans="1:14">
      <c r="A4763" s="36" t="s">
        <v>33</v>
      </c>
      <c r="B4763" s="37">
        <v>45428</v>
      </c>
      <c r="C4763" s="36" t="s">
        <v>119</v>
      </c>
      <c r="D4763" s="36" t="s">
        <v>2012</v>
      </c>
      <c r="E4763" s="36" t="s">
        <v>148</v>
      </c>
      <c r="J4763" s="87">
        <v>97387268</v>
      </c>
      <c r="K4763" s="85">
        <v>2024</v>
      </c>
      <c r="L4763" s="85">
        <v>4</v>
      </c>
      <c r="N4763" s="1" t="s">
        <v>44</v>
      </c>
    </row>
    <row r="4764" spans="1:14">
      <c r="A4764" s="36" t="s">
        <v>33</v>
      </c>
      <c r="B4764" s="37">
        <v>45428</v>
      </c>
      <c r="C4764" s="36" t="s">
        <v>171</v>
      </c>
      <c r="D4764" s="36" t="s">
        <v>2147</v>
      </c>
      <c r="E4764" s="36" t="s">
        <v>148</v>
      </c>
      <c r="J4764" s="87">
        <v>7768200</v>
      </c>
      <c r="K4764" s="85">
        <v>2024</v>
      </c>
      <c r="L4764" s="85">
        <v>5</v>
      </c>
      <c r="N4764" s="1" t="s">
        <v>44</v>
      </c>
    </row>
    <row r="4765" spans="1:14">
      <c r="A4765" s="36" t="s">
        <v>33</v>
      </c>
      <c r="B4765" s="37">
        <v>45429</v>
      </c>
      <c r="C4765" s="36" t="s">
        <v>1467</v>
      </c>
      <c r="D4765" s="36" t="s">
        <v>1431</v>
      </c>
      <c r="E4765" s="36" t="s">
        <v>148</v>
      </c>
      <c r="J4765" s="87">
        <v>14595570</v>
      </c>
      <c r="K4765" s="85">
        <v>2024</v>
      </c>
      <c r="L4765" s="85">
        <v>3</v>
      </c>
      <c r="N4765" s="1" t="s">
        <v>44</v>
      </c>
    </row>
    <row r="4766" spans="1:14">
      <c r="A4766" s="36" t="s">
        <v>33</v>
      </c>
      <c r="B4766" s="37">
        <v>45429</v>
      </c>
      <c r="C4766" s="36" t="s">
        <v>1779</v>
      </c>
      <c r="D4766" s="36" t="s">
        <v>197</v>
      </c>
      <c r="E4766" s="36" t="s">
        <v>148</v>
      </c>
      <c r="J4766" s="87">
        <v>2035000</v>
      </c>
      <c r="K4766" s="85">
        <v>2024</v>
      </c>
      <c r="L4766" s="85">
        <v>4</v>
      </c>
      <c r="N4766" s="1" t="s">
        <v>44</v>
      </c>
    </row>
    <row r="4767" spans="1:14">
      <c r="A4767" s="36" t="s">
        <v>33</v>
      </c>
      <c r="B4767" s="37">
        <v>45429</v>
      </c>
      <c r="C4767" s="36" t="s">
        <v>2109</v>
      </c>
      <c r="D4767" s="36" t="s">
        <v>1915</v>
      </c>
      <c r="E4767" s="36" t="s">
        <v>148</v>
      </c>
      <c r="J4767" s="87">
        <v>2671900</v>
      </c>
      <c r="K4767" s="85">
        <v>2024</v>
      </c>
      <c r="L4767" s="85">
        <v>4</v>
      </c>
      <c r="N4767" s="1" t="s">
        <v>44</v>
      </c>
    </row>
    <row r="4768" spans="1:14">
      <c r="A4768" s="36" t="s">
        <v>33</v>
      </c>
      <c r="B4768" s="37">
        <v>45429</v>
      </c>
      <c r="C4768" s="36" t="s">
        <v>1914</v>
      </c>
      <c r="D4768" s="36" t="s">
        <v>1915</v>
      </c>
      <c r="E4768" s="36" t="s">
        <v>148</v>
      </c>
      <c r="J4768" s="87">
        <v>924000</v>
      </c>
      <c r="K4768" s="85">
        <v>2024</v>
      </c>
      <c r="L4768" s="85">
        <v>4</v>
      </c>
      <c r="N4768" s="1" t="s">
        <v>44</v>
      </c>
    </row>
    <row r="4769" spans="1:14">
      <c r="A4769" s="36" t="s">
        <v>33</v>
      </c>
      <c r="B4769" s="37">
        <v>45429</v>
      </c>
      <c r="C4769" s="36" t="s">
        <v>1919</v>
      </c>
      <c r="D4769" s="36" t="s">
        <v>1754</v>
      </c>
      <c r="E4769" s="36" t="s">
        <v>148</v>
      </c>
      <c r="J4769" s="87">
        <v>8157600</v>
      </c>
      <c r="K4769" s="85">
        <v>2024</v>
      </c>
      <c r="L4769" s="85">
        <v>4</v>
      </c>
      <c r="N4769" s="1" t="s">
        <v>44</v>
      </c>
    </row>
    <row r="4770" spans="1:14">
      <c r="A4770" s="36" t="s">
        <v>33</v>
      </c>
      <c r="B4770" s="37">
        <v>45429</v>
      </c>
      <c r="C4770" s="36" t="s">
        <v>2122</v>
      </c>
      <c r="D4770" s="36" t="s">
        <v>1921</v>
      </c>
      <c r="E4770" s="36" t="s">
        <v>148</v>
      </c>
      <c r="J4770" s="87">
        <v>2618000</v>
      </c>
      <c r="K4770" s="85">
        <v>2024</v>
      </c>
      <c r="L4770" s="85">
        <v>4</v>
      </c>
      <c r="N4770" s="1" t="s">
        <v>44</v>
      </c>
    </row>
    <row r="4771" spans="1:14">
      <c r="A4771" s="36" t="s">
        <v>32</v>
      </c>
      <c r="B4771" s="37">
        <v>45429</v>
      </c>
      <c r="C4771" s="36" t="s">
        <v>2063</v>
      </c>
      <c r="D4771" s="36" t="s">
        <v>2029</v>
      </c>
      <c r="E4771" s="36" t="s">
        <v>148</v>
      </c>
      <c r="J4771" s="87">
        <v>7788000</v>
      </c>
      <c r="K4771" s="85">
        <v>2024</v>
      </c>
      <c r="L4771" s="85">
        <v>3</v>
      </c>
      <c r="N4771" s="1" t="s">
        <v>44</v>
      </c>
    </row>
    <row r="4772" spans="1:14">
      <c r="A4772" s="36" t="s">
        <v>33</v>
      </c>
      <c r="B4772" s="37">
        <v>45429</v>
      </c>
      <c r="C4772" s="36" t="s">
        <v>2006</v>
      </c>
      <c r="D4772" s="36" t="s">
        <v>2146</v>
      </c>
      <c r="E4772" s="36" t="s">
        <v>2354</v>
      </c>
      <c r="J4772" s="87">
        <v>3172950</v>
      </c>
      <c r="K4772" s="85">
        <v>2024</v>
      </c>
      <c r="L4772" s="85">
        <v>3</v>
      </c>
      <c r="N4772" s="1" t="s">
        <v>44</v>
      </c>
    </row>
    <row r="4773" spans="1:14">
      <c r="A4773" s="36" t="s">
        <v>32</v>
      </c>
      <c r="B4773" s="37">
        <v>45432</v>
      </c>
      <c r="C4773" s="36" t="s">
        <v>204</v>
      </c>
      <c r="D4773" s="36" t="s">
        <v>2075</v>
      </c>
      <c r="E4773" s="36" t="s">
        <v>148</v>
      </c>
      <c r="J4773" s="87">
        <v>7306200</v>
      </c>
      <c r="K4773" s="85">
        <v>2024</v>
      </c>
      <c r="L4773" s="85">
        <v>3</v>
      </c>
      <c r="N4773" s="1" t="s">
        <v>44</v>
      </c>
    </row>
    <row r="4774" spans="1:14">
      <c r="A4774" s="36" t="s">
        <v>33</v>
      </c>
      <c r="B4774" s="37">
        <v>45432</v>
      </c>
      <c r="C4774" s="36" t="s">
        <v>171</v>
      </c>
      <c r="D4774" s="36" t="s">
        <v>2148</v>
      </c>
      <c r="E4774" s="36" t="s">
        <v>1232</v>
      </c>
      <c r="G4774" s="87">
        <v>2650000</v>
      </c>
      <c r="H4774" s="87">
        <v>265000</v>
      </c>
      <c r="I4774" s="87">
        <v>2915000</v>
      </c>
      <c r="K4774" s="85">
        <v>2024</v>
      </c>
      <c r="L4774" s="85">
        <v>5</v>
      </c>
      <c r="N4774" s="1" t="s">
        <v>44</v>
      </c>
    </row>
    <row r="4775" spans="1:14">
      <c r="A4775" s="36" t="s">
        <v>33</v>
      </c>
      <c r="B4775" s="37">
        <v>45432</v>
      </c>
      <c r="C4775" s="36" t="s">
        <v>171</v>
      </c>
      <c r="D4775" s="36" t="s">
        <v>2147</v>
      </c>
      <c r="E4775" s="36" t="s">
        <v>1394</v>
      </c>
      <c r="G4775" s="87">
        <v>6000000</v>
      </c>
      <c r="H4775" s="87">
        <v>600000</v>
      </c>
      <c r="I4775" s="87">
        <v>6600000</v>
      </c>
      <c r="K4775" s="85">
        <v>2024</v>
      </c>
      <c r="L4775" s="85">
        <v>5</v>
      </c>
      <c r="N4775" s="1" t="s">
        <v>44</v>
      </c>
    </row>
    <row r="4776" spans="1:14">
      <c r="A4776" s="36" t="s">
        <v>33</v>
      </c>
      <c r="B4776" s="37">
        <v>45434</v>
      </c>
      <c r="C4776" s="36" t="s">
        <v>171</v>
      </c>
      <c r="D4776" s="36" t="s">
        <v>2147</v>
      </c>
      <c r="E4776" s="36" t="s">
        <v>148</v>
      </c>
      <c r="J4776" s="87">
        <v>6600000</v>
      </c>
      <c r="K4776" s="85">
        <v>2024</v>
      </c>
      <c r="L4776" s="85">
        <v>5</v>
      </c>
      <c r="N4776" s="1" t="s">
        <v>44</v>
      </c>
    </row>
    <row r="4777" spans="1:14">
      <c r="A4777" s="36" t="s">
        <v>32</v>
      </c>
      <c r="B4777" s="37">
        <v>45435</v>
      </c>
      <c r="C4777" s="36" t="s">
        <v>1198</v>
      </c>
      <c r="D4777" s="36" t="s">
        <v>2136</v>
      </c>
      <c r="E4777" s="36" t="s">
        <v>2149</v>
      </c>
      <c r="J4777" s="87">
        <v>2346300</v>
      </c>
      <c r="K4777" s="85">
        <v>2024</v>
      </c>
      <c r="L4777" s="85">
        <v>4</v>
      </c>
      <c r="N4777" s="1" t="s">
        <v>44</v>
      </c>
    </row>
    <row r="4778" spans="1:14">
      <c r="A4778" s="36" t="s">
        <v>32</v>
      </c>
      <c r="B4778" s="37">
        <v>45441</v>
      </c>
      <c r="C4778" s="36" t="s">
        <v>654</v>
      </c>
      <c r="D4778" s="36" t="s">
        <v>2073</v>
      </c>
      <c r="E4778" s="36" t="s">
        <v>148</v>
      </c>
      <c r="J4778" s="87">
        <v>20778120</v>
      </c>
      <c r="K4778" s="85">
        <v>2024</v>
      </c>
      <c r="L4778" s="85">
        <v>4</v>
      </c>
      <c r="N4778" s="1" t="s">
        <v>44</v>
      </c>
    </row>
    <row r="4779" spans="1:14">
      <c r="A4779" s="36" t="s">
        <v>32</v>
      </c>
      <c r="B4779" s="37">
        <v>45441</v>
      </c>
      <c r="C4779" s="36" t="s">
        <v>209</v>
      </c>
      <c r="D4779" s="36" t="s">
        <v>1699</v>
      </c>
      <c r="E4779" s="36" t="s">
        <v>148</v>
      </c>
      <c r="J4779" s="87">
        <v>22513480</v>
      </c>
      <c r="K4779" s="85">
        <v>2024</v>
      </c>
      <c r="L4779" s="85">
        <v>4</v>
      </c>
      <c r="M4779" s="36" t="s">
        <v>2150</v>
      </c>
      <c r="N4779" s="1" t="s">
        <v>44</v>
      </c>
    </row>
    <row r="4780" spans="1:14">
      <c r="A4780" s="36" t="s">
        <v>32</v>
      </c>
      <c r="B4780" s="37">
        <v>45441</v>
      </c>
      <c r="C4780" s="36" t="s">
        <v>209</v>
      </c>
      <c r="D4780" s="36" t="s">
        <v>1885</v>
      </c>
      <c r="E4780" s="36" t="s">
        <v>148</v>
      </c>
      <c r="J4780" s="87">
        <v>1547700</v>
      </c>
      <c r="K4780" s="85">
        <v>2024</v>
      </c>
      <c r="L4780" s="85">
        <v>4</v>
      </c>
      <c r="M4780" s="36" t="s">
        <v>2150</v>
      </c>
      <c r="N4780" s="1" t="s">
        <v>44</v>
      </c>
    </row>
    <row r="4781" spans="1:14">
      <c r="A4781" s="36" t="s">
        <v>32</v>
      </c>
      <c r="B4781" s="37">
        <v>45441</v>
      </c>
      <c r="C4781" s="36" t="s">
        <v>209</v>
      </c>
      <c r="D4781" s="36" t="s">
        <v>1892</v>
      </c>
      <c r="E4781" s="36" t="s">
        <v>148</v>
      </c>
      <c r="J4781" s="87">
        <v>2919070</v>
      </c>
      <c r="K4781" s="85">
        <v>2024</v>
      </c>
      <c r="L4781" s="85">
        <v>4</v>
      </c>
      <c r="M4781" s="36" t="s">
        <v>2150</v>
      </c>
      <c r="N4781" s="1" t="s">
        <v>44</v>
      </c>
    </row>
    <row r="4782" spans="1:14">
      <c r="A4782" s="36" t="s">
        <v>32</v>
      </c>
      <c r="B4782" s="37">
        <v>45441</v>
      </c>
      <c r="C4782" s="36" t="s">
        <v>209</v>
      </c>
      <c r="D4782" s="36" t="s">
        <v>2024</v>
      </c>
      <c r="E4782" s="36" t="s">
        <v>148</v>
      </c>
      <c r="J4782" s="87">
        <v>29668386</v>
      </c>
      <c r="K4782" s="85">
        <v>2024</v>
      </c>
      <c r="L4782" s="85">
        <v>4</v>
      </c>
      <c r="M4782" s="36" t="s">
        <v>2150</v>
      </c>
      <c r="N4782" s="1" t="s">
        <v>44</v>
      </c>
    </row>
    <row r="4783" spans="1:14">
      <c r="A4783" s="36" t="s">
        <v>32</v>
      </c>
      <c r="B4783" s="37">
        <v>45441</v>
      </c>
      <c r="C4783" s="36" t="s">
        <v>209</v>
      </c>
      <c r="D4783" s="36" t="s">
        <v>2103</v>
      </c>
      <c r="E4783" s="36" t="s">
        <v>148</v>
      </c>
      <c r="J4783" s="87">
        <v>23925440</v>
      </c>
      <c r="K4783" s="85">
        <v>2024</v>
      </c>
      <c r="L4783" s="85">
        <v>4</v>
      </c>
      <c r="M4783" s="36" t="s">
        <v>2150</v>
      </c>
      <c r="N4783" s="1" t="s">
        <v>44</v>
      </c>
    </row>
    <row r="4784" spans="1:14">
      <c r="A4784" s="36" t="s">
        <v>33</v>
      </c>
      <c r="B4784" s="37">
        <v>45435</v>
      </c>
      <c r="C4784" s="36" t="s">
        <v>2151</v>
      </c>
      <c r="D4784" s="36" t="s">
        <v>1487</v>
      </c>
      <c r="E4784" s="36" t="s">
        <v>2152</v>
      </c>
      <c r="G4784" s="87">
        <v>900000</v>
      </c>
      <c r="H4784" s="87">
        <v>90000</v>
      </c>
      <c r="I4784" s="87">
        <v>990000</v>
      </c>
      <c r="K4784" s="85">
        <v>2024</v>
      </c>
      <c r="L4784" s="85">
        <v>5</v>
      </c>
      <c r="N4784" s="1" t="s">
        <v>44</v>
      </c>
    </row>
    <row r="4785" spans="1:14">
      <c r="A4785" s="36" t="s">
        <v>33</v>
      </c>
      <c r="B4785" s="37">
        <v>45435</v>
      </c>
      <c r="C4785" s="36" t="s">
        <v>2151</v>
      </c>
      <c r="D4785" s="36" t="s">
        <v>1487</v>
      </c>
      <c r="E4785" s="36" t="s">
        <v>77</v>
      </c>
      <c r="J4785" s="38">
        <v>990000</v>
      </c>
      <c r="K4785" s="85">
        <v>2024</v>
      </c>
      <c r="L4785" s="85">
        <v>5</v>
      </c>
      <c r="N4785" s="1" t="s">
        <v>44</v>
      </c>
    </row>
    <row r="4786" spans="1:14">
      <c r="A4786" s="36" t="s">
        <v>33</v>
      </c>
      <c r="B4786" s="37">
        <v>45413</v>
      </c>
      <c r="C4786" s="36" t="s">
        <v>912</v>
      </c>
      <c r="D4786" s="36" t="s">
        <v>2206</v>
      </c>
      <c r="E4786" s="36" t="s">
        <v>2204</v>
      </c>
      <c r="G4786" s="87">
        <v>16732200</v>
      </c>
      <c r="H4786" s="87">
        <v>1673220</v>
      </c>
      <c r="I4786" s="87">
        <v>18405420</v>
      </c>
      <c r="K4786" s="85">
        <v>2024</v>
      </c>
      <c r="L4786" s="85">
        <v>5</v>
      </c>
      <c r="N4786" s="1" t="s">
        <v>44</v>
      </c>
    </row>
    <row r="4787" spans="1:14">
      <c r="A4787" s="36" t="s">
        <v>33</v>
      </c>
      <c r="B4787" s="37">
        <v>45435</v>
      </c>
      <c r="C4787" s="36" t="s">
        <v>1328</v>
      </c>
      <c r="D4787" s="36" t="s">
        <v>2012</v>
      </c>
      <c r="E4787" s="36" t="s">
        <v>1522</v>
      </c>
      <c r="G4787" s="87">
        <v>4825350</v>
      </c>
      <c r="H4787" s="87">
        <v>482535</v>
      </c>
      <c r="I4787" s="87">
        <v>5307885</v>
      </c>
      <c r="K4787" s="85">
        <v>2024</v>
      </c>
      <c r="L4787" s="85">
        <v>5</v>
      </c>
      <c r="N4787" s="1" t="s">
        <v>44</v>
      </c>
    </row>
    <row r="4788" spans="1:14">
      <c r="A4788" s="36" t="s">
        <v>33</v>
      </c>
      <c r="B4788" s="37">
        <v>45436</v>
      </c>
      <c r="C4788" s="36" t="s">
        <v>1328</v>
      </c>
      <c r="D4788" s="36" t="s">
        <v>2012</v>
      </c>
      <c r="E4788" s="36" t="s">
        <v>1522</v>
      </c>
      <c r="G4788" s="87">
        <v>5146290</v>
      </c>
      <c r="H4788" s="87">
        <v>514629</v>
      </c>
      <c r="I4788" s="87">
        <v>5660919</v>
      </c>
      <c r="K4788" s="85">
        <v>2024</v>
      </c>
      <c r="L4788" s="85">
        <v>5</v>
      </c>
      <c r="N4788" s="1" t="s">
        <v>44</v>
      </c>
    </row>
    <row r="4789" spans="1:14">
      <c r="A4789" s="36" t="s">
        <v>32</v>
      </c>
      <c r="B4789" s="37">
        <v>45442</v>
      </c>
      <c r="C4789" s="36" t="s">
        <v>209</v>
      </c>
      <c r="D4789" s="36" t="s">
        <v>2001</v>
      </c>
      <c r="E4789" s="36" t="s">
        <v>148</v>
      </c>
      <c r="J4789" s="87">
        <v>97743030</v>
      </c>
      <c r="K4789" s="85">
        <v>2024</v>
      </c>
      <c r="L4789" s="85">
        <v>4</v>
      </c>
      <c r="N4789" s="1" t="s">
        <v>44</v>
      </c>
    </row>
    <row r="4790" spans="1:14">
      <c r="A4790" s="36" t="s">
        <v>33</v>
      </c>
      <c r="B4790" s="37">
        <v>45442</v>
      </c>
      <c r="C4790" s="36" t="s">
        <v>1328</v>
      </c>
      <c r="D4790" s="36" t="s">
        <v>2012</v>
      </c>
      <c r="E4790" s="36" t="s">
        <v>148</v>
      </c>
      <c r="J4790" s="87">
        <v>5307885</v>
      </c>
      <c r="K4790" s="85">
        <v>2024</v>
      </c>
      <c r="L4790" s="85">
        <v>5</v>
      </c>
      <c r="N4790" s="1" t="s">
        <v>44</v>
      </c>
    </row>
    <row r="4791" spans="1:14">
      <c r="A4791" s="36" t="s">
        <v>33</v>
      </c>
      <c r="B4791" s="37">
        <v>45442</v>
      </c>
      <c r="C4791" s="36" t="s">
        <v>1328</v>
      </c>
      <c r="D4791" s="36" t="s">
        <v>2012</v>
      </c>
      <c r="E4791" s="36" t="s">
        <v>148</v>
      </c>
      <c r="J4791" s="87">
        <v>5660919</v>
      </c>
      <c r="K4791" s="85">
        <v>2024</v>
      </c>
      <c r="L4791" s="85">
        <v>5</v>
      </c>
      <c r="N4791" s="1" t="s">
        <v>44</v>
      </c>
    </row>
    <row r="4792" spans="1:14">
      <c r="A4792" s="36" t="s">
        <v>32</v>
      </c>
      <c r="B4792" s="37">
        <v>45442</v>
      </c>
      <c r="C4792" s="36" t="s">
        <v>1880</v>
      </c>
      <c r="D4792" s="36" t="s">
        <v>2078</v>
      </c>
      <c r="E4792" s="36" t="s">
        <v>148</v>
      </c>
      <c r="J4792" s="87">
        <v>12040000</v>
      </c>
      <c r="K4792" s="85">
        <v>2024</v>
      </c>
      <c r="L4792" s="85">
        <v>4</v>
      </c>
      <c r="N4792" s="1" t="s">
        <v>44</v>
      </c>
    </row>
    <row r="4793" spans="1:14">
      <c r="A4793" s="36" t="s">
        <v>32</v>
      </c>
      <c r="B4793" s="37">
        <v>45442</v>
      </c>
      <c r="C4793" s="36" t="s">
        <v>989</v>
      </c>
      <c r="D4793" s="36" t="s">
        <v>1950</v>
      </c>
      <c r="E4793" s="36" t="s">
        <v>148</v>
      </c>
      <c r="J4793" s="38">
        <v>2421100</v>
      </c>
      <c r="K4793" s="85">
        <v>2024</v>
      </c>
      <c r="L4793" s="85">
        <v>4</v>
      </c>
      <c r="N4793" s="1" t="s">
        <v>44</v>
      </c>
    </row>
    <row r="4794" spans="1:14">
      <c r="A4794" s="36" t="s">
        <v>32</v>
      </c>
      <c r="B4794" s="37">
        <v>45443</v>
      </c>
      <c r="C4794" s="36" t="s">
        <v>989</v>
      </c>
      <c r="D4794" s="36" t="s">
        <v>1950</v>
      </c>
      <c r="E4794" s="36" t="s">
        <v>148</v>
      </c>
      <c r="J4794" s="38">
        <v>2421100</v>
      </c>
      <c r="K4794" s="85">
        <v>2024</v>
      </c>
      <c r="L4794" s="85">
        <v>4</v>
      </c>
      <c r="N4794" s="1" t="s">
        <v>44</v>
      </c>
    </row>
    <row r="4795" spans="1:14">
      <c r="A4795" s="36" t="s">
        <v>32</v>
      </c>
      <c r="B4795" s="37">
        <v>45442</v>
      </c>
      <c r="C4795" s="36" t="s">
        <v>1587</v>
      </c>
      <c r="D4795" s="36" t="s">
        <v>2141</v>
      </c>
      <c r="E4795" s="36" t="s">
        <v>148</v>
      </c>
      <c r="J4795" s="87">
        <v>2121688.7999999998</v>
      </c>
      <c r="K4795" s="85">
        <v>2024</v>
      </c>
      <c r="L4795" s="85">
        <v>4</v>
      </c>
      <c r="N4795" s="1" t="s">
        <v>44</v>
      </c>
    </row>
    <row r="4796" spans="1:14">
      <c r="A4796" s="36" t="s">
        <v>32</v>
      </c>
      <c r="B4796" s="37">
        <v>45443</v>
      </c>
      <c r="C4796" s="36" t="s">
        <v>1933</v>
      </c>
      <c r="D4796" s="36" t="s">
        <v>2098</v>
      </c>
      <c r="E4796" s="36" t="s">
        <v>148</v>
      </c>
      <c r="J4796" s="87">
        <v>15754200</v>
      </c>
      <c r="K4796" s="85">
        <v>2024</v>
      </c>
      <c r="L4796" s="85">
        <v>3</v>
      </c>
      <c r="N4796" s="1" t="s">
        <v>44</v>
      </c>
    </row>
    <row r="4797" spans="1:14">
      <c r="A4797" s="36" t="s">
        <v>32</v>
      </c>
      <c r="B4797" s="37">
        <v>45443</v>
      </c>
      <c r="C4797" s="36" t="s">
        <v>1470</v>
      </c>
      <c r="D4797" s="36" t="s">
        <v>1821</v>
      </c>
      <c r="E4797" s="36" t="s">
        <v>148</v>
      </c>
      <c r="J4797" s="87">
        <v>268462744</v>
      </c>
      <c r="K4797" s="85">
        <v>2024</v>
      </c>
      <c r="L4797" s="85">
        <v>4</v>
      </c>
      <c r="N4797" s="1" t="s">
        <v>44</v>
      </c>
    </row>
    <row r="4798" spans="1:14">
      <c r="A4798" s="36" t="s">
        <v>33</v>
      </c>
      <c r="B4798" s="37">
        <v>45443</v>
      </c>
      <c r="C4798" s="36" t="s">
        <v>2153</v>
      </c>
      <c r="D4798" s="36" t="s">
        <v>2154</v>
      </c>
      <c r="E4798" s="36" t="s">
        <v>157</v>
      </c>
      <c r="G4798" s="87">
        <v>70000</v>
      </c>
      <c r="H4798" s="87">
        <v>7000</v>
      </c>
      <c r="I4798" s="87">
        <v>77000</v>
      </c>
      <c r="K4798" s="85">
        <v>2024</v>
      </c>
      <c r="L4798" s="85">
        <v>5</v>
      </c>
      <c r="N4798" s="1" t="s">
        <v>44</v>
      </c>
    </row>
    <row r="4799" spans="1:14">
      <c r="A4799" s="36" t="s">
        <v>33</v>
      </c>
      <c r="B4799" s="37">
        <v>45443</v>
      </c>
      <c r="C4799" s="36" t="s">
        <v>2153</v>
      </c>
      <c r="D4799" s="36" t="s">
        <v>2154</v>
      </c>
      <c r="E4799" s="36" t="s">
        <v>77</v>
      </c>
      <c r="J4799" s="38">
        <v>77000</v>
      </c>
      <c r="K4799" s="85">
        <v>2024</v>
      </c>
      <c r="L4799" s="85">
        <v>5</v>
      </c>
      <c r="N4799" s="1" t="s">
        <v>44</v>
      </c>
    </row>
    <row r="4800" spans="1:14">
      <c r="A4800" s="36" t="s">
        <v>33</v>
      </c>
      <c r="B4800" s="37">
        <v>45443</v>
      </c>
      <c r="C4800" s="36" t="s">
        <v>1569</v>
      </c>
      <c r="D4800" s="36" t="s">
        <v>1412</v>
      </c>
      <c r="E4800" s="36" t="s">
        <v>148</v>
      </c>
      <c r="J4800" s="87">
        <v>42048600</v>
      </c>
      <c r="K4800" s="85">
        <v>2024</v>
      </c>
      <c r="L4800" s="85">
        <v>3</v>
      </c>
      <c r="N4800" s="1" t="s">
        <v>44</v>
      </c>
    </row>
    <row r="4801" spans="1:14">
      <c r="A4801" s="36" t="s">
        <v>33</v>
      </c>
      <c r="B4801" s="37">
        <v>45443</v>
      </c>
      <c r="C4801" s="36" t="s">
        <v>1391</v>
      </c>
      <c r="D4801" s="36" t="s">
        <v>197</v>
      </c>
      <c r="E4801" s="36" t="s">
        <v>148</v>
      </c>
      <c r="J4801" s="87">
        <v>43729400</v>
      </c>
      <c r="K4801" s="85">
        <v>2024</v>
      </c>
      <c r="L4801" s="85">
        <v>3</v>
      </c>
      <c r="N4801" s="1" t="s">
        <v>44</v>
      </c>
    </row>
    <row r="4802" spans="1:14">
      <c r="A4802" s="36" t="s">
        <v>33</v>
      </c>
      <c r="B4802" s="37">
        <v>45443</v>
      </c>
      <c r="C4802" s="36" t="s">
        <v>1391</v>
      </c>
      <c r="D4802" s="36" t="s">
        <v>1227</v>
      </c>
      <c r="E4802" s="36" t="s">
        <v>148</v>
      </c>
      <c r="J4802" s="87">
        <v>5867125</v>
      </c>
      <c r="K4802" s="85">
        <v>2024</v>
      </c>
      <c r="L4802" s="85">
        <v>3</v>
      </c>
      <c r="N4802" s="1" t="s">
        <v>44</v>
      </c>
    </row>
    <row r="4803" spans="1:14">
      <c r="A4803" s="36" t="s">
        <v>33</v>
      </c>
      <c r="B4803" s="37">
        <v>45443</v>
      </c>
      <c r="C4803" s="36" t="s">
        <v>1467</v>
      </c>
      <c r="D4803" s="36" t="s">
        <v>1431</v>
      </c>
      <c r="E4803" s="36" t="s">
        <v>148</v>
      </c>
      <c r="J4803" s="87">
        <v>12301080</v>
      </c>
      <c r="K4803" s="85">
        <v>2024</v>
      </c>
      <c r="L4803" s="85">
        <v>4</v>
      </c>
      <c r="N4803" s="1" t="s">
        <v>44</v>
      </c>
    </row>
    <row r="4804" spans="1:14">
      <c r="A4804" s="36" t="s">
        <v>33</v>
      </c>
      <c r="B4804" s="37">
        <v>45443</v>
      </c>
      <c r="C4804" s="36" t="s">
        <v>1569</v>
      </c>
      <c r="D4804" s="36" t="s">
        <v>1412</v>
      </c>
      <c r="E4804" s="36" t="s">
        <v>148</v>
      </c>
      <c r="J4804" s="87">
        <v>2799500</v>
      </c>
      <c r="K4804" s="85">
        <v>2024</v>
      </c>
      <c r="L4804" s="85">
        <v>4</v>
      </c>
      <c r="N4804" s="1" t="s">
        <v>44</v>
      </c>
    </row>
    <row r="4805" spans="1:14">
      <c r="A4805" s="36" t="s">
        <v>33</v>
      </c>
      <c r="B4805" s="37">
        <v>45443</v>
      </c>
      <c r="C4805" s="36" t="s">
        <v>1391</v>
      </c>
      <c r="D4805" s="36" t="s">
        <v>1227</v>
      </c>
      <c r="E4805" s="36" t="s">
        <v>148</v>
      </c>
      <c r="J4805" s="87">
        <v>1547700</v>
      </c>
      <c r="K4805" s="85">
        <v>2024</v>
      </c>
      <c r="L4805" s="85">
        <v>4</v>
      </c>
      <c r="N4805" s="1" t="s">
        <v>44</v>
      </c>
    </row>
    <row r="4806" spans="1:14">
      <c r="A4806" s="36" t="s">
        <v>32</v>
      </c>
      <c r="B4806" s="37">
        <v>45443</v>
      </c>
      <c r="C4806" s="36" t="s">
        <v>307</v>
      </c>
      <c r="D4806" s="36" t="s">
        <v>1752</v>
      </c>
      <c r="E4806" s="36" t="s">
        <v>148</v>
      </c>
      <c r="J4806" s="38">
        <v>8537800</v>
      </c>
      <c r="K4806" s="85">
        <v>2024</v>
      </c>
      <c r="L4806" s="85">
        <v>3</v>
      </c>
      <c r="N4806" s="1" t="s">
        <v>44</v>
      </c>
    </row>
    <row r="4807" spans="1:14">
      <c r="A4807" s="36" t="s">
        <v>32</v>
      </c>
      <c r="B4807" s="37">
        <v>45443</v>
      </c>
      <c r="C4807" s="36" t="s">
        <v>307</v>
      </c>
      <c r="D4807" s="36" t="s">
        <v>1752</v>
      </c>
      <c r="E4807" s="36" t="s">
        <v>148</v>
      </c>
      <c r="J4807" s="38">
        <v>11500000</v>
      </c>
      <c r="K4807" s="85">
        <v>2024</v>
      </c>
      <c r="L4807" s="85">
        <v>4</v>
      </c>
      <c r="N4807" s="1" t="s">
        <v>44</v>
      </c>
    </row>
    <row r="4808" spans="1:14">
      <c r="A4808" s="36" t="s">
        <v>32</v>
      </c>
      <c r="B4808" s="37">
        <v>45443</v>
      </c>
      <c r="C4808" s="36" t="s">
        <v>1531</v>
      </c>
      <c r="D4808" s="36" t="s">
        <v>2187</v>
      </c>
      <c r="E4808" s="36" t="s">
        <v>148</v>
      </c>
      <c r="J4808" s="87">
        <v>6617160</v>
      </c>
      <c r="K4808" s="85">
        <v>2024</v>
      </c>
      <c r="L4808" s="85">
        <v>3</v>
      </c>
      <c r="N4808" s="1" t="s">
        <v>44</v>
      </c>
    </row>
    <row r="4809" spans="1:14">
      <c r="A4809" s="36" t="s">
        <v>32</v>
      </c>
      <c r="B4809" s="37">
        <v>45443</v>
      </c>
      <c r="C4809" s="36" t="s">
        <v>1198</v>
      </c>
      <c r="D4809" s="36" t="s">
        <v>2080</v>
      </c>
      <c r="E4809" s="36" t="s">
        <v>148</v>
      </c>
      <c r="J4809" s="87">
        <v>8711230</v>
      </c>
      <c r="K4809" s="85">
        <v>2024</v>
      </c>
      <c r="L4809" s="85">
        <v>3</v>
      </c>
      <c r="N4809" s="1" t="s">
        <v>44</v>
      </c>
    </row>
    <row r="4810" spans="1:14">
      <c r="A4810" s="36" t="s">
        <v>32</v>
      </c>
      <c r="B4810" s="37">
        <v>45443</v>
      </c>
      <c r="C4810" s="36" t="s">
        <v>1198</v>
      </c>
      <c r="D4810" s="36" t="s">
        <v>2027</v>
      </c>
      <c r="E4810" s="36" t="s">
        <v>148</v>
      </c>
      <c r="J4810" s="87">
        <v>9049260</v>
      </c>
      <c r="K4810" s="85">
        <v>2024</v>
      </c>
      <c r="L4810" s="85">
        <v>4</v>
      </c>
      <c r="N4810" s="1" t="s">
        <v>44</v>
      </c>
    </row>
    <row r="4811" spans="1:14">
      <c r="A4811" s="36" t="s">
        <v>32</v>
      </c>
      <c r="B4811" s="37">
        <v>45443</v>
      </c>
      <c r="C4811" s="36" t="s">
        <v>1198</v>
      </c>
      <c r="D4811" s="36" t="s">
        <v>2137</v>
      </c>
      <c r="E4811" s="36" t="s">
        <v>148</v>
      </c>
      <c r="J4811" s="87">
        <v>17350850</v>
      </c>
      <c r="K4811" s="85">
        <v>2024</v>
      </c>
      <c r="L4811" s="85">
        <v>4</v>
      </c>
      <c r="N4811" s="1" t="s">
        <v>44</v>
      </c>
    </row>
    <row r="4812" spans="1:14">
      <c r="A4812" s="36" t="s">
        <v>32</v>
      </c>
      <c r="B4812" s="37">
        <v>45443</v>
      </c>
      <c r="C4812" s="36" t="s">
        <v>1198</v>
      </c>
      <c r="D4812" s="36" t="s">
        <v>2137</v>
      </c>
      <c r="E4812" s="36" t="s">
        <v>148</v>
      </c>
      <c r="J4812" s="87">
        <v>3293730</v>
      </c>
      <c r="K4812" s="85">
        <v>2024</v>
      </c>
      <c r="L4812" s="85">
        <v>4</v>
      </c>
      <c r="N4812" s="1" t="s">
        <v>44</v>
      </c>
    </row>
    <row r="4813" spans="1:14">
      <c r="A4813" s="36" t="s">
        <v>32</v>
      </c>
      <c r="B4813" s="37">
        <v>45443</v>
      </c>
      <c r="C4813" s="36" t="s">
        <v>264</v>
      </c>
      <c r="D4813" s="36" t="s">
        <v>2138</v>
      </c>
      <c r="E4813" s="36" t="s">
        <v>148</v>
      </c>
      <c r="J4813" s="87">
        <v>27500000</v>
      </c>
      <c r="K4813" s="85">
        <v>2024</v>
      </c>
      <c r="L4813" s="85">
        <v>4</v>
      </c>
      <c r="N4813" s="1" t="s">
        <v>44</v>
      </c>
    </row>
    <row r="4814" spans="1:14">
      <c r="A4814" s="36" t="s">
        <v>32</v>
      </c>
      <c r="B4814" s="37">
        <v>45443</v>
      </c>
      <c r="C4814" s="36" t="s">
        <v>1587</v>
      </c>
      <c r="D4814" s="36" t="s">
        <v>1865</v>
      </c>
      <c r="E4814" s="36" t="s">
        <v>148</v>
      </c>
      <c r="J4814" s="87">
        <v>4824600</v>
      </c>
      <c r="K4814" s="85">
        <v>2024</v>
      </c>
      <c r="L4814" s="85">
        <v>4</v>
      </c>
      <c r="N4814" s="1" t="s">
        <v>44</v>
      </c>
    </row>
    <row r="4815" spans="1:14">
      <c r="A4815" s="36" t="s">
        <v>33</v>
      </c>
      <c r="B4815" s="37">
        <v>45446</v>
      </c>
      <c r="C4815" s="36" t="s">
        <v>1467</v>
      </c>
      <c r="D4815" s="36" t="s">
        <v>2013</v>
      </c>
      <c r="E4815" s="36" t="s">
        <v>148</v>
      </c>
      <c r="J4815" s="87">
        <v>11473000</v>
      </c>
      <c r="K4815" s="85">
        <v>2024</v>
      </c>
      <c r="L4815" s="85">
        <v>2</v>
      </c>
      <c r="N4815" s="1" t="s">
        <v>44</v>
      </c>
    </row>
    <row r="4816" spans="1:14">
      <c r="A4816" s="36" t="s">
        <v>32</v>
      </c>
      <c r="B4816" s="37">
        <v>45443</v>
      </c>
      <c r="C4816" s="36" t="s">
        <v>1933</v>
      </c>
      <c r="D4816" s="36" t="s">
        <v>2097</v>
      </c>
      <c r="E4816" s="36" t="s">
        <v>148</v>
      </c>
      <c r="J4816" s="38">
        <v>37488000</v>
      </c>
      <c r="K4816" s="85">
        <v>2024</v>
      </c>
      <c r="L4816" s="85">
        <v>4</v>
      </c>
      <c r="M4816" s="36" t="s">
        <v>2155</v>
      </c>
      <c r="N4816" s="1" t="s">
        <v>44</v>
      </c>
    </row>
    <row r="4817" spans="1:14">
      <c r="A4817" s="36" t="s">
        <v>32</v>
      </c>
      <c r="B4817" s="37">
        <v>45443</v>
      </c>
      <c r="C4817" s="36" t="s">
        <v>654</v>
      </c>
      <c r="D4817" s="36" t="s">
        <v>1754</v>
      </c>
      <c r="E4817" s="36" t="s">
        <v>148</v>
      </c>
      <c r="J4817" s="87">
        <v>222913313</v>
      </c>
      <c r="K4817" s="85">
        <v>2024</v>
      </c>
      <c r="L4817" s="85">
        <v>4</v>
      </c>
      <c r="N4817" s="1" t="s">
        <v>44</v>
      </c>
    </row>
    <row r="4818" spans="1:14">
      <c r="A4818" s="36" t="s">
        <v>32</v>
      </c>
      <c r="B4818" s="37">
        <v>45447</v>
      </c>
      <c r="C4818" s="36" t="s">
        <v>654</v>
      </c>
      <c r="D4818" s="36" t="s">
        <v>1941</v>
      </c>
      <c r="E4818" s="36" t="s">
        <v>148</v>
      </c>
      <c r="J4818" s="87">
        <v>24693724</v>
      </c>
      <c r="K4818" s="85">
        <v>2024</v>
      </c>
      <c r="L4818" s="85">
        <v>4</v>
      </c>
      <c r="N4818" s="1" t="s">
        <v>44</v>
      </c>
    </row>
    <row r="4819" spans="1:14">
      <c r="A4819" s="36" t="s">
        <v>32</v>
      </c>
      <c r="B4819" s="37">
        <v>45446</v>
      </c>
      <c r="C4819" s="36" t="s">
        <v>1198</v>
      </c>
      <c r="D4819" s="36" t="s">
        <v>2079</v>
      </c>
      <c r="E4819" s="36" t="s">
        <v>148</v>
      </c>
      <c r="J4819" s="87">
        <v>3483480</v>
      </c>
      <c r="K4819" s="85">
        <v>2024</v>
      </c>
      <c r="L4819" s="85">
        <v>3</v>
      </c>
      <c r="N4819" s="1" t="s">
        <v>44</v>
      </c>
    </row>
    <row r="4820" spans="1:14">
      <c r="A4820" s="36" t="s">
        <v>33</v>
      </c>
      <c r="B4820" s="37">
        <v>45443</v>
      </c>
      <c r="C4820" s="36" t="s">
        <v>1914</v>
      </c>
      <c r="D4820" s="36" t="s">
        <v>1915</v>
      </c>
      <c r="E4820" s="36" t="s">
        <v>165</v>
      </c>
      <c r="G4820" s="87">
        <v>980000</v>
      </c>
      <c r="H4820" s="87">
        <v>98000</v>
      </c>
      <c r="I4820" s="87">
        <v>1078000</v>
      </c>
      <c r="K4820" s="85">
        <v>2024</v>
      </c>
      <c r="L4820" s="85">
        <v>5</v>
      </c>
      <c r="N4820" s="1" t="s">
        <v>44</v>
      </c>
    </row>
    <row r="4821" spans="1:14">
      <c r="A4821" s="36" t="s">
        <v>33</v>
      </c>
      <c r="B4821" s="37">
        <v>45443</v>
      </c>
      <c r="C4821" s="36" t="s">
        <v>2009</v>
      </c>
      <c r="D4821" s="36" t="s">
        <v>197</v>
      </c>
      <c r="E4821" s="36" t="s">
        <v>2119</v>
      </c>
      <c r="G4821" s="87">
        <v>2205000</v>
      </c>
      <c r="H4821" s="87">
        <v>220500</v>
      </c>
      <c r="I4821" s="87">
        <v>2425500</v>
      </c>
      <c r="K4821" s="85">
        <v>2024</v>
      </c>
      <c r="L4821" s="85">
        <v>5</v>
      </c>
      <c r="N4821" s="1" t="s">
        <v>44</v>
      </c>
    </row>
    <row r="4822" spans="1:14">
      <c r="A4822" s="36" t="s">
        <v>33</v>
      </c>
      <c r="B4822" s="37">
        <v>45443</v>
      </c>
      <c r="C4822" s="36" t="s">
        <v>1467</v>
      </c>
      <c r="D4822" s="36" t="s">
        <v>2103</v>
      </c>
      <c r="E4822" s="36" t="s">
        <v>2156</v>
      </c>
      <c r="G4822" s="87">
        <v>6941000</v>
      </c>
      <c r="H4822" s="87">
        <v>694100</v>
      </c>
      <c r="I4822" s="87">
        <v>7635100</v>
      </c>
      <c r="K4822" s="85">
        <v>2024</v>
      </c>
      <c r="L4822" s="85">
        <v>5</v>
      </c>
      <c r="N4822" s="1" t="s">
        <v>44</v>
      </c>
    </row>
    <row r="4823" spans="1:14">
      <c r="A4823" s="36" t="s">
        <v>32</v>
      </c>
      <c r="B4823" s="37">
        <v>45447</v>
      </c>
      <c r="C4823" s="36" t="s">
        <v>2128</v>
      </c>
      <c r="D4823" s="36" t="s">
        <v>2133</v>
      </c>
      <c r="E4823" s="36" t="s">
        <v>148</v>
      </c>
      <c r="J4823" s="87">
        <v>8250000</v>
      </c>
      <c r="K4823" s="85">
        <v>2024</v>
      </c>
      <c r="L4823" s="85">
        <v>4</v>
      </c>
      <c r="N4823" s="1" t="s">
        <v>44</v>
      </c>
    </row>
    <row r="4824" spans="1:14">
      <c r="A4824" s="36" t="s">
        <v>19</v>
      </c>
      <c r="B4824" s="37">
        <v>45443</v>
      </c>
      <c r="C4824" s="36" t="s">
        <v>2116</v>
      </c>
      <c r="D4824" s="36" t="s">
        <v>2117</v>
      </c>
      <c r="E4824" s="36" t="s">
        <v>2157</v>
      </c>
      <c r="G4824" s="87">
        <v>973000</v>
      </c>
      <c r="H4824" s="87">
        <v>97300</v>
      </c>
      <c r="I4824" s="87">
        <v>1070300</v>
      </c>
      <c r="K4824" s="85">
        <v>2024</v>
      </c>
      <c r="L4824" s="85">
        <v>5</v>
      </c>
      <c r="N4824" s="1" t="s">
        <v>44</v>
      </c>
    </row>
    <row r="4825" spans="1:14">
      <c r="A4825" s="36" t="s">
        <v>32</v>
      </c>
      <c r="B4825" s="37">
        <v>45448</v>
      </c>
      <c r="C4825" s="36" t="s">
        <v>654</v>
      </c>
      <c r="D4825" s="36" t="s">
        <v>1897</v>
      </c>
      <c r="E4825" s="36" t="s">
        <v>148</v>
      </c>
      <c r="J4825" s="87">
        <v>18450540.900000002</v>
      </c>
      <c r="K4825" s="85">
        <v>2024</v>
      </c>
      <c r="L4825" s="85">
        <v>1</v>
      </c>
      <c r="N4825" s="1" t="s">
        <v>44</v>
      </c>
    </row>
    <row r="4826" spans="1:14">
      <c r="A4826" s="36" t="s">
        <v>32</v>
      </c>
      <c r="B4826" s="37">
        <v>45448</v>
      </c>
      <c r="C4826" s="36" t="s">
        <v>654</v>
      </c>
      <c r="D4826" s="36" t="s">
        <v>2158</v>
      </c>
      <c r="E4826" s="36" t="s">
        <v>148</v>
      </c>
      <c r="J4826" s="87">
        <v>38484000</v>
      </c>
      <c r="K4826" s="85">
        <v>2024</v>
      </c>
      <c r="L4826" s="85">
        <v>4</v>
      </c>
      <c r="N4826" s="1" t="s">
        <v>44</v>
      </c>
    </row>
    <row r="4827" spans="1:14">
      <c r="A4827" s="36" t="s">
        <v>32</v>
      </c>
      <c r="B4827" s="37">
        <v>45448</v>
      </c>
      <c r="C4827" s="36" t="s">
        <v>654</v>
      </c>
      <c r="D4827" s="36" t="s">
        <v>1898</v>
      </c>
      <c r="E4827" s="36" t="s">
        <v>77</v>
      </c>
      <c r="J4827" s="38">
        <v>7128964</v>
      </c>
      <c r="K4827" s="85">
        <v>2024</v>
      </c>
      <c r="L4827" s="85">
        <v>1</v>
      </c>
      <c r="M4827" s="36" t="s">
        <v>2159</v>
      </c>
      <c r="N4827" s="1" t="s">
        <v>44</v>
      </c>
    </row>
    <row r="4828" spans="1:14">
      <c r="A4828" s="36" t="s">
        <v>32</v>
      </c>
      <c r="B4828" s="37">
        <v>45448</v>
      </c>
      <c r="C4828" s="36" t="s">
        <v>654</v>
      </c>
      <c r="D4828" s="36" t="s">
        <v>2074</v>
      </c>
      <c r="E4828" s="36" t="s">
        <v>148</v>
      </c>
      <c r="J4828" s="87">
        <v>13677312</v>
      </c>
      <c r="K4828" s="85">
        <v>2024</v>
      </c>
      <c r="L4828" s="85">
        <v>4</v>
      </c>
      <c r="N4828" s="1" t="s">
        <v>44</v>
      </c>
    </row>
    <row r="4829" spans="1:14">
      <c r="A4829" s="36" t="s">
        <v>33</v>
      </c>
      <c r="B4829" s="37">
        <v>45443</v>
      </c>
      <c r="C4829" s="36" t="s">
        <v>2006</v>
      </c>
      <c r="D4829" s="36" t="s">
        <v>2160</v>
      </c>
      <c r="E4829" s="36" t="s">
        <v>1394</v>
      </c>
      <c r="G4829" s="87">
        <v>15548250</v>
      </c>
      <c r="H4829" s="87">
        <v>1554825</v>
      </c>
      <c r="I4829" s="87">
        <v>17103075</v>
      </c>
      <c r="K4829" s="85">
        <v>2024</v>
      </c>
      <c r="L4829" s="85">
        <v>5</v>
      </c>
      <c r="N4829" s="1" t="s">
        <v>44</v>
      </c>
    </row>
    <row r="4830" spans="1:14">
      <c r="A4830" s="36" t="s">
        <v>33</v>
      </c>
      <c r="B4830" s="37">
        <v>45443</v>
      </c>
      <c r="C4830" s="36" t="s">
        <v>2122</v>
      </c>
      <c r="D4830" s="36" t="s">
        <v>1921</v>
      </c>
      <c r="E4830" s="36" t="s">
        <v>143</v>
      </c>
      <c r="G4830" s="87">
        <v>1470000</v>
      </c>
      <c r="H4830" s="87">
        <v>147000</v>
      </c>
      <c r="I4830" s="87">
        <v>1617000</v>
      </c>
      <c r="K4830" s="85">
        <v>2024</v>
      </c>
      <c r="L4830" s="85">
        <v>5</v>
      </c>
      <c r="N4830" s="1" t="s">
        <v>44</v>
      </c>
    </row>
    <row r="4831" spans="1:14">
      <c r="A4831" s="36" t="s">
        <v>33</v>
      </c>
      <c r="B4831" s="37">
        <v>45443</v>
      </c>
      <c r="C4831" s="36" t="s">
        <v>2050</v>
      </c>
      <c r="D4831" s="36" t="s">
        <v>1423</v>
      </c>
      <c r="E4831" s="36" t="s">
        <v>472</v>
      </c>
      <c r="G4831" s="87">
        <v>1076364</v>
      </c>
      <c r="H4831" s="87">
        <v>107636.40000000001</v>
      </c>
      <c r="I4831" s="87">
        <v>1184000.3999999999</v>
      </c>
      <c r="K4831" s="85">
        <v>2024</v>
      </c>
      <c r="L4831" s="85">
        <v>5</v>
      </c>
      <c r="N4831" s="1" t="s">
        <v>44</v>
      </c>
    </row>
    <row r="4832" spans="1:14">
      <c r="A4832" s="36" t="s">
        <v>33</v>
      </c>
      <c r="B4832" s="37">
        <v>45443</v>
      </c>
      <c r="C4832" s="36" t="s">
        <v>1919</v>
      </c>
      <c r="D4832" s="36" t="s">
        <v>1754</v>
      </c>
      <c r="E4832" s="36" t="s">
        <v>2115</v>
      </c>
      <c r="G4832" s="87">
        <v>7170000</v>
      </c>
      <c r="H4832" s="87">
        <v>717000</v>
      </c>
      <c r="I4832" s="87">
        <v>7887000</v>
      </c>
      <c r="K4832" s="85">
        <v>2024</v>
      </c>
      <c r="L4832" s="85">
        <v>5</v>
      </c>
      <c r="N4832" s="1" t="s">
        <v>44</v>
      </c>
    </row>
    <row r="4833" spans="1:14">
      <c r="A4833" s="36" t="s">
        <v>33</v>
      </c>
      <c r="B4833" s="37">
        <v>45450</v>
      </c>
      <c r="C4833" s="36" t="s">
        <v>912</v>
      </c>
      <c r="D4833" s="36" t="s">
        <v>2161</v>
      </c>
      <c r="E4833" s="36" t="s">
        <v>447</v>
      </c>
      <c r="G4833" s="87">
        <v>12929526</v>
      </c>
      <c r="H4833" s="87">
        <v>1292952</v>
      </c>
      <c r="I4833" s="87">
        <v>14222478</v>
      </c>
      <c r="K4833" s="85">
        <v>2024</v>
      </c>
      <c r="L4833" s="85">
        <v>6</v>
      </c>
      <c r="N4833" s="1" t="s">
        <v>44</v>
      </c>
    </row>
    <row r="4834" spans="1:14">
      <c r="A4834" s="36" t="s">
        <v>33</v>
      </c>
      <c r="B4834" s="37">
        <v>45450</v>
      </c>
      <c r="C4834" s="36" t="s">
        <v>912</v>
      </c>
      <c r="D4834" s="36" t="s">
        <v>2161</v>
      </c>
      <c r="E4834" s="36" t="s">
        <v>77</v>
      </c>
      <c r="J4834" s="38">
        <v>14222478</v>
      </c>
      <c r="K4834" s="85">
        <v>2024</v>
      </c>
      <c r="L4834" s="85">
        <v>6</v>
      </c>
      <c r="N4834" s="1" t="s">
        <v>44</v>
      </c>
    </row>
    <row r="4835" spans="1:14">
      <c r="A4835" s="36" t="s">
        <v>32</v>
      </c>
      <c r="B4835" s="37">
        <v>45450</v>
      </c>
      <c r="C4835" s="36" t="s">
        <v>654</v>
      </c>
      <c r="D4835" s="36" t="s">
        <v>2132</v>
      </c>
      <c r="E4835" s="36" t="s">
        <v>148</v>
      </c>
      <c r="J4835" s="87">
        <v>13235310</v>
      </c>
      <c r="K4835" s="85">
        <v>2024</v>
      </c>
      <c r="L4835" s="85">
        <v>4</v>
      </c>
      <c r="N4835" s="1" t="s">
        <v>44</v>
      </c>
    </row>
    <row r="4836" spans="1:14">
      <c r="A4836" s="36" t="s">
        <v>33</v>
      </c>
      <c r="B4836" s="37">
        <v>45443</v>
      </c>
      <c r="C4836" s="36" t="s">
        <v>2109</v>
      </c>
      <c r="D4836" s="36" t="s">
        <v>1915</v>
      </c>
      <c r="E4836" s="36" t="s">
        <v>2163</v>
      </c>
      <c r="G4836" s="87">
        <v>637000</v>
      </c>
      <c r="H4836" s="87">
        <v>63700</v>
      </c>
      <c r="I4836" s="87">
        <v>700700</v>
      </c>
      <c r="K4836" s="85">
        <v>2024</v>
      </c>
      <c r="L4836" s="85">
        <v>5</v>
      </c>
      <c r="N4836" s="1" t="s">
        <v>44</v>
      </c>
    </row>
    <row r="4837" spans="1:14">
      <c r="A4837" s="36" t="s">
        <v>33</v>
      </c>
      <c r="B4837" s="37">
        <v>45443</v>
      </c>
      <c r="C4837" s="36" t="s">
        <v>1391</v>
      </c>
      <c r="D4837" s="36" t="s">
        <v>2164</v>
      </c>
      <c r="E4837" s="36" t="s">
        <v>1528</v>
      </c>
      <c r="G4837" s="87">
        <v>18487000</v>
      </c>
      <c r="H4837" s="87">
        <v>1848700</v>
      </c>
      <c r="I4837" s="87">
        <v>20335700</v>
      </c>
      <c r="K4837" s="85">
        <v>2024</v>
      </c>
      <c r="L4837" s="85">
        <v>5</v>
      </c>
      <c r="N4837" s="1" t="s">
        <v>44</v>
      </c>
    </row>
    <row r="4838" spans="1:14">
      <c r="A4838" s="36" t="s">
        <v>33</v>
      </c>
      <c r="B4838" s="37">
        <v>45443</v>
      </c>
      <c r="C4838" s="36" t="s">
        <v>1391</v>
      </c>
      <c r="D4838" s="36" t="s">
        <v>197</v>
      </c>
      <c r="E4838" s="36" t="s">
        <v>1528</v>
      </c>
      <c r="G4838" s="87">
        <v>13002000</v>
      </c>
      <c r="H4838" s="87">
        <v>1300200</v>
      </c>
      <c r="I4838" s="87">
        <v>14302200</v>
      </c>
      <c r="K4838" s="85">
        <v>2024</v>
      </c>
      <c r="L4838" s="85">
        <v>5</v>
      </c>
      <c r="N4838" s="1" t="s">
        <v>44</v>
      </c>
    </row>
    <row r="4839" spans="1:14">
      <c r="A4839" s="36" t="s">
        <v>32</v>
      </c>
      <c r="B4839" s="37">
        <v>45453</v>
      </c>
      <c r="C4839" s="36" t="s">
        <v>664</v>
      </c>
      <c r="D4839" s="36" t="s">
        <v>2076</v>
      </c>
      <c r="E4839" s="36" t="s">
        <v>148</v>
      </c>
      <c r="J4839" s="87">
        <v>12313400</v>
      </c>
      <c r="K4839" s="85">
        <v>2024</v>
      </c>
      <c r="L4839" s="85">
        <v>4</v>
      </c>
      <c r="N4839" s="1" t="s">
        <v>44</v>
      </c>
    </row>
    <row r="4840" spans="1:14">
      <c r="A4840" s="36" t="s">
        <v>32</v>
      </c>
      <c r="B4840" s="37">
        <v>45453</v>
      </c>
      <c r="C4840" s="36" t="s">
        <v>1467</v>
      </c>
      <c r="D4840" s="36" t="s">
        <v>1813</v>
      </c>
      <c r="E4840" s="36" t="s">
        <v>148</v>
      </c>
      <c r="J4840" s="87">
        <v>3740000</v>
      </c>
      <c r="K4840" s="85">
        <v>2024</v>
      </c>
      <c r="L4840" s="85">
        <v>4</v>
      </c>
      <c r="M4840" s="36" t="s">
        <v>2165</v>
      </c>
      <c r="N4840" s="1" t="s">
        <v>44</v>
      </c>
    </row>
    <row r="4841" spans="1:14">
      <c r="A4841" s="36" t="s">
        <v>32</v>
      </c>
      <c r="B4841" s="37">
        <v>45453</v>
      </c>
      <c r="C4841" s="36" t="s">
        <v>1467</v>
      </c>
      <c r="D4841" s="36" t="s">
        <v>1676</v>
      </c>
      <c r="E4841" s="36" t="s">
        <v>148</v>
      </c>
      <c r="J4841" s="87">
        <v>2277000</v>
      </c>
      <c r="K4841" s="85">
        <v>2024</v>
      </c>
      <c r="L4841" s="85">
        <v>4</v>
      </c>
      <c r="M4841" s="36" t="s">
        <v>2165</v>
      </c>
      <c r="N4841" s="1" t="s">
        <v>44</v>
      </c>
    </row>
    <row r="4842" spans="1:14">
      <c r="A4842" s="36" t="s">
        <v>32</v>
      </c>
      <c r="B4842" s="37">
        <v>45413</v>
      </c>
      <c r="C4842" s="36" t="s">
        <v>1587</v>
      </c>
      <c r="D4842" s="36" t="s">
        <v>2185</v>
      </c>
      <c r="E4842" s="36" t="s">
        <v>267</v>
      </c>
      <c r="G4842" s="87">
        <v>25000000</v>
      </c>
      <c r="H4842" s="87">
        <v>2500000</v>
      </c>
      <c r="I4842" s="87">
        <v>27500000</v>
      </c>
      <c r="K4842" s="85">
        <v>2024</v>
      </c>
      <c r="L4842" s="85">
        <v>5</v>
      </c>
      <c r="N4842" s="1" t="s">
        <v>44</v>
      </c>
    </row>
    <row r="4843" spans="1:14">
      <c r="A4843" s="36" t="s">
        <v>32</v>
      </c>
      <c r="B4843" s="37">
        <v>45441</v>
      </c>
      <c r="C4843" s="36" t="s">
        <v>204</v>
      </c>
      <c r="D4843" s="36" t="s">
        <v>2186</v>
      </c>
      <c r="E4843" s="36" t="s">
        <v>76</v>
      </c>
      <c r="G4843" s="87">
        <v>3645000</v>
      </c>
      <c r="H4843" s="87">
        <v>364500</v>
      </c>
      <c r="I4843" s="87">
        <v>4009500</v>
      </c>
      <c r="K4843" s="85">
        <v>2024</v>
      </c>
      <c r="L4843" s="85">
        <v>5</v>
      </c>
      <c r="N4843" s="1" t="s">
        <v>44</v>
      </c>
    </row>
    <row r="4844" spans="1:14">
      <c r="A4844" s="36" t="s">
        <v>32</v>
      </c>
      <c r="B4844" s="37">
        <v>45443</v>
      </c>
      <c r="C4844" s="36" t="s">
        <v>1468</v>
      </c>
      <c r="D4844" s="36" t="s">
        <v>2066</v>
      </c>
      <c r="E4844" s="36" t="s">
        <v>267</v>
      </c>
      <c r="G4844" s="87">
        <v>19377750</v>
      </c>
      <c r="H4844" s="87">
        <v>1937775</v>
      </c>
      <c r="I4844" s="87">
        <v>21315525</v>
      </c>
      <c r="K4844" s="85">
        <v>2024</v>
      </c>
      <c r="L4844" s="85">
        <v>5</v>
      </c>
      <c r="N4844" s="1" t="s">
        <v>44</v>
      </c>
    </row>
    <row r="4845" spans="1:14">
      <c r="A4845" s="36" t="s">
        <v>32</v>
      </c>
      <c r="B4845" s="37">
        <v>45443</v>
      </c>
      <c r="C4845" s="36" t="s">
        <v>1468</v>
      </c>
      <c r="D4845" s="36" t="s">
        <v>2067</v>
      </c>
      <c r="E4845" s="36" t="s">
        <v>1492</v>
      </c>
      <c r="G4845" s="87">
        <v>6240300</v>
      </c>
      <c r="H4845" s="87">
        <v>624030</v>
      </c>
      <c r="I4845" s="87">
        <v>6864330</v>
      </c>
      <c r="K4845" s="85">
        <v>2024</v>
      </c>
      <c r="L4845" s="85">
        <v>5</v>
      </c>
      <c r="N4845" s="1" t="s">
        <v>44</v>
      </c>
    </row>
    <row r="4846" spans="1:14">
      <c r="A4846" s="36" t="s">
        <v>32</v>
      </c>
      <c r="B4846" s="37">
        <v>45443</v>
      </c>
      <c r="C4846" s="36" t="s">
        <v>1468</v>
      </c>
      <c r="D4846" s="36" t="s">
        <v>1915</v>
      </c>
      <c r="E4846" s="36" t="s">
        <v>267</v>
      </c>
      <c r="G4846" s="87">
        <v>40482500</v>
      </c>
      <c r="H4846" s="87">
        <v>4048250</v>
      </c>
      <c r="I4846" s="87">
        <v>44530750</v>
      </c>
      <c r="K4846" s="85">
        <v>2024</v>
      </c>
      <c r="L4846" s="85">
        <v>5</v>
      </c>
      <c r="N4846" s="1" t="s">
        <v>44</v>
      </c>
    </row>
    <row r="4847" spans="1:14">
      <c r="A4847" s="36" t="s">
        <v>32</v>
      </c>
      <c r="B4847" s="37">
        <v>45443</v>
      </c>
      <c r="C4847" s="36" t="s">
        <v>1468</v>
      </c>
      <c r="D4847" s="36" t="s">
        <v>2071</v>
      </c>
      <c r="E4847" s="36" t="s">
        <v>76</v>
      </c>
      <c r="G4847" s="87">
        <v>89597130</v>
      </c>
      <c r="H4847" s="87">
        <v>8959713</v>
      </c>
      <c r="I4847" s="87">
        <v>98556843</v>
      </c>
      <c r="K4847" s="85">
        <v>2024</v>
      </c>
      <c r="L4847" s="85">
        <v>5</v>
      </c>
      <c r="N4847" s="1" t="s">
        <v>44</v>
      </c>
    </row>
    <row r="4848" spans="1:14">
      <c r="A4848" s="36" t="s">
        <v>32</v>
      </c>
      <c r="B4848" s="37">
        <v>45443</v>
      </c>
      <c r="C4848" s="36" t="s">
        <v>1468</v>
      </c>
      <c r="D4848" s="36" t="s">
        <v>2072</v>
      </c>
      <c r="E4848" s="36" t="s">
        <v>267</v>
      </c>
      <c r="G4848" s="87">
        <v>12194820</v>
      </c>
      <c r="H4848" s="87">
        <v>1219482</v>
      </c>
      <c r="I4848" s="87">
        <v>13414302</v>
      </c>
      <c r="K4848" s="85">
        <v>2024</v>
      </c>
      <c r="L4848" s="85">
        <v>5</v>
      </c>
      <c r="N4848" s="1" t="s">
        <v>44</v>
      </c>
    </row>
    <row r="4849" spans="1:14">
      <c r="A4849" s="36" t="s">
        <v>32</v>
      </c>
      <c r="B4849" s="37">
        <v>45443</v>
      </c>
      <c r="C4849" s="36" t="s">
        <v>209</v>
      </c>
      <c r="D4849" s="36" t="s">
        <v>2065</v>
      </c>
      <c r="E4849" s="36" t="s">
        <v>76</v>
      </c>
      <c r="G4849" s="87">
        <v>101360000</v>
      </c>
      <c r="H4849" s="87">
        <v>10136000</v>
      </c>
      <c r="I4849" s="87">
        <v>111496000</v>
      </c>
      <c r="K4849" s="85">
        <v>2024</v>
      </c>
      <c r="L4849" s="85">
        <v>5</v>
      </c>
      <c r="N4849" s="1" t="s">
        <v>44</v>
      </c>
    </row>
    <row r="4850" spans="1:14">
      <c r="A4850" s="36" t="s">
        <v>32</v>
      </c>
      <c r="B4850" s="37">
        <v>45443</v>
      </c>
      <c r="C4850" s="36" t="s">
        <v>209</v>
      </c>
      <c r="D4850" s="36" t="s">
        <v>1866</v>
      </c>
      <c r="E4850" s="36" t="s">
        <v>76</v>
      </c>
      <c r="G4850" s="87">
        <v>119170980</v>
      </c>
      <c r="H4850" s="87">
        <v>11917098</v>
      </c>
      <c r="I4850" s="87">
        <v>131088078</v>
      </c>
      <c r="K4850" s="85">
        <v>2024</v>
      </c>
      <c r="L4850" s="85">
        <v>5</v>
      </c>
      <c r="N4850" s="1" t="s">
        <v>44</v>
      </c>
    </row>
    <row r="4851" spans="1:14">
      <c r="A4851" s="36" t="s">
        <v>32</v>
      </c>
      <c r="B4851" s="37">
        <v>45443</v>
      </c>
      <c r="C4851" s="36" t="s">
        <v>209</v>
      </c>
      <c r="D4851" s="36" t="s">
        <v>2024</v>
      </c>
      <c r="E4851" s="36" t="s">
        <v>1492</v>
      </c>
      <c r="G4851" s="87">
        <v>57463080</v>
      </c>
      <c r="H4851" s="87">
        <v>5746308</v>
      </c>
      <c r="I4851" s="87">
        <v>63209388</v>
      </c>
      <c r="K4851" s="85">
        <v>2024</v>
      </c>
      <c r="L4851" s="85">
        <v>5</v>
      </c>
      <c r="N4851" s="1" t="s">
        <v>44</v>
      </c>
    </row>
    <row r="4852" spans="1:14">
      <c r="A4852" s="36" t="s">
        <v>32</v>
      </c>
      <c r="B4852" s="37">
        <v>45443</v>
      </c>
      <c r="C4852" s="36" t="s">
        <v>209</v>
      </c>
      <c r="D4852" s="36" t="s">
        <v>2001</v>
      </c>
      <c r="E4852" s="36" t="s">
        <v>76</v>
      </c>
      <c r="G4852" s="87">
        <v>77435600</v>
      </c>
      <c r="H4852" s="87">
        <v>7743560</v>
      </c>
      <c r="I4852" s="87">
        <v>85179160</v>
      </c>
      <c r="K4852" s="85">
        <v>2024</v>
      </c>
      <c r="L4852" s="85">
        <v>5</v>
      </c>
      <c r="N4852" s="1" t="s">
        <v>44</v>
      </c>
    </row>
    <row r="4853" spans="1:14">
      <c r="A4853" s="36" t="s">
        <v>32</v>
      </c>
      <c r="B4853" s="37">
        <v>45443</v>
      </c>
      <c r="C4853" s="36" t="s">
        <v>209</v>
      </c>
      <c r="D4853" s="36" t="s">
        <v>2171</v>
      </c>
      <c r="E4853" s="36" t="s">
        <v>1492</v>
      </c>
      <c r="G4853" s="87">
        <v>7098600</v>
      </c>
      <c r="H4853" s="87">
        <v>709860</v>
      </c>
      <c r="I4853" s="87">
        <v>7808460</v>
      </c>
      <c r="K4853" s="85">
        <v>2024</v>
      </c>
      <c r="L4853" s="85">
        <v>5</v>
      </c>
      <c r="N4853" s="1" t="s">
        <v>44</v>
      </c>
    </row>
    <row r="4854" spans="1:14">
      <c r="A4854" s="36" t="s">
        <v>32</v>
      </c>
      <c r="B4854" s="37">
        <v>45443</v>
      </c>
      <c r="C4854" s="36" t="s">
        <v>654</v>
      </c>
      <c r="D4854" s="36" t="s">
        <v>2073</v>
      </c>
      <c r="E4854" s="36" t="s">
        <v>76</v>
      </c>
      <c r="G4854" s="87">
        <v>15856800</v>
      </c>
      <c r="H4854" s="87">
        <v>1585680</v>
      </c>
      <c r="I4854" s="87">
        <v>17442480</v>
      </c>
      <c r="K4854" s="85">
        <v>2024</v>
      </c>
      <c r="L4854" s="85">
        <v>5</v>
      </c>
      <c r="N4854" s="1" t="s">
        <v>44</v>
      </c>
    </row>
    <row r="4855" spans="1:14">
      <c r="A4855" s="36" t="s">
        <v>32</v>
      </c>
      <c r="B4855" s="37">
        <v>45443</v>
      </c>
      <c r="C4855" s="36" t="s">
        <v>654</v>
      </c>
      <c r="D4855" s="36" t="s">
        <v>1941</v>
      </c>
      <c r="E4855" s="36" t="s">
        <v>76</v>
      </c>
      <c r="G4855" s="87">
        <v>19134620</v>
      </c>
      <c r="H4855" s="87">
        <v>1913462</v>
      </c>
      <c r="I4855" s="87">
        <v>21048082</v>
      </c>
      <c r="K4855" s="85">
        <v>2024</v>
      </c>
      <c r="L4855" s="85">
        <v>5</v>
      </c>
      <c r="N4855" s="1" t="s">
        <v>44</v>
      </c>
    </row>
    <row r="4856" spans="1:14">
      <c r="A4856" s="36" t="s">
        <v>32</v>
      </c>
      <c r="B4856" s="37">
        <v>45443</v>
      </c>
      <c r="C4856" s="36" t="s">
        <v>654</v>
      </c>
      <c r="D4856" s="36" t="s">
        <v>2132</v>
      </c>
      <c r="E4856" s="36" t="s">
        <v>76</v>
      </c>
      <c r="G4856" s="87">
        <v>8021400</v>
      </c>
      <c r="H4856" s="87">
        <v>802140</v>
      </c>
      <c r="I4856" s="87">
        <v>8823540</v>
      </c>
      <c r="K4856" s="85">
        <v>2024</v>
      </c>
      <c r="L4856" s="85">
        <v>5</v>
      </c>
      <c r="N4856" s="1" t="s">
        <v>44</v>
      </c>
    </row>
    <row r="4857" spans="1:14">
      <c r="A4857" s="36" t="s">
        <v>32</v>
      </c>
      <c r="B4857" s="37">
        <v>45443</v>
      </c>
      <c r="C4857" s="36" t="s">
        <v>654</v>
      </c>
      <c r="D4857" s="36" t="s">
        <v>1754</v>
      </c>
      <c r="E4857" s="36" t="s">
        <v>76</v>
      </c>
      <c r="G4857" s="87">
        <v>216587105</v>
      </c>
      <c r="H4857" s="87">
        <v>21658710.5</v>
      </c>
      <c r="I4857" s="87">
        <v>238245815.5</v>
      </c>
      <c r="K4857" s="85">
        <v>2024</v>
      </c>
      <c r="L4857" s="85">
        <v>5</v>
      </c>
      <c r="N4857" s="1" t="s">
        <v>44</v>
      </c>
    </row>
    <row r="4858" spans="1:14">
      <c r="A4858" s="36" t="s">
        <v>32</v>
      </c>
      <c r="B4858" s="37">
        <v>45443</v>
      </c>
      <c r="C4858" s="36" t="s">
        <v>654</v>
      </c>
      <c r="D4858" s="36" t="s">
        <v>1899</v>
      </c>
      <c r="E4858" s="36" t="s">
        <v>76</v>
      </c>
      <c r="G4858" s="87">
        <v>23823000</v>
      </c>
      <c r="H4858" s="87">
        <v>2382300</v>
      </c>
      <c r="I4858" s="87">
        <v>26205300</v>
      </c>
      <c r="K4858" s="85">
        <v>2024</v>
      </c>
      <c r="L4858" s="85">
        <v>5</v>
      </c>
      <c r="N4858" s="1" t="s">
        <v>44</v>
      </c>
    </row>
    <row r="4859" spans="1:14">
      <c r="A4859" s="36" t="s">
        <v>32</v>
      </c>
      <c r="B4859" s="37">
        <v>45443</v>
      </c>
      <c r="C4859" s="36" t="s">
        <v>1880</v>
      </c>
      <c r="D4859" s="36" t="s">
        <v>2078</v>
      </c>
      <c r="E4859" s="36" t="s">
        <v>76</v>
      </c>
      <c r="G4859" s="87">
        <v>18200000</v>
      </c>
      <c r="H4859" s="87">
        <v>1820000</v>
      </c>
      <c r="I4859" s="87">
        <v>20020000</v>
      </c>
      <c r="K4859" s="85">
        <v>2024</v>
      </c>
      <c r="L4859" s="85">
        <v>5</v>
      </c>
      <c r="N4859" s="1" t="s">
        <v>44</v>
      </c>
    </row>
    <row r="4860" spans="1:14">
      <c r="A4860" s="36" t="s">
        <v>32</v>
      </c>
      <c r="B4860" s="37">
        <v>45443</v>
      </c>
      <c r="C4860" s="36" t="s">
        <v>1164</v>
      </c>
      <c r="D4860" s="36" t="s">
        <v>2172</v>
      </c>
      <c r="E4860" s="36" t="s">
        <v>76</v>
      </c>
      <c r="G4860" s="87">
        <v>990000</v>
      </c>
      <c r="H4860" s="87">
        <v>99000</v>
      </c>
      <c r="I4860" s="87">
        <v>1089000</v>
      </c>
      <c r="K4860" s="85">
        <v>2024</v>
      </c>
      <c r="L4860" s="85">
        <v>5</v>
      </c>
      <c r="N4860" s="1" t="s">
        <v>44</v>
      </c>
    </row>
    <row r="4861" spans="1:14">
      <c r="A4861" s="36" t="s">
        <v>32</v>
      </c>
      <c r="B4861" s="37">
        <v>45443</v>
      </c>
      <c r="C4861" s="36" t="s">
        <v>2166</v>
      </c>
      <c r="D4861" s="36" t="s">
        <v>2173</v>
      </c>
      <c r="E4861" s="36" t="s">
        <v>76</v>
      </c>
      <c r="G4861" s="87">
        <v>586920</v>
      </c>
      <c r="H4861" s="87">
        <v>58692</v>
      </c>
      <c r="I4861" s="87">
        <v>645612</v>
      </c>
      <c r="K4861" s="85">
        <v>2024</v>
      </c>
      <c r="L4861" s="85">
        <v>5</v>
      </c>
      <c r="N4861" s="1" t="s">
        <v>44</v>
      </c>
    </row>
    <row r="4862" spans="1:14">
      <c r="A4862" s="36" t="s">
        <v>32</v>
      </c>
      <c r="B4862" s="37">
        <v>45443</v>
      </c>
      <c r="C4862" s="36" t="s">
        <v>2167</v>
      </c>
      <c r="D4862" s="36" t="s">
        <v>2174</v>
      </c>
      <c r="E4862" s="36" t="s">
        <v>76</v>
      </c>
      <c r="G4862" s="87">
        <v>3600000</v>
      </c>
      <c r="H4862" s="87">
        <v>360000</v>
      </c>
      <c r="I4862" s="87">
        <v>3960000</v>
      </c>
      <c r="K4862" s="85">
        <v>2024</v>
      </c>
      <c r="L4862" s="85">
        <v>5</v>
      </c>
      <c r="N4862" s="1" t="s">
        <v>44</v>
      </c>
    </row>
    <row r="4863" spans="1:14">
      <c r="A4863" s="36" t="s">
        <v>32</v>
      </c>
      <c r="B4863" s="37">
        <v>45443</v>
      </c>
      <c r="C4863" s="36" t="s">
        <v>1470</v>
      </c>
      <c r="D4863" s="36" t="s">
        <v>1821</v>
      </c>
      <c r="E4863" s="36" t="s">
        <v>76</v>
      </c>
      <c r="G4863" s="87">
        <v>216876620</v>
      </c>
      <c r="H4863" s="87">
        <v>21687662</v>
      </c>
      <c r="I4863" s="87">
        <v>238564282</v>
      </c>
      <c r="K4863" s="85">
        <v>2024</v>
      </c>
      <c r="L4863" s="85">
        <v>5</v>
      </c>
      <c r="N4863" s="1" t="s">
        <v>44</v>
      </c>
    </row>
    <row r="4864" spans="1:14">
      <c r="A4864" s="36" t="s">
        <v>32</v>
      </c>
      <c r="B4864" s="37">
        <v>45443</v>
      </c>
      <c r="C4864" s="36" t="s">
        <v>1467</v>
      </c>
      <c r="D4864" s="36" t="s">
        <v>1869</v>
      </c>
      <c r="E4864" s="36" t="s">
        <v>267</v>
      </c>
      <c r="G4864" s="87">
        <v>4554600</v>
      </c>
      <c r="H4864" s="87">
        <v>455460</v>
      </c>
      <c r="I4864" s="87">
        <v>5010060</v>
      </c>
      <c r="K4864" s="85">
        <v>2024</v>
      </c>
      <c r="L4864" s="85">
        <v>5</v>
      </c>
      <c r="N4864" s="1" t="s">
        <v>44</v>
      </c>
    </row>
    <row r="4865" spans="1:14">
      <c r="A4865" s="36" t="s">
        <v>32</v>
      </c>
      <c r="B4865" s="37">
        <v>45443</v>
      </c>
      <c r="C4865" s="36" t="s">
        <v>1933</v>
      </c>
      <c r="D4865" s="36" t="s">
        <v>2098</v>
      </c>
      <c r="E4865" s="36" t="s">
        <v>2305</v>
      </c>
      <c r="G4865" s="87">
        <v>18195000</v>
      </c>
      <c r="H4865" s="87">
        <v>1819500</v>
      </c>
      <c r="I4865" s="87">
        <v>20014500</v>
      </c>
      <c r="K4865" s="85">
        <v>2024</v>
      </c>
      <c r="L4865" s="85">
        <v>5</v>
      </c>
      <c r="N4865" s="1" t="s">
        <v>44</v>
      </c>
    </row>
    <row r="4866" spans="1:14">
      <c r="A4866" s="36" t="s">
        <v>32</v>
      </c>
      <c r="B4866" s="37">
        <v>45443</v>
      </c>
      <c r="C4866" s="36" t="s">
        <v>1531</v>
      </c>
      <c r="D4866" s="36" t="s">
        <v>2187</v>
      </c>
      <c r="E4866" s="36" t="s">
        <v>1492</v>
      </c>
      <c r="G4866" s="87">
        <v>7716000</v>
      </c>
      <c r="H4866" s="87">
        <v>771600</v>
      </c>
      <c r="I4866" s="87">
        <v>8487600</v>
      </c>
      <c r="K4866" s="85">
        <v>2024</v>
      </c>
      <c r="L4866" s="85">
        <v>5</v>
      </c>
      <c r="N4866" s="1" t="s">
        <v>44</v>
      </c>
    </row>
    <row r="4867" spans="1:14">
      <c r="A4867" s="36" t="s">
        <v>32</v>
      </c>
      <c r="B4867" s="37">
        <v>45443</v>
      </c>
      <c r="C4867" s="36" t="s">
        <v>2063</v>
      </c>
      <c r="D4867" s="36" t="s">
        <v>2235</v>
      </c>
      <c r="E4867" s="36" t="s">
        <v>1492</v>
      </c>
      <c r="G4867" s="87">
        <v>33584200</v>
      </c>
      <c r="H4867" s="87">
        <v>3358420</v>
      </c>
      <c r="I4867" s="87">
        <v>36942620</v>
      </c>
      <c r="K4867" s="85">
        <v>2024</v>
      </c>
      <c r="L4867" s="85">
        <v>5</v>
      </c>
      <c r="N4867" s="1" t="s">
        <v>44</v>
      </c>
    </row>
    <row r="4868" spans="1:14">
      <c r="A4868" s="36" t="s">
        <v>32</v>
      </c>
      <c r="B4868" s="37">
        <v>45443</v>
      </c>
      <c r="C4868" s="36" t="s">
        <v>1198</v>
      </c>
      <c r="D4868" s="36" t="s">
        <v>2175</v>
      </c>
      <c r="E4868" s="36" t="s">
        <v>267</v>
      </c>
      <c r="G4868" s="87">
        <v>5557200</v>
      </c>
      <c r="H4868" s="87">
        <v>555720</v>
      </c>
      <c r="I4868" s="87">
        <v>6112920</v>
      </c>
      <c r="K4868" s="85">
        <v>2024</v>
      </c>
      <c r="L4868" s="85">
        <v>5</v>
      </c>
      <c r="N4868" s="1" t="s">
        <v>44</v>
      </c>
    </row>
    <row r="4869" spans="1:14">
      <c r="A4869" s="36" t="s">
        <v>32</v>
      </c>
      <c r="B4869" s="37">
        <v>45443</v>
      </c>
      <c r="C4869" s="36" t="s">
        <v>1198</v>
      </c>
      <c r="D4869" s="36" t="s">
        <v>2176</v>
      </c>
      <c r="E4869" s="36" t="s">
        <v>267</v>
      </c>
      <c r="G4869" s="87">
        <v>3075300</v>
      </c>
      <c r="H4869" s="87">
        <v>307530</v>
      </c>
      <c r="I4869" s="87">
        <v>3382830</v>
      </c>
      <c r="K4869" s="85">
        <v>2024</v>
      </c>
      <c r="L4869" s="85">
        <v>5</v>
      </c>
      <c r="N4869" s="1" t="s">
        <v>44</v>
      </c>
    </row>
    <row r="4870" spans="1:14">
      <c r="A4870" s="36" t="s">
        <v>32</v>
      </c>
      <c r="B4870" s="37">
        <v>45443</v>
      </c>
      <c r="C4870" s="36" t="s">
        <v>1198</v>
      </c>
      <c r="D4870" s="36" t="s">
        <v>2177</v>
      </c>
      <c r="E4870" s="36" t="s">
        <v>267</v>
      </c>
      <c r="G4870" s="87">
        <v>5982000</v>
      </c>
      <c r="H4870" s="87">
        <v>598200</v>
      </c>
      <c r="I4870" s="87">
        <v>6580200</v>
      </c>
      <c r="K4870" s="85">
        <v>2024</v>
      </c>
      <c r="L4870" s="85">
        <v>5</v>
      </c>
      <c r="N4870" s="1" t="s">
        <v>44</v>
      </c>
    </row>
    <row r="4871" spans="1:14">
      <c r="A4871" s="36" t="s">
        <v>32</v>
      </c>
      <c r="B4871" s="37">
        <v>45443</v>
      </c>
      <c r="C4871" s="36" t="s">
        <v>1198</v>
      </c>
      <c r="D4871" s="36" t="s">
        <v>2178</v>
      </c>
      <c r="E4871" s="36" t="s">
        <v>76</v>
      </c>
      <c r="G4871" s="87">
        <v>1422000</v>
      </c>
      <c r="H4871" s="87">
        <v>142200</v>
      </c>
      <c r="I4871" s="87">
        <v>1564200</v>
      </c>
      <c r="K4871" s="85">
        <v>2024</v>
      </c>
      <c r="L4871" s="85">
        <v>5</v>
      </c>
      <c r="N4871" s="1" t="s">
        <v>44</v>
      </c>
    </row>
    <row r="4872" spans="1:14">
      <c r="A4872" s="36" t="s">
        <v>32</v>
      </c>
      <c r="B4872" s="37">
        <v>45443</v>
      </c>
      <c r="C4872" s="36" t="s">
        <v>1587</v>
      </c>
      <c r="D4872" s="36" t="s">
        <v>2179</v>
      </c>
      <c r="E4872" s="36" t="s">
        <v>267</v>
      </c>
      <c r="G4872" s="87">
        <v>6196500</v>
      </c>
      <c r="H4872" s="87">
        <v>619650</v>
      </c>
      <c r="I4872" s="87">
        <v>6816150</v>
      </c>
      <c r="K4872" s="85">
        <v>2024</v>
      </c>
      <c r="L4872" s="85">
        <v>5</v>
      </c>
      <c r="N4872" s="1" t="s">
        <v>44</v>
      </c>
    </row>
    <row r="4873" spans="1:14">
      <c r="A4873" s="36" t="s">
        <v>32</v>
      </c>
      <c r="B4873" s="37">
        <v>45443</v>
      </c>
      <c r="C4873" s="36" t="s">
        <v>1587</v>
      </c>
      <c r="D4873" s="36" t="s">
        <v>1865</v>
      </c>
      <c r="E4873" s="36" t="s">
        <v>267</v>
      </c>
      <c r="G4873" s="87">
        <v>5921100</v>
      </c>
      <c r="H4873" s="87">
        <v>592110</v>
      </c>
      <c r="I4873" s="87">
        <v>6513210</v>
      </c>
      <c r="K4873" s="85">
        <v>2024</v>
      </c>
      <c r="L4873" s="85">
        <v>5</v>
      </c>
      <c r="N4873" s="1" t="s">
        <v>44</v>
      </c>
    </row>
    <row r="4874" spans="1:14">
      <c r="A4874" s="36" t="s">
        <v>32</v>
      </c>
      <c r="B4874" s="37">
        <v>45443</v>
      </c>
      <c r="C4874" s="36" t="s">
        <v>2168</v>
      </c>
      <c r="D4874" s="36" t="s">
        <v>2180</v>
      </c>
      <c r="E4874" s="36" t="s">
        <v>267</v>
      </c>
      <c r="G4874" s="87">
        <v>33426000</v>
      </c>
      <c r="H4874" s="87">
        <v>3342600</v>
      </c>
      <c r="I4874" s="87">
        <v>36768600</v>
      </c>
      <c r="K4874" s="85">
        <v>2024</v>
      </c>
      <c r="L4874" s="85">
        <v>5</v>
      </c>
      <c r="N4874" s="1" t="s">
        <v>44</v>
      </c>
    </row>
    <row r="4875" spans="1:14">
      <c r="A4875" s="36" t="s">
        <v>32</v>
      </c>
      <c r="B4875" s="37">
        <v>45443</v>
      </c>
      <c r="C4875" s="36" t="s">
        <v>664</v>
      </c>
      <c r="D4875" s="36" t="s">
        <v>2181</v>
      </c>
      <c r="E4875" s="36" t="s">
        <v>267</v>
      </c>
      <c r="G4875" s="87">
        <v>24650880</v>
      </c>
      <c r="H4875" s="87">
        <v>2465088</v>
      </c>
      <c r="I4875" s="87">
        <v>27115968</v>
      </c>
      <c r="K4875" s="85">
        <v>2024</v>
      </c>
      <c r="L4875" s="85">
        <v>5</v>
      </c>
      <c r="N4875" s="1" t="s">
        <v>44</v>
      </c>
    </row>
    <row r="4876" spans="1:14">
      <c r="A4876" s="36" t="s">
        <v>32</v>
      </c>
      <c r="B4876" s="37">
        <v>45443</v>
      </c>
      <c r="C4876" s="36" t="s">
        <v>654</v>
      </c>
      <c r="D4876" s="36" t="s">
        <v>2074</v>
      </c>
      <c r="E4876" s="36" t="s">
        <v>76</v>
      </c>
      <c r="G4876" s="87">
        <v>27552700</v>
      </c>
      <c r="H4876" s="87">
        <v>2755270</v>
      </c>
      <c r="I4876" s="87">
        <v>30307970</v>
      </c>
      <c r="K4876" s="85">
        <v>2024</v>
      </c>
      <c r="L4876" s="85">
        <v>5</v>
      </c>
      <c r="N4876" s="1" t="s">
        <v>44</v>
      </c>
    </row>
    <row r="4877" spans="1:14">
      <c r="A4877" s="36" t="s">
        <v>32</v>
      </c>
      <c r="B4877" s="37">
        <v>45443</v>
      </c>
      <c r="C4877" s="36" t="s">
        <v>2169</v>
      </c>
      <c r="D4877" s="36" t="s">
        <v>2182</v>
      </c>
      <c r="E4877" s="36" t="s">
        <v>267</v>
      </c>
      <c r="G4877" s="87">
        <v>9300000</v>
      </c>
      <c r="H4877" s="87">
        <v>930000</v>
      </c>
      <c r="I4877" s="87">
        <v>10230000</v>
      </c>
      <c r="K4877" s="85">
        <v>2024</v>
      </c>
      <c r="L4877" s="85">
        <v>5</v>
      </c>
      <c r="N4877" s="1" t="s">
        <v>44</v>
      </c>
    </row>
    <row r="4878" spans="1:14">
      <c r="A4878" s="36" t="s">
        <v>32</v>
      </c>
      <c r="B4878" s="37">
        <v>45443</v>
      </c>
      <c r="C4878" s="36" t="s">
        <v>1933</v>
      </c>
      <c r="D4878" s="36" t="s">
        <v>2097</v>
      </c>
      <c r="E4878" s="36" t="s">
        <v>267</v>
      </c>
      <c r="G4878" s="87">
        <v>39320000</v>
      </c>
      <c r="H4878" s="87">
        <v>3932000</v>
      </c>
      <c r="I4878" s="87">
        <v>43252000</v>
      </c>
      <c r="K4878" s="85">
        <v>2024</v>
      </c>
      <c r="L4878" s="85">
        <v>5</v>
      </c>
      <c r="N4878" s="1" t="s">
        <v>44</v>
      </c>
    </row>
    <row r="4879" spans="1:14">
      <c r="A4879" s="36" t="s">
        <v>32</v>
      </c>
      <c r="B4879" s="37">
        <v>45443</v>
      </c>
      <c r="C4879" s="36" t="s">
        <v>264</v>
      </c>
      <c r="D4879" s="36" t="s">
        <v>2183</v>
      </c>
      <c r="E4879" s="36" t="s">
        <v>76</v>
      </c>
      <c r="G4879" s="87">
        <v>33800000</v>
      </c>
      <c r="H4879" s="87">
        <v>3380000</v>
      </c>
      <c r="I4879" s="87">
        <v>37180000</v>
      </c>
      <c r="K4879" s="85">
        <v>2024</v>
      </c>
      <c r="L4879" s="85">
        <v>5</v>
      </c>
      <c r="N4879" s="1" t="s">
        <v>44</v>
      </c>
    </row>
    <row r="4880" spans="1:14">
      <c r="A4880" s="36" t="s">
        <v>32</v>
      </c>
      <c r="B4880" s="37">
        <v>45443</v>
      </c>
      <c r="C4880" s="36" t="s">
        <v>2062</v>
      </c>
      <c r="D4880" s="36" t="s">
        <v>2084</v>
      </c>
      <c r="E4880" s="36" t="s">
        <v>1492</v>
      </c>
      <c r="G4880" s="87">
        <v>20000000</v>
      </c>
      <c r="H4880" s="87">
        <v>2000000</v>
      </c>
      <c r="I4880" s="87">
        <v>22000000</v>
      </c>
      <c r="K4880" s="85">
        <v>2024</v>
      </c>
      <c r="L4880" s="85">
        <v>5</v>
      </c>
      <c r="N4880" s="1" t="s">
        <v>44</v>
      </c>
    </row>
    <row r="4881" spans="1:14">
      <c r="A4881" s="36" t="s">
        <v>32</v>
      </c>
      <c r="B4881" s="37">
        <v>45443</v>
      </c>
      <c r="C4881" s="36" t="s">
        <v>2170</v>
      </c>
      <c r="D4881" s="36" t="s">
        <v>2184</v>
      </c>
      <c r="E4881" s="36" t="s">
        <v>76</v>
      </c>
      <c r="G4881" s="87">
        <v>657600</v>
      </c>
      <c r="H4881" s="87">
        <v>65760</v>
      </c>
      <c r="I4881" s="87">
        <v>723360</v>
      </c>
      <c r="K4881" s="85">
        <v>2024</v>
      </c>
      <c r="L4881" s="85">
        <v>5</v>
      </c>
      <c r="N4881" s="1" t="s">
        <v>44</v>
      </c>
    </row>
    <row r="4882" spans="1:14">
      <c r="A4882" s="36" t="s">
        <v>32</v>
      </c>
      <c r="B4882" s="37">
        <v>45443</v>
      </c>
      <c r="C4882" s="36" t="s">
        <v>1862</v>
      </c>
      <c r="D4882" s="36" t="s">
        <v>1874</v>
      </c>
      <c r="E4882" s="36" t="s">
        <v>76</v>
      </c>
      <c r="G4882" s="87">
        <v>10395000</v>
      </c>
      <c r="H4882" s="87">
        <v>1039500</v>
      </c>
      <c r="I4882" s="87">
        <v>11434500</v>
      </c>
      <c r="K4882" s="85">
        <v>2024</v>
      </c>
      <c r="L4882" s="85">
        <v>5</v>
      </c>
      <c r="N4882" s="1" t="s">
        <v>44</v>
      </c>
    </row>
    <row r="4883" spans="1:14">
      <c r="A4883" s="36" t="s">
        <v>32</v>
      </c>
      <c r="B4883" s="37">
        <v>45443</v>
      </c>
      <c r="C4883" s="36" t="s">
        <v>188</v>
      </c>
      <c r="D4883" s="36" t="s">
        <v>1754</v>
      </c>
      <c r="E4883" s="36" t="s">
        <v>76</v>
      </c>
      <c r="G4883" s="87">
        <v>36900000</v>
      </c>
      <c r="H4883" s="87">
        <v>3690000</v>
      </c>
      <c r="I4883" s="87">
        <v>40590000</v>
      </c>
      <c r="K4883" s="85">
        <v>2024</v>
      </c>
      <c r="L4883" s="85">
        <v>5</v>
      </c>
      <c r="N4883" s="1" t="s">
        <v>44</v>
      </c>
    </row>
    <row r="4884" spans="1:14">
      <c r="A4884" s="36" t="s">
        <v>32</v>
      </c>
      <c r="B4884" s="37">
        <v>45442</v>
      </c>
      <c r="C4884" s="36" t="s">
        <v>1587</v>
      </c>
      <c r="D4884" s="36" t="s">
        <v>2185</v>
      </c>
      <c r="E4884" s="36" t="s">
        <v>77</v>
      </c>
      <c r="J4884" s="38">
        <v>27500000</v>
      </c>
      <c r="K4884" s="85">
        <v>2024</v>
      </c>
      <c r="L4884" s="85">
        <v>5</v>
      </c>
      <c r="N4884" s="1" t="s">
        <v>44</v>
      </c>
    </row>
    <row r="4885" spans="1:14">
      <c r="A4885" s="36" t="s">
        <v>32</v>
      </c>
      <c r="B4885" s="37">
        <v>45443</v>
      </c>
      <c r="C4885" s="36" t="s">
        <v>204</v>
      </c>
      <c r="D4885" s="36" t="s">
        <v>2186</v>
      </c>
      <c r="E4885" s="36" t="s">
        <v>77</v>
      </c>
      <c r="J4885" s="38">
        <v>4009500</v>
      </c>
      <c r="K4885" s="85">
        <v>2024</v>
      </c>
      <c r="L4885" s="85">
        <v>5</v>
      </c>
      <c r="N4885" s="1" t="s">
        <v>44</v>
      </c>
    </row>
    <row r="4886" spans="1:14">
      <c r="A4886" s="36" t="s">
        <v>32</v>
      </c>
      <c r="B4886" s="37">
        <v>45453</v>
      </c>
      <c r="C4886" s="36" t="s">
        <v>209</v>
      </c>
      <c r="D4886" s="36" t="s">
        <v>1866</v>
      </c>
      <c r="E4886" s="36" t="s">
        <v>77</v>
      </c>
      <c r="J4886" s="38">
        <v>131088078</v>
      </c>
      <c r="K4886" s="85">
        <v>2024</v>
      </c>
      <c r="L4886" s="85">
        <v>5</v>
      </c>
      <c r="N4886" s="1" t="s">
        <v>44</v>
      </c>
    </row>
    <row r="4887" spans="1:14">
      <c r="A4887" s="36" t="s">
        <v>32</v>
      </c>
      <c r="B4887" s="37">
        <v>45446</v>
      </c>
      <c r="C4887" s="36" t="s">
        <v>1164</v>
      </c>
      <c r="D4887" s="36" t="s">
        <v>2172</v>
      </c>
      <c r="E4887" s="36" t="s">
        <v>77</v>
      </c>
      <c r="J4887" s="38">
        <v>1089000</v>
      </c>
      <c r="K4887" s="85">
        <v>2024</v>
      </c>
      <c r="L4887" s="85">
        <v>5</v>
      </c>
      <c r="N4887" s="1" t="s">
        <v>44</v>
      </c>
    </row>
    <row r="4888" spans="1:14">
      <c r="A4888" s="36" t="s">
        <v>33</v>
      </c>
      <c r="B4888" s="37">
        <v>45443</v>
      </c>
      <c r="C4888" s="36" t="s">
        <v>2188</v>
      </c>
      <c r="D4888" s="36" t="s">
        <v>2057</v>
      </c>
      <c r="E4888" s="36" t="s">
        <v>2189</v>
      </c>
      <c r="G4888" s="87">
        <v>2663000</v>
      </c>
      <c r="H4888" s="87">
        <v>266300</v>
      </c>
      <c r="I4888" s="87">
        <v>2929300</v>
      </c>
      <c r="K4888" s="85">
        <v>2024</v>
      </c>
      <c r="L4888" s="85">
        <v>5</v>
      </c>
      <c r="N4888" s="1" t="s">
        <v>44</v>
      </c>
    </row>
    <row r="4889" spans="1:14">
      <c r="A4889" s="36" t="s">
        <v>33</v>
      </c>
      <c r="B4889" s="37">
        <v>45443</v>
      </c>
      <c r="C4889" s="36" t="s">
        <v>2188</v>
      </c>
      <c r="D4889" s="36" t="s">
        <v>2190</v>
      </c>
      <c r="E4889" s="36" t="s">
        <v>1232</v>
      </c>
      <c r="G4889" s="87">
        <v>3922500</v>
      </c>
      <c r="H4889" s="87">
        <v>392250</v>
      </c>
      <c r="I4889" s="87">
        <v>4314750</v>
      </c>
      <c r="K4889" s="85">
        <v>2024</v>
      </c>
      <c r="L4889" s="85">
        <v>5</v>
      </c>
      <c r="N4889" s="1" t="s">
        <v>44</v>
      </c>
    </row>
    <row r="4890" spans="1:14">
      <c r="A4890" s="36" t="s">
        <v>33</v>
      </c>
      <c r="B4890" s="37">
        <v>45443</v>
      </c>
      <c r="C4890" s="36" t="s">
        <v>96</v>
      </c>
      <c r="D4890" s="36" t="s">
        <v>2191</v>
      </c>
      <c r="E4890" s="36" t="s">
        <v>97</v>
      </c>
      <c r="G4890" s="87">
        <v>3500000</v>
      </c>
      <c r="H4890" s="87">
        <v>350000</v>
      </c>
      <c r="I4890" s="87">
        <v>3850000</v>
      </c>
      <c r="K4890" s="85">
        <v>2024</v>
      </c>
      <c r="L4890" s="85">
        <v>5</v>
      </c>
      <c r="N4890" s="1" t="s">
        <v>44</v>
      </c>
    </row>
    <row r="4891" spans="1:14">
      <c r="A4891" s="36" t="s">
        <v>33</v>
      </c>
      <c r="B4891" s="37">
        <v>45443</v>
      </c>
      <c r="C4891" s="36" t="s">
        <v>119</v>
      </c>
      <c r="D4891" s="36" t="s">
        <v>2012</v>
      </c>
      <c r="E4891" s="36" t="s">
        <v>2192</v>
      </c>
      <c r="G4891" s="87">
        <v>89597130</v>
      </c>
      <c r="H4891" s="87">
        <v>8959713</v>
      </c>
      <c r="I4891" s="87">
        <v>98556843</v>
      </c>
      <c r="K4891" s="85">
        <v>2024</v>
      </c>
      <c r="L4891" s="85">
        <v>5</v>
      </c>
      <c r="N4891" s="1" t="s">
        <v>44</v>
      </c>
    </row>
    <row r="4892" spans="1:14">
      <c r="A4892" s="36" t="s">
        <v>33</v>
      </c>
      <c r="B4892" s="37">
        <v>45443</v>
      </c>
      <c r="C4892" s="36" t="s">
        <v>771</v>
      </c>
      <c r="D4892" s="36" t="s">
        <v>772</v>
      </c>
      <c r="E4892" s="36" t="s">
        <v>76</v>
      </c>
      <c r="G4892" s="87">
        <v>1380000</v>
      </c>
      <c r="H4892" s="87">
        <v>138000</v>
      </c>
      <c r="I4892" s="87">
        <v>1518000</v>
      </c>
      <c r="K4892" s="85">
        <v>2024</v>
      </c>
      <c r="L4892" s="85">
        <v>5</v>
      </c>
      <c r="N4892" s="1" t="s">
        <v>44</v>
      </c>
    </row>
    <row r="4893" spans="1:14">
      <c r="A4893" s="36" t="s">
        <v>33</v>
      </c>
      <c r="B4893" s="37">
        <v>45443</v>
      </c>
      <c r="C4893" s="36" t="s">
        <v>2016</v>
      </c>
      <c r="D4893" s="36" t="s">
        <v>1492</v>
      </c>
      <c r="E4893" s="36" t="s">
        <v>1492</v>
      </c>
      <c r="G4893" s="87">
        <v>19500000</v>
      </c>
      <c r="H4893" s="87">
        <v>1950000</v>
      </c>
      <c r="I4893" s="87">
        <v>21450000</v>
      </c>
      <c r="K4893" s="85">
        <v>2024</v>
      </c>
      <c r="L4893" s="85">
        <v>5</v>
      </c>
      <c r="N4893" s="1" t="s">
        <v>44</v>
      </c>
    </row>
    <row r="4894" spans="1:14">
      <c r="A4894" s="36" t="s">
        <v>33</v>
      </c>
      <c r="B4894" s="37">
        <v>45456</v>
      </c>
      <c r="C4894" s="36" t="s">
        <v>2016</v>
      </c>
      <c r="D4894" s="36" t="s">
        <v>1492</v>
      </c>
      <c r="E4894" s="36" t="s">
        <v>1492</v>
      </c>
      <c r="J4894" s="87">
        <v>21450000</v>
      </c>
      <c r="K4894" s="85">
        <v>2024</v>
      </c>
      <c r="L4894" s="85">
        <v>5</v>
      </c>
      <c r="N4894" s="1" t="s">
        <v>44</v>
      </c>
    </row>
    <row r="4895" spans="1:14">
      <c r="A4895" s="36" t="s">
        <v>33</v>
      </c>
      <c r="B4895" s="37">
        <v>45443</v>
      </c>
      <c r="C4895" s="36" t="s">
        <v>2193</v>
      </c>
      <c r="D4895" s="36" t="s">
        <v>2194</v>
      </c>
      <c r="E4895" s="36" t="s">
        <v>76</v>
      </c>
      <c r="G4895" s="87">
        <v>19332050</v>
      </c>
      <c r="H4895" s="87">
        <v>1933205</v>
      </c>
      <c r="I4895" s="87">
        <v>21265255</v>
      </c>
      <c r="K4895" s="85">
        <v>2024</v>
      </c>
      <c r="L4895" s="85">
        <v>5</v>
      </c>
      <c r="N4895" s="1" t="s">
        <v>44</v>
      </c>
    </row>
    <row r="4896" spans="1:14">
      <c r="A4896" s="36" t="s">
        <v>33</v>
      </c>
      <c r="B4896" s="37">
        <v>45444</v>
      </c>
      <c r="C4896" s="36" t="s">
        <v>1467</v>
      </c>
      <c r="D4896" s="36" t="s">
        <v>1921</v>
      </c>
      <c r="E4896" s="36" t="s">
        <v>1232</v>
      </c>
      <c r="G4896" s="87">
        <v>186000</v>
      </c>
      <c r="H4896" s="87">
        <v>18600</v>
      </c>
      <c r="I4896" s="87">
        <v>204600</v>
      </c>
      <c r="K4896" s="85">
        <v>2024</v>
      </c>
      <c r="L4896" s="85">
        <v>5</v>
      </c>
      <c r="N4896" s="1" t="s">
        <v>44</v>
      </c>
    </row>
    <row r="4897" spans="1:14">
      <c r="A4897" s="36" t="s">
        <v>33</v>
      </c>
      <c r="B4897" s="37">
        <v>45444</v>
      </c>
      <c r="C4897" s="36" t="s">
        <v>1467</v>
      </c>
      <c r="D4897" s="36" t="s">
        <v>2012</v>
      </c>
      <c r="E4897" s="36" t="s">
        <v>1232</v>
      </c>
      <c r="G4897" s="87">
        <v>16202340</v>
      </c>
      <c r="H4897" s="87">
        <v>1620234</v>
      </c>
      <c r="I4897" s="87">
        <v>17822574</v>
      </c>
      <c r="K4897" s="85">
        <v>2024</v>
      </c>
      <c r="L4897" s="85">
        <v>5</v>
      </c>
      <c r="N4897" s="1" t="s">
        <v>44</v>
      </c>
    </row>
    <row r="4898" spans="1:14">
      <c r="A4898" s="36" t="s">
        <v>32</v>
      </c>
      <c r="B4898" s="37">
        <v>45456</v>
      </c>
      <c r="C4898" s="36" t="s">
        <v>1880</v>
      </c>
      <c r="D4898" s="36" t="s">
        <v>2078</v>
      </c>
      <c r="E4898" s="36" t="s">
        <v>148</v>
      </c>
      <c r="J4898" s="87">
        <v>1204000</v>
      </c>
      <c r="K4898" s="85">
        <v>2024</v>
      </c>
      <c r="L4898" s="85">
        <v>4</v>
      </c>
      <c r="N4898" s="1" t="s">
        <v>44</v>
      </c>
    </row>
    <row r="4899" spans="1:14">
      <c r="A4899" s="36" t="s">
        <v>33</v>
      </c>
      <c r="B4899" s="37">
        <v>45460</v>
      </c>
      <c r="C4899" s="36" t="s">
        <v>119</v>
      </c>
      <c r="D4899" s="36" t="s">
        <v>2012</v>
      </c>
      <c r="E4899" s="36" t="s">
        <v>148</v>
      </c>
      <c r="J4899" s="87">
        <v>98556843</v>
      </c>
      <c r="K4899" s="85">
        <v>2024</v>
      </c>
      <c r="L4899" s="85">
        <v>5</v>
      </c>
      <c r="N4899" s="1" t="s">
        <v>44</v>
      </c>
    </row>
    <row r="4900" spans="1:14">
      <c r="A4900" s="36" t="s">
        <v>32</v>
      </c>
      <c r="B4900" s="37">
        <v>45460</v>
      </c>
      <c r="C4900" s="36" t="s">
        <v>1468</v>
      </c>
      <c r="D4900" s="36" t="s">
        <v>2066</v>
      </c>
      <c r="E4900" s="36" t="s">
        <v>148</v>
      </c>
      <c r="J4900" s="87">
        <v>21315525</v>
      </c>
      <c r="K4900" s="85">
        <v>2024</v>
      </c>
      <c r="L4900" s="85">
        <v>5</v>
      </c>
      <c r="N4900" s="1" t="s">
        <v>44</v>
      </c>
    </row>
    <row r="4901" spans="1:14">
      <c r="A4901" s="36" t="s">
        <v>32</v>
      </c>
      <c r="B4901" s="37">
        <v>45460</v>
      </c>
      <c r="C4901" s="36" t="s">
        <v>1468</v>
      </c>
      <c r="D4901" s="36" t="s">
        <v>2067</v>
      </c>
      <c r="E4901" s="36" t="s">
        <v>148</v>
      </c>
      <c r="J4901" s="87">
        <v>6864330</v>
      </c>
      <c r="K4901" s="85">
        <v>2024</v>
      </c>
      <c r="L4901" s="85">
        <v>5</v>
      </c>
      <c r="N4901" s="1" t="s">
        <v>44</v>
      </c>
    </row>
    <row r="4902" spans="1:14">
      <c r="A4902" s="36" t="s">
        <v>32</v>
      </c>
      <c r="B4902" s="37">
        <v>45460</v>
      </c>
      <c r="C4902" s="36" t="s">
        <v>1468</v>
      </c>
      <c r="D4902" s="36" t="s">
        <v>1915</v>
      </c>
      <c r="E4902" s="36" t="s">
        <v>148</v>
      </c>
      <c r="J4902" s="87">
        <v>44530750</v>
      </c>
      <c r="K4902" s="85">
        <v>2024</v>
      </c>
      <c r="L4902" s="85">
        <v>5</v>
      </c>
      <c r="N4902" s="1" t="s">
        <v>44</v>
      </c>
    </row>
    <row r="4903" spans="1:14">
      <c r="A4903" s="36" t="s">
        <v>32</v>
      </c>
      <c r="B4903" s="37">
        <v>45460</v>
      </c>
      <c r="C4903" s="36" t="s">
        <v>1468</v>
      </c>
      <c r="D4903" s="36" t="s">
        <v>2071</v>
      </c>
      <c r="E4903" s="36" t="s">
        <v>148</v>
      </c>
      <c r="J4903" s="87">
        <v>98556843</v>
      </c>
      <c r="K4903" s="85">
        <v>2024</v>
      </c>
      <c r="L4903" s="85">
        <v>5</v>
      </c>
      <c r="N4903" s="1" t="s">
        <v>44</v>
      </c>
    </row>
    <row r="4904" spans="1:14">
      <c r="A4904" s="36" t="s">
        <v>32</v>
      </c>
      <c r="B4904" s="37">
        <v>45460</v>
      </c>
      <c r="C4904" s="36" t="s">
        <v>1468</v>
      </c>
      <c r="D4904" s="36" t="s">
        <v>2072</v>
      </c>
      <c r="E4904" s="36" t="s">
        <v>148</v>
      </c>
      <c r="J4904" s="87">
        <v>13414302</v>
      </c>
      <c r="K4904" s="85">
        <v>2024</v>
      </c>
      <c r="L4904" s="85">
        <v>5</v>
      </c>
      <c r="N4904" s="1" t="s">
        <v>44</v>
      </c>
    </row>
    <row r="4905" spans="1:14">
      <c r="A4905" s="36" t="s">
        <v>32</v>
      </c>
      <c r="B4905" s="37">
        <v>45460</v>
      </c>
      <c r="C4905" s="36" t="s">
        <v>209</v>
      </c>
      <c r="D4905" s="36" t="s">
        <v>2065</v>
      </c>
      <c r="E4905" s="36" t="s">
        <v>77</v>
      </c>
      <c r="J4905" s="87">
        <v>111496000</v>
      </c>
      <c r="K4905" s="85">
        <v>2024</v>
      </c>
      <c r="L4905" s="85">
        <v>5</v>
      </c>
      <c r="N4905" s="1" t="s">
        <v>44</v>
      </c>
    </row>
    <row r="4906" spans="1:14">
      <c r="A4906" s="36" t="s">
        <v>32</v>
      </c>
      <c r="B4906" s="37">
        <v>45460</v>
      </c>
      <c r="C4906" s="36" t="s">
        <v>2167</v>
      </c>
      <c r="D4906" s="36" t="s">
        <v>2174</v>
      </c>
      <c r="E4906" s="36" t="s">
        <v>148</v>
      </c>
      <c r="J4906" s="87">
        <v>3960000</v>
      </c>
      <c r="K4906" s="85">
        <v>2024</v>
      </c>
      <c r="L4906" s="85">
        <v>5</v>
      </c>
      <c r="N4906" s="1" t="s">
        <v>44</v>
      </c>
    </row>
    <row r="4907" spans="1:14">
      <c r="A4907" s="36" t="s">
        <v>32</v>
      </c>
      <c r="B4907" s="37">
        <v>45460</v>
      </c>
      <c r="C4907" s="36" t="s">
        <v>1587</v>
      </c>
      <c r="D4907" s="36" t="s">
        <v>1865</v>
      </c>
      <c r="E4907" s="36" t="s">
        <v>148</v>
      </c>
      <c r="J4907" s="87">
        <v>6513210</v>
      </c>
      <c r="K4907" s="85">
        <v>2024</v>
      </c>
      <c r="L4907" s="85">
        <v>5</v>
      </c>
      <c r="N4907" s="1" t="s">
        <v>44</v>
      </c>
    </row>
    <row r="4908" spans="1:14">
      <c r="A4908" s="36" t="s">
        <v>33</v>
      </c>
      <c r="B4908" s="37">
        <v>45444</v>
      </c>
      <c r="C4908" s="36" t="s">
        <v>1218</v>
      </c>
      <c r="D4908" s="36" t="s">
        <v>1921</v>
      </c>
      <c r="E4908" s="36" t="s">
        <v>1492</v>
      </c>
      <c r="G4908" s="87">
        <v>6376700</v>
      </c>
      <c r="H4908" s="87">
        <v>637670</v>
      </c>
      <c r="I4908" s="87">
        <v>7014370</v>
      </c>
      <c r="K4908" s="85">
        <v>2024</v>
      </c>
      <c r="L4908" s="85">
        <v>5</v>
      </c>
      <c r="N4908" s="1" t="s">
        <v>44</v>
      </c>
    </row>
    <row r="4909" spans="1:14">
      <c r="A4909" s="36" t="s">
        <v>33</v>
      </c>
      <c r="B4909" s="37">
        <v>45461</v>
      </c>
      <c r="C4909" s="36" t="s">
        <v>1218</v>
      </c>
      <c r="D4909" s="36" t="s">
        <v>1921</v>
      </c>
      <c r="E4909" s="36" t="s">
        <v>77</v>
      </c>
      <c r="J4909" s="38">
        <v>7014370</v>
      </c>
      <c r="K4909" s="85">
        <v>2024</v>
      </c>
      <c r="L4909" s="85">
        <v>5</v>
      </c>
      <c r="N4909" s="1" t="s">
        <v>44</v>
      </c>
    </row>
    <row r="4910" spans="1:14">
      <c r="A4910" s="36" t="s">
        <v>33</v>
      </c>
      <c r="B4910" s="37">
        <v>45461</v>
      </c>
      <c r="C4910" s="36" t="s">
        <v>1914</v>
      </c>
      <c r="D4910" s="36" t="s">
        <v>1915</v>
      </c>
      <c r="E4910" s="36" t="s">
        <v>148</v>
      </c>
      <c r="J4910" s="87">
        <v>1078000</v>
      </c>
      <c r="K4910" s="85">
        <v>2024</v>
      </c>
      <c r="L4910" s="85">
        <v>5</v>
      </c>
      <c r="N4910" s="1" t="s">
        <v>44</v>
      </c>
    </row>
    <row r="4911" spans="1:14">
      <c r="A4911" s="36" t="s">
        <v>33</v>
      </c>
      <c r="B4911" s="37">
        <v>45461</v>
      </c>
      <c r="C4911" s="36" t="s">
        <v>2122</v>
      </c>
      <c r="D4911" s="36" t="s">
        <v>1921</v>
      </c>
      <c r="E4911" s="36" t="s">
        <v>148</v>
      </c>
      <c r="J4911" s="87">
        <v>1617000</v>
      </c>
      <c r="K4911" s="85">
        <v>2024</v>
      </c>
      <c r="L4911" s="85">
        <v>5</v>
      </c>
      <c r="N4911" s="1" t="s">
        <v>44</v>
      </c>
    </row>
    <row r="4912" spans="1:14">
      <c r="A4912" s="36" t="s">
        <v>33</v>
      </c>
      <c r="B4912" s="37">
        <v>45443</v>
      </c>
      <c r="C4912" s="36" t="s">
        <v>2109</v>
      </c>
      <c r="D4912" s="36" t="s">
        <v>1915</v>
      </c>
      <c r="E4912" s="36" t="s">
        <v>148</v>
      </c>
      <c r="J4912" s="87">
        <v>700700</v>
      </c>
      <c r="K4912" s="85">
        <v>2024</v>
      </c>
      <c r="L4912" s="85">
        <v>5</v>
      </c>
      <c r="N4912" s="1" t="s">
        <v>44</v>
      </c>
    </row>
    <row r="4913" spans="1:14">
      <c r="A4913" s="36" t="s">
        <v>33</v>
      </c>
      <c r="B4913" s="37">
        <v>45461</v>
      </c>
      <c r="C4913" s="36" t="s">
        <v>771</v>
      </c>
      <c r="D4913" s="36" t="s">
        <v>772</v>
      </c>
      <c r="E4913" s="36" t="s">
        <v>148</v>
      </c>
      <c r="J4913" s="87">
        <v>1518000</v>
      </c>
      <c r="K4913" s="85">
        <v>2024</v>
      </c>
      <c r="L4913" s="85">
        <v>5</v>
      </c>
      <c r="N4913" s="1" t="s">
        <v>44</v>
      </c>
    </row>
    <row r="4914" spans="1:14">
      <c r="A4914" s="36" t="s">
        <v>33</v>
      </c>
      <c r="B4914" s="37">
        <v>45461</v>
      </c>
      <c r="C4914" s="36" t="s">
        <v>1467</v>
      </c>
      <c r="D4914" s="36" t="s">
        <v>1921</v>
      </c>
      <c r="E4914" s="36" t="s">
        <v>148</v>
      </c>
      <c r="J4914" s="87">
        <v>204600</v>
      </c>
      <c r="K4914" s="85">
        <v>2024</v>
      </c>
      <c r="L4914" s="85">
        <v>5</v>
      </c>
      <c r="N4914" s="1" t="s">
        <v>44</v>
      </c>
    </row>
    <row r="4915" spans="1:14">
      <c r="A4915" s="36" t="s">
        <v>33</v>
      </c>
      <c r="B4915" s="37">
        <v>45461</v>
      </c>
      <c r="C4915" s="36" t="s">
        <v>1467</v>
      </c>
      <c r="D4915" s="36" t="s">
        <v>2012</v>
      </c>
      <c r="E4915" s="36" t="s">
        <v>148</v>
      </c>
      <c r="J4915" s="87">
        <v>17822574</v>
      </c>
      <c r="K4915" s="85">
        <v>2024</v>
      </c>
      <c r="L4915" s="85">
        <v>5</v>
      </c>
      <c r="N4915" s="1" t="s">
        <v>44</v>
      </c>
    </row>
    <row r="4916" spans="1:14">
      <c r="A4916" s="36" t="s">
        <v>33</v>
      </c>
      <c r="B4916" s="37">
        <v>45464</v>
      </c>
      <c r="C4916" s="36" t="s">
        <v>2193</v>
      </c>
      <c r="D4916" s="36" t="s">
        <v>2194</v>
      </c>
      <c r="E4916" s="36" t="s">
        <v>148</v>
      </c>
      <c r="J4916" s="87">
        <v>21265255</v>
      </c>
      <c r="K4916" s="85">
        <v>2024</v>
      </c>
      <c r="L4916" s="85">
        <v>5</v>
      </c>
      <c r="N4916" s="1" t="s">
        <v>44</v>
      </c>
    </row>
    <row r="4917" spans="1:14">
      <c r="A4917" s="36" t="s">
        <v>32</v>
      </c>
      <c r="B4917" s="37">
        <v>45469</v>
      </c>
      <c r="C4917" s="36" t="s">
        <v>1880</v>
      </c>
      <c r="D4917" s="36" t="s">
        <v>2078</v>
      </c>
      <c r="E4917" s="36" t="s">
        <v>148</v>
      </c>
      <c r="J4917" s="87">
        <v>18200000</v>
      </c>
      <c r="K4917" s="85">
        <v>2024</v>
      </c>
      <c r="L4917" s="85">
        <v>5</v>
      </c>
      <c r="N4917" s="1" t="s">
        <v>44</v>
      </c>
    </row>
    <row r="4918" spans="1:14">
      <c r="A4918" s="36" t="s">
        <v>32</v>
      </c>
      <c r="B4918" s="37">
        <v>45469</v>
      </c>
      <c r="C4918" s="36" t="s">
        <v>1880</v>
      </c>
      <c r="D4918" s="36" t="s">
        <v>2078</v>
      </c>
      <c r="E4918" s="36" t="s">
        <v>148</v>
      </c>
      <c r="J4918" s="87">
        <v>1820000</v>
      </c>
      <c r="K4918" s="85">
        <v>2024</v>
      </c>
      <c r="L4918" s="85">
        <v>5</v>
      </c>
      <c r="N4918" s="1" t="s">
        <v>44</v>
      </c>
    </row>
    <row r="4919" spans="1:14">
      <c r="A4919" s="36" t="s">
        <v>33</v>
      </c>
      <c r="B4919" s="37">
        <v>45470</v>
      </c>
      <c r="C4919" s="36" t="s">
        <v>119</v>
      </c>
      <c r="D4919" s="36" t="s">
        <v>2195</v>
      </c>
      <c r="E4919" s="36" t="s">
        <v>267</v>
      </c>
      <c r="G4919" s="87">
        <v>10080000</v>
      </c>
      <c r="H4919" s="87">
        <v>1008000</v>
      </c>
      <c r="I4919" s="87">
        <v>11088000</v>
      </c>
      <c r="K4919" s="85">
        <v>2024</v>
      </c>
      <c r="L4919" s="85">
        <v>6</v>
      </c>
      <c r="N4919" s="1" t="s">
        <v>44</v>
      </c>
    </row>
    <row r="4920" spans="1:14">
      <c r="A4920" s="36" t="s">
        <v>33</v>
      </c>
      <c r="B4920" s="37">
        <v>45470</v>
      </c>
      <c r="C4920" s="36" t="s">
        <v>119</v>
      </c>
      <c r="D4920" s="36" t="s">
        <v>2195</v>
      </c>
      <c r="E4920" s="36" t="s">
        <v>77</v>
      </c>
      <c r="J4920" s="38">
        <v>11088000</v>
      </c>
      <c r="K4920" s="85">
        <v>2024</v>
      </c>
      <c r="L4920" s="85">
        <v>6</v>
      </c>
      <c r="N4920" s="1" t="s">
        <v>44</v>
      </c>
    </row>
    <row r="4921" spans="1:14">
      <c r="A4921" s="36" t="s">
        <v>32</v>
      </c>
      <c r="B4921" s="37">
        <v>45470</v>
      </c>
      <c r="C4921" s="36" t="s">
        <v>654</v>
      </c>
      <c r="D4921" s="36" t="s">
        <v>2073</v>
      </c>
      <c r="E4921" s="36" t="s">
        <v>148</v>
      </c>
      <c r="J4921" s="87">
        <v>17442480</v>
      </c>
      <c r="K4921" s="85">
        <v>2024</v>
      </c>
      <c r="L4921" s="85">
        <v>5</v>
      </c>
      <c r="N4921" s="1" t="s">
        <v>44</v>
      </c>
    </row>
    <row r="4922" spans="1:14">
      <c r="A4922" s="36" t="s">
        <v>32</v>
      </c>
      <c r="B4922" s="37">
        <v>45470</v>
      </c>
      <c r="C4922" s="36" t="s">
        <v>1587</v>
      </c>
      <c r="D4922" s="36" t="s">
        <v>2179</v>
      </c>
      <c r="E4922" s="36" t="s">
        <v>148</v>
      </c>
      <c r="J4922" s="87">
        <v>6196500</v>
      </c>
      <c r="K4922" s="85">
        <v>2024</v>
      </c>
      <c r="L4922" s="85">
        <v>5</v>
      </c>
      <c r="N4922" s="1" t="s">
        <v>44</v>
      </c>
    </row>
    <row r="4923" spans="1:14">
      <c r="A4923" s="36" t="s">
        <v>32</v>
      </c>
      <c r="B4923" s="37">
        <v>45471</v>
      </c>
      <c r="C4923" s="36" t="s">
        <v>2129</v>
      </c>
      <c r="D4923" s="36" t="s">
        <v>2139</v>
      </c>
      <c r="E4923" s="36" t="s">
        <v>148</v>
      </c>
      <c r="J4923" s="87">
        <v>4400000</v>
      </c>
      <c r="K4923" s="85">
        <v>2024</v>
      </c>
      <c r="L4923" s="85">
        <v>4</v>
      </c>
      <c r="N4923" s="1" t="s">
        <v>44</v>
      </c>
    </row>
    <row r="4924" spans="1:14">
      <c r="A4924" s="36" t="s">
        <v>32</v>
      </c>
      <c r="B4924" s="37">
        <v>45471</v>
      </c>
      <c r="C4924" s="36" t="s">
        <v>654</v>
      </c>
      <c r="D4924" s="36" t="s">
        <v>1754</v>
      </c>
      <c r="E4924" s="36" t="s">
        <v>148</v>
      </c>
      <c r="J4924" s="87">
        <v>216587105</v>
      </c>
      <c r="K4924" s="85">
        <v>2024</v>
      </c>
      <c r="L4924" s="85">
        <v>5</v>
      </c>
      <c r="N4924" s="1" t="s">
        <v>44</v>
      </c>
    </row>
    <row r="4925" spans="1:14">
      <c r="A4925" s="36" t="s">
        <v>33</v>
      </c>
      <c r="B4925" s="37">
        <v>45471</v>
      </c>
      <c r="C4925" s="36" t="s">
        <v>2009</v>
      </c>
      <c r="D4925" s="36" t="s">
        <v>197</v>
      </c>
      <c r="E4925" s="36" t="s">
        <v>148</v>
      </c>
      <c r="J4925" s="87">
        <v>2425500</v>
      </c>
      <c r="K4925" s="85">
        <v>2024</v>
      </c>
      <c r="L4925" s="85">
        <v>5</v>
      </c>
      <c r="N4925" s="1" t="s">
        <v>44</v>
      </c>
    </row>
    <row r="4926" spans="1:14">
      <c r="A4926" s="36" t="s">
        <v>19</v>
      </c>
      <c r="B4926" s="37">
        <v>45471</v>
      </c>
      <c r="C4926" s="36" t="s">
        <v>2116</v>
      </c>
      <c r="D4926" s="36" t="s">
        <v>2117</v>
      </c>
      <c r="E4926" s="36" t="s">
        <v>148</v>
      </c>
      <c r="J4926" s="87">
        <v>1070300</v>
      </c>
      <c r="K4926" s="85">
        <v>2024</v>
      </c>
      <c r="L4926" s="85">
        <v>5</v>
      </c>
      <c r="N4926" s="1" t="s">
        <v>44</v>
      </c>
    </row>
    <row r="4927" spans="1:14">
      <c r="A4927" s="36" t="s">
        <v>32</v>
      </c>
      <c r="B4927" s="37">
        <v>45471</v>
      </c>
      <c r="C4927" s="36" t="s">
        <v>209</v>
      </c>
      <c r="D4927" s="36" t="s">
        <v>2024</v>
      </c>
      <c r="E4927" s="36" t="s">
        <v>77</v>
      </c>
      <c r="J4927" s="87">
        <v>63209388</v>
      </c>
      <c r="K4927" s="85">
        <v>2024</v>
      </c>
      <c r="L4927" s="85">
        <v>5</v>
      </c>
      <c r="N4927" s="1" t="s">
        <v>44</v>
      </c>
    </row>
    <row r="4928" spans="1:14">
      <c r="A4928" s="36" t="s">
        <v>32</v>
      </c>
      <c r="B4928" s="37">
        <v>45471</v>
      </c>
      <c r="C4928" s="36" t="s">
        <v>209</v>
      </c>
      <c r="D4928" s="36" t="s">
        <v>2001</v>
      </c>
      <c r="E4928" s="36" t="s">
        <v>77</v>
      </c>
      <c r="J4928" s="87">
        <v>85179160</v>
      </c>
      <c r="K4928" s="85">
        <v>2024</v>
      </c>
      <c r="L4928" s="85">
        <v>5</v>
      </c>
      <c r="N4928" s="1" t="s">
        <v>44</v>
      </c>
    </row>
    <row r="4929" spans="1:14">
      <c r="A4929" s="36" t="s">
        <v>32</v>
      </c>
      <c r="B4929" s="37">
        <v>45471</v>
      </c>
      <c r="C4929" s="36" t="s">
        <v>209</v>
      </c>
      <c r="D4929" s="36" t="s">
        <v>2171</v>
      </c>
      <c r="E4929" s="36" t="s">
        <v>77</v>
      </c>
      <c r="J4929" s="87">
        <v>7808460</v>
      </c>
      <c r="K4929" s="85">
        <v>2024</v>
      </c>
      <c r="L4929" s="85">
        <v>5</v>
      </c>
      <c r="N4929" s="1" t="s">
        <v>44</v>
      </c>
    </row>
    <row r="4930" spans="1:14">
      <c r="A4930" s="36" t="s">
        <v>33</v>
      </c>
      <c r="B4930" s="37">
        <v>45471</v>
      </c>
      <c r="C4930" s="36" t="s">
        <v>1391</v>
      </c>
      <c r="D4930" s="36" t="s">
        <v>197</v>
      </c>
      <c r="E4930" s="36" t="s">
        <v>148</v>
      </c>
      <c r="J4930" s="87">
        <v>44563640</v>
      </c>
      <c r="K4930" s="85">
        <v>2024</v>
      </c>
      <c r="L4930" s="85">
        <v>4</v>
      </c>
      <c r="N4930" s="1" t="s">
        <v>44</v>
      </c>
    </row>
    <row r="4931" spans="1:14">
      <c r="A4931" s="36" t="s">
        <v>33</v>
      </c>
      <c r="B4931" s="37">
        <v>45471</v>
      </c>
      <c r="C4931" s="36" t="s">
        <v>1467</v>
      </c>
      <c r="D4931" s="36" t="s">
        <v>2103</v>
      </c>
      <c r="E4931" s="36" t="s">
        <v>148</v>
      </c>
      <c r="J4931" s="87">
        <v>7635100</v>
      </c>
      <c r="K4931" s="85">
        <v>2024</v>
      </c>
      <c r="L4931" s="85">
        <v>5</v>
      </c>
      <c r="N4931" s="1" t="s">
        <v>44</v>
      </c>
    </row>
    <row r="4932" spans="1:14">
      <c r="A4932" s="36" t="s">
        <v>33</v>
      </c>
      <c r="B4932" s="37">
        <v>45471</v>
      </c>
      <c r="C4932" s="36" t="s">
        <v>2050</v>
      </c>
      <c r="D4932" s="36" t="s">
        <v>1423</v>
      </c>
      <c r="E4932" s="36" t="s">
        <v>148</v>
      </c>
      <c r="J4932" s="87">
        <v>1184000.3999999999</v>
      </c>
      <c r="K4932" s="85">
        <v>2024</v>
      </c>
      <c r="L4932" s="85">
        <v>5</v>
      </c>
      <c r="N4932" s="1" t="s">
        <v>44</v>
      </c>
    </row>
    <row r="4933" spans="1:14">
      <c r="A4933" s="36" t="s">
        <v>33</v>
      </c>
      <c r="B4933" s="37">
        <v>45471</v>
      </c>
      <c r="C4933" s="36" t="s">
        <v>1919</v>
      </c>
      <c r="D4933" s="36" t="s">
        <v>1754</v>
      </c>
      <c r="E4933" s="36" t="s">
        <v>148</v>
      </c>
      <c r="J4933" s="87">
        <v>7887000</v>
      </c>
      <c r="K4933" s="85">
        <v>2024</v>
      </c>
      <c r="L4933" s="85">
        <v>5</v>
      </c>
      <c r="N4933" s="1" t="s">
        <v>44</v>
      </c>
    </row>
    <row r="4934" spans="1:14">
      <c r="A4934" s="36" t="s">
        <v>33</v>
      </c>
      <c r="B4934" s="37">
        <v>45471</v>
      </c>
      <c r="C4934" s="36" t="s">
        <v>96</v>
      </c>
      <c r="D4934" s="36" t="s">
        <v>2191</v>
      </c>
      <c r="E4934" s="36" t="s">
        <v>148</v>
      </c>
      <c r="J4934" s="87">
        <v>3850000</v>
      </c>
      <c r="K4934" s="85">
        <v>2024</v>
      </c>
      <c r="L4934" s="85">
        <v>5</v>
      </c>
      <c r="N4934" s="1" t="s">
        <v>44</v>
      </c>
    </row>
    <row r="4935" spans="1:14">
      <c r="A4935" s="36" t="s">
        <v>33</v>
      </c>
      <c r="B4935" s="37">
        <v>45471</v>
      </c>
      <c r="C4935" s="36" t="s">
        <v>2188</v>
      </c>
      <c r="D4935" s="36" t="s">
        <v>2190</v>
      </c>
      <c r="E4935" s="36" t="s">
        <v>148</v>
      </c>
      <c r="J4935" s="87">
        <v>4314750</v>
      </c>
      <c r="K4935" s="85">
        <v>2024</v>
      </c>
      <c r="L4935" s="85">
        <v>5</v>
      </c>
      <c r="N4935" s="1" t="s">
        <v>44</v>
      </c>
    </row>
    <row r="4936" spans="1:14">
      <c r="A4936" s="36" t="s">
        <v>32</v>
      </c>
      <c r="B4936" s="37">
        <v>45471</v>
      </c>
      <c r="C4936" s="36" t="s">
        <v>2168</v>
      </c>
      <c r="D4936" s="36" t="s">
        <v>2180</v>
      </c>
      <c r="E4936" s="36" t="s">
        <v>148</v>
      </c>
      <c r="J4936" s="87">
        <v>36768600</v>
      </c>
      <c r="K4936" s="85">
        <v>2024</v>
      </c>
      <c r="L4936" s="85">
        <v>5</v>
      </c>
      <c r="N4936" s="1" t="s">
        <v>44</v>
      </c>
    </row>
    <row r="4937" spans="1:14">
      <c r="A4937" s="36" t="s">
        <v>32</v>
      </c>
      <c r="B4937" s="37">
        <v>45471</v>
      </c>
      <c r="C4937" s="36" t="s">
        <v>2166</v>
      </c>
      <c r="D4937" s="36" t="s">
        <v>2173</v>
      </c>
      <c r="E4937" s="36" t="s">
        <v>148</v>
      </c>
      <c r="J4937" s="87">
        <v>645612</v>
      </c>
      <c r="K4937" s="85">
        <v>2024</v>
      </c>
      <c r="L4937" s="85">
        <v>5</v>
      </c>
      <c r="N4937" s="1" t="s">
        <v>44</v>
      </c>
    </row>
    <row r="4938" spans="1:14">
      <c r="A4938" s="36" t="s">
        <v>32</v>
      </c>
      <c r="B4938" s="37">
        <v>45471</v>
      </c>
      <c r="C4938" s="36" t="s">
        <v>1587</v>
      </c>
      <c r="D4938" s="36" t="s">
        <v>2179</v>
      </c>
      <c r="E4938" s="36" t="s">
        <v>148</v>
      </c>
      <c r="J4938" s="87">
        <v>619650</v>
      </c>
      <c r="K4938" s="85">
        <v>2024</v>
      </c>
      <c r="L4938" s="85">
        <v>5</v>
      </c>
      <c r="N4938" s="1" t="s">
        <v>44</v>
      </c>
    </row>
    <row r="4939" spans="1:14">
      <c r="A4939" s="36" t="s">
        <v>33</v>
      </c>
      <c r="B4939" s="37">
        <v>45474</v>
      </c>
      <c r="C4939" s="36" t="s">
        <v>1391</v>
      </c>
      <c r="D4939" s="36" t="s">
        <v>2164</v>
      </c>
      <c r="E4939" s="36" t="s">
        <v>148</v>
      </c>
      <c r="J4939" s="87">
        <v>20335700</v>
      </c>
      <c r="K4939" s="85">
        <v>2024</v>
      </c>
      <c r="L4939" s="85">
        <v>5</v>
      </c>
      <c r="N4939" s="1" t="s">
        <v>44</v>
      </c>
    </row>
    <row r="4940" spans="1:14">
      <c r="A4940" s="36" t="s">
        <v>32</v>
      </c>
      <c r="B4940" s="37">
        <v>45474</v>
      </c>
      <c r="C4940" s="36" t="s">
        <v>264</v>
      </c>
      <c r="D4940" s="36" t="s">
        <v>2183</v>
      </c>
      <c r="E4940" s="36" t="s">
        <v>148</v>
      </c>
      <c r="J4940" s="87">
        <v>37180000</v>
      </c>
      <c r="K4940" s="85">
        <v>2024</v>
      </c>
      <c r="L4940" s="85">
        <v>5</v>
      </c>
      <c r="N4940" s="1" t="s">
        <v>44</v>
      </c>
    </row>
    <row r="4941" spans="1:14">
      <c r="A4941" s="36" t="s">
        <v>32</v>
      </c>
      <c r="B4941" s="37">
        <v>45474</v>
      </c>
      <c r="C4941" s="36" t="s">
        <v>2062</v>
      </c>
      <c r="D4941" s="36" t="s">
        <v>2084</v>
      </c>
      <c r="E4941" s="36" t="s">
        <v>148</v>
      </c>
      <c r="J4941" s="87">
        <v>22000000</v>
      </c>
      <c r="K4941" s="85">
        <v>2024</v>
      </c>
      <c r="L4941" s="85">
        <v>5</v>
      </c>
      <c r="N4941" s="1" t="s">
        <v>44</v>
      </c>
    </row>
    <row r="4942" spans="1:14">
      <c r="A4942" s="36" t="s">
        <v>32</v>
      </c>
      <c r="B4942" s="37">
        <v>45474</v>
      </c>
      <c r="C4942" s="36" t="s">
        <v>1862</v>
      </c>
      <c r="D4942" s="36" t="s">
        <v>1874</v>
      </c>
      <c r="E4942" s="36" t="s">
        <v>148</v>
      </c>
      <c r="J4942" s="87">
        <v>14850000</v>
      </c>
      <c r="K4942" s="85">
        <v>2024</v>
      </c>
      <c r="L4942" s="85">
        <v>3</v>
      </c>
      <c r="M4942" s="36" t="s">
        <v>2196</v>
      </c>
      <c r="N4942" s="1" t="s">
        <v>44</v>
      </c>
    </row>
    <row r="4943" spans="1:14">
      <c r="A4943" s="36" t="s">
        <v>32</v>
      </c>
      <c r="B4943" s="37">
        <v>45474</v>
      </c>
      <c r="C4943" s="36" t="s">
        <v>1862</v>
      </c>
      <c r="D4943" s="36" t="s">
        <v>1874</v>
      </c>
      <c r="E4943" s="36" t="s">
        <v>148</v>
      </c>
      <c r="J4943" s="87">
        <v>18473400</v>
      </c>
      <c r="K4943" s="85">
        <v>2024</v>
      </c>
      <c r="L4943" s="85">
        <v>4</v>
      </c>
      <c r="M4943" s="36" t="s">
        <v>2196</v>
      </c>
      <c r="N4943" s="1" t="s">
        <v>44</v>
      </c>
    </row>
    <row r="4944" spans="1:14">
      <c r="A4944" s="36" t="s">
        <v>32</v>
      </c>
      <c r="B4944" s="37">
        <v>45474</v>
      </c>
      <c r="C4944" s="36" t="s">
        <v>1862</v>
      </c>
      <c r="D4944" s="36" t="s">
        <v>1874</v>
      </c>
      <c r="E4944" s="36" t="s">
        <v>148</v>
      </c>
      <c r="J4944" s="87">
        <v>11434500</v>
      </c>
      <c r="K4944" s="85">
        <v>2024</v>
      </c>
      <c r="L4944" s="85">
        <v>5</v>
      </c>
      <c r="M4944" s="36" t="s">
        <v>2196</v>
      </c>
      <c r="N4944" s="1" t="s">
        <v>44</v>
      </c>
    </row>
    <row r="4945" spans="1:14">
      <c r="A4945" s="36" t="s">
        <v>32</v>
      </c>
      <c r="B4945" s="37">
        <v>45474</v>
      </c>
      <c r="C4945" s="36" t="s">
        <v>174</v>
      </c>
      <c r="D4945" s="36" t="s">
        <v>2085</v>
      </c>
      <c r="E4945" s="36" t="s">
        <v>148</v>
      </c>
      <c r="J4945" s="87">
        <v>54560880</v>
      </c>
      <c r="K4945" s="85">
        <v>2024</v>
      </c>
      <c r="L4945" s="85">
        <v>3</v>
      </c>
      <c r="N4945" s="1" t="s">
        <v>44</v>
      </c>
    </row>
    <row r="4946" spans="1:14">
      <c r="A4946" s="36" t="s">
        <v>32</v>
      </c>
      <c r="B4946" s="37">
        <v>45474</v>
      </c>
      <c r="C4946" s="36" t="s">
        <v>1933</v>
      </c>
      <c r="D4946" s="36" t="s">
        <v>2097</v>
      </c>
      <c r="E4946" s="36" t="s">
        <v>148</v>
      </c>
      <c r="J4946" s="38">
        <v>9372000</v>
      </c>
      <c r="K4946" s="85">
        <v>2024</v>
      </c>
      <c r="L4946" s="85">
        <v>4</v>
      </c>
      <c r="M4946" s="36" t="s">
        <v>2197</v>
      </c>
      <c r="N4946" s="1" t="s">
        <v>44</v>
      </c>
    </row>
    <row r="4947" spans="1:14">
      <c r="A4947" s="36" t="s">
        <v>32</v>
      </c>
      <c r="B4947" s="37">
        <v>45443</v>
      </c>
      <c r="C4947" s="36" t="s">
        <v>1933</v>
      </c>
      <c r="D4947" s="36" t="s">
        <v>2097</v>
      </c>
      <c r="E4947" s="36" t="s">
        <v>148</v>
      </c>
      <c r="J4947" s="38">
        <v>17300800</v>
      </c>
      <c r="K4947" s="85">
        <v>2024</v>
      </c>
      <c r="L4947" s="85">
        <v>5</v>
      </c>
      <c r="M4947" s="36" t="s">
        <v>2198</v>
      </c>
      <c r="N4947" s="1" t="s">
        <v>44</v>
      </c>
    </row>
    <row r="4948" spans="1:14">
      <c r="A4948" s="36" t="s">
        <v>32</v>
      </c>
      <c r="B4948" s="37">
        <v>45474</v>
      </c>
      <c r="C4948" s="36" t="s">
        <v>1470</v>
      </c>
      <c r="D4948" s="36" t="s">
        <v>1821</v>
      </c>
      <c r="E4948" s="36" t="s">
        <v>148</v>
      </c>
      <c r="J4948" s="87">
        <v>238564282</v>
      </c>
      <c r="K4948" s="85">
        <v>2024</v>
      </c>
      <c r="L4948" s="85">
        <v>5</v>
      </c>
      <c r="N4948" s="1" t="s">
        <v>44</v>
      </c>
    </row>
    <row r="4949" spans="1:14">
      <c r="A4949" s="36" t="s">
        <v>32</v>
      </c>
      <c r="B4949" s="37">
        <v>45475</v>
      </c>
      <c r="C4949" s="36" t="s">
        <v>552</v>
      </c>
      <c r="D4949" s="36" t="s">
        <v>1820</v>
      </c>
      <c r="E4949" s="36" t="s">
        <v>148</v>
      </c>
      <c r="J4949" s="87">
        <v>6848820</v>
      </c>
      <c r="K4949" s="85">
        <v>2024</v>
      </c>
      <c r="L4949" s="85">
        <v>3</v>
      </c>
      <c r="M4949" s="36" t="s">
        <v>2199</v>
      </c>
      <c r="N4949" s="1" t="s">
        <v>44</v>
      </c>
    </row>
    <row r="4950" spans="1:14">
      <c r="A4950" s="36" t="s">
        <v>32</v>
      </c>
      <c r="B4950" s="37">
        <v>45475</v>
      </c>
      <c r="C4950" s="36" t="s">
        <v>654</v>
      </c>
      <c r="D4950" s="36" t="s">
        <v>1941</v>
      </c>
      <c r="E4950" s="36" t="s">
        <v>148</v>
      </c>
      <c r="J4950" s="87">
        <v>21048082</v>
      </c>
      <c r="K4950" s="85">
        <v>2024</v>
      </c>
      <c r="L4950" s="85">
        <v>5</v>
      </c>
      <c r="N4950" s="1" t="s">
        <v>44</v>
      </c>
    </row>
    <row r="4951" spans="1:14">
      <c r="A4951" s="36" t="s">
        <v>32</v>
      </c>
      <c r="B4951" s="37">
        <v>45475</v>
      </c>
      <c r="C4951" s="36" t="s">
        <v>1198</v>
      </c>
      <c r="D4951" s="36" t="s">
        <v>2079</v>
      </c>
      <c r="E4951" s="36" t="s">
        <v>148</v>
      </c>
      <c r="J4951" s="87">
        <v>3792360</v>
      </c>
      <c r="K4951" s="85">
        <v>2024</v>
      </c>
      <c r="L4951" s="85">
        <v>4</v>
      </c>
      <c r="N4951" s="1" t="s">
        <v>44</v>
      </c>
    </row>
    <row r="4952" spans="1:14">
      <c r="A4952" s="36" t="s">
        <v>32</v>
      </c>
      <c r="B4952" s="37">
        <v>45475</v>
      </c>
      <c r="C4952" s="36" t="s">
        <v>1198</v>
      </c>
      <c r="D4952" s="36" t="s">
        <v>2176</v>
      </c>
      <c r="E4952" s="36" t="s">
        <v>148</v>
      </c>
      <c r="J4952" s="87">
        <v>3382830</v>
      </c>
      <c r="K4952" s="85">
        <v>2024</v>
      </c>
      <c r="L4952" s="85">
        <v>5</v>
      </c>
      <c r="N4952" s="1" t="s">
        <v>44</v>
      </c>
    </row>
    <row r="4953" spans="1:14">
      <c r="A4953" s="36" t="s">
        <v>32</v>
      </c>
      <c r="B4953" s="37">
        <v>45475</v>
      </c>
      <c r="C4953" s="36" t="s">
        <v>654</v>
      </c>
      <c r="D4953" s="36" t="s">
        <v>2132</v>
      </c>
      <c r="E4953" s="36" t="s">
        <v>148</v>
      </c>
      <c r="J4953" s="87">
        <v>8823540</v>
      </c>
      <c r="K4953" s="85">
        <v>2024</v>
      </c>
      <c r="L4953" s="85">
        <v>5</v>
      </c>
      <c r="N4953" s="1" t="s">
        <v>44</v>
      </c>
    </row>
    <row r="4954" spans="1:14">
      <c r="A4954" s="36" t="s">
        <v>32</v>
      </c>
      <c r="B4954" s="37">
        <v>45475</v>
      </c>
      <c r="C4954" s="36" t="s">
        <v>654</v>
      </c>
      <c r="D4954" s="36" t="s">
        <v>1754</v>
      </c>
      <c r="E4954" s="36" t="s">
        <v>148</v>
      </c>
      <c r="J4954" s="87">
        <v>21658710.5</v>
      </c>
      <c r="K4954" s="85">
        <v>2024</v>
      </c>
      <c r="L4954" s="85">
        <v>5</v>
      </c>
      <c r="N4954" s="1" t="s">
        <v>44</v>
      </c>
    </row>
    <row r="4955" spans="1:14">
      <c r="A4955" s="36" t="s">
        <v>32</v>
      </c>
      <c r="B4955" s="37">
        <v>45475</v>
      </c>
      <c r="C4955" s="36" t="s">
        <v>654</v>
      </c>
      <c r="D4955" s="36" t="s">
        <v>1899</v>
      </c>
      <c r="E4955" s="36" t="s">
        <v>148</v>
      </c>
      <c r="J4955" s="87">
        <v>26205300</v>
      </c>
      <c r="K4955" s="85">
        <v>2024</v>
      </c>
      <c r="L4955" s="85">
        <v>5</v>
      </c>
      <c r="N4955" s="1" t="s">
        <v>44</v>
      </c>
    </row>
    <row r="4956" spans="1:14">
      <c r="A4956" s="36" t="s">
        <v>32</v>
      </c>
      <c r="B4956" s="37">
        <v>45475</v>
      </c>
      <c r="C4956" s="36" t="s">
        <v>654</v>
      </c>
      <c r="D4956" s="36" t="s">
        <v>2074</v>
      </c>
      <c r="E4956" s="36" t="s">
        <v>148</v>
      </c>
      <c r="J4956" s="87">
        <v>30307970</v>
      </c>
      <c r="K4956" s="85">
        <v>2024</v>
      </c>
      <c r="L4956" s="85">
        <v>5</v>
      </c>
      <c r="N4956" s="1" t="s">
        <v>44</v>
      </c>
    </row>
    <row r="4957" spans="1:14">
      <c r="A4957" s="36" t="s">
        <v>32</v>
      </c>
      <c r="B4957" s="37">
        <v>45475</v>
      </c>
      <c r="C4957" s="36" t="s">
        <v>188</v>
      </c>
      <c r="D4957" s="36" t="s">
        <v>1754</v>
      </c>
      <c r="E4957" s="36" t="s">
        <v>148</v>
      </c>
      <c r="J4957" s="38">
        <v>25200000</v>
      </c>
      <c r="K4957" s="85">
        <v>2024</v>
      </c>
      <c r="L4957" s="85">
        <v>5</v>
      </c>
      <c r="N4957" s="1" t="s">
        <v>44</v>
      </c>
    </row>
    <row r="4958" spans="1:14">
      <c r="A4958" s="36" t="s">
        <v>33</v>
      </c>
      <c r="B4958" s="37">
        <v>45473</v>
      </c>
      <c r="C4958" s="36" t="s">
        <v>507</v>
      </c>
      <c r="D4958" s="36" t="s">
        <v>1176</v>
      </c>
      <c r="E4958" s="36" t="s">
        <v>76</v>
      </c>
      <c r="G4958" s="87">
        <v>3449330</v>
      </c>
      <c r="H4958" s="87">
        <v>344933</v>
      </c>
      <c r="I4958" s="87">
        <v>3794263</v>
      </c>
      <c r="K4958" s="85">
        <v>2024</v>
      </c>
      <c r="L4958" s="85">
        <v>6</v>
      </c>
      <c r="N4958" s="1" t="s">
        <v>44</v>
      </c>
    </row>
    <row r="4959" spans="1:14">
      <c r="A4959" s="36" t="s">
        <v>33</v>
      </c>
      <c r="B4959" s="37">
        <v>45476</v>
      </c>
      <c r="C4959" s="36" t="s">
        <v>507</v>
      </c>
      <c r="D4959" s="36" t="s">
        <v>1176</v>
      </c>
      <c r="E4959" s="36" t="s">
        <v>77</v>
      </c>
      <c r="J4959" s="38">
        <v>3794263</v>
      </c>
      <c r="K4959" s="85">
        <v>2024</v>
      </c>
      <c r="L4959" s="85">
        <v>6</v>
      </c>
      <c r="N4959" s="1" t="s">
        <v>44</v>
      </c>
    </row>
    <row r="4960" spans="1:14">
      <c r="A4960" s="36" t="s">
        <v>33</v>
      </c>
      <c r="B4960" s="37">
        <v>45475</v>
      </c>
      <c r="C4960" s="36" t="s">
        <v>912</v>
      </c>
      <c r="D4960" s="36" t="s">
        <v>2200</v>
      </c>
      <c r="E4960" s="36" t="s">
        <v>447</v>
      </c>
      <c r="G4960" s="87">
        <v>6970973</v>
      </c>
      <c r="H4960" s="87">
        <v>697097.3</v>
      </c>
      <c r="I4960" s="87">
        <v>7668070.2999999998</v>
      </c>
      <c r="K4960" s="85">
        <v>2024</v>
      </c>
      <c r="L4960" s="85">
        <v>7</v>
      </c>
      <c r="N4960" s="1" t="s">
        <v>44</v>
      </c>
    </row>
    <row r="4961" spans="1:14">
      <c r="A4961" s="36" t="s">
        <v>33</v>
      </c>
      <c r="B4961" s="37">
        <v>45476</v>
      </c>
      <c r="C4961" s="36" t="s">
        <v>912</v>
      </c>
      <c r="D4961" s="36" t="s">
        <v>2200</v>
      </c>
      <c r="E4961" s="36" t="s">
        <v>77</v>
      </c>
      <c r="J4961" s="38">
        <v>7668070</v>
      </c>
      <c r="K4961" s="85">
        <v>2024</v>
      </c>
      <c r="L4961" s="85">
        <v>7</v>
      </c>
      <c r="N4961" s="1" t="s">
        <v>44</v>
      </c>
    </row>
    <row r="4962" spans="1:14">
      <c r="A4962" s="36" t="s">
        <v>33</v>
      </c>
      <c r="B4962" s="37">
        <v>45473</v>
      </c>
      <c r="C4962" s="36" t="s">
        <v>2009</v>
      </c>
      <c r="D4962" s="36" t="s">
        <v>197</v>
      </c>
      <c r="E4962" s="36" t="s">
        <v>2201</v>
      </c>
      <c r="G4962" s="87">
        <v>3675000</v>
      </c>
      <c r="H4962" s="87">
        <v>367500</v>
      </c>
      <c r="I4962" s="87">
        <v>4042500</v>
      </c>
      <c r="K4962" s="85">
        <v>2024</v>
      </c>
      <c r="L4962" s="85">
        <v>6</v>
      </c>
      <c r="N4962" s="1" t="s">
        <v>44</v>
      </c>
    </row>
    <row r="4963" spans="1:14">
      <c r="A4963" s="36" t="s">
        <v>33</v>
      </c>
      <c r="B4963" s="37">
        <v>45472</v>
      </c>
      <c r="C4963" s="36" t="s">
        <v>1914</v>
      </c>
      <c r="D4963" s="36" t="s">
        <v>1915</v>
      </c>
      <c r="E4963" s="36" t="s">
        <v>165</v>
      </c>
      <c r="G4963" s="87">
        <v>1050000</v>
      </c>
      <c r="H4963" s="87">
        <v>105000</v>
      </c>
      <c r="I4963" s="87">
        <v>1155000</v>
      </c>
      <c r="K4963" s="85">
        <v>2024</v>
      </c>
      <c r="L4963" s="85">
        <v>6</v>
      </c>
      <c r="N4963" s="1" t="s">
        <v>44</v>
      </c>
    </row>
    <row r="4964" spans="1:14">
      <c r="A4964" s="36" t="s">
        <v>33</v>
      </c>
      <c r="B4964" s="37">
        <v>45473</v>
      </c>
      <c r="C4964" s="36" t="s">
        <v>2050</v>
      </c>
      <c r="D4964" s="36" t="s">
        <v>1423</v>
      </c>
      <c r="E4964" s="36" t="s">
        <v>2202</v>
      </c>
      <c r="G4964" s="87">
        <v>1221818</v>
      </c>
      <c r="H4964" s="87">
        <v>122181.8</v>
      </c>
      <c r="I4964" s="87">
        <v>1343999.8</v>
      </c>
      <c r="K4964" s="85">
        <v>2024</v>
      </c>
      <c r="L4964" s="85">
        <v>6</v>
      </c>
      <c r="N4964" s="1" t="s">
        <v>44</v>
      </c>
    </row>
    <row r="4965" spans="1:14">
      <c r="A4965" s="36" t="s">
        <v>33</v>
      </c>
      <c r="B4965" s="37">
        <v>45476</v>
      </c>
      <c r="C4965" s="36" t="s">
        <v>912</v>
      </c>
      <c r="D4965" s="36" t="s">
        <v>2203</v>
      </c>
      <c r="E4965" s="36" t="s">
        <v>2204</v>
      </c>
      <c r="G4965" s="87">
        <v>2299520</v>
      </c>
      <c r="H4965" s="87">
        <v>229952</v>
      </c>
      <c r="I4965" s="87">
        <v>2529472</v>
      </c>
      <c r="K4965" s="85">
        <v>2024</v>
      </c>
      <c r="L4965" s="85">
        <v>7</v>
      </c>
      <c r="N4965" s="1" t="s">
        <v>44</v>
      </c>
    </row>
    <row r="4966" spans="1:14">
      <c r="A4966" s="36" t="s">
        <v>33</v>
      </c>
      <c r="B4966" s="37">
        <v>45476</v>
      </c>
      <c r="C4966" s="36" t="s">
        <v>912</v>
      </c>
      <c r="D4966" s="36" t="s">
        <v>2205</v>
      </c>
      <c r="E4966" s="36" t="s">
        <v>2204</v>
      </c>
      <c r="G4966" s="87">
        <v>2139680</v>
      </c>
      <c r="H4966" s="87">
        <v>213968</v>
      </c>
      <c r="I4966" s="87">
        <v>2353648</v>
      </c>
      <c r="K4966" s="85">
        <v>2024</v>
      </c>
      <c r="L4966" s="85">
        <v>7</v>
      </c>
      <c r="N4966" s="1" t="s">
        <v>44</v>
      </c>
    </row>
    <row r="4967" spans="1:14">
      <c r="A4967" s="36" t="s">
        <v>33</v>
      </c>
      <c r="B4967" s="37">
        <v>45476</v>
      </c>
      <c r="C4967" s="36" t="s">
        <v>912</v>
      </c>
      <c r="D4967" s="36" t="s">
        <v>2206</v>
      </c>
      <c r="E4967" s="36" t="s">
        <v>2204</v>
      </c>
      <c r="G4967" s="87">
        <v>1261250</v>
      </c>
      <c r="H4967" s="87">
        <v>126125</v>
      </c>
      <c r="I4967" s="87">
        <v>1387375</v>
      </c>
      <c r="K4967" s="85">
        <v>2024</v>
      </c>
      <c r="L4967" s="85">
        <v>7</v>
      </c>
      <c r="N4967" s="1" t="s">
        <v>44</v>
      </c>
    </row>
    <row r="4968" spans="1:14">
      <c r="A4968" s="36" t="s">
        <v>32</v>
      </c>
      <c r="B4968" s="37">
        <v>45478</v>
      </c>
      <c r="C4968" s="36" t="s">
        <v>2169</v>
      </c>
      <c r="D4968" s="36" t="s">
        <v>2182</v>
      </c>
      <c r="E4968" s="36" t="s">
        <v>148</v>
      </c>
      <c r="J4968" s="87">
        <v>10230000</v>
      </c>
      <c r="K4968" s="85">
        <v>2024</v>
      </c>
      <c r="L4968" s="85">
        <v>5</v>
      </c>
      <c r="N4968" s="1" t="s">
        <v>44</v>
      </c>
    </row>
    <row r="4969" spans="1:14">
      <c r="A4969" s="36" t="s">
        <v>33</v>
      </c>
      <c r="B4969" s="37">
        <v>45473</v>
      </c>
      <c r="C4969" s="36" t="s">
        <v>2006</v>
      </c>
      <c r="D4969" s="36" t="s">
        <v>2160</v>
      </c>
      <c r="E4969" s="36" t="s">
        <v>1394</v>
      </c>
      <c r="G4969" s="87">
        <v>8592000</v>
      </c>
      <c r="H4969" s="87">
        <v>859200</v>
      </c>
      <c r="I4969" s="87">
        <v>9451200</v>
      </c>
      <c r="K4969" s="85">
        <v>2024</v>
      </c>
      <c r="L4969" s="85">
        <v>6</v>
      </c>
      <c r="N4969" s="1" t="s">
        <v>44</v>
      </c>
    </row>
    <row r="4970" spans="1:14">
      <c r="A4970" s="36" t="s">
        <v>33</v>
      </c>
      <c r="B4970" s="37">
        <v>45473</v>
      </c>
      <c r="C4970" s="36" t="s">
        <v>2122</v>
      </c>
      <c r="D4970" s="36" t="s">
        <v>1921</v>
      </c>
      <c r="E4970" s="36" t="s">
        <v>157</v>
      </c>
      <c r="G4970" s="87">
        <v>1120000</v>
      </c>
      <c r="H4970" s="87">
        <v>112000</v>
      </c>
      <c r="I4970" s="87">
        <v>1232000</v>
      </c>
      <c r="K4970" s="85">
        <v>2024</v>
      </c>
      <c r="L4970" s="85">
        <v>6</v>
      </c>
      <c r="N4970" s="1" t="s">
        <v>44</v>
      </c>
    </row>
    <row r="4971" spans="1:14">
      <c r="A4971" s="36" t="s">
        <v>33</v>
      </c>
      <c r="B4971" s="37">
        <v>45473</v>
      </c>
      <c r="C4971" s="36" t="s">
        <v>1919</v>
      </c>
      <c r="D4971" s="36" t="s">
        <v>1754</v>
      </c>
      <c r="E4971" s="36" t="s">
        <v>2115</v>
      </c>
      <c r="G4971" s="87">
        <v>5292000</v>
      </c>
      <c r="H4971" s="87">
        <v>529200</v>
      </c>
      <c r="I4971" s="87">
        <v>5821200</v>
      </c>
      <c r="K4971" s="85">
        <v>2024</v>
      </c>
      <c r="L4971" s="85">
        <v>6</v>
      </c>
      <c r="N4971" s="1" t="s">
        <v>44</v>
      </c>
    </row>
    <row r="4972" spans="1:14">
      <c r="A4972" s="36" t="s">
        <v>33</v>
      </c>
      <c r="B4972" s="37">
        <v>45473</v>
      </c>
      <c r="C4972" s="36" t="s">
        <v>1218</v>
      </c>
      <c r="D4972" s="36" t="s">
        <v>1921</v>
      </c>
      <c r="E4972" s="36" t="s">
        <v>1492</v>
      </c>
      <c r="G4972" s="87">
        <v>4714600</v>
      </c>
      <c r="H4972" s="87">
        <v>471460</v>
      </c>
      <c r="I4972" s="87">
        <v>5186060</v>
      </c>
      <c r="K4972" s="85">
        <v>2024</v>
      </c>
      <c r="L4972" s="85">
        <v>6</v>
      </c>
      <c r="N4972" s="1" t="s">
        <v>44</v>
      </c>
    </row>
    <row r="4973" spans="1:14">
      <c r="A4973" s="36" t="s">
        <v>33</v>
      </c>
      <c r="B4973" s="37">
        <v>45481</v>
      </c>
      <c r="C4973" s="36" t="s">
        <v>1218</v>
      </c>
      <c r="D4973" s="36" t="s">
        <v>1929</v>
      </c>
      <c r="E4973" s="36" t="s">
        <v>148</v>
      </c>
      <c r="J4973" s="87">
        <v>6390466.5</v>
      </c>
      <c r="K4973" s="85">
        <v>2024</v>
      </c>
      <c r="L4973" s="85">
        <v>4</v>
      </c>
      <c r="N4973" s="1" t="s">
        <v>44</v>
      </c>
    </row>
    <row r="4974" spans="1:14">
      <c r="A4974" s="36" t="s">
        <v>33</v>
      </c>
      <c r="B4974" s="37">
        <v>45473</v>
      </c>
      <c r="C4974" s="36" t="s">
        <v>1467</v>
      </c>
      <c r="D4974" s="36" t="s">
        <v>2207</v>
      </c>
      <c r="E4974" s="36" t="s">
        <v>2208</v>
      </c>
      <c r="G4974" s="87">
        <v>319000</v>
      </c>
      <c r="H4974" s="87">
        <v>31900</v>
      </c>
      <c r="I4974" s="87">
        <v>350900</v>
      </c>
      <c r="K4974" s="85">
        <v>2024</v>
      </c>
      <c r="L4974" s="85">
        <v>6</v>
      </c>
      <c r="N4974" s="1" t="s">
        <v>44</v>
      </c>
    </row>
    <row r="4975" spans="1:14">
      <c r="A4975" s="36" t="s">
        <v>33</v>
      </c>
      <c r="B4975" s="37">
        <v>45473</v>
      </c>
      <c r="C4975" s="36" t="s">
        <v>1467</v>
      </c>
      <c r="D4975" s="36" t="s">
        <v>2209</v>
      </c>
      <c r="E4975" s="36" t="s">
        <v>1232</v>
      </c>
      <c r="G4975" s="87">
        <v>6468000</v>
      </c>
      <c r="H4975" s="87">
        <v>646800</v>
      </c>
      <c r="I4975" s="87">
        <v>7114800</v>
      </c>
      <c r="K4975" s="85">
        <v>2024</v>
      </c>
      <c r="L4975" s="85">
        <v>6</v>
      </c>
      <c r="N4975" s="1" t="s">
        <v>44</v>
      </c>
    </row>
    <row r="4976" spans="1:14">
      <c r="A4976" s="36" t="s">
        <v>33</v>
      </c>
      <c r="B4976" s="37">
        <v>45473</v>
      </c>
      <c r="C4976" s="36" t="s">
        <v>1467</v>
      </c>
      <c r="D4976" s="36" t="s">
        <v>2103</v>
      </c>
      <c r="E4976" s="36" t="s">
        <v>1394</v>
      </c>
      <c r="G4976" s="87">
        <v>4024000</v>
      </c>
      <c r="H4976" s="87">
        <v>402400</v>
      </c>
      <c r="I4976" s="87">
        <v>4426400</v>
      </c>
      <c r="K4976" s="85">
        <v>2024</v>
      </c>
      <c r="L4976" s="85">
        <v>6</v>
      </c>
      <c r="N4976" s="1" t="s">
        <v>44</v>
      </c>
    </row>
    <row r="4977" spans="1:14">
      <c r="A4977" s="36" t="s">
        <v>33</v>
      </c>
      <c r="B4977" s="37">
        <v>45473</v>
      </c>
      <c r="C4977" s="36" t="s">
        <v>1467</v>
      </c>
      <c r="D4977" s="36" t="s">
        <v>2013</v>
      </c>
      <c r="E4977" s="36" t="s">
        <v>1394</v>
      </c>
      <c r="G4977" s="87">
        <v>11736900</v>
      </c>
      <c r="H4977" s="87">
        <v>1173690</v>
      </c>
      <c r="I4977" s="87">
        <v>12910590</v>
      </c>
      <c r="K4977" s="85">
        <v>2024</v>
      </c>
      <c r="L4977" s="85">
        <v>6</v>
      </c>
      <c r="N4977" s="1" t="s">
        <v>44</v>
      </c>
    </row>
    <row r="4978" spans="1:14">
      <c r="A4978" s="36" t="s">
        <v>33</v>
      </c>
      <c r="B4978" s="37">
        <v>45468</v>
      </c>
      <c r="C4978" s="36" t="s">
        <v>1569</v>
      </c>
      <c r="D4978" s="36" t="s">
        <v>2210</v>
      </c>
      <c r="E4978" s="36" t="s">
        <v>1232</v>
      </c>
      <c r="G4978" s="87">
        <v>10299800</v>
      </c>
      <c r="H4978" s="87">
        <v>1029980</v>
      </c>
      <c r="I4978" s="87">
        <v>11329780</v>
      </c>
      <c r="K4978" s="85">
        <v>2024</v>
      </c>
      <c r="L4978" s="85">
        <v>6</v>
      </c>
      <c r="N4978" s="1" t="s">
        <v>44</v>
      </c>
    </row>
    <row r="4979" spans="1:14">
      <c r="A4979" s="36" t="s">
        <v>33</v>
      </c>
      <c r="B4979" s="37">
        <v>45473</v>
      </c>
      <c r="C4979" s="36" t="s">
        <v>2211</v>
      </c>
      <c r="D4979" s="36" t="s">
        <v>2212</v>
      </c>
      <c r="E4979" s="36" t="s">
        <v>973</v>
      </c>
      <c r="G4979" s="87">
        <v>2190000</v>
      </c>
      <c r="H4979" s="87">
        <v>219000</v>
      </c>
      <c r="I4979" s="87">
        <v>2409000</v>
      </c>
      <c r="K4979" s="85">
        <v>2024</v>
      </c>
      <c r="L4979" s="85">
        <v>6</v>
      </c>
      <c r="N4979" s="1" t="s">
        <v>44</v>
      </c>
    </row>
    <row r="4980" spans="1:14">
      <c r="A4980" s="36" t="s">
        <v>33</v>
      </c>
      <c r="B4980" s="37">
        <v>45482</v>
      </c>
      <c r="C4980" s="36" t="s">
        <v>2211</v>
      </c>
      <c r="D4980" s="36" t="s">
        <v>2212</v>
      </c>
      <c r="E4980" s="36" t="s">
        <v>77</v>
      </c>
      <c r="J4980" s="38">
        <v>2409000</v>
      </c>
      <c r="K4980" s="85">
        <v>2024</v>
      </c>
      <c r="L4980" s="85">
        <v>6</v>
      </c>
      <c r="N4980" s="1" t="s">
        <v>44</v>
      </c>
    </row>
    <row r="4981" spans="1:14">
      <c r="A4981" s="36" t="s">
        <v>33</v>
      </c>
      <c r="B4981" s="37">
        <v>45473</v>
      </c>
      <c r="C4981" s="36" t="s">
        <v>96</v>
      </c>
      <c r="D4981" s="36" t="s">
        <v>2213</v>
      </c>
      <c r="E4981" s="36" t="s">
        <v>2214</v>
      </c>
      <c r="G4981" s="87">
        <v>5540000</v>
      </c>
      <c r="H4981" s="87">
        <v>554000</v>
      </c>
      <c r="I4981" s="87">
        <v>6094000</v>
      </c>
      <c r="K4981" s="85">
        <v>2024</v>
      </c>
      <c r="L4981" s="85">
        <v>6</v>
      </c>
      <c r="N4981" s="1" t="s">
        <v>44</v>
      </c>
    </row>
    <row r="4982" spans="1:14">
      <c r="A4982" s="36" t="s">
        <v>33</v>
      </c>
      <c r="B4982" s="37">
        <v>45473</v>
      </c>
      <c r="C4982" s="36" t="s">
        <v>1391</v>
      </c>
      <c r="D4982" s="36" t="s">
        <v>197</v>
      </c>
      <c r="E4982" s="36" t="s">
        <v>2258</v>
      </c>
      <c r="G4982" s="87">
        <v>11220000</v>
      </c>
      <c r="H4982" s="87">
        <v>1122000</v>
      </c>
      <c r="I4982" s="87">
        <v>12342000</v>
      </c>
      <c r="K4982" s="85">
        <v>2024</v>
      </c>
      <c r="L4982" s="85">
        <v>6</v>
      </c>
      <c r="N4982" s="1" t="s">
        <v>44</v>
      </c>
    </row>
    <row r="4983" spans="1:14">
      <c r="A4983" s="36" t="s">
        <v>33</v>
      </c>
      <c r="B4983" s="37">
        <v>45473</v>
      </c>
      <c r="C4983" s="36" t="s">
        <v>1391</v>
      </c>
      <c r="D4983" s="36" t="s">
        <v>2164</v>
      </c>
      <c r="E4983" s="36" t="s">
        <v>2260</v>
      </c>
      <c r="G4983" s="87">
        <v>1235000</v>
      </c>
      <c r="H4983" s="87">
        <v>123500</v>
      </c>
      <c r="I4983" s="87">
        <v>1358500</v>
      </c>
      <c r="K4983" s="85">
        <v>2024</v>
      </c>
      <c r="L4983" s="85">
        <v>6</v>
      </c>
      <c r="N4983" s="1" t="s">
        <v>44</v>
      </c>
    </row>
    <row r="4984" spans="1:14">
      <c r="A4984" s="36" t="s">
        <v>32</v>
      </c>
      <c r="B4984" s="37">
        <v>45483</v>
      </c>
      <c r="C4984" s="36" t="s">
        <v>288</v>
      </c>
      <c r="D4984" s="36" t="s">
        <v>1949</v>
      </c>
      <c r="E4984" s="36" t="s">
        <v>148</v>
      </c>
      <c r="J4984" s="87">
        <v>30292373.100000001</v>
      </c>
      <c r="K4984" s="85">
        <v>2024</v>
      </c>
      <c r="L4984" s="85">
        <v>4</v>
      </c>
      <c r="N4984" s="1" t="s">
        <v>44</v>
      </c>
    </row>
    <row r="4985" spans="1:14">
      <c r="A4985" s="36" t="s">
        <v>32</v>
      </c>
      <c r="B4985" s="37">
        <v>45483</v>
      </c>
      <c r="C4985" s="36" t="s">
        <v>1467</v>
      </c>
      <c r="D4985" s="36" t="s">
        <v>1869</v>
      </c>
      <c r="E4985" s="36" t="s">
        <v>148</v>
      </c>
      <c r="J4985" s="87">
        <v>5010060</v>
      </c>
      <c r="K4985" s="85">
        <v>2024</v>
      </c>
      <c r="L4985" s="85">
        <v>5</v>
      </c>
      <c r="N4985" s="1" t="s">
        <v>44</v>
      </c>
    </row>
    <row r="4986" spans="1:14">
      <c r="A4986" s="36" t="s">
        <v>32</v>
      </c>
      <c r="B4986" s="37">
        <v>45483</v>
      </c>
      <c r="C4986" s="36" t="s">
        <v>1198</v>
      </c>
      <c r="D4986" s="36" t="s">
        <v>2177</v>
      </c>
      <c r="E4986" s="36" t="s">
        <v>148</v>
      </c>
      <c r="J4986" s="87">
        <v>6580200</v>
      </c>
      <c r="K4986" s="85">
        <v>2024</v>
      </c>
      <c r="L4986" s="85">
        <v>5</v>
      </c>
      <c r="N4986" s="1" t="s">
        <v>44</v>
      </c>
    </row>
    <row r="4987" spans="1:14">
      <c r="A4987" s="36" t="s">
        <v>32</v>
      </c>
      <c r="B4987" s="37">
        <v>45444</v>
      </c>
      <c r="C4987" s="36" t="s">
        <v>1934</v>
      </c>
      <c r="D4987" s="36" t="s">
        <v>2195</v>
      </c>
      <c r="E4987" s="36" t="s">
        <v>267</v>
      </c>
      <c r="G4987" s="87">
        <v>10080000</v>
      </c>
      <c r="H4987" s="87">
        <v>1008000</v>
      </c>
      <c r="I4987" s="87">
        <v>11088000</v>
      </c>
      <c r="K4987" s="85">
        <v>2024</v>
      </c>
      <c r="L4987" s="85">
        <v>6</v>
      </c>
      <c r="N4987" s="1" t="s">
        <v>44</v>
      </c>
    </row>
    <row r="4988" spans="1:14">
      <c r="A4988" s="36" t="s">
        <v>32</v>
      </c>
      <c r="B4988" s="37">
        <v>45470</v>
      </c>
      <c r="C4988" s="36" t="s">
        <v>209</v>
      </c>
      <c r="D4988" s="36" t="s">
        <v>1866</v>
      </c>
      <c r="E4988" s="36" t="s">
        <v>76</v>
      </c>
      <c r="G4988" s="87">
        <v>147719280</v>
      </c>
      <c r="H4988" s="87">
        <v>14771928</v>
      </c>
      <c r="I4988" s="87">
        <v>162491208</v>
      </c>
      <c r="K4988" s="85">
        <v>2024</v>
      </c>
      <c r="L4988" s="85">
        <v>6</v>
      </c>
      <c r="N4988" s="1" t="s">
        <v>44</v>
      </c>
    </row>
    <row r="4989" spans="1:14">
      <c r="A4989" s="36" t="s">
        <v>32</v>
      </c>
      <c r="B4989" s="37">
        <v>45470</v>
      </c>
      <c r="C4989" s="36" t="s">
        <v>209</v>
      </c>
      <c r="D4989" s="36" t="s">
        <v>2024</v>
      </c>
      <c r="E4989" s="36" t="s">
        <v>1492</v>
      </c>
      <c r="G4989" s="87">
        <v>59928720</v>
      </c>
      <c r="H4989" s="87">
        <v>5992872</v>
      </c>
      <c r="I4989" s="87">
        <v>65921592</v>
      </c>
      <c r="K4989" s="85">
        <v>2024</v>
      </c>
      <c r="L4989" s="85">
        <v>6</v>
      </c>
      <c r="N4989" s="1" t="s">
        <v>44</v>
      </c>
    </row>
    <row r="4990" spans="1:14">
      <c r="A4990" s="36" t="s">
        <v>32</v>
      </c>
      <c r="B4990" s="37">
        <v>45473</v>
      </c>
      <c r="C4990" s="36" t="s">
        <v>209</v>
      </c>
      <c r="D4990" s="36" t="s">
        <v>1699</v>
      </c>
      <c r="E4990" s="36" t="s">
        <v>76</v>
      </c>
      <c r="G4990" s="87">
        <v>9575200</v>
      </c>
      <c r="H4990" s="87">
        <v>957520</v>
      </c>
      <c r="I4990" s="87">
        <v>10532720</v>
      </c>
      <c r="K4990" s="85">
        <v>2024</v>
      </c>
      <c r="L4990" s="85">
        <v>6</v>
      </c>
      <c r="N4990" s="1" t="s">
        <v>44</v>
      </c>
    </row>
    <row r="4991" spans="1:14">
      <c r="A4991" s="36" t="s">
        <v>32</v>
      </c>
      <c r="B4991" s="37">
        <v>45473</v>
      </c>
      <c r="C4991" s="36" t="s">
        <v>209</v>
      </c>
      <c r="D4991" s="36" t="s">
        <v>2001</v>
      </c>
      <c r="E4991" s="36" t="s">
        <v>76</v>
      </c>
      <c r="G4991" s="87">
        <v>68926487</v>
      </c>
      <c r="H4991" s="87">
        <v>6892648.7000000002</v>
      </c>
      <c r="I4991" s="87">
        <v>75819135.700000003</v>
      </c>
      <c r="K4991" s="85">
        <v>2024</v>
      </c>
      <c r="L4991" s="85">
        <v>6</v>
      </c>
      <c r="N4991" s="1" t="s">
        <v>44</v>
      </c>
    </row>
    <row r="4992" spans="1:14">
      <c r="A4992" s="36" t="s">
        <v>32</v>
      </c>
      <c r="B4992" s="37">
        <v>45473</v>
      </c>
      <c r="C4992" s="36" t="s">
        <v>209</v>
      </c>
      <c r="D4992" s="36" t="s">
        <v>2171</v>
      </c>
      <c r="E4992" s="36" t="s">
        <v>1492</v>
      </c>
      <c r="G4992" s="87">
        <v>11172800</v>
      </c>
      <c r="H4992" s="87">
        <v>1117280</v>
      </c>
      <c r="I4992" s="87">
        <v>12290080</v>
      </c>
      <c r="K4992" s="85">
        <v>2024</v>
      </c>
      <c r="L4992" s="85">
        <v>6</v>
      </c>
      <c r="N4992" s="1" t="s">
        <v>44</v>
      </c>
    </row>
    <row r="4993" spans="1:14">
      <c r="A4993" s="36" t="s">
        <v>32</v>
      </c>
      <c r="B4993" s="37">
        <v>45473</v>
      </c>
      <c r="C4993" s="36" t="s">
        <v>1468</v>
      </c>
      <c r="D4993" s="36" t="s">
        <v>2066</v>
      </c>
      <c r="E4993" s="36" t="s">
        <v>267</v>
      </c>
      <c r="G4993" s="87">
        <v>11275000</v>
      </c>
      <c r="H4993" s="87">
        <v>1127500</v>
      </c>
      <c r="I4993" s="87">
        <v>12402500</v>
      </c>
      <c r="K4993" s="85">
        <v>2024</v>
      </c>
      <c r="L4993" s="85">
        <v>6</v>
      </c>
      <c r="N4993" s="1" t="s">
        <v>44</v>
      </c>
    </row>
    <row r="4994" spans="1:14">
      <c r="A4994" s="36" t="s">
        <v>32</v>
      </c>
      <c r="B4994" s="37">
        <v>45473</v>
      </c>
      <c r="C4994" s="36" t="s">
        <v>1468</v>
      </c>
      <c r="D4994" s="36" t="s">
        <v>2067</v>
      </c>
      <c r="E4994" s="36" t="s">
        <v>1492</v>
      </c>
      <c r="G4994" s="87">
        <v>2663100</v>
      </c>
      <c r="H4994" s="87">
        <v>266310</v>
      </c>
      <c r="I4994" s="87">
        <v>2929410</v>
      </c>
      <c r="K4994" s="85">
        <v>2024</v>
      </c>
      <c r="L4994" s="85">
        <v>6</v>
      </c>
      <c r="N4994" s="1" t="s">
        <v>44</v>
      </c>
    </row>
    <row r="4995" spans="1:14">
      <c r="A4995" s="36" t="s">
        <v>32</v>
      </c>
      <c r="B4995" s="37">
        <v>45473</v>
      </c>
      <c r="C4995" s="36" t="s">
        <v>1468</v>
      </c>
      <c r="D4995" s="36" t="s">
        <v>2069</v>
      </c>
      <c r="E4995" s="36" t="s">
        <v>267</v>
      </c>
      <c r="G4995" s="87">
        <v>21566000</v>
      </c>
      <c r="H4995" s="87">
        <v>2156600</v>
      </c>
      <c r="I4995" s="87">
        <v>23722600</v>
      </c>
      <c r="K4995" s="85">
        <v>2024</v>
      </c>
      <c r="L4995" s="85">
        <v>6</v>
      </c>
      <c r="N4995" s="1" t="s">
        <v>44</v>
      </c>
    </row>
    <row r="4996" spans="1:14">
      <c r="A4996" s="36" t="s">
        <v>32</v>
      </c>
      <c r="B4996" s="37">
        <v>45473</v>
      </c>
      <c r="C4996" s="36" t="s">
        <v>1468</v>
      </c>
      <c r="D4996" s="36" t="s">
        <v>2072</v>
      </c>
      <c r="E4996" s="36" t="s">
        <v>1492</v>
      </c>
      <c r="G4996" s="87">
        <v>3960000</v>
      </c>
      <c r="H4996" s="87">
        <v>396000</v>
      </c>
      <c r="I4996" s="87">
        <v>4356000</v>
      </c>
      <c r="K4996" s="85">
        <v>2024</v>
      </c>
      <c r="L4996" s="85">
        <v>6</v>
      </c>
      <c r="N4996" s="1" t="s">
        <v>44</v>
      </c>
    </row>
    <row r="4997" spans="1:14">
      <c r="A4997" s="36" t="s">
        <v>32</v>
      </c>
      <c r="B4997" s="37">
        <v>45473</v>
      </c>
      <c r="C4997" s="36" t="s">
        <v>1467</v>
      </c>
      <c r="D4997" s="36" t="s">
        <v>1814</v>
      </c>
      <c r="E4997" s="36" t="s">
        <v>267</v>
      </c>
      <c r="G4997" s="87">
        <v>51070000</v>
      </c>
      <c r="H4997" s="87">
        <v>5107000</v>
      </c>
      <c r="I4997" s="87">
        <v>56177000</v>
      </c>
      <c r="K4997" s="85">
        <v>2024</v>
      </c>
      <c r="L4997" s="85">
        <v>6</v>
      </c>
      <c r="N4997" s="1" t="s">
        <v>44</v>
      </c>
    </row>
    <row r="4998" spans="1:14">
      <c r="A4998" s="36" t="s">
        <v>32</v>
      </c>
      <c r="B4998" s="37">
        <v>45473</v>
      </c>
      <c r="C4998" s="36" t="s">
        <v>654</v>
      </c>
      <c r="D4998" s="36" t="s">
        <v>1941</v>
      </c>
      <c r="E4998" s="36" t="s">
        <v>76</v>
      </c>
      <c r="G4998" s="87">
        <v>36490240</v>
      </c>
      <c r="H4998" s="87">
        <v>3649024</v>
      </c>
      <c r="I4998" s="87">
        <v>40139264</v>
      </c>
      <c r="K4998" s="85">
        <v>2024</v>
      </c>
      <c r="L4998" s="85">
        <v>6</v>
      </c>
      <c r="N4998" s="1" t="s">
        <v>44</v>
      </c>
    </row>
    <row r="4999" spans="1:14">
      <c r="A4999" s="36" t="s">
        <v>32</v>
      </c>
      <c r="B4999" s="37">
        <v>45473</v>
      </c>
      <c r="C4999" s="36" t="s">
        <v>654</v>
      </c>
      <c r="D4999" s="36" t="s">
        <v>2215</v>
      </c>
      <c r="E4999" s="36" t="s">
        <v>76</v>
      </c>
      <c r="G4999" s="87">
        <v>41288780</v>
      </c>
      <c r="H4999" s="87">
        <v>4128878</v>
      </c>
      <c r="I4999" s="87">
        <v>45417658</v>
      </c>
      <c r="K4999" s="85">
        <v>2024</v>
      </c>
      <c r="L4999" s="85">
        <v>6</v>
      </c>
      <c r="N4999" s="1" t="s">
        <v>44</v>
      </c>
    </row>
    <row r="5000" spans="1:14">
      <c r="A5000" s="36" t="s">
        <v>32</v>
      </c>
      <c r="B5000" s="37">
        <v>45473</v>
      </c>
      <c r="C5000" s="36" t="s">
        <v>654</v>
      </c>
      <c r="D5000" s="36" t="s">
        <v>2216</v>
      </c>
      <c r="E5000" s="36" t="s">
        <v>76</v>
      </c>
      <c r="G5000" s="87">
        <v>130148330</v>
      </c>
      <c r="H5000" s="87">
        <v>13014833</v>
      </c>
      <c r="I5000" s="87">
        <v>143163163</v>
      </c>
      <c r="K5000" s="85">
        <v>2024</v>
      </c>
      <c r="L5000" s="85">
        <v>6</v>
      </c>
      <c r="N5000" s="1" t="s">
        <v>44</v>
      </c>
    </row>
    <row r="5001" spans="1:14">
      <c r="A5001" s="36" t="s">
        <v>32</v>
      </c>
      <c r="B5001" s="37">
        <v>45473</v>
      </c>
      <c r="C5001" s="36" t="s">
        <v>654</v>
      </c>
      <c r="D5001" s="36" t="s">
        <v>1673</v>
      </c>
      <c r="E5001" s="36" t="s">
        <v>76</v>
      </c>
      <c r="G5001" s="87">
        <v>46098600</v>
      </c>
      <c r="H5001" s="87">
        <v>4609860</v>
      </c>
      <c r="I5001" s="87">
        <v>50708460</v>
      </c>
      <c r="K5001" s="85">
        <v>2024</v>
      </c>
      <c r="L5001" s="85">
        <v>6</v>
      </c>
      <c r="N5001" s="1" t="s">
        <v>44</v>
      </c>
    </row>
    <row r="5002" spans="1:14">
      <c r="A5002" s="36" t="s">
        <v>32</v>
      </c>
      <c r="B5002" s="37">
        <v>45473</v>
      </c>
      <c r="C5002" s="36" t="s">
        <v>1880</v>
      </c>
      <c r="D5002" s="36" t="s">
        <v>2078</v>
      </c>
      <c r="E5002" s="36" t="s">
        <v>76</v>
      </c>
      <c r="G5002" s="87">
        <v>23100000</v>
      </c>
      <c r="H5002" s="87">
        <v>2310000</v>
      </c>
      <c r="I5002" s="87">
        <v>25410000</v>
      </c>
      <c r="K5002" s="85">
        <v>2024</v>
      </c>
      <c r="L5002" s="85">
        <v>6</v>
      </c>
      <c r="N5002" s="1" t="s">
        <v>44</v>
      </c>
    </row>
    <row r="5003" spans="1:14">
      <c r="A5003" s="36" t="s">
        <v>32</v>
      </c>
      <c r="B5003" s="37">
        <v>45473</v>
      </c>
      <c r="C5003" s="36" t="s">
        <v>1467</v>
      </c>
      <c r="D5003" s="36" t="s">
        <v>1750</v>
      </c>
      <c r="E5003" s="36" t="s">
        <v>76</v>
      </c>
      <c r="G5003" s="87">
        <v>15714200</v>
      </c>
      <c r="H5003" s="87">
        <v>1571420</v>
      </c>
      <c r="I5003" s="87">
        <v>17285620</v>
      </c>
      <c r="K5003" s="85">
        <v>2024</v>
      </c>
      <c r="L5003" s="85">
        <v>6</v>
      </c>
      <c r="N5003" s="1" t="s">
        <v>44</v>
      </c>
    </row>
    <row r="5004" spans="1:14">
      <c r="A5004" s="36" t="s">
        <v>32</v>
      </c>
      <c r="B5004" s="37">
        <v>45473</v>
      </c>
      <c r="C5004" s="36" t="s">
        <v>2169</v>
      </c>
      <c r="D5004" s="36" t="s">
        <v>2217</v>
      </c>
      <c r="E5004" s="36" t="s">
        <v>76</v>
      </c>
      <c r="G5004" s="87">
        <v>43397000</v>
      </c>
      <c r="H5004" s="87">
        <v>4339700</v>
      </c>
      <c r="I5004" s="87">
        <v>47736700</v>
      </c>
      <c r="K5004" s="85">
        <v>2024</v>
      </c>
      <c r="L5004" s="85">
        <v>6</v>
      </c>
      <c r="N5004" s="1" t="s">
        <v>44</v>
      </c>
    </row>
    <row r="5005" spans="1:14">
      <c r="A5005" s="36" t="s">
        <v>32</v>
      </c>
      <c r="B5005" s="37">
        <v>45473</v>
      </c>
      <c r="C5005" s="36" t="s">
        <v>1862</v>
      </c>
      <c r="D5005" s="36" t="s">
        <v>1874</v>
      </c>
      <c r="E5005" s="36" t="s">
        <v>76</v>
      </c>
      <c r="G5005" s="87">
        <v>3105000</v>
      </c>
      <c r="H5005" s="87">
        <v>310500</v>
      </c>
      <c r="I5005" s="87">
        <v>3415500</v>
      </c>
      <c r="K5005" s="85">
        <v>2024</v>
      </c>
      <c r="L5005" s="85">
        <v>6</v>
      </c>
      <c r="N5005" s="1" t="s">
        <v>44</v>
      </c>
    </row>
    <row r="5006" spans="1:14">
      <c r="A5006" s="36" t="s">
        <v>32</v>
      </c>
      <c r="B5006" s="37">
        <v>45473</v>
      </c>
      <c r="C5006" s="36" t="s">
        <v>2167</v>
      </c>
      <c r="D5006" s="36" t="s">
        <v>2174</v>
      </c>
      <c r="E5006" s="36" t="s">
        <v>76</v>
      </c>
      <c r="G5006" s="87">
        <v>26500000</v>
      </c>
      <c r="H5006" s="87">
        <v>2650000</v>
      </c>
      <c r="I5006" s="87">
        <v>29150000</v>
      </c>
      <c r="K5006" s="85">
        <v>2024</v>
      </c>
      <c r="L5006" s="85">
        <v>6</v>
      </c>
      <c r="N5006" s="1" t="s">
        <v>44</v>
      </c>
    </row>
    <row r="5007" spans="1:14">
      <c r="A5007" s="36" t="s">
        <v>32</v>
      </c>
      <c r="B5007" s="37">
        <v>45473</v>
      </c>
      <c r="C5007" s="36" t="s">
        <v>1741</v>
      </c>
      <c r="D5007" s="36" t="s">
        <v>1745</v>
      </c>
      <c r="E5007" s="36" t="s">
        <v>267</v>
      </c>
      <c r="G5007" s="87">
        <v>2400000</v>
      </c>
      <c r="H5007" s="87">
        <v>240000</v>
      </c>
      <c r="I5007" s="87">
        <v>2640000</v>
      </c>
      <c r="K5007" s="85">
        <v>2024</v>
      </c>
      <c r="L5007" s="85">
        <v>6</v>
      </c>
      <c r="N5007" s="1" t="s">
        <v>44</v>
      </c>
    </row>
    <row r="5008" spans="1:14">
      <c r="A5008" s="36" t="s">
        <v>32</v>
      </c>
      <c r="B5008" s="37">
        <v>45473</v>
      </c>
      <c r="C5008" s="36" t="s">
        <v>1933</v>
      </c>
      <c r="D5008" s="36" t="s">
        <v>2162</v>
      </c>
      <c r="E5008" s="36" t="s">
        <v>267</v>
      </c>
      <c r="G5008" s="87">
        <v>48420000</v>
      </c>
      <c r="H5008" s="87">
        <v>4842000</v>
      </c>
      <c r="I5008" s="87">
        <v>53262000</v>
      </c>
      <c r="K5008" s="85">
        <v>2024</v>
      </c>
      <c r="L5008" s="85">
        <v>6</v>
      </c>
      <c r="N5008" s="1" t="s">
        <v>44</v>
      </c>
    </row>
    <row r="5009" spans="1:14">
      <c r="A5009" s="36" t="s">
        <v>32</v>
      </c>
      <c r="B5009" s="37">
        <v>45473</v>
      </c>
      <c r="C5009" s="36" t="s">
        <v>1933</v>
      </c>
      <c r="D5009" s="36" t="s">
        <v>2098</v>
      </c>
      <c r="E5009" s="36" t="s">
        <v>2306</v>
      </c>
      <c r="G5009" s="87">
        <v>28282465</v>
      </c>
      <c r="H5009" s="87">
        <v>2828246.5</v>
      </c>
      <c r="I5009" s="87">
        <v>31110711.5</v>
      </c>
      <c r="K5009" s="85">
        <v>2024</v>
      </c>
      <c r="L5009" s="85">
        <v>6</v>
      </c>
      <c r="N5009" s="1" t="s">
        <v>44</v>
      </c>
    </row>
    <row r="5010" spans="1:14">
      <c r="A5010" s="36" t="s">
        <v>32</v>
      </c>
      <c r="B5010" s="37">
        <v>45473</v>
      </c>
      <c r="C5010" s="36" t="s">
        <v>1470</v>
      </c>
      <c r="D5010" s="36" t="s">
        <v>1821</v>
      </c>
      <c r="E5010" s="36" t="s">
        <v>76</v>
      </c>
      <c r="G5010" s="87">
        <v>234035860</v>
      </c>
      <c r="H5010" s="87">
        <v>23403586</v>
      </c>
      <c r="I5010" s="87">
        <v>257439446</v>
      </c>
      <c r="K5010" s="85">
        <v>2024</v>
      </c>
      <c r="L5010" s="85">
        <v>6</v>
      </c>
      <c r="N5010" s="1" t="s">
        <v>44</v>
      </c>
    </row>
    <row r="5011" spans="1:14">
      <c r="A5011" s="36" t="s">
        <v>32</v>
      </c>
      <c r="B5011" s="37">
        <v>45473</v>
      </c>
      <c r="C5011" s="36" t="s">
        <v>204</v>
      </c>
      <c r="D5011" s="36" t="s">
        <v>2218</v>
      </c>
      <c r="E5011" s="36" t="s">
        <v>76</v>
      </c>
      <c r="G5011" s="87">
        <v>4428000</v>
      </c>
      <c r="H5011" s="87">
        <v>442800</v>
      </c>
      <c r="I5011" s="87">
        <v>4870800</v>
      </c>
      <c r="K5011" s="85">
        <v>2024</v>
      </c>
      <c r="L5011" s="85">
        <v>6</v>
      </c>
      <c r="N5011" s="1" t="s">
        <v>44</v>
      </c>
    </row>
    <row r="5012" spans="1:14">
      <c r="A5012" s="36" t="s">
        <v>32</v>
      </c>
      <c r="B5012" s="37">
        <v>45473</v>
      </c>
      <c r="C5012" s="36" t="s">
        <v>307</v>
      </c>
      <c r="D5012" s="36" t="s">
        <v>2219</v>
      </c>
      <c r="E5012" s="36" t="s">
        <v>267</v>
      </c>
      <c r="G5012" s="87">
        <v>1400000</v>
      </c>
      <c r="H5012" s="87">
        <v>140000</v>
      </c>
      <c r="I5012" s="87">
        <v>1540000</v>
      </c>
      <c r="K5012" s="85">
        <v>2024</v>
      </c>
      <c r="L5012" s="85">
        <v>6</v>
      </c>
      <c r="N5012" s="1" t="s">
        <v>44</v>
      </c>
    </row>
    <row r="5013" spans="1:14">
      <c r="A5013" s="36" t="s">
        <v>32</v>
      </c>
      <c r="B5013" s="37">
        <v>45473</v>
      </c>
      <c r="C5013" s="36" t="s">
        <v>307</v>
      </c>
      <c r="D5013" s="36" t="s">
        <v>1752</v>
      </c>
      <c r="E5013" s="36" t="s">
        <v>267</v>
      </c>
      <c r="G5013" s="87">
        <v>7793500</v>
      </c>
      <c r="H5013" s="87">
        <v>779350</v>
      </c>
      <c r="I5013" s="87">
        <v>8572850</v>
      </c>
      <c r="K5013" s="85">
        <v>2024</v>
      </c>
      <c r="L5013" s="85">
        <v>6</v>
      </c>
      <c r="N5013" s="1" t="s">
        <v>44</v>
      </c>
    </row>
    <row r="5014" spans="1:14">
      <c r="A5014" s="36" t="s">
        <v>32</v>
      </c>
      <c r="B5014" s="37">
        <v>45473</v>
      </c>
      <c r="C5014" s="36" t="s">
        <v>1587</v>
      </c>
      <c r="D5014" s="36" t="s">
        <v>2141</v>
      </c>
      <c r="E5014" s="36" t="s">
        <v>76</v>
      </c>
      <c r="G5014" s="87">
        <v>19663724</v>
      </c>
      <c r="H5014" s="87">
        <v>1966372.4000000001</v>
      </c>
      <c r="I5014" s="87">
        <v>21630096.399999999</v>
      </c>
      <c r="K5014" s="85">
        <v>2024</v>
      </c>
      <c r="L5014" s="85">
        <v>6</v>
      </c>
      <c r="N5014" s="1" t="s">
        <v>44</v>
      </c>
    </row>
    <row r="5015" spans="1:14">
      <c r="A5015" s="36" t="s">
        <v>32</v>
      </c>
      <c r="B5015" s="37">
        <v>45473</v>
      </c>
      <c r="C5015" s="36" t="s">
        <v>1587</v>
      </c>
      <c r="D5015" s="36" t="s">
        <v>1865</v>
      </c>
      <c r="E5015" s="36" t="s">
        <v>267</v>
      </c>
      <c r="G5015" s="87">
        <v>2300000</v>
      </c>
      <c r="H5015" s="87">
        <v>230000</v>
      </c>
      <c r="I5015" s="87">
        <v>2530000</v>
      </c>
      <c r="K5015" s="85">
        <v>2024</v>
      </c>
      <c r="L5015" s="85">
        <v>6</v>
      </c>
      <c r="N5015" s="1" t="s">
        <v>44</v>
      </c>
    </row>
    <row r="5016" spans="1:14">
      <c r="A5016" s="36" t="s">
        <v>32</v>
      </c>
      <c r="B5016" s="37">
        <v>45473</v>
      </c>
      <c r="C5016" s="36" t="s">
        <v>264</v>
      </c>
      <c r="D5016" s="36" t="s">
        <v>2220</v>
      </c>
      <c r="E5016" s="36" t="s">
        <v>76</v>
      </c>
      <c r="G5016" s="87">
        <v>45600000</v>
      </c>
      <c r="H5016" s="87">
        <v>4560000</v>
      </c>
      <c r="I5016" s="87">
        <v>50160000</v>
      </c>
      <c r="K5016" s="85">
        <v>2024</v>
      </c>
      <c r="L5016" s="85">
        <v>6</v>
      </c>
      <c r="N5016" s="1" t="s">
        <v>44</v>
      </c>
    </row>
    <row r="5017" spans="1:14">
      <c r="A5017" s="36" t="s">
        <v>32</v>
      </c>
      <c r="B5017" s="37">
        <v>45473</v>
      </c>
      <c r="C5017" s="36" t="s">
        <v>2063</v>
      </c>
      <c r="D5017" s="36" t="s">
        <v>2140</v>
      </c>
      <c r="E5017" s="36" t="s">
        <v>1492</v>
      </c>
      <c r="G5017" s="87">
        <v>61659120</v>
      </c>
      <c r="H5017" s="87">
        <v>6165912</v>
      </c>
      <c r="I5017" s="87">
        <v>67825032</v>
      </c>
      <c r="K5017" s="85">
        <v>2024</v>
      </c>
      <c r="L5017" s="85">
        <v>6</v>
      </c>
      <c r="N5017" s="1" t="s">
        <v>44</v>
      </c>
    </row>
    <row r="5018" spans="1:14">
      <c r="A5018" s="36" t="s">
        <v>32</v>
      </c>
      <c r="B5018" s="37">
        <v>45473</v>
      </c>
      <c r="C5018" s="36" t="s">
        <v>1198</v>
      </c>
      <c r="D5018" s="36" t="s">
        <v>2176</v>
      </c>
      <c r="E5018" s="36" t="s">
        <v>267</v>
      </c>
      <c r="G5018" s="87">
        <v>6017400</v>
      </c>
      <c r="H5018" s="87">
        <v>601740</v>
      </c>
      <c r="I5018" s="87">
        <v>6619140</v>
      </c>
      <c r="K5018" s="85">
        <v>2024</v>
      </c>
      <c r="L5018" s="85">
        <v>6</v>
      </c>
      <c r="N5018" s="1" t="s">
        <v>44</v>
      </c>
    </row>
    <row r="5019" spans="1:14">
      <c r="A5019" s="36" t="s">
        <v>32</v>
      </c>
      <c r="B5019" s="37">
        <v>45473</v>
      </c>
      <c r="C5019" s="36" t="s">
        <v>1198</v>
      </c>
      <c r="D5019" s="36" t="s">
        <v>2027</v>
      </c>
      <c r="E5019" s="36" t="s">
        <v>267</v>
      </c>
      <c r="G5019" s="87">
        <v>5146200</v>
      </c>
      <c r="H5019" s="87">
        <v>514620</v>
      </c>
      <c r="I5019" s="87">
        <v>5660820</v>
      </c>
      <c r="K5019" s="85">
        <v>2024</v>
      </c>
      <c r="L5019" s="85">
        <v>6</v>
      </c>
      <c r="N5019" s="1" t="s">
        <v>44</v>
      </c>
    </row>
    <row r="5020" spans="1:14">
      <c r="A5020" s="36" t="s">
        <v>32</v>
      </c>
      <c r="B5020" s="37">
        <v>45473</v>
      </c>
      <c r="C5020" s="36" t="s">
        <v>1198</v>
      </c>
      <c r="D5020" s="36" t="s">
        <v>2221</v>
      </c>
      <c r="E5020" s="36" t="s">
        <v>267</v>
      </c>
      <c r="G5020" s="87">
        <v>2794800</v>
      </c>
      <c r="H5020" s="87">
        <v>279480</v>
      </c>
      <c r="I5020" s="87">
        <v>3074280</v>
      </c>
      <c r="K5020" s="85">
        <v>2024</v>
      </c>
      <c r="L5020" s="85">
        <v>6</v>
      </c>
      <c r="N5020" s="1" t="s">
        <v>44</v>
      </c>
    </row>
    <row r="5021" spans="1:14">
      <c r="A5021" s="36" t="s">
        <v>32</v>
      </c>
      <c r="B5021" s="37">
        <v>45473</v>
      </c>
      <c r="C5021" s="36" t="s">
        <v>1198</v>
      </c>
      <c r="D5021" s="36" t="s">
        <v>2177</v>
      </c>
      <c r="E5021" s="36" t="s">
        <v>267</v>
      </c>
      <c r="G5021" s="87">
        <v>3288000</v>
      </c>
      <c r="H5021" s="87">
        <v>328800</v>
      </c>
      <c r="I5021" s="87">
        <v>3616800</v>
      </c>
      <c r="K5021" s="85">
        <v>2024</v>
      </c>
      <c r="L5021" s="85">
        <v>6</v>
      </c>
      <c r="N5021" s="1" t="s">
        <v>44</v>
      </c>
    </row>
    <row r="5022" spans="1:14">
      <c r="A5022" s="36" t="s">
        <v>32</v>
      </c>
      <c r="B5022" s="37">
        <v>45473</v>
      </c>
      <c r="C5022" s="36" t="s">
        <v>2062</v>
      </c>
      <c r="D5022" s="36" t="s">
        <v>2084</v>
      </c>
      <c r="E5022" s="36" t="s">
        <v>267</v>
      </c>
      <c r="G5022" s="87">
        <v>5000000</v>
      </c>
      <c r="H5022" s="87">
        <v>500000</v>
      </c>
      <c r="I5022" s="87">
        <v>5500000</v>
      </c>
      <c r="K5022" s="85">
        <v>2024</v>
      </c>
      <c r="L5022" s="85">
        <v>6</v>
      </c>
      <c r="N5022" s="1" t="s">
        <v>44</v>
      </c>
    </row>
    <row r="5023" spans="1:14">
      <c r="A5023" s="36" t="s">
        <v>32</v>
      </c>
      <c r="B5023" s="37">
        <v>45470</v>
      </c>
      <c r="C5023" s="36" t="s">
        <v>1934</v>
      </c>
      <c r="D5023" s="36" t="s">
        <v>2195</v>
      </c>
      <c r="E5023" s="36" t="s">
        <v>77</v>
      </c>
      <c r="J5023" s="38">
        <v>11088000</v>
      </c>
      <c r="K5023" s="85">
        <v>2024</v>
      </c>
      <c r="L5023" s="85">
        <v>6</v>
      </c>
      <c r="N5023" s="1" t="s">
        <v>44</v>
      </c>
    </row>
    <row r="5024" spans="1:14">
      <c r="A5024" s="36" t="s">
        <v>32</v>
      </c>
      <c r="B5024" s="37">
        <v>45478</v>
      </c>
      <c r="C5024" s="36" t="s">
        <v>2169</v>
      </c>
      <c r="D5024" s="36" t="s">
        <v>2217</v>
      </c>
      <c r="E5024" s="36" t="s">
        <v>77</v>
      </c>
      <c r="J5024" s="38">
        <v>17736700</v>
      </c>
      <c r="K5024" s="85">
        <v>2024</v>
      </c>
      <c r="L5024" s="85">
        <v>6</v>
      </c>
      <c r="N5024" s="1" t="s">
        <v>44</v>
      </c>
    </row>
    <row r="5025" spans="1:14">
      <c r="A5025" s="36" t="s">
        <v>33</v>
      </c>
      <c r="B5025" s="37">
        <v>45473</v>
      </c>
      <c r="C5025" s="36" t="s">
        <v>2116</v>
      </c>
      <c r="D5025" s="36" t="s">
        <v>2117</v>
      </c>
      <c r="E5025" s="36" t="s">
        <v>2118</v>
      </c>
      <c r="G5025" s="87">
        <v>1372000</v>
      </c>
      <c r="H5025" s="87">
        <v>137200</v>
      </c>
      <c r="I5025" s="87">
        <v>1509200</v>
      </c>
      <c r="K5025" s="85">
        <v>2024</v>
      </c>
      <c r="L5025" s="85">
        <v>6</v>
      </c>
      <c r="N5025" s="1" t="s">
        <v>44</v>
      </c>
    </row>
    <row r="5026" spans="1:14">
      <c r="A5026" s="36" t="s">
        <v>33</v>
      </c>
      <c r="B5026" s="37">
        <v>45473</v>
      </c>
      <c r="C5026" s="36" t="s">
        <v>2188</v>
      </c>
      <c r="D5026" s="36" t="s">
        <v>2057</v>
      </c>
      <c r="E5026" s="36" t="s">
        <v>2222</v>
      </c>
      <c r="G5026" s="87">
        <v>500280</v>
      </c>
      <c r="H5026" s="87">
        <v>50028</v>
      </c>
      <c r="I5026" s="87">
        <v>550308</v>
      </c>
      <c r="K5026" s="85">
        <v>2024</v>
      </c>
      <c r="L5026" s="85">
        <v>6</v>
      </c>
      <c r="N5026" s="1" t="s">
        <v>44</v>
      </c>
    </row>
    <row r="5027" spans="1:14">
      <c r="A5027" s="36" t="s">
        <v>33</v>
      </c>
      <c r="B5027" s="37">
        <v>45473</v>
      </c>
      <c r="C5027" s="36" t="s">
        <v>2188</v>
      </c>
      <c r="D5027" s="36" t="s">
        <v>2190</v>
      </c>
      <c r="E5027" s="36" t="s">
        <v>1560</v>
      </c>
      <c r="G5027" s="87">
        <v>6662500</v>
      </c>
      <c r="H5027" s="87">
        <v>666250</v>
      </c>
      <c r="I5027" s="87">
        <v>7328750</v>
      </c>
      <c r="K5027" s="85">
        <v>2024</v>
      </c>
      <c r="L5027" s="85">
        <v>6</v>
      </c>
      <c r="N5027" s="1" t="s">
        <v>44</v>
      </c>
    </row>
    <row r="5028" spans="1:14">
      <c r="A5028" s="36" t="s">
        <v>33</v>
      </c>
      <c r="B5028" s="37">
        <v>45473</v>
      </c>
      <c r="C5028" s="36" t="s">
        <v>2016</v>
      </c>
      <c r="D5028" s="36" t="s">
        <v>2145</v>
      </c>
      <c r="E5028" s="36" t="s">
        <v>1492</v>
      </c>
      <c r="G5028" s="87">
        <v>28500000</v>
      </c>
      <c r="H5028" s="87">
        <v>2850000</v>
      </c>
      <c r="I5028" s="87">
        <v>31350000</v>
      </c>
      <c r="K5028" s="85">
        <v>2024</v>
      </c>
      <c r="L5028" s="85">
        <v>6</v>
      </c>
      <c r="N5028" s="1" t="s">
        <v>44</v>
      </c>
    </row>
    <row r="5029" spans="1:14">
      <c r="A5029" s="36" t="s">
        <v>33</v>
      </c>
      <c r="B5029" s="37">
        <v>45474</v>
      </c>
      <c r="C5029" s="36" t="s">
        <v>1391</v>
      </c>
      <c r="D5029" s="36" t="s">
        <v>197</v>
      </c>
      <c r="E5029" s="36" t="s">
        <v>2259</v>
      </c>
      <c r="G5029" s="87">
        <v>36593000</v>
      </c>
      <c r="H5029" s="87">
        <v>3659300</v>
      </c>
      <c r="I5029" s="87">
        <v>40252300</v>
      </c>
      <c r="K5029" s="85">
        <v>2024</v>
      </c>
      <c r="L5029" s="85">
        <v>6</v>
      </c>
      <c r="N5029" s="1" t="s">
        <v>44</v>
      </c>
    </row>
    <row r="5030" spans="1:14">
      <c r="A5030" s="36" t="s">
        <v>33</v>
      </c>
      <c r="B5030" s="37">
        <v>45474</v>
      </c>
      <c r="C5030" s="36" t="s">
        <v>2223</v>
      </c>
      <c r="D5030" s="36" t="s">
        <v>2225</v>
      </c>
      <c r="E5030" s="36" t="s">
        <v>2224</v>
      </c>
      <c r="G5030" s="87">
        <v>11283164</v>
      </c>
      <c r="H5030" s="87">
        <v>1128316.4000000001</v>
      </c>
      <c r="I5030" s="87">
        <v>12411480.4</v>
      </c>
      <c r="K5030" s="85">
        <v>2024</v>
      </c>
      <c r="L5030" s="85">
        <v>5</v>
      </c>
      <c r="N5030" s="1" t="s">
        <v>44</v>
      </c>
    </row>
    <row r="5031" spans="1:14">
      <c r="A5031" s="36" t="s">
        <v>33</v>
      </c>
      <c r="B5031" s="37">
        <v>45485</v>
      </c>
      <c r="C5031" s="36" t="s">
        <v>2223</v>
      </c>
      <c r="D5031" s="36" t="s">
        <v>2227</v>
      </c>
      <c r="E5031" s="36" t="s">
        <v>2226</v>
      </c>
      <c r="G5031" s="87">
        <v>10067844</v>
      </c>
      <c r="H5031" s="87">
        <v>1006784.4</v>
      </c>
      <c r="I5031" s="87">
        <v>11074628.4</v>
      </c>
      <c r="K5031" s="85">
        <v>2024</v>
      </c>
      <c r="L5031" s="85">
        <v>6</v>
      </c>
      <c r="N5031" s="1" t="s">
        <v>44</v>
      </c>
    </row>
    <row r="5032" spans="1:14">
      <c r="A5032" s="36" t="s">
        <v>32</v>
      </c>
      <c r="B5032" s="37">
        <v>45488</v>
      </c>
      <c r="C5032" s="36" t="s">
        <v>2167</v>
      </c>
      <c r="D5032" s="36" t="s">
        <v>2174</v>
      </c>
      <c r="E5032" s="36" t="s">
        <v>148</v>
      </c>
      <c r="J5032" s="87">
        <v>29150000</v>
      </c>
      <c r="K5032" s="85">
        <v>2024</v>
      </c>
      <c r="L5032" s="85">
        <v>6</v>
      </c>
      <c r="N5032" s="1" t="s">
        <v>44</v>
      </c>
    </row>
    <row r="5033" spans="1:14">
      <c r="A5033" s="36" t="s">
        <v>33</v>
      </c>
      <c r="B5033" s="37">
        <v>45489</v>
      </c>
      <c r="C5033" s="36" t="s">
        <v>2016</v>
      </c>
      <c r="D5033" s="36" t="s">
        <v>2145</v>
      </c>
      <c r="E5033" s="36" t="s">
        <v>1492</v>
      </c>
      <c r="J5033" s="87">
        <v>31350000</v>
      </c>
      <c r="K5033" s="85">
        <v>2024</v>
      </c>
      <c r="L5033" s="85">
        <v>6</v>
      </c>
      <c r="N5033" s="1" t="s">
        <v>44</v>
      </c>
    </row>
    <row r="5034" spans="1:14">
      <c r="A5034" s="36" t="s">
        <v>33</v>
      </c>
      <c r="B5034" s="37">
        <v>45489</v>
      </c>
      <c r="C5034" s="36" t="s">
        <v>2188</v>
      </c>
      <c r="D5034" s="36" t="s">
        <v>2190</v>
      </c>
      <c r="E5034" s="36" t="s">
        <v>148</v>
      </c>
      <c r="J5034" s="87">
        <v>7328750</v>
      </c>
      <c r="K5034" s="85">
        <v>2024</v>
      </c>
      <c r="L5034" s="85">
        <v>6</v>
      </c>
      <c r="N5034" s="1" t="s">
        <v>44</v>
      </c>
    </row>
    <row r="5035" spans="1:14">
      <c r="A5035" s="36" t="s">
        <v>32</v>
      </c>
      <c r="B5035" s="37">
        <v>45489</v>
      </c>
      <c r="C5035" s="36" t="s">
        <v>1468</v>
      </c>
      <c r="D5035" s="36" t="s">
        <v>2067</v>
      </c>
      <c r="E5035" s="36" t="s">
        <v>148</v>
      </c>
      <c r="J5035" s="87">
        <v>2929410</v>
      </c>
      <c r="K5035" s="85">
        <v>2024</v>
      </c>
      <c r="L5035" s="85">
        <v>6</v>
      </c>
      <c r="N5035" s="1" t="s">
        <v>44</v>
      </c>
    </row>
    <row r="5036" spans="1:14">
      <c r="A5036" s="36" t="s">
        <v>32</v>
      </c>
      <c r="B5036" s="37">
        <v>45489</v>
      </c>
      <c r="C5036" s="36" t="s">
        <v>1468</v>
      </c>
      <c r="D5036" s="36" t="s">
        <v>2072</v>
      </c>
      <c r="E5036" s="36" t="s">
        <v>148</v>
      </c>
      <c r="J5036" s="87">
        <v>4356000</v>
      </c>
      <c r="K5036" s="85">
        <v>2024</v>
      </c>
      <c r="L5036" s="85">
        <v>6</v>
      </c>
      <c r="N5036" s="1" t="s">
        <v>44</v>
      </c>
    </row>
    <row r="5037" spans="1:14">
      <c r="A5037" s="36" t="s">
        <v>32</v>
      </c>
      <c r="B5037" s="37">
        <v>45489</v>
      </c>
      <c r="C5037" s="36" t="s">
        <v>1468</v>
      </c>
      <c r="D5037" s="36" t="s">
        <v>2066</v>
      </c>
      <c r="E5037" s="36" t="s">
        <v>148</v>
      </c>
      <c r="J5037" s="38">
        <v>12120000</v>
      </c>
      <c r="K5037" s="85">
        <v>2024</v>
      </c>
      <c r="L5037" s="85">
        <v>6</v>
      </c>
      <c r="N5037" s="1" t="s">
        <v>44</v>
      </c>
    </row>
    <row r="5038" spans="1:14">
      <c r="A5038" s="36" t="s">
        <v>33</v>
      </c>
      <c r="B5038" s="37">
        <v>45489</v>
      </c>
      <c r="C5038" s="36" t="s">
        <v>1914</v>
      </c>
      <c r="D5038" s="36" t="s">
        <v>1915</v>
      </c>
      <c r="E5038" s="36" t="s">
        <v>148</v>
      </c>
      <c r="J5038" s="87">
        <v>1155000</v>
      </c>
      <c r="K5038" s="85">
        <v>2024</v>
      </c>
      <c r="L5038" s="85">
        <v>6</v>
      </c>
      <c r="N5038" s="1" t="s">
        <v>44</v>
      </c>
    </row>
    <row r="5039" spans="1:14">
      <c r="A5039" s="36" t="s">
        <v>33</v>
      </c>
      <c r="B5039" s="37">
        <v>45489</v>
      </c>
      <c r="C5039" s="36" t="s">
        <v>2122</v>
      </c>
      <c r="D5039" s="36" t="s">
        <v>1921</v>
      </c>
      <c r="E5039" s="36" t="s">
        <v>148</v>
      </c>
      <c r="J5039" s="87">
        <v>1232000</v>
      </c>
      <c r="K5039" s="85">
        <v>2024</v>
      </c>
      <c r="L5039" s="85">
        <v>6</v>
      </c>
      <c r="N5039" s="1" t="s">
        <v>44</v>
      </c>
    </row>
    <row r="5040" spans="1:14">
      <c r="A5040" s="36" t="s">
        <v>33</v>
      </c>
      <c r="B5040" s="37">
        <v>45489</v>
      </c>
      <c r="C5040" s="36" t="s">
        <v>1218</v>
      </c>
      <c r="D5040" s="36" t="s">
        <v>1921</v>
      </c>
      <c r="E5040" s="36" t="s">
        <v>148</v>
      </c>
      <c r="J5040" s="87">
        <v>5186060</v>
      </c>
      <c r="K5040" s="85">
        <v>2024</v>
      </c>
      <c r="L5040" s="85">
        <v>6</v>
      </c>
      <c r="N5040" s="1" t="s">
        <v>44</v>
      </c>
    </row>
    <row r="5041" spans="1:14">
      <c r="A5041" s="36" t="s">
        <v>33</v>
      </c>
      <c r="B5041" s="37">
        <v>45489</v>
      </c>
      <c r="C5041" s="36" t="s">
        <v>1467</v>
      </c>
      <c r="D5041" s="36" t="s">
        <v>2207</v>
      </c>
      <c r="E5041" s="36" t="s">
        <v>2381</v>
      </c>
      <c r="J5041" s="87">
        <v>350900</v>
      </c>
      <c r="K5041" s="85">
        <v>2024</v>
      </c>
      <c r="L5041" s="85">
        <v>6</v>
      </c>
      <c r="N5041" s="1" t="s">
        <v>44</v>
      </c>
    </row>
    <row r="5042" spans="1:14">
      <c r="A5042" s="36" t="s">
        <v>32</v>
      </c>
      <c r="B5042" s="37">
        <v>45489</v>
      </c>
      <c r="C5042" s="36" t="s">
        <v>1468</v>
      </c>
      <c r="D5042" s="36" t="s">
        <v>2066</v>
      </c>
      <c r="E5042" s="36" t="s">
        <v>2013</v>
      </c>
      <c r="J5042" s="38">
        <v>282500</v>
      </c>
      <c r="K5042" s="85">
        <v>2024</v>
      </c>
      <c r="L5042" s="85">
        <v>6</v>
      </c>
      <c r="N5042" s="1" t="s">
        <v>44</v>
      </c>
    </row>
    <row r="5043" spans="1:14">
      <c r="A5043" s="36" t="s">
        <v>32</v>
      </c>
      <c r="B5043" s="37">
        <v>45489</v>
      </c>
      <c r="C5043" s="36" t="s">
        <v>1468</v>
      </c>
      <c r="D5043" s="36" t="s">
        <v>2069</v>
      </c>
      <c r="E5043" s="36" t="s">
        <v>2103</v>
      </c>
      <c r="J5043" s="87">
        <v>23722600</v>
      </c>
      <c r="K5043" s="85">
        <v>2024</v>
      </c>
      <c r="L5043" s="85">
        <v>6</v>
      </c>
      <c r="N5043" s="1" t="s">
        <v>44</v>
      </c>
    </row>
    <row r="5044" spans="1:14">
      <c r="A5044" s="36" t="s">
        <v>32</v>
      </c>
      <c r="B5044" s="37">
        <v>45489</v>
      </c>
      <c r="C5044" s="36" t="s">
        <v>1587</v>
      </c>
      <c r="D5044" s="36" t="s">
        <v>1865</v>
      </c>
      <c r="E5044" s="36" t="s">
        <v>148</v>
      </c>
      <c r="J5044" s="87">
        <v>2530000</v>
      </c>
      <c r="K5044" s="85">
        <v>2024</v>
      </c>
      <c r="L5044" s="85">
        <v>6</v>
      </c>
      <c r="N5044" s="1" t="s">
        <v>44</v>
      </c>
    </row>
    <row r="5045" spans="1:14">
      <c r="A5045" s="36" t="s">
        <v>33</v>
      </c>
      <c r="B5045" s="37">
        <v>45491</v>
      </c>
      <c r="C5045" s="36" t="s">
        <v>2223</v>
      </c>
      <c r="D5045" s="36" t="s">
        <v>2225</v>
      </c>
      <c r="E5045" s="36" t="s">
        <v>148</v>
      </c>
      <c r="J5045" s="87">
        <v>12411480.4</v>
      </c>
      <c r="K5045" s="85">
        <v>2024</v>
      </c>
      <c r="L5045" s="85">
        <v>5</v>
      </c>
      <c r="N5045" s="1" t="s">
        <v>44</v>
      </c>
    </row>
    <row r="5046" spans="1:14">
      <c r="A5046" s="36" t="s">
        <v>32</v>
      </c>
      <c r="B5046" s="37">
        <v>45470</v>
      </c>
      <c r="C5046" s="36" t="s">
        <v>209</v>
      </c>
      <c r="D5046" s="36" t="s">
        <v>1866</v>
      </c>
      <c r="E5046" s="36" t="s">
        <v>148</v>
      </c>
      <c r="J5046" s="87">
        <v>162491208</v>
      </c>
      <c r="K5046" s="85">
        <v>2024</v>
      </c>
      <c r="L5046" s="85">
        <v>6</v>
      </c>
      <c r="N5046" s="1" t="s">
        <v>44</v>
      </c>
    </row>
    <row r="5047" spans="1:14">
      <c r="A5047" s="36" t="s">
        <v>32</v>
      </c>
      <c r="B5047" s="37">
        <v>45499</v>
      </c>
      <c r="C5047" s="36" t="s">
        <v>209</v>
      </c>
      <c r="D5047" s="36" t="s">
        <v>2001</v>
      </c>
      <c r="E5047" s="36" t="s">
        <v>148</v>
      </c>
      <c r="J5047" s="87">
        <v>75819135.700000003</v>
      </c>
      <c r="K5047" s="85">
        <v>2024</v>
      </c>
      <c r="L5047" s="85">
        <v>6</v>
      </c>
      <c r="N5047" s="1" t="s">
        <v>44</v>
      </c>
    </row>
    <row r="5048" spans="1:14">
      <c r="A5048" s="36" t="s">
        <v>32</v>
      </c>
      <c r="B5048" s="37">
        <v>45500</v>
      </c>
      <c r="C5048" s="36" t="s">
        <v>1198</v>
      </c>
      <c r="D5048" s="36" t="s">
        <v>2176</v>
      </c>
      <c r="E5048" s="36" t="s">
        <v>148</v>
      </c>
      <c r="J5048" s="87">
        <v>6619140</v>
      </c>
      <c r="K5048" s="85">
        <v>2024</v>
      </c>
      <c r="L5048" s="85">
        <v>6</v>
      </c>
      <c r="N5048" s="1" t="s">
        <v>44</v>
      </c>
    </row>
    <row r="5049" spans="1:14">
      <c r="A5049" s="36" t="s">
        <v>32</v>
      </c>
      <c r="B5049" s="37">
        <v>45473</v>
      </c>
      <c r="C5049" s="36" t="s">
        <v>1587</v>
      </c>
      <c r="D5049" s="36" t="s">
        <v>2141</v>
      </c>
      <c r="E5049" s="36" t="s">
        <v>148</v>
      </c>
      <c r="J5049" s="87">
        <v>21630096.399999999</v>
      </c>
      <c r="K5049" s="85">
        <v>2024</v>
      </c>
      <c r="L5049" s="85">
        <v>6</v>
      </c>
      <c r="N5049" s="1" t="s">
        <v>44</v>
      </c>
    </row>
    <row r="5050" spans="1:14">
      <c r="A5050" s="36" t="s">
        <v>32</v>
      </c>
      <c r="B5050" s="37">
        <v>45473</v>
      </c>
      <c r="C5050" s="36" t="s">
        <v>2062</v>
      </c>
      <c r="D5050" s="36" t="s">
        <v>2084</v>
      </c>
      <c r="E5050" s="36" t="s">
        <v>148</v>
      </c>
      <c r="J5050" s="87">
        <v>5500000</v>
      </c>
      <c r="K5050" s="85">
        <v>2024</v>
      </c>
      <c r="L5050" s="85">
        <v>6</v>
      </c>
      <c r="N5050" s="1" t="s">
        <v>44</v>
      </c>
    </row>
    <row r="5051" spans="1:14">
      <c r="A5051" s="36" t="s">
        <v>32</v>
      </c>
      <c r="B5051" s="37">
        <v>45503</v>
      </c>
      <c r="C5051" s="36" t="s">
        <v>1880</v>
      </c>
      <c r="D5051" s="36" t="s">
        <v>2078</v>
      </c>
      <c r="E5051" s="36" t="s">
        <v>148</v>
      </c>
      <c r="J5051" s="87">
        <v>23100000</v>
      </c>
      <c r="K5051" s="85">
        <v>2024</v>
      </c>
      <c r="L5051" s="85">
        <v>6</v>
      </c>
      <c r="N5051" s="1" t="s">
        <v>44</v>
      </c>
    </row>
    <row r="5052" spans="1:14">
      <c r="A5052" s="36" t="s">
        <v>32</v>
      </c>
      <c r="B5052" s="37">
        <v>45504</v>
      </c>
      <c r="C5052" s="36" t="s">
        <v>209</v>
      </c>
      <c r="D5052" s="36" t="s">
        <v>2024</v>
      </c>
      <c r="E5052" s="36" t="s">
        <v>2228</v>
      </c>
      <c r="J5052" s="38">
        <v>50000000</v>
      </c>
      <c r="K5052" s="85">
        <v>2024</v>
      </c>
      <c r="L5052" s="85">
        <v>6</v>
      </c>
      <c r="M5052" s="36" t="s">
        <v>2229</v>
      </c>
      <c r="N5052" s="1" t="s">
        <v>44</v>
      </c>
    </row>
    <row r="5053" spans="1:14">
      <c r="A5053" s="36" t="s">
        <v>32</v>
      </c>
      <c r="B5053" s="37">
        <v>45504</v>
      </c>
      <c r="C5053" s="36" t="s">
        <v>209</v>
      </c>
      <c r="D5053" s="36" t="s">
        <v>2024</v>
      </c>
      <c r="E5053" s="36" t="s">
        <v>2228</v>
      </c>
      <c r="J5053" s="38">
        <v>15921592</v>
      </c>
      <c r="K5053" s="85">
        <v>2024</v>
      </c>
      <c r="L5053" s="85">
        <v>6</v>
      </c>
      <c r="M5053" s="36" t="s">
        <v>2230</v>
      </c>
      <c r="N5053" s="1" t="s">
        <v>44</v>
      </c>
    </row>
    <row r="5054" spans="1:14">
      <c r="A5054" s="36" t="s">
        <v>32</v>
      </c>
      <c r="B5054" s="37">
        <v>45504</v>
      </c>
      <c r="C5054" s="36" t="s">
        <v>209</v>
      </c>
      <c r="D5054" s="36" t="s">
        <v>2171</v>
      </c>
      <c r="E5054" s="36" t="s">
        <v>2228</v>
      </c>
      <c r="J5054" s="38">
        <v>4078408</v>
      </c>
      <c r="K5054" s="85">
        <v>2024</v>
      </c>
      <c r="L5054" s="85">
        <v>6</v>
      </c>
      <c r="M5054" s="36" t="s">
        <v>2230</v>
      </c>
      <c r="N5054" s="1" t="s">
        <v>44</v>
      </c>
    </row>
    <row r="5055" spans="1:14">
      <c r="A5055" s="36" t="s">
        <v>32</v>
      </c>
      <c r="B5055" s="37">
        <v>45474</v>
      </c>
      <c r="C5055" s="36" t="s">
        <v>1586</v>
      </c>
      <c r="D5055" s="36" t="s">
        <v>1608</v>
      </c>
      <c r="E5055" s="36" t="s">
        <v>76</v>
      </c>
      <c r="G5055" s="87">
        <v>-6363637</v>
      </c>
      <c r="H5055" s="87">
        <v>-636363</v>
      </c>
      <c r="I5055" s="87">
        <v>-7000000</v>
      </c>
      <c r="K5055" s="85">
        <v>2023</v>
      </c>
      <c r="L5055" s="85">
        <v>10</v>
      </c>
      <c r="N5055" s="1" t="s">
        <v>44</v>
      </c>
    </row>
    <row r="5056" spans="1:14">
      <c r="A5056" s="36" t="s">
        <v>33</v>
      </c>
      <c r="B5056" s="37">
        <v>45293</v>
      </c>
      <c r="C5056" s="36" t="s">
        <v>912</v>
      </c>
      <c r="D5056" s="36" t="s">
        <v>1916</v>
      </c>
      <c r="E5056" s="36" t="s">
        <v>148</v>
      </c>
      <c r="J5056" s="87">
        <v>17924603.399999999</v>
      </c>
      <c r="K5056" s="85">
        <v>2024</v>
      </c>
      <c r="L5056" s="85">
        <v>1</v>
      </c>
      <c r="N5056" s="1" t="s">
        <v>44</v>
      </c>
    </row>
    <row r="5057" spans="1:14">
      <c r="A5057" s="36" t="s">
        <v>32</v>
      </c>
      <c r="B5057" s="37">
        <v>45504</v>
      </c>
      <c r="C5057" s="36" t="s">
        <v>834</v>
      </c>
      <c r="D5057" s="36" t="s">
        <v>2028</v>
      </c>
      <c r="E5057" s="36" t="s">
        <v>148</v>
      </c>
      <c r="J5057" s="38">
        <v>29862840</v>
      </c>
      <c r="K5057" s="85">
        <v>2024</v>
      </c>
      <c r="L5057" s="85">
        <v>3</v>
      </c>
      <c r="N5057" s="1" t="s">
        <v>44</v>
      </c>
    </row>
    <row r="5058" spans="1:14">
      <c r="A5058" s="36" t="s">
        <v>32</v>
      </c>
      <c r="B5058" s="37">
        <v>45504</v>
      </c>
      <c r="C5058" s="36" t="s">
        <v>1933</v>
      </c>
      <c r="D5058" s="36" t="s">
        <v>2097</v>
      </c>
      <c r="E5058" s="36" t="s">
        <v>148</v>
      </c>
      <c r="J5058" s="38">
        <v>25951200</v>
      </c>
      <c r="K5058" s="85">
        <v>2024</v>
      </c>
      <c r="L5058" s="85">
        <v>5</v>
      </c>
      <c r="M5058" s="36" t="s">
        <v>2231</v>
      </c>
      <c r="N5058" s="1" t="s">
        <v>44</v>
      </c>
    </row>
    <row r="5059" spans="1:14">
      <c r="A5059" s="36" t="s">
        <v>32</v>
      </c>
      <c r="B5059" s="37">
        <v>45504</v>
      </c>
      <c r="C5059" s="36" t="s">
        <v>1400</v>
      </c>
      <c r="D5059" s="36" t="s">
        <v>1190</v>
      </c>
      <c r="E5059" s="36" t="s">
        <v>2232</v>
      </c>
      <c r="J5059" s="38">
        <v>3000000</v>
      </c>
      <c r="K5059" s="85">
        <v>2023</v>
      </c>
      <c r="L5059" s="85">
        <v>5</v>
      </c>
      <c r="M5059" s="36" t="s">
        <v>2233</v>
      </c>
      <c r="N5059" s="1" t="s">
        <v>44</v>
      </c>
    </row>
    <row r="5060" spans="1:14">
      <c r="A5060" s="36" t="s">
        <v>32</v>
      </c>
      <c r="B5060" s="37">
        <v>45412</v>
      </c>
      <c r="C5060" s="36" t="s">
        <v>1790</v>
      </c>
      <c r="D5060" s="36" t="s">
        <v>1792</v>
      </c>
      <c r="E5060" s="36" t="s">
        <v>2234</v>
      </c>
      <c r="G5060" s="87">
        <v>-17524000</v>
      </c>
      <c r="H5060" s="87">
        <v>-1752400</v>
      </c>
      <c r="I5060" s="87">
        <v>-19276400</v>
      </c>
      <c r="K5060" s="85">
        <v>2023</v>
      </c>
      <c r="L5060" s="85">
        <v>11</v>
      </c>
      <c r="N5060" s="1" t="s">
        <v>44</v>
      </c>
    </row>
    <row r="5061" spans="1:14">
      <c r="A5061" s="36" t="s">
        <v>32</v>
      </c>
      <c r="B5061" s="37">
        <v>45504</v>
      </c>
      <c r="C5061" s="36" t="s">
        <v>307</v>
      </c>
      <c r="D5061" s="36" t="s">
        <v>1752</v>
      </c>
      <c r="E5061" s="36" t="s">
        <v>148</v>
      </c>
      <c r="J5061" s="38">
        <v>20000000</v>
      </c>
      <c r="K5061" s="85">
        <v>2024</v>
      </c>
      <c r="L5061" s="85">
        <v>4</v>
      </c>
      <c r="N5061" s="1" t="s">
        <v>44</v>
      </c>
    </row>
    <row r="5062" spans="1:14">
      <c r="A5062" s="36" t="s">
        <v>32</v>
      </c>
      <c r="B5062" s="37">
        <v>45504</v>
      </c>
      <c r="C5062" s="36" t="s">
        <v>1531</v>
      </c>
      <c r="D5062" s="36" t="s">
        <v>2187</v>
      </c>
      <c r="E5062" s="36" t="s">
        <v>148</v>
      </c>
      <c r="J5062" s="38">
        <v>4000000</v>
      </c>
      <c r="K5062" s="85">
        <v>2024</v>
      </c>
      <c r="L5062" s="85">
        <v>2</v>
      </c>
      <c r="N5062" s="1" t="s">
        <v>44</v>
      </c>
    </row>
    <row r="5063" spans="1:14">
      <c r="A5063" s="36" t="s">
        <v>32</v>
      </c>
      <c r="B5063" s="37">
        <v>45504</v>
      </c>
      <c r="C5063" s="36" t="s">
        <v>2063</v>
      </c>
      <c r="D5063" s="36" t="s">
        <v>2140</v>
      </c>
      <c r="E5063" s="36" t="s">
        <v>148</v>
      </c>
      <c r="J5063" s="87">
        <v>11015928</v>
      </c>
      <c r="K5063" s="85">
        <v>2024</v>
      </c>
      <c r="L5063" s="85">
        <v>4</v>
      </c>
      <c r="N5063" s="1" t="s">
        <v>44</v>
      </c>
    </row>
    <row r="5064" spans="1:14">
      <c r="A5064" s="36" t="s">
        <v>32</v>
      </c>
      <c r="B5064" s="37">
        <v>45504</v>
      </c>
      <c r="C5064" s="36" t="s">
        <v>1198</v>
      </c>
      <c r="D5064" s="36" t="s">
        <v>2221</v>
      </c>
      <c r="E5064" s="36" t="s">
        <v>148</v>
      </c>
      <c r="J5064" s="87">
        <v>3074280</v>
      </c>
      <c r="K5064" s="85">
        <v>2024</v>
      </c>
      <c r="L5064" s="85">
        <v>6</v>
      </c>
      <c r="N5064" s="1" t="s">
        <v>44</v>
      </c>
    </row>
    <row r="5065" spans="1:14">
      <c r="A5065" s="36" t="s">
        <v>32</v>
      </c>
      <c r="B5065" s="37">
        <v>45504</v>
      </c>
      <c r="C5065" s="36" t="s">
        <v>1198</v>
      </c>
      <c r="D5065" s="36" t="s">
        <v>2177</v>
      </c>
      <c r="E5065" s="36" t="s">
        <v>148</v>
      </c>
      <c r="J5065" s="87">
        <v>3616800</v>
      </c>
      <c r="K5065" s="85">
        <v>2024</v>
      </c>
      <c r="L5065" s="85">
        <v>6</v>
      </c>
      <c r="N5065" s="1" t="s">
        <v>44</v>
      </c>
    </row>
    <row r="5066" spans="1:14">
      <c r="A5066" s="36" t="s">
        <v>32</v>
      </c>
      <c r="B5066" s="37">
        <v>45473</v>
      </c>
      <c r="C5066" s="36" t="s">
        <v>1933</v>
      </c>
      <c r="D5066" s="36" t="s">
        <v>2162</v>
      </c>
      <c r="E5066" s="36" t="s">
        <v>148</v>
      </c>
      <c r="J5066" s="38">
        <v>10652400</v>
      </c>
      <c r="K5066" s="85">
        <v>2024</v>
      </c>
      <c r="L5066" s="85">
        <v>6</v>
      </c>
      <c r="M5066" s="36" t="s">
        <v>2197</v>
      </c>
      <c r="N5066" s="1" t="s">
        <v>44</v>
      </c>
    </row>
    <row r="5067" spans="1:14">
      <c r="A5067" s="36" t="s">
        <v>32</v>
      </c>
      <c r="B5067" s="37">
        <v>45504</v>
      </c>
      <c r="C5067" s="36" t="s">
        <v>204</v>
      </c>
      <c r="D5067" s="36" t="s">
        <v>2218</v>
      </c>
      <c r="E5067" s="36" t="s">
        <v>148</v>
      </c>
      <c r="J5067" s="87">
        <v>4870800</v>
      </c>
      <c r="K5067" s="85">
        <v>2024</v>
      </c>
      <c r="L5067" s="85">
        <v>6</v>
      </c>
      <c r="N5067" s="1" t="s">
        <v>44</v>
      </c>
    </row>
    <row r="5068" spans="1:14">
      <c r="A5068" s="36" t="s">
        <v>32</v>
      </c>
      <c r="B5068" s="37">
        <v>45504</v>
      </c>
      <c r="C5068" s="36" t="s">
        <v>1880</v>
      </c>
      <c r="D5068" s="36" t="s">
        <v>2078</v>
      </c>
      <c r="E5068" s="36" t="s">
        <v>148</v>
      </c>
      <c r="J5068" s="87">
        <v>2310000</v>
      </c>
      <c r="K5068" s="85">
        <v>2024</v>
      </c>
      <c r="L5068" s="85">
        <v>6</v>
      </c>
      <c r="N5068" s="1" t="s">
        <v>44</v>
      </c>
    </row>
    <row r="5069" spans="1:14">
      <c r="A5069" s="36" t="s">
        <v>33</v>
      </c>
      <c r="B5069" s="37">
        <v>45504</v>
      </c>
      <c r="C5069" s="36" t="s">
        <v>1467</v>
      </c>
      <c r="D5069" s="36" t="s">
        <v>2013</v>
      </c>
      <c r="E5069" s="36" t="s">
        <v>2382</v>
      </c>
      <c r="J5069" s="87">
        <v>5720000</v>
      </c>
      <c r="K5069" s="85">
        <v>2024</v>
      </c>
      <c r="L5069" s="85">
        <v>3</v>
      </c>
      <c r="N5069" s="1" t="s">
        <v>44</v>
      </c>
    </row>
    <row r="5070" spans="1:14">
      <c r="A5070" s="36" t="s">
        <v>33</v>
      </c>
      <c r="B5070" s="37">
        <v>45504</v>
      </c>
      <c r="C5070" s="36" t="s">
        <v>2006</v>
      </c>
      <c r="D5070" s="36" t="s">
        <v>2146</v>
      </c>
      <c r="E5070" s="36" t="s">
        <v>2353</v>
      </c>
      <c r="J5070" s="87">
        <v>9730600</v>
      </c>
      <c r="K5070" s="85">
        <v>2024</v>
      </c>
      <c r="L5070" s="85">
        <v>4</v>
      </c>
      <c r="N5070" s="1" t="s">
        <v>44</v>
      </c>
    </row>
    <row r="5071" spans="1:14">
      <c r="A5071" s="36" t="s">
        <v>33</v>
      </c>
      <c r="B5071" s="37">
        <v>45504</v>
      </c>
      <c r="C5071" s="36" t="s">
        <v>1391</v>
      </c>
      <c r="D5071" s="36" t="s">
        <v>197</v>
      </c>
      <c r="E5071" s="36" t="s">
        <v>148</v>
      </c>
      <c r="J5071" s="87">
        <v>14302200</v>
      </c>
      <c r="K5071" s="85">
        <v>2024</v>
      </c>
      <c r="L5071" s="85">
        <v>5</v>
      </c>
      <c r="N5071" s="1" t="s">
        <v>44</v>
      </c>
    </row>
    <row r="5072" spans="1:14">
      <c r="A5072" s="36" t="s">
        <v>33</v>
      </c>
      <c r="B5072" s="37">
        <v>45504</v>
      </c>
      <c r="C5072" s="36" t="s">
        <v>2009</v>
      </c>
      <c r="D5072" s="36" t="s">
        <v>197</v>
      </c>
      <c r="E5072" s="36" t="s">
        <v>148</v>
      </c>
      <c r="J5072" s="87">
        <v>4042500</v>
      </c>
      <c r="K5072" s="85">
        <v>2024</v>
      </c>
      <c r="L5072" s="85">
        <v>6</v>
      </c>
      <c r="N5072" s="1" t="s">
        <v>44</v>
      </c>
    </row>
    <row r="5073" spans="1:14">
      <c r="A5073" s="36" t="s">
        <v>33</v>
      </c>
      <c r="B5073" s="37">
        <v>45504</v>
      </c>
      <c r="C5073" s="36" t="s">
        <v>2050</v>
      </c>
      <c r="D5073" s="36" t="s">
        <v>1423</v>
      </c>
      <c r="E5073" s="36" t="s">
        <v>148</v>
      </c>
      <c r="J5073" s="87">
        <v>1343999.8</v>
      </c>
      <c r="K5073" s="85">
        <v>2024</v>
      </c>
      <c r="L5073" s="85">
        <v>6</v>
      </c>
      <c r="N5073" s="1" t="s">
        <v>44</v>
      </c>
    </row>
    <row r="5074" spans="1:14">
      <c r="A5074" s="36" t="s">
        <v>33</v>
      </c>
      <c r="B5074" s="37">
        <v>45504</v>
      </c>
      <c r="C5074" s="36" t="s">
        <v>96</v>
      </c>
      <c r="D5074" s="36" t="s">
        <v>2213</v>
      </c>
      <c r="E5074" s="36" t="s">
        <v>148</v>
      </c>
      <c r="J5074" s="87">
        <v>6094000</v>
      </c>
      <c r="K5074" s="85">
        <v>2024</v>
      </c>
      <c r="L5074" s="85">
        <v>6</v>
      </c>
      <c r="N5074" s="1" t="s">
        <v>44</v>
      </c>
    </row>
    <row r="5075" spans="1:14">
      <c r="A5075" s="36" t="s">
        <v>33</v>
      </c>
      <c r="B5075" s="37">
        <v>45504</v>
      </c>
      <c r="C5075" s="36" t="s">
        <v>1391</v>
      </c>
      <c r="D5075" s="36" t="s">
        <v>2164</v>
      </c>
      <c r="E5075" s="36" t="s">
        <v>148</v>
      </c>
      <c r="J5075" s="87">
        <v>1358500</v>
      </c>
      <c r="K5075" s="85">
        <v>2024</v>
      </c>
      <c r="L5075" s="85">
        <v>6</v>
      </c>
      <c r="N5075" s="1" t="s">
        <v>44</v>
      </c>
    </row>
    <row r="5076" spans="1:14">
      <c r="A5076" s="36" t="s">
        <v>33</v>
      </c>
      <c r="B5076" s="37">
        <v>45504</v>
      </c>
      <c r="C5076" s="36" t="s">
        <v>2116</v>
      </c>
      <c r="D5076" s="36" t="s">
        <v>2117</v>
      </c>
      <c r="E5076" s="36" t="s">
        <v>148</v>
      </c>
      <c r="J5076" s="87">
        <v>1509200</v>
      </c>
      <c r="K5076" s="85">
        <v>2024</v>
      </c>
      <c r="L5076" s="85">
        <v>6</v>
      </c>
      <c r="N5076" s="1" t="s">
        <v>44</v>
      </c>
    </row>
    <row r="5077" spans="1:14">
      <c r="A5077" s="36" t="s">
        <v>32</v>
      </c>
      <c r="B5077" s="37">
        <v>45505</v>
      </c>
      <c r="C5077" s="36" t="s">
        <v>1470</v>
      </c>
      <c r="D5077" s="36" t="s">
        <v>1821</v>
      </c>
      <c r="E5077" s="36" t="s">
        <v>148</v>
      </c>
      <c r="J5077" s="87">
        <v>257439446</v>
      </c>
      <c r="K5077" s="85">
        <v>2024</v>
      </c>
      <c r="L5077" s="85">
        <v>6</v>
      </c>
      <c r="N5077" s="1" t="s">
        <v>44</v>
      </c>
    </row>
    <row r="5078" spans="1:14">
      <c r="A5078" s="36" t="s">
        <v>32</v>
      </c>
      <c r="B5078" s="37">
        <v>45505</v>
      </c>
      <c r="C5078" s="36" t="s">
        <v>264</v>
      </c>
      <c r="D5078" s="36" t="s">
        <v>2220</v>
      </c>
      <c r="E5078" s="36" t="s">
        <v>148</v>
      </c>
      <c r="J5078" s="87">
        <v>50160000</v>
      </c>
      <c r="K5078" s="85">
        <v>2024</v>
      </c>
      <c r="L5078" s="85">
        <v>6</v>
      </c>
      <c r="N5078" s="1" t="s">
        <v>44</v>
      </c>
    </row>
    <row r="5079" spans="1:14">
      <c r="A5079" s="36" t="s">
        <v>32</v>
      </c>
      <c r="B5079" s="37">
        <v>45506</v>
      </c>
      <c r="C5079" s="36" t="s">
        <v>654</v>
      </c>
      <c r="D5079" s="36" t="s">
        <v>1941</v>
      </c>
      <c r="E5079" s="36" t="s">
        <v>148</v>
      </c>
      <c r="J5079" s="87">
        <v>40139264</v>
      </c>
      <c r="K5079" s="85">
        <v>2024</v>
      </c>
      <c r="L5079" s="85">
        <v>6</v>
      </c>
      <c r="N5079" s="1" t="s">
        <v>44</v>
      </c>
    </row>
    <row r="5080" spans="1:14">
      <c r="A5080" s="36" t="s">
        <v>33</v>
      </c>
      <c r="B5080" s="37">
        <v>45504</v>
      </c>
      <c r="C5080" s="36" t="s">
        <v>2009</v>
      </c>
      <c r="D5080" s="36" t="s">
        <v>197</v>
      </c>
      <c r="E5080" s="36" t="s">
        <v>2236</v>
      </c>
      <c r="G5080" s="87">
        <v>2254000</v>
      </c>
      <c r="H5080" s="87">
        <v>225400</v>
      </c>
      <c r="I5080" s="87">
        <v>2479400</v>
      </c>
      <c r="K5080" s="85">
        <v>2024</v>
      </c>
      <c r="L5080" s="85">
        <v>7</v>
      </c>
      <c r="N5080" s="1" t="s">
        <v>44</v>
      </c>
    </row>
    <row r="5081" spans="1:14">
      <c r="A5081" s="36" t="s">
        <v>33</v>
      </c>
      <c r="B5081" s="37">
        <v>45506</v>
      </c>
      <c r="C5081" s="36" t="s">
        <v>1779</v>
      </c>
      <c r="D5081" s="36" t="s">
        <v>2237</v>
      </c>
      <c r="E5081" s="36" t="s">
        <v>2238</v>
      </c>
      <c r="G5081" s="87">
        <v>621000</v>
      </c>
      <c r="H5081" s="87">
        <v>62100</v>
      </c>
      <c r="I5081" s="87">
        <v>683100</v>
      </c>
      <c r="K5081" s="85">
        <v>2024</v>
      </c>
      <c r="L5081" s="85">
        <v>8</v>
      </c>
      <c r="N5081" s="1" t="s">
        <v>44</v>
      </c>
    </row>
    <row r="5082" spans="1:14">
      <c r="A5082" s="36" t="s">
        <v>33</v>
      </c>
      <c r="B5082" s="37">
        <v>45506</v>
      </c>
      <c r="C5082" s="36" t="s">
        <v>1779</v>
      </c>
      <c r="D5082" s="36" t="s">
        <v>2237</v>
      </c>
      <c r="E5082" s="36" t="s">
        <v>77</v>
      </c>
      <c r="J5082" s="38">
        <v>683100</v>
      </c>
      <c r="K5082" s="85">
        <v>2024</v>
      </c>
      <c r="L5082" s="85">
        <v>8</v>
      </c>
      <c r="N5082" s="1" t="s">
        <v>44</v>
      </c>
    </row>
    <row r="5083" spans="1:14">
      <c r="A5083" s="36" t="s">
        <v>33</v>
      </c>
      <c r="B5083" s="37">
        <v>45504</v>
      </c>
      <c r="C5083" s="36" t="s">
        <v>2211</v>
      </c>
      <c r="D5083" s="36" t="s">
        <v>1391</v>
      </c>
      <c r="E5083" s="36" t="s">
        <v>267</v>
      </c>
      <c r="G5083" s="87">
        <v>2370000</v>
      </c>
      <c r="H5083" s="87">
        <v>237000</v>
      </c>
      <c r="I5083" s="87">
        <v>2607000</v>
      </c>
      <c r="K5083" s="85">
        <v>2024</v>
      </c>
      <c r="L5083" s="85">
        <v>7</v>
      </c>
      <c r="N5083" s="1" t="s">
        <v>44</v>
      </c>
    </row>
    <row r="5084" spans="1:14">
      <c r="A5084" s="36" t="s">
        <v>33</v>
      </c>
      <c r="B5084" s="37">
        <v>45504</v>
      </c>
      <c r="C5084" s="36" t="s">
        <v>1914</v>
      </c>
      <c r="D5084" s="36" t="s">
        <v>1915</v>
      </c>
      <c r="E5084" s="36" t="s">
        <v>165</v>
      </c>
      <c r="G5084" s="87">
        <v>210000</v>
      </c>
      <c r="H5084" s="87">
        <v>21000</v>
      </c>
      <c r="I5084" s="87">
        <v>231000</v>
      </c>
      <c r="K5084" s="85">
        <v>2024</v>
      </c>
      <c r="L5084" s="85">
        <v>7</v>
      </c>
      <c r="N5084" s="1" t="s">
        <v>44</v>
      </c>
    </row>
    <row r="5085" spans="1:14">
      <c r="A5085" s="36" t="s">
        <v>32</v>
      </c>
      <c r="B5085" s="37">
        <v>45509</v>
      </c>
      <c r="C5085" s="36" t="s">
        <v>654</v>
      </c>
      <c r="D5085" s="36" t="s">
        <v>2216</v>
      </c>
      <c r="E5085" s="36" t="s">
        <v>148</v>
      </c>
      <c r="J5085" s="87">
        <v>143163163</v>
      </c>
      <c r="K5085" s="85">
        <v>2024</v>
      </c>
      <c r="L5085" s="85">
        <v>6</v>
      </c>
      <c r="N5085" s="1" t="s">
        <v>44</v>
      </c>
    </row>
    <row r="5086" spans="1:14">
      <c r="A5086" s="36" t="s">
        <v>32</v>
      </c>
      <c r="B5086" s="37">
        <v>45510</v>
      </c>
      <c r="C5086" s="36" t="s">
        <v>2169</v>
      </c>
      <c r="D5086" s="36" t="s">
        <v>2217</v>
      </c>
      <c r="E5086" s="36" t="s">
        <v>148</v>
      </c>
      <c r="J5086" s="38">
        <v>30000000</v>
      </c>
      <c r="K5086" s="85">
        <v>2024</v>
      </c>
      <c r="L5086" s="85">
        <v>6</v>
      </c>
      <c r="N5086" s="1" t="s">
        <v>44</v>
      </c>
    </row>
    <row r="5087" spans="1:14">
      <c r="A5087" s="36" t="s">
        <v>32</v>
      </c>
      <c r="B5087" s="37">
        <v>45513</v>
      </c>
      <c r="C5087" s="36" t="s">
        <v>1467</v>
      </c>
      <c r="D5087" s="36" t="s">
        <v>1814</v>
      </c>
      <c r="E5087" s="36" t="s">
        <v>148</v>
      </c>
      <c r="J5087" s="87">
        <v>56177000</v>
      </c>
      <c r="K5087" s="85">
        <v>2024</v>
      </c>
      <c r="L5087" s="85">
        <v>6</v>
      </c>
      <c r="N5087" s="1" t="s">
        <v>44</v>
      </c>
    </row>
    <row r="5088" spans="1:14">
      <c r="A5088" s="36" t="s">
        <v>32</v>
      </c>
      <c r="B5088" s="37">
        <v>45513</v>
      </c>
      <c r="C5088" s="36" t="s">
        <v>1467</v>
      </c>
      <c r="D5088" s="36" t="s">
        <v>1750</v>
      </c>
      <c r="E5088" s="36" t="s">
        <v>148</v>
      </c>
      <c r="J5088" s="87">
        <v>17285620</v>
      </c>
      <c r="K5088" s="85">
        <v>2024</v>
      </c>
      <c r="L5088" s="85">
        <v>6</v>
      </c>
      <c r="N5088" s="1" t="s">
        <v>44</v>
      </c>
    </row>
    <row r="5089" spans="1:14">
      <c r="A5089" s="36" t="s">
        <v>32</v>
      </c>
      <c r="B5089" s="37">
        <v>45513</v>
      </c>
      <c r="C5089" s="36" t="s">
        <v>188</v>
      </c>
      <c r="D5089" s="36" t="s">
        <v>1754</v>
      </c>
      <c r="E5089" s="36" t="s">
        <v>148</v>
      </c>
      <c r="J5089" s="38">
        <v>15390000</v>
      </c>
      <c r="K5089" s="85">
        <v>2024</v>
      </c>
      <c r="L5089" s="85">
        <v>5</v>
      </c>
      <c r="N5089" s="1" t="s">
        <v>44</v>
      </c>
    </row>
    <row r="5090" spans="1:14">
      <c r="A5090" s="36" t="s">
        <v>32</v>
      </c>
      <c r="B5090" s="37">
        <v>45513</v>
      </c>
      <c r="C5090" s="36" t="s">
        <v>654</v>
      </c>
      <c r="D5090" s="36" t="s">
        <v>1673</v>
      </c>
      <c r="E5090" s="36" t="s">
        <v>148</v>
      </c>
      <c r="J5090" s="87">
        <v>7152000</v>
      </c>
      <c r="K5090" s="85">
        <v>2023</v>
      </c>
      <c r="L5090" s="85">
        <v>9</v>
      </c>
      <c r="N5090" s="1" t="s">
        <v>44</v>
      </c>
    </row>
    <row r="5091" spans="1:14">
      <c r="A5091" s="36" t="s">
        <v>32</v>
      </c>
      <c r="B5091" s="37">
        <v>45513</v>
      </c>
      <c r="C5091" s="36" t="s">
        <v>654</v>
      </c>
      <c r="D5091" s="36" t="s">
        <v>1673</v>
      </c>
      <c r="E5091" s="36" t="s">
        <v>148</v>
      </c>
      <c r="J5091" s="87">
        <v>7049806</v>
      </c>
      <c r="K5091" s="85">
        <v>2023</v>
      </c>
      <c r="L5091" s="85">
        <v>12</v>
      </c>
      <c r="N5091" s="1" t="s">
        <v>44</v>
      </c>
    </row>
    <row r="5092" spans="1:14">
      <c r="A5092" s="36" t="s">
        <v>32</v>
      </c>
      <c r="B5092" s="37">
        <v>45513</v>
      </c>
      <c r="C5092" s="36" t="s">
        <v>654</v>
      </c>
      <c r="D5092" s="36" t="s">
        <v>1901</v>
      </c>
      <c r="E5092" s="36" t="s">
        <v>148</v>
      </c>
      <c r="J5092" s="38">
        <v>21617894</v>
      </c>
      <c r="K5092" s="85">
        <v>2024</v>
      </c>
      <c r="L5092" s="85">
        <v>1</v>
      </c>
      <c r="N5092" s="1" t="s">
        <v>44</v>
      </c>
    </row>
    <row r="5093" spans="1:14">
      <c r="A5093" s="36" t="s">
        <v>32</v>
      </c>
      <c r="B5093" s="37">
        <v>45513</v>
      </c>
      <c r="C5093" s="36" t="s">
        <v>654</v>
      </c>
      <c r="D5093" s="36" t="s">
        <v>2215</v>
      </c>
      <c r="E5093" s="36" t="s">
        <v>148</v>
      </c>
      <c r="J5093" s="87">
        <v>45417658</v>
      </c>
      <c r="K5093" s="85">
        <v>2024</v>
      </c>
      <c r="L5093" s="85">
        <v>6</v>
      </c>
      <c r="N5093" s="1" t="s">
        <v>44</v>
      </c>
    </row>
    <row r="5094" spans="1:14">
      <c r="A5094" s="36" t="s">
        <v>32</v>
      </c>
      <c r="B5094" s="37">
        <v>45513</v>
      </c>
      <c r="C5094" s="36" t="s">
        <v>654</v>
      </c>
      <c r="D5094" s="36" t="s">
        <v>1673</v>
      </c>
      <c r="E5094" s="36" t="s">
        <v>148</v>
      </c>
      <c r="J5094" s="87">
        <v>50708460</v>
      </c>
      <c r="K5094" s="85">
        <v>2024</v>
      </c>
      <c r="L5094" s="85">
        <v>6</v>
      </c>
      <c r="N5094" s="1" t="s">
        <v>44</v>
      </c>
    </row>
    <row r="5095" spans="1:14">
      <c r="A5095" s="36" t="s">
        <v>32</v>
      </c>
      <c r="B5095" s="37">
        <v>45516</v>
      </c>
      <c r="C5095" s="36" t="s">
        <v>664</v>
      </c>
      <c r="D5095" s="36" t="s">
        <v>2181</v>
      </c>
      <c r="E5095" s="36" t="s">
        <v>148</v>
      </c>
      <c r="J5095" s="87">
        <v>27115968</v>
      </c>
      <c r="K5095" s="85">
        <v>2024</v>
      </c>
      <c r="L5095" s="85">
        <v>5</v>
      </c>
      <c r="N5095" s="1" t="s">
        <v>44</v>
      </c>
    </row>
    <row r="5096" spans="1:14">
      <c r="A5096" s="36" t="s">
        <v>33</v>
      </c>
      <c r="B5096" s="37">
        <v>45504</v>
      </c>
      <c r="C5096" s="36" t="s">
        <v>2188</v>
      </c>
      <c r="D5096" s="36" t="s">
        <v>2272</v>
      </c>
      <c r="E5096" s="36" t="s">
        <v>2241</v>
      </c>
      <c r="G5096" s="87">
        <v>176960</v>
      </c>
      <c r="H5096" s="87">
        <v>17696</v>
      </c>
      <c r="I5096" s="87">
        <v>194656</v>
      </c>
      <c r="K5096" s="85">
        <v>2024</v>
      </c>
      <c r="L5096" s="85">
        <v>7</v>
      </c>
      <c r="N5096" s="1" t="s">
        <v>44</v>
      </c>
    </row>
    <row r="5097" spans="1:14">
      <c r="A5097" s="36" t="s">
        <v>33</v>
      </c>
      <c r="B5097" s="37">
        <v>45504</v>
      </c>
      <c r="C5097" s="36" t="s">
        <v>2006</v>
      </c>
      <c r="D5097" s="36" t="s">
        <v>2160</v>
      </c>
      <c r="E5097" s="36" t="s">
        <v>1394</v>
      </c>
      <c r="G5097" s="87">
        <v>5490000</v>
      </c>
      <c r="H5097" s="87">
        <v>549000</v>
      </c>
      <c r="I5097" s="87">
        <v>6039000</v>
      </c>
      <c r="K5097" s="85">
        <v>2024</v>
      </c>
      <c r="L5097" s="85">
        <v>7</v>
      </c>
      <c r="N5097" s="1" t="s">
        <v>44</v>
      </c>
    </row>
    <row r="5098" spans="1:14">
      <c r="A5098" s="36" t="s">
        <v>33</v>
      </c>
      <c r="B5098" s="37">
        <v>45504</v>
      </c>
      <c r="C5098" s="36" t="s">
        <v>838</v>
      </c>
      <c r="D5098" s="36" t="s">
        <v>2154</v>
      </c>
      <c r="E5098" s="36" t="s">
        <v>2242</v>
      </c>
      <c r="G5098" s="87">
        <v>500000</v>
      </c>
      <c r="H5098" s="87">
        <v>50000</v>
      </c>
      <c r="I5098" s="87">
        <v>550000</v>
      </c>
      <c r="K5098" s="85">
        <v>2024</v>
      </c>
      <c r="L5098" s="85">
        <v>7</v>
      </c>
      <c r="N5098" s="1" t="s">
        <v>44</v>
      </c>
    </row>
    <row r="5099" spans="1:14">
      <c r="A5099" s="36" t="s">
        <v>33</v>
      </c>
      <c r="B5099" s="37">
        <v>45504</v>
      </c>
      <c r="C5099" s="36" t="s">
        <v>2122</v>
      </c>
      <c r="D5099" s="36" t="s">
        <v>2207</v>
      </c>
      <c r="E5099" s="36" t="s">
        <v>143</v>
      </c>
      <c r="G5099" s="87">
        <v>1120000</v>
      </c>
      <c r="H5099" s="87">
        <v>112000</v>
      </c>
      <c r="I5099" s="87">
        <v>1232000</v>
      </c>
      <c r="K5099" s="85">
        <v>2024</v>
      </c>
      <c r="L5099" s="85">
        <v>7</v>
      </c>
      <c r="N5099" s="1" t="s">
        <v>44</v>
      </c>
    </row>
    <row r="5100" spans="1:14">
      <c r="A5100" s="36" t="s">
        <v>33</v>
      </c>
      <c r="B5100" s="37">
        <v>45504</v>
      </c>
      <c r="C5100" s="36" t="s">
        <v>1919</v>
      </c>
      <c r="D5100" s="36" t="s">
        <v>1754</v>
      </c>
      <c r="E5100" s="36" t="s">
        <v>2115</v>
      </c>
      <c r="G5100" s="87">
        <v>4560000</v>
      </c>
      <c r="H5100" s="87">
        <v>456000</v>
      </c>
      <c r="I5100" s="87">
        <v>5016000</v>
      </c>
      <c r="K5100" s="85">
        <v>2024</v>
      </c>
      <c r="L5100" s="85">
        <v>7</v>
      </c>
      <c r="N5100" s="1" t="s">
        <v>44</v>
      </c>
    </row>
    <row r="5101" spans="1:14">
      <c r="A5101" s="36" t="s">
        <v>33</v>
      </c>
      <c r="B5101" s="37">
        <v>45504</v>
      </c>
      <c r="C5101" s="36" t="s">
        <v>1569</v>
      </c>
      <c r="D5101" s="36" t="s">
        <v>2210</v>
      </c>
      <c r="E5101" s="36" t="s">
        <v>1570</v>
      </c>
      <c r="G5101" s="87">
        <v>5953200</v>
      </c>
      <c r="H5101" s="87">
        <v>595320</v>
      </c>
      <c r="I5101" s="87">
        <v>6548520</v>
      </c>
      <c r="K5101" s="85">
        <v>2024</v>
      </c>
      <c r="L5101" s="85">
        <v>7</v>
      </c>
      <c r="N5101" s="1" t="s">
        <v>44</v>
      </c>
    </row>
    <row r="5102" spans="1:14">
      <c r="A5102" s="36" t="s">
        <v>33</v>
      </c>
      <c r="B5102" s="37">
        <v>45504</v>
      </c>
      <c r="C5102" s="36" t="s">
        <v>96</v>
      </c>
      <c r="D5102" s="36" t="s">
        <v>97</v>
      </c>
      <c r="E5102" s="36" t="s">
        <v>97</v>
      </c>
      <c r="G5102" s="87">
        <v>8110000</v>
      </c>
      <c r="H5102" s="87">
        <v>811000</v>
      </c>
      <c r="I5102" s="87">
        <v>8921000</v>
      </c>
      <c r="K5102" s="85">
        <v>2024</v>
      </c>
      <c r="L5102" s="85">
        <v>7</v>
      </c>
      <c r="N5102" s="1" t="s">
        <v>44</v>
      </c>
    </row>
    <row r="5103" spans="1:14">
      <c r="A5103" s="36" t="s">
        <v>33</v>
      </c>
      <c r="B5103" s="37">
        <v>45504</v>
      </c>
      <c r="C5103" s="36" t="s">
        <v>2016</v>
      </c>
      <c r="D5103" s="36" t="s">
        <v>2245</v>
      </c>
      <c r="E5103" s="36" t="s">
        <v>1492</v>
      </c>
      <c r="G5103" s="87">
        <v>53200000</v>
      </c>
      <c r="H5103" s="87">
        <v>5320000</v>
      </c>
      <c r="I5103" s="87">
        <v>58520000</v>
      </c>
      <c r="K5103" s="85">
        <v>2024</v>
      </c>
      <c r="L5103" s="85">
        <v>7</v>
      </c>
      <c r="N5103" s="1" t="s">
        <v>44</v>
      </c>
    </row>
    <row r="5104" spans="1:14">
      <c r="A5104" s="36" t="s">
        <v>33</v>
      </c>
      <c r="B5104" s="37">
        <v>45474</v>
      </c>
      <c r="C5104" s="36" t="s">
        <v>2016</v>
      </c>
      <c r="D5104" s="36" t="s">
        <v>2243</v>
      </c>
      <c r="E5104" s="36" t="s">
        <v>1492</v>
      </c>
      <c r="G5104" s="87">
        <v>90000000</v>
      </c>
      <c r="H5104" s="87">
        <v>9000000</v>
      </c>
      <c r="I5104" s="87">
        <v>99000000</v>
      </c>
      <c r="K5104" s="85">
        <v>2024</v>
      </c>
      <c r="L5104" s="85">
        <v>7</v>
      </c>
      <c r="N5104" s="1" t="s">
        <v>44</v>
      </c>
    </row>
    <row r="5105" spans="1:14">
      <c r="A5105" s="36" t="s">
        <v>33</v>
      </c>
      <c r="B5105" s="37">
        <v>45516</v>
      </c>
      <c r="C5105" s="36" t="s">
        <v>2016</v>
      </c>
      <c r="D5105" s="36" t="s">
        <v>2243</v>
      </c>
      <c r="E5105" s="36" t="s">
        <v>148</v>
      </c>
      <c r="J5105" s="38">
        <v>99000000</v>
      </c>
      <c r="K5105" s="85">
        <v>2024</v>
      </c>
      <c r="L5105" s="85">
        <v>7</v>
      </c>
      <c r="N5105" s="1" t="s">
        <v>44</v>
      </c>
    </row>
    <row r="5106" spans="1:14">
      <c r="A5106" s="36" t="s">
        <v>33</v>
      </c>
      <c r="B5106" s="37">
        <v>45493</v>
      </c>
      <c r="C5106" s="36" t="s">
        <v>2016</v>
      </c>
      <c r="D5106" s="36" t="s">
        <v>2244</v>
      </c>
      <c r="E5106" s="36" t="s">
        <v>1492</v>
      </c>
      <c r="G5106" s="87">
        <v>71500000</v>
      </c>
      <c r="H5106" s="87">
        <v>7150000</v>
      </c>
      <c r="I5106" s="87">
        <v>78650000</v>
      </c>
      <c r="K5106" s="85">
        <v>2024</v>
      </c>
      <c r="L5106" s="85">
        <v>7</v>
      </c>
      <c r="N5106" s="1" t="s">
        <v>44</v>
      </c>
    </row>
    <row r="5107" spans="1:14">
      <c r="A5107" s="36" t="s">
        <v>33</v>
      </c>
      <c r="B5107" s="37">
        <v>45504</v>
      </c>
      <c r="C5107" s="36" t="s">
        <v>2109</v>
      </c>
      <c r="D5107" s="36" t="s">
        <v>1915</v>
      </c>
      <c r="E5107" s="36" t="s">
        <v>2163</v>
      </c>
      <c r="G5107" s="87">
        <v>1974000</v>
      </c>
      <c r="H5107" s="87">
        <v>197400</v>
      </c>
      <c r="I5107" s="87">
        <v>2171400</v>
      </c>
      <c r="K5107" s="85">
        <v>2024</v>
      </c>
      <c r="L5107" s="85">
        <v>7</v>
      </c>
      <c r="N5107" s="1" t="s">
        <v>44</v>
      </c>
    </row>
    <row r="5108" spans="1:14">
      <c r="A5108" s="36" t="s">
        <v>33</v>
      </c>
      <c r="B5108" s="37">
        <v>45504</v>
      </c>
      <c r="C5108" s="36" t="s">
        <v>2116</v>
      </c>
      <c r="D5108" s="36" t="s">
        <v>2117</v>
      </c>
      <c r="E5108" s="36" t="s">
        <v>2118</v>
      </c>
      <c r="G5108" s="87">
        <v>1841000</v>
      </c>
      <c r="H5108" s="87">
        <v>184100</v>
      </c>
      <c r="I5108" s="87">
        <v>2025100</v>
      </c>
      <c r="K5108" s="85">
        <v>2024</v>
      </c>
      <c r="L5108" s="85">
        <v>7</v>
      </c>
      <c r="N5108" s="1" t="s">
        <v>44</v>
      </c>
    </row>
    <row r="5109" spans="1:14">
      <c r="A5109" s="36" t="s">
        <v>33</v>
      </c>
      <c r="B5109" s="37">
        <v>45476</v>
      </c>
      <c r="C5109" s="36" t="s">
        <v>912</v>
      </c>
      <c r="D5109" s="36" t="s">
        <v>2203</v>
      </c>
      <c r="E5109" s="36" t="s">
        <v>148</v>
      </c>
      <c r="J5109" s="87">
        <v>2529472</v>
      </c>
      <c r="K5109" s="85">
        <v>2024</v>
      </c>
      <c r="L5109" s="85">
        <v>7</v>
      </c>
      <c r="N5109" s="1" t="s">
        <v>44</v>
      </c>
    </row>
    <row r="5110" spans="1:14">
      <c r="A5110" s="36" t="s">
        <v>33</v>
      </c>
      <c r="B5110" s="37">
        <v>45476</v>
      </c>
      <c r="C5110" s="36" t="s">
        <v>912</v>
      </c>
      <c r="D5110" s="36" t="s">
        <v>2205</v>
      </c>
      <c r="E5110" s="36" t="s">
        <v>148</v>
      </c>
      <c r="J5110" s="87">
        <v>2353648</v>
      </c>
      <c r="K5110" s="85">
        <v>2024</v>
      </c>
      <c r="L5110" s="85">
        <v>7</v>
      </c>
      <c r="N5110" s="1" t="s">
        <v>44</v>
      </c>
    </row>
    <row r="5111" spans="1:14">
      <c r="A5111" s="36" t="s">
        <v>33</v>
      </c>
      <c r="B5111" s="37">
        <v>45476</v>
      </c>
      <c r="C5111" s="36" t="s">
        <v>912</v>
      </c>
      <c r="D5111" s="36" t="s">
        <v>2206</v>
      </c>
      <c r="E5111" s="36" t="s">
        <v>148</v>
      </c>
      <c r="J5111" s="87">
        <v>1387375</v>
      </c>
      <c r="K5111" s="85">
        <v>2024</v>
      </c>
      <c r="L5111" s="85">
        <v>7</v>
      </c>
      <c r="N5111" s="1" t="s">
        <v>44</v>
      </c>
    </row>
    <row r="5112" spans="1:14">
      <c r="A5112" s="36" t="s">
        <v>33</v>
      </c>
      <c r="B5112" s="37">
        <v>45516</v>
      </c>
      <c r="C5112" s="36" t="s">
        <v>1919</v>
      </c>
      <c r="D5112" s="36" t="s">
        <v>1754</v>
      </c>
      <c r="E5112" s="36" t="s">
        <v>148</v>
      </c>
      <c r="J5112" s="87">
        <v>5821200</v>
      </c>
      <c r="K5112" s="85">
        <v>2024</v>
      </c>
      <c r="L5112" s="85">
        <v>6</v>
      </c>
      <c r="N5112" s="1" t="s">
        <v>44</v>
      </c>
    </row>
    <row r="5113" spans="1:14">
      <c r="A5113" s="36" t="s">
        <v>33</v>
      </c>
      <c r="B5113" s="37">
        <v>45516</v>
      </c>
      <c r="C5113" s="36" t="s">
        <v>1569</v>
      </c>
      <c r="D5113" s="36" t="s">
        <v>2210</v>
      </c>
      <c r="E5113" s="36" t="s">
        <v>148</v>
      </c>
      <c r="J5113" s="87">
        <v>11329780</v>
      </c>
      <c r="K5113" s="85">
        <v>2024</v>
      </c>
      <c r="L5113" s="85">
        <v>6</v>
      </c>
      <c r="N5113" s="1" t="s">
        <v>44</v>
      </c>
    </row>
    <row r="5114" spans="1:14">
      <c r="A5114" s="36" t="s">
        <v>33</v>
      </c>
      <c r="B5114" s="37">
        <v>45516</v>
      </c>
      <c r="C5114" s="36" t="s">
        <v>2223</v>
      </c>
      <c r="D5114" s="36" t="s">
        <v>2227</v>
      </c>
      <c r="E5114" s="36" t="s">
        <v>148</v>
      </c>
      <c r="J5114" s="87">
        <v>11074628.4</v>
      </c>
      <c r="K5114" s="85">
        <v>2024</v>
      </c>
      <c r="L5114" s="85">
        <v>6</v>
      </c>
      <c r="N5114" s="1" t="s">
        <v>44</v>
      </c>
    </row>
    <row r="5115" spans="1:14">
      <c r="A5115" s="36" t="s">
        <v>33</v>
      </c>
      <c r="B5115" s="37">
        <v>45504</v>
      </c>
      <c r="C5115" s="36" t="s">
        <v>1391</v>
      </c>
      <c r="D5115" s="36" t="s">
        <v>197</v>
      </c>
      <c r="E5115" s="36" t="s">
        <v>1528</v>
      </c>
      <c r="G5115" s="87">
        <v>34126000</v>
      </c>
      <c r="H5115" s="87">
        <v>3412600</v>
      </c>
      <c r="I5115" s="87">
        <v>37538600</v>
      </c>
      <c r="K5115" s="85">
        <v>2024</v>
      </c>
      <c r="L5115" s="85">
        <v>7</v>
      </c>
      <c r="N5115" s="1" t="s">
        <v>44</v>
      </c>
    </row>
    <row r="5116" spans="1:14">
      <c r="A5116" s="36" t="s">
        <v>33</v>
      </c>
      <c r="B5116" s="37">
        <v>45504</v>
      </c>
      <c r="C5116" s="36" t="s">
        <v>1391</v>
      </c>
      <c r="D5116" s="36" t="s">
        <v>2164</v>
      </c>
      <c r="E5116" s="36" t="s">
        <v>1528</v>
      </c>
      <c r="G5116" s="87">
        <v>1183000</v>
      </c>
      <c r="H5116" s="87">
        <v>118300</v>
      </c>
      <c r="I5116" s="87">
        <v>1301300</v>
      </c>
      <c r="K5116" s="85">
        <v>2024</v>
      </c>
      <c r="L5116" s="85">
        <v>7</v>
      </c>
      <c r="N5116" s="1" t="s">
        <v>44</v>
      </c>
    </row>
    <row r="5117" spans="1:14">
      <c r="A5117" s="36" t="s">
        <v>32</v>
      </c>
      <c r="B5117" s="37">
        <v>45496</v>
      </c>
      <c r="C5117" s="36" t="s">
        <v>209</v>
      </c>
      <c r="D5117" s="36" t="s">
        <v>1866</v>
      </c>
      <c r="E5117" s="36" t="s">
        <v>76</v>
      </c>
      <c r="G5117" s="87">
        <v>144758080</v>
      </c>
      <c r="H5117" s="87">
        <v>14475808</v>
      </c>
      <c r="I5117" s="87">
        <v>159233888</v>
      </c>
      <c r="K5117" s="85">
        <v>2024</v>
      </c>
      <c r="L5117" s="85">
        <v>7</v>
      </c>
      <c r="N5117" s="1" t="s">
        <v>44</v>
      </c>
    </row>
    <row r="5118" spans="1:14">
      <c r="A5118" s="36" t="s">
        <v>32</v>
      </c>
      <c r="B5118" s="37">
        <v>45496</v>
      </c>
      <c r="C5118" s="36" t="s">
        <v>209</v>
      </c>
      <c r="D5118" s="36" t="s">
        <v>2024</v>
      </c>
      <c r="E5118" s="36" t="s">
        <v>1492</v>
      </c>
      <c r="G5118" s="87">
        <v>73924220</v>
      </c>
      <c r="H5118" s="87">
        <v>7392422</v>
      </c>
      <c r="I5118" s="87">
        <v>81316642</v>
      </c>
      <c r="K5118" s="85">
        <v>2024</v>
      </c>
      <c r="L5118" s="85">
        <v>7</v>
      </c>
      <c r="N5118" s="1" t="s">
        <v>44</v>
      </c>
    </row>
    <row r="5119" spans="1:14">
      <c r="A5119" s="36" t="s">
        <v>32</v>
      </c>
      <c r="B5119" s="37">
        <v>45496</v>
      </c>
      <c r="C5119" s="36" t="s">
        <v>209</v>
      </c>
      <c r="D5119" s="36" t="s">
        <v>1699</v>
      </c>
      <c r="E5119" s="36" t="s">
        <v>76</v>
      </c>
      <c r="G5119" s="87">
        <v>3554600</v>
      </c>
      <c r="H5119" s="87">
        <v>355460</v>
      </c>
      <c r="I5119" s="87">
        <v>3910060</v>
      </c>
      <c r="K5119" s="85">
        <v>2024</v>
      </c>
      <c r="L5119" s="85">
        <v>7</v>
      </c>
      <c r="N5119" s="1" t="s">
        <v>44</v>
      </c>
    </row>
    <row r="5120" spans="1:14">
      <c r="A5120" s="36" t="s">
        <v>32</v>
      </c>
      <c r="B5120" s="37">
        <v>45504</v>
      </c>
      <c r="C5120" s="36" t="s">
        <v>834</v>
      </c>
      <c r="D5120" s="36" t="s">
        <v>2028</v>
      </c>
      <c r="E5120" s="36" t="s">
        <v>76</v>
      </c>
      <c r="G5120" s="87">
        <v>18457200</v>
      </c>
      <c r="H5120" s="87">
        <v>1845720</v>
      </c>
      <c r="I5120" s="87">
        <v>20302920</v>
      </c>
      <c r="K5120" s="85">
        <v>2024</v>
      </c>
      <c r="L5120" s="85">
        <v>7</v>
      </c>
      <c r="N5120" s="1" t="s">
        <v>44</v>
      </c>
    </row>
    <row r="5121" spans="1:14">
      <c r="A5121" s="36" t="s">
        <v>32</v>
      </c>
      <c r="B5121" s="37">
        <v>45504</v>
      </c>
      <c r="C5121" s="36" t="s">
        <v>2167</v>
      </c>
      <c r="D5121" s="36" t="s">
        <v>2249</v>
      </c>
      <c r="E5121" s="36" t="s">
        <v>76</v>
      </c>
      <c r="G5121" s="87">
        <v>15470000</v>
      </c>
      <c r="H5121" s="87">
        <v>1547000</v>
      </c>
      <c r="I5121" s="87">
        <v>17017000</v>
      </c>
      <c r="K5121" s="85">
        <v>2024</v>
      </c>
      <c r="L5121" s="85">
        <v>7</v>
      </c>
      <c r="N5121" s="1" t="s">
        <v>44</v>
      </c>
    </row>
    <row r="5122" spans="1:14">
      <c r="A5122" s="36" t="s">
        <v>32</v>
      </c>
      <c r="B5122" s="37">
        <v>45504</v>
      </c>
      <c r="C5122" s="36" t="s">
        <v>2246</v>
      </c>
      <c r="D5122" s="36" t="s">
        <v>2250</v>
      </c>
      <c r="E5122" s="36" t="s">
        <v>76</v>
      </c>
      <c r="G5122" s="87">
        <v>2100000</v>
      </c>
      <c r="H5122" s="87">
        <v>210000</v>
      </c>
      <c r="I5122" s="87">
        <v>2310000</v>
      </c>
      <c r="K5122" s="85">
        <v>2024</v>
      </c>
      <c r="L5122" s="85">
        <v>7</v>
      </c>
      <c r="N5122" s="1" t="s">
        <v>44</v>
      </c>
    </row>
    <row r="5123" spans="1:14">
      <c r="A5123" s="36" t="s">
        <v>32</v>
      </c>
      <c r="B5123" s="37">
        <v>45504</v>
      </c>
      <c r="C5123" s="36" t="s">
        <v>1880</v>
      </c>
      <c r="D5123" s="36" t="s">
        <v>2078</v>
      </c>
      <c r="E5123" s="36" t="s">
        <v>76</v>
      </c>
      <c r="G5123" s="87">
        <v>42000000</v>
      </c>
      <c r="H5123" s="87">
        <v>4200000</v>
      </c>
      <c r="I5123" s="87">
        <v>46200000</v>
      </c>
      <c r="K5123" s="85">
        <v>2024</v>
      </c>
      <c r="L5123" s="85">
        <v>7</v>
      </c>
      <c r="N5123" s="1" t="s">
        <v>44</v>
      </c>
    </row>
    <row r="5124" spans="1:14">
      <c r="A5124" s="36" t="s">
        <v>32</v>
      </c>
      <c r="B5124" s="37">
        <v>45504</v>
      </c>
      <c r="C5124" s="36" t="s">
        <v>1467</v>
      </c>
      <c r="D5124" s="36" t="s">
        <v>1750</v>
      </c>
      <c r="E5124" s="36" t="s">
        <v>76</v>
      </c>
      <c r="G5124" s="87">
        <v>1797200</v>
      </c>
      <c r="H5124" s="87">
        <v>179720</v>
      </c>
      <c r="I5124" s="87">
        <v>1976920</v>
      </c>
      <c r="K5124" s="85">
        <v>2024</v>
      </c>
      <c r="L5124" s="85">
        <v>7</v>
      </c>
      <c r="N5124" s="1" t="s">
        <v>44</v>
      </c>
    </row>
    <row r="5125" spans="1:14">
      <c r="A5125" s="36" t="s">
        <v>32</v>
      </c>
      <c r="B5125" s="37">
        <v>45504</v>
      </c>
      <c r="C5125" s="36" t="s">
        <v>1741</v>
      </c>
      <c r="D5125" s="36" t="s">
        <v>1745</v>
      </c>
      <c r="E5125" s="36" t="s">
        <v>267</v>
      </c>
      <c r="G5125" s="87">
        <v>2700000</v>
      </c>
      <c r="H5125" s="87">
        <v>270000</v>
      </c>
      <c r="I5125" s="87">
        <v>2970000</v>
      </c>
      <c r="K5125" s="85">
        <v>2024</v>
      </c>
      <c r="L5125" s="85">
        <v>7</v>
      </c>
      <c r="N5125" s="1" t="s">
        <v>44</v>
      </c>
    </row>
    <row r="5126" spans="1:14">
      <c r="A5126" s="36" t="s">
        <v>32</v>
      </c>
      <c r="B5126" s="37">
        <v>45504</v>
      </c>
      <c r="C5126" s="36" t="s">
        <v>1468</v>
      </c>
      <c r="D5126" s="36" t="s">
        <v>2069</v>
      </c>
      <c r="E5126" s="36" t="s">
        <v>267</v>
      </c>
      <c r="G5126" s="87">
        <v>30545000</v>
      </c>
      <c r="H5126" s="87">
        <v>3054500</v>
      </c>
      <c r="I5126" s="87">
        <v>33599500</v>
      </c>
      <c r="K5126" s="85">
        <v>2024</v>
      </c>
      <c r="L5126" s="85">
        <v>7</v>
      </c>
      <c r="N5126" s="1" t="s">
        <v>44</v>
      </c>
    </row>
    <row r="5127" spans="1:14">
      <c r="A5127" s="36" t="s">
        <v>32</v>
      </c>
      <c r="B5127" s="37">
        <v>45504</v>
      </c>
      <c r="C5127" s="36" t="s">
        <v>2247</v>
      </c>
      <c r="D5127" s="36" t="s">
        <v>2251</v>
      </c>
      <c r="E5127" s="36" t="s">
        <v>76</v>
      </c>
      <c r="G5127" s="87">
        <v>21814800</v>
      </c>
      <c r="H5127" s="87">
        <v>2181480</v>
      </c>
      <c r="I5127" s="87">
        <v>23996280</v>
      </c>
      <c r="K5127" s="85">
        <v>2024</v>
      </c>
      <c r="L5127" s="85">
        <v>7</v>
      </c>
      <c r="N5127" s="1" t="s">
        <v>44</v>
      </c>
    </row>
    <row r="5128" spans="1:14">
      <c r="A5128" s="36" t="s">
        <v>32</v>
      </c>
      <c r="B5128" s="37">
        <v>45504</v>
      </c>
      <c r="C5128" s="36" t="s">
        <v>334</v>
      </c>
      <c r="D5128" s="36" t="s">
        <v>2252</v>
      </c>
      <c r="E5128" s="36" t="s">
        <v>267</v>
      </c>
      <c r="G5128" s="87">
        <v>8900000</v>
      </c>
      <c r="H5128" s="87">
        <v>890000</v>
      </c>
      <c r="I5128" s="87">
        <v>9790000</v>
      </c>
      <c r="K5128" s="85">
        <v>2024</v>
      </c>
      <c r="L5128" s="85">
        <v>7</v>
      </c>
      <c r="N5128" s="1" t="s">
        <v>44</v>
      </c>
    </row>
    <row r="5129" spans="1:14">
      <c r="A5129" s="36" t="s">
        <v>32</v>
      </c>
      <c r="B5129" s="37">
        <v>45504</v>
      </c>
      <c r="C5129" s="36" t="s">
        <v>654</v>
      </c>
      <c r="D5129" s="36" t="s">
        <v>2216</v>
      </c>
      <c r="E5129" s="36" t="s">
        <v>76</v>
      </c>
      <c r="G5129" s="87">
        <v>144370239</v>
      </c>
      <c r="H5129" s="87">
        <v>14437023.9</v>
      </c>
      <c r="I5129" s="87">
        <v>158807262.90000001</v>
      </c>
      <c r="K5129" s="85">
        <v>2024</v>
      </c>
      <c r="L5129" s="85">
        <v>7</v>
      </c>
      <c r="N5129" s="1" t="s">
        <v>44</v>
      </c>
    </row>
    <row r="5130" spans="1:14">
      <c r="A5130" s="36" t="s">
        <v>32</v>
      </c>
      <c r="B5130" s="37">
        <v>45504</v>
      </c>
      <c r="C5130" s="36" t="s">
        <v>654</v>
      </c>
      <c r="D5130" s="36" t="s">
        <v>2074</v>
      </c>
      <c r="E5130" s="36" t="s">
        <v>76</v>
      </c>
      <c r="G5130" s="87">
        <v>8547600</v>
      </c>
      <c r="H5130" s="87">
        <v>854760</v>
      </c>
      <c r="I5130" s="87">
        <v>9402360</v>
      </c>
      <c r="K5130" s="85">
        <v>2024</v>
      </c>
      <c r="L5130" s="85">
        <v>7</v>
      </c>
      <c r="N5130" s="1" t="s">
        <v>44</v>
      </c>
    </row>
    <row r="5131" spans="1:14">
      <c r="A5131" s="36" t="s">
        <v>32</v>
      </c>
      <c r="B5131" s="37">
        <v>45504</v>
      </c>
      <c r="C5131" s="36" t="s">
        <v>654</v>
      </c>
      <c r="D5131" s="36" t="s">
        <v>1941</v>
      </c>
      <c r="E5131" s="36" t="s">
        <v>76</v>
      </c>
      <c r="G5131" s="87">
        <v>10156700</v>
      </c>
      <c r="H5131" s="87">
        <v>1015670</v>
      </c>
      <c r="I5131" s="87">
        <v>11172370</v>
      </c>
      <c r="K5131" s="85">
        <v>2024</v>
      </c>
      <c r="L5131" s="85">
        <v>7</v>
      </c>
      <c r="N5131" s="1" t="s">
        <v>44</v>
      </c>
    </row>
    <row r="5132" spans="1:14">
      <c r="A5132" s="36" t="s">
        <v>32</v>
      </c>
      <c r="B5132" s="37">
        <v>45504</v>
      </c>
      <c r="C5132" s="36" t="s">
        <v>654</v>
      </c>
      <c r="D5132" s="36" t="s">
        <v>1673</v>
      </c>
      <c r="E5132" s="36" t="s">
        <v>76</v>
      </c>
      <c r="G5132" s="87">
        <v>98399940</v>
      </c>
      <c r="H5132" s="87">
        <v>9839994</v>
      </c>
      <c r="I5132" s="87">
        <v>108239934</v>
      </c>
      <c r="K5132" s="85">
        <v>2024</v>
      </c>
      <c r="L5132" s="85">
        <v>7</v>
      </c>
      <c r="N5132" s="1" t="s">
        <v>44</v>
      </c>
    </row>
    <row r="5133" spans="1:14">
      <c r="A5133" s="36" t="s">
        <v>32</v>
      </c>
      <c r="B5133" s="37">
        <v>45504</v>
      </c>
      <c r="C5133" s="36" t="s">
        <v>654</v>
      </c>
      <c r="D5133" s="36" t="s">
        <v>2131</v>
      </c>
      <c r="E5133" s="36" t="s">
        <v>76</v>
      </c>
      <c r="G5133" s="87">
        <v>12170200</v>
      </c>
      <c r="H5133" s="87">
        <v>1217020</v>
      </c>
      <c r="I5133" s="87">
        <v>13387220</v>
      </c>
      <c r="K5133" s="85">
        <v>2024</v>
      </c>
      <c r="L5133" s="85">
        <v>7</v>
      </c>
      <c r="N5133" s="1" t="s">
        <v>44</v>
      </c>
    </row>
    <row r="5134" spans="1:14">
      <c r="A5134" s="36" t="s">
        <v>32</v>
      </c>
      <c r="B5134" s="37">
        <v>45504</v>
      </c>
      <c r="C5134" s="36" t="s">
        <v>307</v>
      </c>
      <c r="D5134" s="36" t="s">
        <v>2219</v>
      </c>
      <c r="E5134" s="36" t="s">
        <v>76</v>
      </c>
      <c r="G5134" s="87">
        <v>1820000</v>
      </c>
      <c r="H5134" s="87">
        <v>182000</v>
      </c>
      <c r="I5134" s="87">
        <v>2002000</v>
      </c>
      <c r="K5134" s="85">
        <v>2024</v>
      </c>
      <c r="L5134" s="85">
        <v>7</v>
      </c>
      <c r="N5134" s="1" t="s">
        <v>44</v>
      </c>
    </row>
    <row r="5135" spans="1:14">
      <c r="A5135" s="36" t="s">
        <v>32</v>
      </c>
      <c r="B5135" s="37">
        <v>45504</v>
      </c>
      <c r="C5135" s="36" t="s">
        <v>1164</v>
      </c>
      <c r="D5135" s="36" t="s">
        <v>2172</v>
      </c>
      <c r="E5135" s="36" t="s">
        <v>76</v>
      </c>
      <c r="G5135" s="87">
        <v>2700000</v>
      </c>
      <c r="H5135" s="87">
        <v>270000</v>
      </c>
      <c r="I5135" s="87">
        <v>2970000</v>
      </c>
      <c r="K5135" s="85">
        <v>2024</v>
      </c>
      <c r="L5135" s="85">
        <v>7</v>
      </c>
      <c r="N5135" s="1" t="s">
        <v>44</v>
      </c>
    </row>
    <row r="5136" spans="1:14">
      <c r="A5136" s="36" t="s">
        <v>32</v>
      </c>
      <c r="B5136" s="37">
        <v>45504</v>
      </c>
      <c r="C5136" s="36" t="s">
        <v>1218</v>
      </c>
      <c r="D5136" s="36" t="s">
        <v>2253</v>
      </c>
      <c r="E5136" s="36" t="s">
        <v>76</v>
      </c>
      <c r="G5136" s="87">
        <v>4131000</v>
      </c>
      <c r="H5136" s="87">
        <v>413100</v>
      </c>
      <c r="I5136" s="87">
        <v>4544100</v>
      </c>
      <c r="K5136" s="85">
        <v>2024</v>
      </c>
      <c r="L5136" s="85">
        <v>7</v>
      </c>
      <c r="N5136" s="1" t="s">
        <v>44</v>
      </c>
    </row>
    <row r="5137" spans="1:14">
      <c r="A5137" s="36" t="s">
        <v>32</v>
      </c>
      <c r="B5137" s="37">
        <v>45504</v>
      </c>
      <c r="C5137" s="36" t="s">
        <v>1862</v>
      </c>
      <c r="D5137" s="36" t="s">
        <v>1874</v>
      </c>
      <c r="E5137" s="36" t="s">
        <v>76</v>
      </c>
      <c r="G5137" s="87">
        <v>3780000</v>
      </c>
      <c r="H5137" s="87">
        <v>378000</v>
      </c>
      <c r="I5137" s="87">
        <v>4158000</v>
      </c>
      <c r="K5137" s="85">
        <v>2024</v>
      </c>
      <c r="L5137" s="85">
        <v>7</v>
      </c>
      <c r="N5137" s="1" t="s">
        <v>44</v>
      </c>
    </row>
    <row r="5138" spans="1:14">
      <c r="A5138" s="36" t="s">
        <v>32</v>
      </c>
      <c r="B5138" s="37">
        <v>45504</v>
      </c>
      <c r="C5138" s="36" t="s">
        <v>264</v>
      </c>
      <c r="D5138" s="36" t="s">
        <v>2254</v>
      </c>
      <c r="E5138" s="36" t="s">
        <v>76</v>
      </c>
      <c r="G5138" s="87">
        <v>21400000</v>
      </c>
      <c r="H5138" s="87">
        <v>2140000</v>
      </c>
      <c r="I5138" s="87">
        <v>23540000</v>
      </c>
      <c r="K5138" s="85">
        <v>2024</v>
      </c>
      <c r="L5138" s="85">
        <v>7</v>
      </c>
      <c r="N5138" s="1" t="s">
        <v>44</v>
      </c>
    </row>
    <row r="5139" spans="1:14">
      <c r="A5139" s="36" t="s">
        <v>32</v>
      </c>
      <c r="B5139" s="37">
        <v>45504</v>
      </c>
      <c r="C5139" s="36" t="s">
        <v>2248</v>
      </c>
      <c r="D5139" s="36" t="s">
        <v>2255</v>
      </c>
      <c r="E5139" s="36" t="s">
        <v>76</v>
      </c>
      <c r="G5139" s="87">
        <v>17640000</v>
      </c>
      <c r="H5139" s="87">
        <v>1764000</v>
      </c>
      <c r="I5139" s="87">
        <v>19404000</v>
      </c>
      <c r="K5139" s="85">
        <v>2024</v>
      </c>
      <c r="L5139" s="85">
        <v>7</v>
      </c>
      <c r="N5139" s="1" t="s">
        <v>44</v>
      </c>
    </row>
    <row r="5140" spans="1:14">
      <c r="A5140" s="36" t="s">
        <v>32</v>
      </c>
      <c r="B5140" s="37">
        <v>45504</v>
      </c>
      <c r="C5140" s="36" t="s">
        <v>1534</v>
      </c>
      <c r="D5140" s="36" t="s">
        <v>2264</v>
      </c>
      <c r="E5140" s="36" t="s">
        <v>76</v>
      </c>
      <c r="G5140" s="87">
        <v>1610000</v>
      </c>
      <c r="H5140" s="87">
        <v>161000</v>
      </c>
      <c r="I5140" s="87">
        <v>1771000</v>
      </c>
      <c r="K5140" s="85">
        <v>2024</v>
      </c>
      <c r="L5140" s="85">
        <v>7</v>
      </c>
      <c r="N5140" s="1" t="s">
        <v>44</v>
      </c>
    </row>
    <row r="5141" spans="1:14">
      <c r="A5141" s="36" t="s">
        <v>32</v>
      </c>
      <c r="B5141" s="37">
        <v>45504</v>
      </c>
      <c r="C5141" s="36" t="s">
        <v>1470</v>
      </c>
      <c r="D5141" s="36" t="s">
        <v>1821</v>
      </c>
      <c r="E5141" s="36" t="s">
        <v>76</v>
      </c>
      <c r="G5141" s="87">
        <v>275982640</v>
      </c>
      <c r="H5141" s="87">
        <v>27598264</v>
      </c>
      <c r="I5141" s="87">
        <v>303580904</v>
      </c>
      <c r="K5141" s="85">
        <v>2024</v>
      </c>
      <c r="L5141" s="85">
        <v>7</v>
      </c>
      <c r="N5141" s="1" t="s">
        <v>44</v>
      </c>
    </row>
    <row r="5142" spans="1:14">
      <c r="A5142" s="36" t="s">
        <v>32</v>
      </c>
      <c r="B5142" s="37">
        <v>45504</v>
      </c>
      <c r="C5142" s="36" t="s">
        <v>664</v>
      </c>
      <c r="D5142" s="36" t="s">
        <v>2181</v>
      </c>
      <c r="E5142" s="36" t="s">
        <v>267</v>
      </c>
      <c r="G5142" s="87">
        <v>16189200</v>
      </c>
      <c r="H5142" s="87">
        <v>1618920</v>
      </c>
      <c r="I5142" s="87">
        <v>17808120</v>
      </c>
      <c r="K5142" s="85">
        <v>2024</v>
      </c>
      <c r="L5142" s="85">
        <v>7</v>
      </c>
      <c r="N5142" s="1" t="s">
        <v>44</v>
      </c>
    </row>
    <row r="5143" spans="1:14">
      <c r="A5143" s="36" t="s">
        <v>32</v>
      </c>
      <c r="B5143" s="37">
        <v>45504</v>
      </c>
      <c r="C5143" s="36" t="s">
        <v>209</v>
      </c>
      <c r="D5143" s="36" t="s">
        <v>2001</v>
      </c>
      <c r="E5143" s="36" t="s">
        <v>76</v>
      </c>
      <c r="G5143" s="87">
        <v>34306713</v>
      </c>
      <c r="H5143" s="87">
        <v>3430671.3000000003</v>
      </c>
      <c r="I5143" s="87">
        <v>37737384.299999997</v>
      </c>
      <c r="K5143" s="85">
        <v>2024</v>
      </c>
      <c r="L5143" s="85">
        <v>7</v>
      </c>
      <c r="N5143" s="1" t="s">
        <v>44</v>
      </c>
    </row>
    <row r="5144" spans="1:14">
      <c r="A5144" s="36" t="s">
        <v>32</v>
      </c>
      <c r="B5144" s="37">
        <v>45504</v>
      </c>
      <c r="C5144" s="36" t="s">
        <v>188</v>
      </c>
      <c r="D5144" s="36" t="s">
        <v>896</v>
      </c>
      <c r="E5144" s="36" t="s">
        <v>76</v>
      </c>
      <c r="G5144" s="87">
        <v>5229120</v>
      </c>
      <c r="H5144" s="87">
        <v>522912</v>
      </c>
      <c r="I5144" s="87">
        <v>5752032</v>
      </c>
      <c r="K5144" s="85">
        <v>2024</v>
      </c>
      <c r="L5144" s="85">
        <v>7</v>
      </c>
      <c r="N5144" s="1" t="s">
        <v>44</v>
      </c>
    </row>
    <row r="5145" spans="1:14">
      <c r="A5145" s="36" t="s">
        <v>32</v>
      </c>
      <c r="B5145" s="37">
        <v>45504</v>
      </c>
      <c r="C5145" s="36" t="s">
        <v>1933</v>
      </c>
      <c r="D5145" s="36" t="s">
        <v>2097</v>
      </c>
      <c r="E5145" s="36" t="s">
        <v>267</v>
      </c>
      <c r="G5145" s="87">
        <v>35960000</v>
      </c>
      <c r="H5145" s="87">
        <v>3596000</v>
      </c>
      <c r="I5145" s="87">
        <v>39556000</v>
      </c>
      <c r="K5145" s="85">
        <v>2024</v>
      </c>
      <c r="L5145" s="85">
        <v>7</v>
      </c>
      <c r="N5145" s="1" t="s">
        <v>44</v>
      </c>
    </row>
    <row r="5146" spans="1:14">
      <c r="A5146" s="36" t="s">
        <v>32</v>
      </c>
      <c r="B5146" s="37">
        <v>45504</v>
      </c>
      <c r="C5146" s="36" t="s">
        <v>1587</v>
      </c>
      <c r="D5146" s="36" t="s">
        <v>2141</v>
      </c>
      <c r="E5146" s="36" t="s">
        <v>76</v>
      </c>
      <c r="G5146" s="87">
        <v>32917154</v>
      </c>
      <c r="H5146" s="87">
        <v>3291715.4000000004</v>
      </c>
      <c r="I5146" s="87">
        <v>36208869.399999999</v>
      </c>
      <c r="K5146" s="85">
        <v>2024</v>
      </c>
      <c r="L5146" s="85">
        <v>7</v>
      </c>
      <c r="N5146" s="1" t="s">
        <v>44</v>
      </c>
    </row>
    <row r="5147" spans="1:14">
      <c r="A5147" s="36" t="s">
        <v>32</v>
      </c>
      <c r="B5147" s="37">
        <v>45504</v>
      </c>
      <c r="C5147" s="36" t="s">
        <v>2063</v>
      </c>
      <c r="D5147" s="36" t="s">
        <v>2140</v>
      </c>
      <c r="E5147" s="36" t="s">
        <v>1492</v>
      </c>
      <c r="G5147" s="87">
        <v>18040000</v>
      </c>
      <c r="H5147" s="87">
        <v>1804000</v>
      </c>
      <c r="I5147" s="87">
        <v>19844000</v>
      </c>
      <c r="K5147" s="85">
        <v>2024</v>
      </c>
      <c r="L5147" s="85">
        <v>7</v>
      </c>
      <c r="N5147" s="1" t="s">
        <v>44</v>
      </c>
    </row>
    <row r="5148" spans="1:14">
      <c r="A5148" s="36" t="s">
        <v>32</v>
      </c>
      <c r="B5148" s="37">
        <v>45514</v>
      </c>
      <c r="C5148" s="36" t="s">
        <v>2247</v>
      </c>
      <c r="D5148" s="36" t="s">
        <v>2251</v>
      </c>
      <c r="E5148" s="36" t="s">
        <v>77</v>
      </c>
      <c r="J5148" s="38">
        <v>23996280</v>
      </c>
      <c r="K5148" s="85">
        <v>2024</v>
      </c>
      <c r="L5148" s="85">
        <v>7</v>
      </c>
      <c r="N5148" s="1" t="s">
        <v>44</v>
      </c>
    </row>
    <row r="5149" spans="1:14">
      <c r="A5149" s="36" t="s">
        <v>32</v>
      </c>
      <c r="B5149" s="37">
        <v>45510</v>
      </c>
      <c r="C5149" s="36" t="s">
        <v>1164</v>
      </c>
      <c r="D5149" s="36" t="s">
        <v>2172</v>
      </c>
      <c r="E5149" s="36" t="s">
        <v>77</v>
      </c>
      <c r="J5149" s="38">
        <v>2970000</v>
      </c>
      <c r="K5149" s="85">
        <v>2024</v>
      </c>
      <c r="L5149" s="85">
        <v>7</v>
      </c>
      <c r="N5149" s="1" t="s">
        <v>44</v>
      </c>
    </row>
    <row r="5150" spans="1:14">
      <c r="A5150" s="36" t="s">
        <v>32</v>
      </c>
      <c r="B5150" s="37">
        <v>45523</v>
      </c>
      <c r="C5150" s="36" t="s">
        <v>1741</v>
      </c>
      <c r="D5150" s="36" t="s">
        <v>1745</v>
      </c>
      <c r="E5150" s="36" t="s">
        <v>148</v>
      </c>
      <c r="J5150" s="87">
        <v>2640000</v>
      </c>
      <c r="K5150" s="85">
        <v>2024</v>
      </c>
      <c r="L5150" s="85">
        <v>6</v>
      </c>
      <c r="N5150" s="1" t="s">
        <v>44</v>
      </c>
    </row>
    <row r="5151" spans="1:14">
      <c r="A5151" s="36" t="s">
        <v>32</v>
      </c>
      <c r="B5151" s="37">
        <v>45520</v>
      </c>
      <c r="C5151" s="36" t="s">
        <v>1468</v>
      </c>
      <c r="D5151" s="36" t="s">
        <v>2069</v>
      </c>
      <c r="E5151" s="36" t="s">
        <v>148</v>
      </c>
      <c r="J5151" s="87">
        <v>33599500</v>
      </c>
      <c r="K5151" s="85">
        <v>2024</v>
      </c>
      <c r="L5151" s="85">
        <v>7</v>
      </c>
      <c r="N5151" s="1" t="s">
        <v>44</v>
      </c>
    </row>
    <row r="5152" spans="1:14">
      <c r="A5152" s="36" t="s">
        <v>32</v>
      </c>
      <c r="B5152" s="37">
        <v>45530</v>
      </c>
      <c r="C5152" s="36" t="s">
        <v>209</v>
      </c>
      <c r="D5152" s="36" t="s">
        <v>1866</v>
      </c>
      <c r="E5152" s="36" t="s">
        <v>148</v>
      </c>
      <c r="J5152" s="87">
        <v>159233888</v>
      </c>
      <c r="K5152" s="85">
        <v>2024</v>
      </c>
      <c r="L5152" s="85">
        <v>7</v>
      </c>
      <c r="N5152" s="1" t="s">
        <v>44</v>
      </c>
    </row>
    <row r="5153" spans="1:14">
      <c r="A5153" s="36" t="s">
        <v>32</v>
      </c>
      <c r="B5153" s="37">
        <v>45504</v>
      </c>
      <c r="C5153" s="36" t="s">
        <v>209</v>
      </c>
      <c r="D5153" s="36" t="s">
        <v>2001</v>
      </c>
      <c r="E5153" s="36" t="s">
        <v>148</v>
      </c>
      <c r="J5153" s="87">
        <v>37737384.299999997</v>
      </c>
      <c r="K5153" s="85">
        <v>2024</v>
      </c>
      <c r="L5153" s="85">
        <v>7</v>
      </c>
      <c r="N5153" s="1" t="s">
        <v>44</v>
      </c>
    </row>
    <row r="5154" spans="1:14">
      <c r="A5154" s="36" t="s">
        <v>33</v>
      </c>
      <c r="B5154" s="37">
        <v>45499</v>
      </c>
      <c r="C5154" s="36" t="s">
        <v>2151</v>
      </c>
      <c r="D5154" s="36" t="s">
        <v>1487</v>
      </c>
      <c r="E5154" s="36" t="s">
        <v>2256</v>
      </c>
      <c r="G5154" s="87">
        <v>350000</v>
      </c>
      <c r="H5154" s="87">
        <v>35000</v>
      </c>
      <c r="I5154" s="87">
        <v>385000</v>
      </c>
      <c r="K5154" s="85">
        <v>2024</v>
      </c>
      <c r="L5154" s="85">
        <v>7</v>
      </c>
      <c r="N5154" s="1" t="s">
        <v>44</v>
      </c>
    </row>
    <row r="5155" spans="1:14">
      <c r="A5155" s="36" t="s">
        <v>33</v>
      </c>
      <c r="B5155" s="37">
        <v>45499</v>
      </c>
      <c r="C5155" s="36" t="s">
        <v>2151</v>
      </c>
      <c r="D5155" s="36" t="s">
        <v>1487</v>
      </c>
      <c r="E5155" s="36" t="s">
        <v>77</v>
      </c>
      <c r="J5155" s="38">
        <v>385000</v>
      </c>
      <c r="K5155" s="85">
        <v>2024</v>
      </c>
      <c r="L5155" s="85">
        <v>7</v>
      </c>
      <c r="N5155" s="1" t="s">
        <v>44</v>
      </c>
    </row>
    <row r="5156" spans="1:14">
      <c r="A5156" s="36" t="s">
        <v>33</v>
      </c>
      <c r="B5156" s="37">
        <v>45531</v>
      </c>
      <c r="C5156" s="36" t="s">
        <v>2151</v>
      </c>
      <c r="D5156" s="36" t="s">
        <v>1487</v>
      </c>
      <c r="E5156" s="36" t="s">
        <v>2256</v>
      </c>
      <c r="G5156" s="87">
        <v>350000</v>
      </c>
      <c r="H5156" s="87">
        <v>35000</v>
      </c>
      <c r="I5156" s="87">
        <v>385000</v>
      </c>
      <c r="K5156" s="85">
        <v>2024</v>
      </c>
      <c r="L5156" s="85">
        <v>7</v>
      </c>
      <c r="N5156" s="1" t="s">
        <v>44</v>
      </c>
    </row>
    <row r="5157" spans="1:14">
      <c r="A5157" s="36" t="s">
        <v>33</v>
      </c>
      <c r="B5157" s="37">
        <v>45532</v>
      </c>
      <c r="C5157" s="36" t="s">
        <v>2151</v>
      </c>
      <c r="D5157" s="36" t="s">
        <v>1487</v>
      </c>
      <c r="E5157" s="36" t="s">
        <v>77</v>
      </c>
      <c r="J5157" s="38">
        <v>385000</v>
      </c>
      <c r="K5157" s="85">
        <v>2024</v>
      </c>
      <c r="L5157" s="85">
        <v>7</v>
      </c>
      <c r="N5157" s="1" t="s">
        <v>44</v>
      </c>
    </row>
    <row r="5158" spans="1:14">
      <c r="A5158" s="36" t="s">
        <v>32</v>
      </c>
      <c r="B5158" s="37">
        <v>45520</v>
      </c>
      <c r="C5158" s="36" t="s">
        <v>2167</v>
      </c>
      <c r="D5158" s="36" t="s">
        <v>2249</v>
      </c>
      <c r="E5158" s="36" t="s">
        <v>148</v>
      </c>
      <c r="J5158" s="87">
        <v>17017000</v>
      </c>
      <c r="K5158" s="85">
        <v>2024</v>
      </c>
      <c r="L5158" s="85">
        <v>7</v>
      </c>
      <c r="N5158" s="1" t="s">
        <v>44</v>
      </c>
    </row>
    <row r="5159" spans="1:14">
      <c r="A5159" s="36" t="s">
        <v>32</v>
      </c>
      <c r="B5159" s="37">
        <v>45531</v>
      </c>
      <c r="C5159" s="36" t="s">
        <v>1587</v>
      </c>
      <c r="D5159" s="36" t="s">
        <v>2141</v>
      </c>
      <c r="E5159" s="36" t="s">
        <v>148</v>
      </c>
      <c r="J5159" s="87">
        <v>36208869.399999999</v>
      </c>
      <c r="K5159" s="85">
        <v>2024</v>
      </c>
      <c r="L5159" s="85">
        <v>7</v>
      </c>
      <c r="N5159" s="1" t="s">
        <v>44</v>
      </c>
    </row>
    <row r="5160" spans="1:14">
      <c r="A5160" s="36" t="s">
        <v>32</v>
      </c>
      <c r="B5160" s="37">
        <v>45527</v>
      </c>
      <c r="C5160" s="36" t="s">
        <v>209</v>
      </c>
      <c r="D5160" s="36" t="s">
        <v>2024</v>
      </c>
      <c r="E5160" s="36" t="s">
        <v>148</v>
      </c>
      <c r="J5160" s="87">
        <v>81316642</v>
      </c>
      <c r="K5160" s="85">
        <v>2024</v>
      </c>
      <c r="L5160" s="85">
        <v>7</v>
      </c>
      <c r="N5160" s="1" t="s">
        <v>44</v>
      </c>
    </row>
    <row r="5161" spans="1:14">
      <c r="A5161" s="36" t="s">
        <v>33</v>
      </c>
      <c r="B5161" s="37">
        <v>45525</v>
      </c>
      <c r="C5161" s="36" t="s">
        <v>2016</v>
      </c>
      <c r="D5161" s="36" t="s">
        <v>2244</v>
      </c>
      <c r="E5161" s="36" t="s">
        <v>148</v>
      </c>
      <c r="J5161" s="87">
        <v>78650000</v>
      </c>
      <c r="K5161" s="85">
        <v>2024</v>
      </c>
      <c r="L5161" s="85">
        <v>7</v>
      </c>
      <c r="N5161" s="1" t="s">
        <v>44</v>
      </c>
    </row>
    <row r="5162" spans="1:14">
      <c r="A5162" s="36" t="s">
        <v>33</v>
      </c>
      <c r="B5162" s="37">
        <v>45531</v>
      </c>
      <c r="C5162" s="36" t="s">
        <v>2016</v>
      </c>
      <c r="D5162" s="36" t="s">
        <v>2245</v>
      </c>
      <c r="E5162" s="36" t="s">
        <v>148</v>
      </c>
      <c r="J5162" s="87">
        <v>58520000</v>
      </c>
      <c r="K5162" s="85">
        <v>2024</v>
      </c>
      <c r="L5162" s="85">
        <v>7</v>
      </c>
      <c r="N5162" s="1" t="s">
        <v>44</v>
      </c>
    </row>
    <row r="5163" spans="1:14">
      <c r="A5163" s="36" t="s">
        <v>32</v>
      </c>
      <c r="B5163" s="37">
        <v>45534</v>
      </c>
      <c r="C5163" s="36" t="s">
        <v>209</v>
      </c>
      <c r="D5163" s="36" t="s">
        <v>2171</v>
      </c>
      <c r="E5163" s="36" t="s">
        <v>148</v>
      </c>
      <c r="J5163" s="38">
        <v>8211672</v>
      </c>
      <c r="K5163" s="85">
        <v>2024</v>
      </c>
      <c r="L5163" s="85">
        <v>6</v>
      </c>
      <c r="M5163" s="36" t="s">
        <v>2257</v>
      </c>
      <c r="N5163" s="1" t="s">
        <v>44</v>
      </c>
    </row>
    <row r="5164" spans="1:14">
      <c r="A5164" s="36" t="s">
        <v>32</v>
      </c>
      <c r="B5164" s="37">
        <v>45534</v>
      </c>
      <c r="C5164" s="36" t="s">
        <v>209</v>
      </c>
      <c r="D5164" s="36" t="s">
        <v>1699</v>
      </c>
      <c r="E5164" s="36" t="s">
        <v>148</v>
      </c>
      <c r="J5164" s="87">
        <v>10532720</v>
      </c>
      <c r="K5164" s="85">
        <v>2024</v>
      </c>
      <c r="L5164" s="85">
        <v>6</v>
      </c>
      <c r="M5164" s="36" t="s">
        <v>2257</v>
      </c>
      <c r="N5164" s="1" t="s">
        <v>44</v>
      </c>
    </row>
    <row r="5165" spans="1:14">
      <c r="A5165" s="36" t="s">
        <v>32</v>
      </c>
      <c r="B5165" s="37">
        <v>45534</v>
      </c>
      <c r="C5165" s="36" t="s">
        <v>209</v>
      </c>
      <c r="D5165" s="36" t="s">
        <v>1699</v>
      </c>
      <c r="E5165" s="36" t="s">
        <v>148</v>
      </c>
      <c r="J5165" s="87">
        <v>3910060</v>
      </c>
      <c r="K5165" s="85">
        <v>2024</v>
      </c>
      <c r="L5165" s="85">
        <v>7</v>
      </c>
      <c r="M5165" s="36" t="s">
        <v>2257</v>
      </c>
      <c r="N5165" s="1" t="s">
        <v>44</v>
      </c>
    </row>
    <row r="5166" spans="1:14">
      <c r="A5166" s="36" t="s">
        <v>32</v>
      </c>
      <c r="B5166" s="37">
        <v>45534</v>
      </c>
      <c r="C5166" s="36" t="s">
        <v>1470</v>
      </c>
      <c r="D5166" s="36" t="s">
        <v>1821</v>
      </c>
      <c r="E5166" s="36" t="s">
        <v>148</v>
      </c>
      <c r="J5166" s="87">
        <v>303580904</v>
      </c>
      <c r="K5166" s="85">
        <v>2024</v>
      </c>
      <c r="L5166" s="85">
        <v>7</v>
      </c>
      <c r="N5166" s="1" t="s">
        <v>44</v>
      </c>
    </row>
    <row r="5167" spans="1:14">
      <c r="A5167" s="36" t="s">
        <v>33</v>
      </c>
      <c r="B5167" s="37">
        <v>45534</v>
      </c>
      <c r="C5167" s="36" t="s">
        <v>1467</v>
      </c>
      <c r="D5167" s="36" t="s">
        <v>2103</v>
      </c>
      <c r="E5167" s="36" t="s">
        <v>2383</v>
      </c>
      <c r="J5167" s="87">
        <v>4426400</v>
      </c>
      <c r="K5167" s="85">
        <v>2024</v>
      </c>
      <c r="L5167" s="85">
        <v>6</v>
      </c>
      <c r="N5167" s="1" t="s">
        <v>44</v>
      </c>
    </row>
    <row r="5168" spans="1:14">
      <c r="A5168" s="36" t="s">
        <v>33</v>
      </c>
      <c r="B5168" s="37">
        <v>45534</v>
      </c>
      <c r="C5168" s="36" t="s">
        <v>1391</v>
      </c>
      <c r="D5168" s="36" t="s">
        <v>197</v>
      </c>
      <c r="E5168" s="36" t="s">
        <v>148</v>
      </c>
      <c r="J5168" s="87">
        <v>12342000</v>
      </c>
      <c r="K5168" s="85">
        <v>2024</v>
      </c>
      <c r="L5168" s="85">
        <v>6</v>
      </c>
      <c r="N5168" s="1" t="s">
        <v>44</v>
      </c>
    </row>
    <row r="5169" spans="1:14">
      <c r="A5169" s="36" t="s">
        <v>33</v>
      </c>
      <c r="B5169" s="37">
        <v>45534</v>
      </c>
      <c r="C5169" s="36" t="s">
        <v>1391</v>
      </c>
      <c r="D5169" s="36" t="s">
        <v>197</v>
      </c>
      <c r="E5169" s="36" t="s">
        <v>148</v>
      </c>
      <c r="J5169" s="87">
        <v>40252300</v>
      </c>
      <c r="K5169" s="85">
        <v>2024</v>
      </c>
      <c r="L5169" s="85">
        <v>6</v>
      </c>
      <c r="N5169" s="1" t="s">
        <v>44</v>
      </c>
    </row>
    <row r="5170" spans="1:14">
      <c r="A5170" s="36" t="s">
        <v>33</v>
      </c>
      <c r="B5170" s="37">
        <v>45534</v>
      </c>
      <c r="C5170" s="36" t="s">
        <v>2009</v>
      </c>
      <c r="D5170" s="36" t="s">
        <v>197</v>
      </c>
      <c r="E5170" s="36" t="s">
        <v>148</v>
      </c>
      <c r="J5170" s="87">
        <v>2479400</v>
      </c>
      <c r="K5170" s="85">
        <v>2024</v>
      </c>
      <c r="L5170" s="85">
        <v>7</v>
      </c>
      <c r="N5170" s="1" t="s">
        <v>44</v>
      </c>
    </row>
    <row r="5171" spans="1:14">
      <c r="A5171" s="36" t="s">
        <v>33</v>
      </c>
      <c r="B5171" s="37">
        <v>45534</v>
      </c>
      <c r="C5171" s="36" t="s">
        <v>2211</v>
      </c>
      <c r="D5171" s="36" t="s">
        <v>1391</v>
      </c>
      <c r="E5171" s="36" t="s">
        <v>148</v>
      </c>
      <c r="J5171" s="87">
        <v>2607000</v>
      </c>
      <c r="K5171" s="85">
        <v>2024</v>
      </c>
      <c r="L5171" s="85">
        <v>7</v>
      </c>
      <c r="N5171" s="1" t="s">
        <v>44</v>
      </c>
    </row>
    <row r="5172" spans="1:14">
      <c r="A5172" s="36" t="s">
        <v>33</v>
      </c>
      <c r="B5172" s="37">
        <v>45534</v>
      </c>
      <c r="C5172" s="36" t="s">
        <v>1914</v>
      </c>
      <c r="D5172" s="36" t="s">
        <v>1915</v>
      </c>
      <c r="E5172" s="36" t="s">
        <v>148</v>
      </c>
      <c r="J5172" s="87">
        <v>231000</v>
      </c>
      <c r="K5172" s="85">
        <v>2024</v>
      </c>
      <c r="L5172" s="85">
        <v>7</v>
      </c>
      <c r="N5172" s="1" t="s">
        <v>44</v>
      </c>
    </row>
    <row r="5173" spans="1:14">
      <c r="A5173" s="36" t="s">
        <v>33</v>
      </c>
      <c r="B5173" s="37">
        <v>45534</v>
      </c>
      <c r="C5173" s="36" t="s">
        <v>838</v>
      </c>
      <c r="D5173" s="36" t="s">
        <v>2154</v>
      </c>
      <c r="E5173" s="36" t="s">
        <v>148</v>
      </c>
      <c r="J5173" s="87">
        <v>550000</v>
      </c>
      <c r="K5173" s="85">
        <v>2024</v>
      </c>
      <c r="L5173" s="85">
        <v>7</v>
      </c>
      <c r="N5173" s="1" t="s">
        <v>44</v>
      </c>
    </row>
    <row r="5174" spans="1:14">
      <c r="A5174" s="36" t="s">
        <v>33</v>
      </c>
      <c r="B5174" s="37">
        <v>45534</v>
      </c>
      <c r="C5174" s="36" t="s">
        <v>2122</v>
      </c>
      <c r="D5174" s="36" t="s">
        <v>2207</v>
      </c>
      <c r="E5174" s="36" t="s">
        <v>148</v>
      </c>
      <c r="J5174" s="87">
        <v>1232000</v>
      </c>
      <c r="K5174" s="85">
        <v>2024</v>
      </c>
      <c r="L5174" s="85">
        <v>7</v>
      </c>
      <c r="N5174" s="1" t="s">
        <v>44</v>
      </c>
    </row>
    <row r="5175" spans="1:14">
      <c r="A5175" s="36" t="s">
        <v>33</v>
      </c>
      <c r="B5175" s="37">
        <v>45534</v>
      </c>
      <c r="C5175" s="36" t="s">
        <v>1919</v>
      </c>
      <c r="D5175" s="36" t="s">
        <v>1754</v>
      </c>
      <c r="E5175" s="36" t="s">
        <v>148</v>
      </c>
      <c r="J5175" s="87">
        <v>5016000</v>
      </c>
      <c r="K5175" s="85">
        <v>2024</v>
      </c>
      <c r="L5175" s="85">
        <v>7</v>
      </c>
      <c r="N5175" s="1" t="s">
        <v>44</v>
      </c>
    </row>
    <row r="5176" spans="1:14">
      <c r="A5176" s="36" t="s">
        <v>33</v>
      </c>
      <c r="B5176" s="37">
        <v>45534</v>
      </c>
      <c r="C5176" s="36" t="s">
        <v>96</v>
      </c>
      <c r="D5176" s="36" t="s">
        <v>97</v>
      </c>
      <c r="E5176" s="36" t="s">
        <v>148</v>
      </c>
      <c r="J5176" s="87">
        <v>8921000</v>
      </c>
      <c r="K5176" s="85">
        <v>2024</v>
      </c>
      <c r="L5176" s="85">
        <v>7</v>
      </c>
      <c r="N5176" s="1" t="s">
        <v>44</v>
      </c>
    </row>
    <row r="5177" spans="1:14">
      <c r="A5177" s="36" t="s">
        <v>33</v>
      </c>
      <c r="B5177" s="37">
        <v>45534</v>
      </c>
      <c r="C5177" s="36" t="s">
        <v>2109</v>
      </c>
      <c r="D5177" s="36" t="s">
        <v>1915</v>
      </c>
      <c r="E5177" s="36" t="s">
        <v>148</v>
      </c>
      <c r="J5177" s="87">
        <v>2171400</v>
      </c>
      <c r="K5177" s="85">
        <v>2024</v>
      </c>
      <c r="L5177" s="85">
        <v>7</v>
      </c>
      <c r="N5177" s="1" t="s">
        <v>44</v>
      </c>
    </row>
    <row r="5178" spans="1:14">
      <c r="A5178" s="36" t="s">
        <v>33</v>
      </c>
      <c r="B5178" s="37">
        <v>45534</v>
      </c>
      <c r="C5178" s="36" t="s">
        <v>2116</v>
      </c>
      <c r="D5178" s="36" t="s">
        <v>2117</v>
      </c>
      <c r="E5178" s="36" t="s">
        <v>148</v>
      </c>
      <c r="J5178" s="87">
        <v>2025100</v>
      </c>
      <c r="K5178" s="85">
        <v>2024</v>
      </c>
      <c r="L5178" s="85">
        <v>7</v>
      </c>
      <c r="N5178" s="1" t="s">
        <v>44</v>
      </c>
    </row>
    <row r="5179" spans="1:14">
      <c r="A5179" s="36" t="s">
        <v>32</v>
      </c>
      <c r="B5179" s="37">
        <v>45504</v>
      </c>
      <c r="C5179" s="36" t="s">
        <v>1218</v>
      </c>
      <c r="D5179" s="36" t="s">
        <v>2253</v>
      </c>
      <c r="E5179" s="36" t="s">
        <v>148</v>
      </c>
      <c r="J5179" s="87">
        <v>4544100</v>
      </c>
      <c r="K5179" s="85">
        <v>2024</v>
      </c>
      <c r="L5179" s="85">
        <v>7</v>
      </c>
      <c r="N5179" s="1" t="s">
        <v>44</v>
      </c>
    </row>
    <row r="5180" spans="1:14">
      <c r="A5180" s="36" t="s">
        <v>32</v>
      </c>
      <c r="B5180" s="37">
        <v>45534</v>
      </c>
      <c r="C5180" s="36" t="s">
        <v>334</v>
      </c>
      <c r="D5180" s="36" t="s">
        <v>2252</v>
      </c>
      <c r="E5180" s="36" t="s">
        <v>148</v>
      </c>
      <c r="J5180" s="87">
        <v>9790000</v>
      </c>
      <c r="K5180" s="85">
        <v>2024</v>
      </c>
      <c r="L5180" s="85">
        <v>7</v>
      </c>
      <c r="N5180" s="1" t="s">
        <v>44</v>
      </c>
    </row>
    <row r="5181" spans="1:14">
      <c r="A5181" s="36" t="s">
        <v>32</v>
      </c>
      <c r="B5181" s="37">
        <v>45534</v>
      </c>
      <c r="C5181" s="36" t="s">
        <v>654</v>
      </c>
      <c r="D5181" s="36" t="s">
        <v>2216</v>
      </c>
      <c r="E5181" s="36" t="s">
        <v>148</v>
      </c>
      <c r="J5181" s="87">
        <v>144370239</v>
      </c>
      <c r="K5181" s="85">
        <v>2024</v>
      </c>
      <c r="L5181" s="85">
        <v>7</v>
      </c>
      <c r="N5181" s="1" t="s">
        <v>44</v>
      </c>
    </row>
    <row r="5182" spans="1:14">
      <c r="A5182" s="36" t="s">
        <v>32</v>
      </c>
      <c r="B5182" s="37">
        <v>45534</v>
      </c>
      <c r="C5182" s="36" t="s">
        <v>264</v>
      </c>
      <c r="D5182" s="36" t="s">
        <v>2254</v>
      </c>
      <c r="E5182" s="36" t="s">
        <v>148</v>
      </c>
      <c r="J5182" s="87">
        <v>23540000</v>
      </c>
      <c r="K5182" s="85">
        <v>2024</v>
      </c>
      <c r="L5182" s="85">
        <v>7</v>
      </c>
      <c r="N5182" s="1" t="s">
        <v>44</v>
      </c>
    </row>
    <row r="5183" spans="1:14">
      <c r="A5183" s="36" t="s">
        <v>33</v>
      </c>
      <c r="B5183" s="37">
        <v>45535</v>
      </c>
      <c r="C5183" s="36" t="s">
        <v>2223</v>
      </c>
      <c r="D5183" s="36" t="s">
        <v>2261</v>
      </c>
      <c r="E5183" s="36" t="s">
        <v>2262</v>
      </c>
      <c r="G5183" s="87">
        <v>12000000</v>
      </c>
      <c r="H5183" s="87">
        <v>1200000</v>
      </c>
      <c r="I5183" s="87">
        <v>13200000</v>
      </c>
      <c r="K5183" s="85">
        <v>2024</v>
      </c>
      <c r="L5183" s="85">
        <v>8</v>
      </c>
      <c r="N5183" s="1" t="s">
        <v>44</v>
      </c>
    </row>
    <row r="5184" spans="1:14">
      <c r="A5184" s="36" t="s">
        <v>33</v>
      </c>
      <c r="B5184" s="37">
        <v>45537</v>
      </c>
      <c r="C5184" s="36" t="s">
        <v>2223</v>
      </c>
      <c r="D5184" s="36" t="s">
        <v>2261</v>
      </c>
      <c r="E5184" s="36" t="s">
        <v>2263</v>
      </c>
      <c r="J5184" s="38">
        <v>13200000</v>
      </c>
      <c r="K5184" s="85">
        <v>2024</v>
      </c>
      <c r="L5184" s="85">
        <v>8</v>
      </c>
      <c r="N5184" s="1" t="s">
        <v>44</v>
      </c>
    </row>
    <row r="5185" spans="1:14">
      <c r="A5185" s="36" t="s">
        <v>32</v>
      </c>
      <c r="B5185" s="37">
        <v>45537</v>
      </c>
      <c r="C5185" s="36" t="s">
        <v>1198</v>
      </c>
      <c r="D5185" s="36" t="s">
        <v>2175</v>
      </c>
      <c r="E5185" s="36" t="s">
        <v>148</v>
      </c>
      <c r="J5185" s="87">
        <v>6112920</v>
      </c>
      <c r="K5185" s="85">
        <v>2024</v>
      </c>
      <c r="L5185" s="85">
        <v>5</v>
      </c>
      <c r="N5185" s="1" t="s">
        <v>44</v>
      </c>
    </row>
    <row r="5186" spans="1:14">
      <c r="A5186" s="36" t="s">
        <v>32</v>
      </c>
      <c r="B5186" s="37">
        <v>45537</v>
      </c>
      <c r="C5186" s="36" t="s">
        <v>1198</v>
      </c>
      <c r="D5186" s="36" t="s">
        <v>2178</v>
      </c>
      <c r="E5186" s="36" t="s">
        <v>148</v>
      </c>
      <c r="J5186" s="87">
        <v>1564200</v>
      </c>
      <c r="K5186" s="85">
        <v>2024</v>
      </c>
      <c r="L5186" s="85">
        <v>5</v>
      </c>
      <c r="N5186" s="1" t="s">
        <v>44</v>
      </c>
    </row>
    <row r="5187" spans="1:14">
      <c r="A5187" s="36" t="s">
        <v>32</v>
      </c>
      <c r="B5187" s="37">
        <v>45537</v>
      </c>
      <c r="C5187" s="36" t="s">
        <v>1198</v>
      </c>
      <c r="D5187" s="36" t="s">
        <v>2027</v>
      </c>
      <c r="E5187" s="36" t="s">
        <v>148</v>
      </c>
      <c r="J5187" s="87">
        <v>5660820</v>
      </c>
      <c r="K5187" s="85">
        <v>2024</v>
      </c>
      <c r="L5187" s="85">
        <v>6</v>
      </c>
      <c r="N5187" s="1" t="s">
        <v>44</v>
      </c>
    </row>
    <row r="5188" spans="1:14">
      <c r="A5188" s="36" t="s">
        <v>32</v>
      </c>
      <c r="B5188" s="37">
        <v>45537</v>
      </c>
      <c r="C5188" s="36" t="s">
        <v>1534</v>
      </c>
      <c r="D5188" s="36" t="s">
        <v>2264</v>
      </c>
      <c r="E5188" s="36" t="s">
        <v>148</v>
      </c>
      <c r="J5188" s="87">
        <v>1771000</v>
      </c>
      <c r="K5188" s="85">
        <v>2024</v>
      </c>
      <c r="L5188" s="85">
        <v>7</v>
      </c>
      <c r="N5188" s="1" t="s">
        <v>44</v>
      </c>
    </row>
    <row r="5189" spans="1:14">
      <c r="A5189" s="36" t="s">
        <v>32</v>
      </c>
      <c r="B5189" s="37">
        <v>45538</v>
      </c>
      <c r="C5189" s="36" t="s">
        <v>1880</v>
      </c>
      <c r="D5189" s="36" t="s">
        <v>2078</v>
      </c>
      <c r="E5189" s="36" t="s">
        <v>148</v>
      </c>
      <c r="J5189" s="38">
        <v>28000000</v>
      </c>
      <c r="K5189" s="85">
        <v>2024</v>
      </c>
      <c r="L5189" s="85">
        <v>7</v>
      </c>
      <c r="N5189" s="1" t="s">
        <v>44</v>
      </c>
    </row>
    <row r="5190" spans="1:14">
      <c r="A5190" s="36" t="s">
        <v>33</v>
      </c>
      <c r="B5190" s="37">
        <v>45535</v>
      </c>
      <c r="C5190" s="36" t="s">
        <v>1914</v>
      </c>
      <c r="D5190" s="36" t="s">
        <v>1915</v>
      </c>
      <c r="E5190" s="36" t="s">
        <v>2313</v>
      </c>
      <c r="G5190" s="87">
        <v>910000</v>
      </c>
      <c r="H5190" s="87">
        <v>91000</v>
      </c>
      <c r="I5190" s="87">
        <v>1001000</v>
      </c>
      <c r="K5190" s="85">
        <v>2024</v>
      </c>
      <c r="L5190" s="85">
        <v>8</v>
      </c>
      <c r="N5190" s="1" t="s">
        <v>44</v>
      </c>
    </row>
    <row r="5191" spans="1:14">
      <c r="A5191" s="36" t="s">
        <v>33</v>
      </c>
      <c r="B5191" s="37">
        <v>45535</v>
      </c>
      <c r="C5191" s="36" t="s">
        <v>2009</v>
      </c>
      <c r="D5191" s="36" t="s">
        <v>197</v>
      </c>
      <c r="E5191" s="36" t="s">
        <v>2265</v>
      </c>
      <c r="G5191" s="87">
        <v>1645000</v>
      </c>
      <c r="H5191" s="87">
        <v>164500</v>
      </c>
      <c r="I5191" s="87">
        <v>1809500</v>
      </c>
      <c r="K5191" s="85">
        <v>2024</v>
      </c>
      <c r="L5191" s="85">
        <v>8</v>
      </c>
      <c r="N5191" s="1" t="s">
        <v>44</v>
      </c>
    </row>
    <row r="5192" spans="1:14">
      <c r="A5192" s="36" t="s">
        <v>33</v>
      </c>
      <c r="B5192" s="37">
        <v>45535</v>
      </c>
      <c r="C5192" s="36" t="s">
        <v>2211</v>
      </c>
      <c r="D5192" s="36" t="s">
        <v>2266</v>
      </c>
      <c r="E5192" s="36" t="s">
        <v>2267</v>
      </c>
      <c r="G5192" s="87">
        <v>720000</v>
      </c>
      <c r="H5192" s="87">
        <v>72000</v>
      </c>
      <c r="I5192" s="87">
        <v>792000</v>
      </c>
      <c r="K5192" s="85">
        <v>2024</v>
      </c>
      <c r="L5192" s="85">
        <v>8</v>
      </c>
      <c r="N5192" s="1" t="s">
        <v>44</v>
      </c>
    </row>
    <row r="5193" spans="1:14">
      <c r="A5193" s="36" t="s">
        <v>32</v>
      </c>
      <c r="B5193" s="37">
        <v>45540</v>
      </c>
      <c r="C5193" s="36" t="s">
        <v>654</v>
      </c>
      <c r="D5193" s="36" t="s">
        <v>1941</v>
      </c>
      <c r="E5193" s="36" t="s">
        <v>148</v>
      </c>
      <c r="J5193" s="87">
        <v>11172370</v>
      </c>
      <c r="K5193" s="85">
        <v>2024</v>
      </c>
      <c r="L5193" s="85">
        <v>7</v>
      </c>
      <c r="N5193" s="1" t="s">
        <v>44</v>
      </c>
    </row>
    <row r="5194" spans="1:14">
      <c r="A5194" s="36" t="s">
        <v>32</v>
      </c>
      <c r="B5194" s="37">
        <v>45540</v>
      </c>
      <c r="C5194" s="36" t="s">
        <v>654</v>
      </c>
      <c r="D5194" s="36" t="s">
        <v>2131</v>
      </c>
      <c r="E5194" s="36" t="s">
        <v>148</v>
      </c>
      <c r="J5194" s="87">
        <v>13387220</v>
      </c>
      <c r="K5194" s="85">
        <v>2024</v>
      </c>
      <c r="L5194" s="85">
        <v>7</v>
      </c>
      <c r="N5194" s="1" t="s">
        <v>44</v>
      </c>
    </row>
    <row r="5195" spans="1:14">
      <c r="A5195" s="36" t="s">
        <v>32</v>
      </c>
      <c r="B5195" s="37">
        <v>45540</v>
      </c>
      <c r="C5195" s="36" t="s">
        <v>654</v>
      </c>
      <c r="D5195" s="36" t="s">
        <v>2074</v>
      </c>
      <c r="E5195" s="36" t="s">
        <v>148</v>
      </c>
      <c r="J5195" s="87">
        <v>9402360</v>
      </c>
      <c r="K5195" s="85">
        <v>2024</v>
      </c>
      <c r="L5195" s="85">
        <v>7</v>
      </c>
      <c r="N5195" s="1" t="s">
        <v>44</v>
      </c>
    </row>
    <row r="5196" spans="1:14">
      <c r="A5196" s="36" t="s">
        <v>32</v>
      </c>
      <c r="B5196" s="37">
        <v>45539</v>
      </c>
      <c r="C5196" s="36" t="s">
        <v>672</v>
      </c>
      <c r="D5196" s="36" t="s">
        <v>1596</v>
      </c>
      <c r="E5196" s="36" t="s">
        <v>148</v>
      </c>
      <c r="J5196" s="38">
        <v>2000000</v>
      </c>
      <c r="K5196" s="85">
        <v>2023</v>
      </c>
      <c r="L5196" s="85">
        <v>8</v>
      </c>
      <c r="N5196" s="1" t="s">
        <v>44</v>
      </c>
    </row>
    <row r="5197" spans="1:14">
      <c r="A5197" s="36" t="s">
        <v>32</v>
      </c>
      <c r="B5197" s="37">
        <v>45540</v>
      </c>
      <c r="C5197" s="36" t="s">
        <v>2246</v>
      </c>
      <c r="D5197" s="36" t="s">
        <v>2250</v>
      </c>
      <c r="E5197" s="36" t="s">
        <v>148</v>
      </c>
      <c r="J5197" s="87">
        <v>2310000</v>
      </c>
      <c r="K5197" s="85">
        <v>2024</v>
      </c>
      <c r="L5197" s="85">
        <v>7</v>
      </c>
      <c r="N5197" s="1" t="s">
        <v>44</v>
      </c>
    </row>
    <row r="5198" spans="1:14">
      <c r="A5198" s="36" t="s">
        <v>33</v>
      </c>
      <c r="B5198" s="37">
        <v>45535</v>
      </c>
      <c r="C5198" s="36" t="s">
        <v>96</v>
      </c>
      <c r="D5198" s="36" t="s">
        <v>2268</v>
      </c>
      <c r="E5198" s="36" t="s">
        <v>97</v>
      </c>
      <c r="G5198" s="87">
        <v>10070000</v>
      </c>
      <c r="H5198" s="87">
        <v>1007000</v>
      </c>
      <c r="I5198" s="87">
        <v>11077000</v>
      </c>
      <c r="K5198" s="85">
        <v>2024</v>
      </c>
      <c r="L5198" s="85">
        <v>8</v>
      </c>
      <c r="N5198" s="1" t="s">
        <v>44</v>
      </c>
    </row>
    <row r="5199" spans="1:14">
      <c r="A5199" s="36" t="s">
        <v>33</v>
      </c>
      <c r="B5199" s="37">
        <v>45535</v>
      </c>
      <c r="C5199" s="36" t="s">
        <v>2109</v>
      </c>
      <c r="D5199" s="36" t="s">
        <v>1915</v>
      </c>
      <c r="E5199" s="36" t="s">
        <v>2163</v>
      </c>
      <c r="G5199" s="87">
        <v>546000</v>
      </c>
      <c r="H5199" s="87">
        <v>54600</v>
      </c>
      <c r="I5199" s="87">
        <v>600600</v>
      </c>
      <c r="K5199" s="85">
        <v>2024</v>
      </c>
      <c r="L5199" s="85">
        <v>8</v>
      </c>
      <c r="N5199" s="1" t="s">
        <v>44</v>
      </c>
    </row>
    <row r="5200" spans="1:14">
      <c r="A5200" s="36" t="s">
        <v>33</v>
      </c>
      <c r="B5200" s="37">
        <v>45535</v>
      </c>
      <c r="C5200" s="36" t="s">
        <v>1919</v>
      </c>
      <c r="D5200" s="36" t="s">
        <v>1754</v>
      </c>
      <c r="E5200" s="36" t="s">
        <v>2115</v>
      </c>
      <c r="G5200" s="87">
        <v>3870000</v>
      </c>
      <c r="H5200" s="87">
        <v>387000</v>
      </c>
      <c r="I5200" s="87">
        <v>4257000</v>
      </c>
      <c r="K5200" s="85">
        <v>2024</v>
      </c>
      <c r="L5200" s="85">
        <v>8</v>
      </c>
      <c r="N5200" s="1" t="s">
        <v>44</v>
      </c>
    </row>
    <row r="5201" spans="1:14">
      <c r="A5201" s="36" t="s">
        <v>32</v>
      </c>
      <c r="B5201" s="37">
        <v>45541</v>
      </c>
      <c r="C5201" s="36" t="s">
        <v>654</v>
      </c>
      <c r="D5201" s="36" t="s">
        <v>1673</v>
      </c>
      <c r="E5201" s="36" t="s">
        <v>148</v>
      </c>
      <c r="J5201" s="87">
        <v>98399940</v>
      </c>
      <c r="K5201" s="85">
        <v>2024</v>
      </c>
      <c r="L5201" s="85">
        <v>7</v>
      </c>
      <c r="N5201" s="1" t="s">
        <v>44</v>
      </c>
    </row>
    <row r="5202" spans="1:14">
      <c r="A5202" s="36" t="s">
        <v>33</v>
      </c>
      <c r="B5202" s="37">
        <v>45535</v>
      </c>
      <c r="C5202" s="36" t="s">
        <v>2122</v>
      </c>
      <c r="D5202" s="36" t="s">
        <v>1921</v>
      </c>
      <c r="E5202" s="36" t="s">
        <v>157</v>
      </c>
      <c r="G5202" s="87">
        <v>560000</v>
      </c>
      <c r="H5202" s="87">
        <v>56000</v>
      </c>
      <c r="I5202" s="87">
        <v>616000</v>
      </c>
      <c r="K5202" s="85">
        <v>2024</v>
      </c>
      <c r="L5202" s="85">
        <v>8</v>
      </c>
      <c r="N5202" s="1" t="s">
        <v>44</v>
      </c>
    </row>
    <row r="5203" spans="1:14">
      <c r="A5203" s="36" t="s">
        <v>33</v>
      </c>
      <c r="B5203" s="37">
        <v>45535</v>
      </c>
      <c r="C5203" s="36" t="s">
        <v>2188</v>
      </c>
      <c r="D5203" s="36" t="s">
        <v>2269</v>
      </c>
      <c r="E5203" s="36" t="s">
        <v>1492</v>
      </c>
      <c r="G5203" s="87">
        <v>133780</v>
      </c>
      <c r="H5203" s="87">
        <v>13378</v>
      </c>
      <c r="I5203" s="87">
        <v>147158</v>
      </c>
      <c r="K5203" s="85">
        <v>2024</v>
      </c>
      <c r="L5203" s="85">
        <v>8</v>
      </c>
      <c r="N5203" s="1" t="s">
        <v>44</v>
      </c>
    </row>
    <row r="5204" spans="1:14">
      <c r="A5204" s="36" t="s">
        <v>33</v>
      </c>
      <c r="B5204" s="37">
        <v>45535</v>
      </c>
      <c r="C5204" s="36" t="s">
        <v>2188</v>
      </c>
      <c r="D5204" s="36" t="s">
        <v>2272</v>
      </c>
      <c r="E5204" s="36" t="s">
        <v>2270</v>
      </c>
      <c r="G5204" s="87">
        <v>29760</v>
      </c>
      <c r="H5204" s="87">
        <v>2976</v>
      </c>
      <c r="I5204" s="87">
        <v>32736</v>
      </c>
      <c r="K5204" s="85">
        <v>2024</v>
      </c>
      <c r="L5204" s="85">
        <v>8</v>
      </c>
      <c r="N5204" s="1" t="s">
        <v>44</v>
      </c>
    </row>
    <row r="5205" spans="1:14">
      <c r="A5205" s="36" t="s">
        <v>33</v>
      </c>
      <c r="B5205" s="37">
        <v>45535</v>
      </c>
      <c r="C5205" s="36" t="s">
        <v>81</v>
      </c>
      <c r="D5205" s="36" t="s">
        <v>2271</v>
      </c>
      <c r="E5205" s="36" t="s">
        <v>1232</v>
      </c>
      <c r="G5205" s="87">
        <v>1623200</v>
      </c>
      <c r="H5205" s="87">
        <v>162320</v>
      </c>
      <c r="I5205" s="87">
        <v>1785520</v>
      </c>
      <c r="K5205" s="85">
        <v>2024</v>
      </c>
      <c r="L5205" s="85">
        <v>8</v>
      </c>
      <c r="N5205" s="1" t="s">
        <v>44</v>
      </c>
    </row>
    <row r="5206" spans="1:14">
      <c r="A5206" s="36" t="s">
        <v>33</v>
      </c>
      <c r="B5206" s="37">
        <v>45529</v>
      </c>
      <c r="C5206" s="36" t="s">
        <v>1569</v>
      </c>
      <c r="D5206" s="36" t="s">
        <v>2269</v>
      </c>
      <c r="E5206" s="36" t="s">
        <v>1492</v>
      </c>
      <c r="G5206" s="87">
        <v>5044500</v>
      </c>
      <c r="H5206" s="87">
        <v>504450</v>
      </c>
      <c r="I5206" s="87">
        <v>5548950</v>
      </c>
      <c r="K5206" s="85">
        <v>2024</v>
      </c>
      <c r="L5206" s="85">
        <v>8</v>
      </c>
      <c r="N5206" s="1" t="s">
        <v>44</v>
      </c>
    </row>
    <row r="5207" spans="1:14">
      <c r="A5207" s="36" t="s">
        <v>33</v>
      </c>
      <c r="B5207" s="37">
        <v>45535</v>
      </c>
      <c r="C5207" s="36" t="s">
        <v>2116</v>
      </c>
      <c r="D5207" s="36" t="s">
        <v>2117</v>
      </c>
      <c r="E5207" s="36" t="s">
        <v>2118</v>
      </c>
      <c r="G5207" s="87">
        <v>1519000</v>
      </c>
      <c r="H5207" s="87">
        <v>151900</v>
      </c>
      <c r="I5207" s="87">
        <v>1670900</v>
      </c>
      <c r="K5207" s="85">
        <v>2024</v>
      </c>
      <c r="L5207" s="85">
        <v>8</v>
      </c>
      <c r="N5207" s="1" t="s">
        <v>44</v>
      </c>
    </row>
    <row r="5208" spans="1:14">
      <c r="A5208" s="36" t="s">
        <v>33</v>
      </c>
      <c r="B5208" s="37">
        <v>45545</v>
      </c>
      <c r="C5208" s="36" t="s">
        <v>171</v>
      </c>
      <c r="D5208" s="36" t="s">
        <v>2148</v>
      </c>
      <c r="E5208" s="36" t="s">
        <v>148</v>
      </c>
      <c r="J5208" s="87">
        <v>2915000</v>
      </c>
      <c r="K5208" s="85">
        <v>2024</v>
      </c>
      <c r="L5208" s="85">
        <v>5</v>
      </c>
      <c r="N5208" s="1" t="s">
        <v>44</v>
      </c>
    </row>
    <row r="5209" spans="1:14">
      <c r="A5209" s="36" t="s">
        <v>32</v>
      </c>
      <c r="B5209" s="37">
        <v>45545</v>
      </c>
      <c r="C5209" s="36" t="s">
        <v>1862</v>
      </c>
      <c r="D5209" s="36" t="s">
        <v>1874</v>
      </c>
      <c r="E5209" s="36" t="s">
        <v>148</v>
      </c>
      <c r="J5209" s="87">
        <v>3415500</v>
      </c>
      <c r="K5209" s="85">
        <v>2024</v>
      </c>
      <c r="L5209" s="85">
        <v>6</v>
      </c>
      <c r="N5209" s="1" t="s">
        <v>44</v>
      </c>
    </row>
    <row r="5210" spans="1:14">
      <c r="A5210" s="36" t="s">
        <v>33</v>
      </c>
      <c r="B5210" s="37">
        <v>45546</v>
      </c>
      <c r="C5210" s="36" t="s">
        <v>81</v>
      </c>
      <c r="D5210" s="36" t="s">
        <v>2271</v>
      </c>
      <c r="E5210" s="36" t="s">
        <v>148</v>
      </c>
      <c r="J5210" s="87">
        <v>1785520</v>
      </c>
      <c r="K5210" s="85">
        <v>2024</v>
      </c>
      <c r="L5210" s="85">
        <v>8</v>
      </c>
      <c r="N5210" s="1" t="s">
        <v>44</v>
      </c>
    </row>
    <row r="5211" spans="1:14">
      <c r="A5211" s="36" t="s">
        <v>33</v>
      </c>
      <c r="B5211" s="37">
        <v>45535</v>
      </c>
      <c r="C5211" s="36" t="s">
        <v>1391</v>
      </c>
      <c r="D5211" s="36" t="s">
        <v>2273</v>
      </c>
      <c r="E5211" s="36" t="s">
        <v>2274</v>
      </c>
      <c r="G5211" s="87">
        <v>869000</v>
      </c>
      <c r="H5211" s="87">
        <v>86900</v>
      </c>
      <c r="I5211" s="87">
        <v>955900</v>
      </c>
      <c r="K5211" s="85">
        <v>2024</v>
      </c>
      <c r="L5211" s="85">
        <v>8</v>
      </c>
      <c r="N5211" s="1" t="s">
        <v>44</v>
      </c>
    </row>
    <row r="5212" spans="1:14">
      <c r="A5212" s="36" t="s">
        <v>33</v>
      </c>
      <c r="B5212" s="37">
        <v>45535</v>
      </c>
      <c r="C5212" s="36" t="s">
        <v>1391</v>
      </c>
      <c r="D5212" s="36" t="s">
        <v>197</v>
      </c>
      <c r="E5212" s="36" t="s">
        <v>2274</v>
      </c>
      <c r="G5212" s="87">
        <v>20976000</v>
      </c>
      <c r="H5212" s="87">
        <v>2097600</v>
      </c>
      <c r="I5212" s="87">
        <v>23073600</v>
      </c>
      <c r="K5212" s="85">
        <v>2024</v>
      </c>
      <c r="L5212" s="85">
        <v>8</v>
      </c>
      <c r="N5212" s="1" t="s">
        <v>44</v>
      </c>
    </row>
    <row r="5213" spans="1:14">
      <c r="A5213" s="36" t="s">
        <v>33</v>
      </c>
      <c r="B5213" s="37">
        <v>45535</v>
      </c>
      <c r="C5213" s="36" t="s">
        <v>1391</v>
      </c>
      <c r="D5213" s="36" t="s">
        <v>2164</v>
      </c>
      <c r="E5213" s="36" t="s">
        <v>2274</v>
      </c>
      <c r="G5213" s="87">
        <v>1139000</v>
      </c>
      <c r="H5213" s="87">
        <v>113900</v>
      </c>
      <c r="I5213" s="87">
        <v>1252900</v>
      </c>
      <c r="K5213" s="85">
        <v>2024</v>
      </c>
      <c r="L5213" s="85">
        <v>8</v>
      </c>
      <c r="N5213" s="1" t="s">
        <v>44</v>
      </c>
    </row>
    <row r="5214" spans="1:14">
      <c r="A5214" s="36" t="s">
        <v>33</v>
      </c>
      <c r="B5214" s="37">
        <v>45514</v>
      </c>
      <c r="C5214" s="36" t="s">
        <v>2016</v>
      </c>
      <c r="D5214" s="36" t="s">
        <v>2275</v>
      </c>
      <c r="E5214" s="36" t="s">
        <v>1492</v>
      </c>
      <c r="G5214" s="87">
        <v>53300000</v>
      </c>
      <c r="H5214" s="87">
        <v>5330000</v>
      </c>
      <c r="I5214" s="87">
        <v>58630000</v>
      </c>
      <c r="K5214" s="85">
        <v>2024</v>
      </c>
      <c r="L5214" s="85">
        <v>8</v>
      </c>
      <c r="N5214" s="1" t="s">
        <v>44</v>
      </c>
    </row>
    <row r="5215" spans="1:14">
      <c r="A5215" s="36" t="s">
        <v>33</v>
      </c>
      <c r="B5215" s="37">
        <v>45524</v>
      </c>
      <c r="C5215" s="36" t="s">
        <v>2016</v>
      </c>
      <c r="D5215" s="36" t="s">
        <v>2276</v>
      </c>
      <c r="E5215" s="36" t="s">
        <v>1492</v>
      </c>
      <c r="G5215" s="87">
        <v>65400000</v>
      </c>
      <c r="H5215" s="87">
        <v>6540000</v>
      </c>
      <c r="I5215" s="87">
        <v>71940000</v>
      </c>
      <c r="K5215" s="85">
        <v>2024</v>
      </c>
      <c r="L5215" s="85">
        <v>8</v>
      </c>
      <c r="N5215" s="1" t="s">
        <v>44</v>
      </c>
    </row>
    <row r="5216" spans="1:14">
      <c r="A5216" s="36" t="s">
        <v>33</v>
      </c>
      <c r="B5216" s="37">
        <v>45535</v>
      </c>
      <c r="C5216" s="36" t="s">
        <v>2016</v>
      </c>
      <c r="D5216" s="36" t="s">
        <v>2277</v>
      </c>
      <c r="E5216" s="36" t="s">
        <v>1492</v>
      </c>
      <c r="G5216" s="87">
        <v>71100000</v>
      </c>
      <c r="H5216" s="87">
        <v>7110000</v>
      </c>
      <c r="I5216" s="87">
        <v>78210000</v>
      </c>
      <c r="K5216" s="85">
        <v>2024</v>
      </c>
      <c r="L5216" s="85">
        <v>8</v>
      </c>
      <c r="N5216" s="1" t="s">
        <v>44</v>
      </c>
    </row>
    <row r="5217" spans="1:14">
      <c r="A5217" s="36" t="s">
        <v>32</v>
      </c>
      <c r="B5217" s="37">
        <v>45524</v>
      </c>
      <c r="C5217" s="36" t="s">
        <v>2278</v>
      </c>
      <c r="D5217" s="36" t="s">
        <v>2280</v>
      </c>
      <c r="E5217" s="36" t="s">
        <v>2260</v>
      </c>
      <c r="G5217" s="87">
        <v>8000000</v>
      </c>
      <c r="H5217" s="87">
        <v>800000</v>
      </c>
      <c r="I5217" s="87">
        <v>8800000</v>
      </c>
      <c r="K5217" s="85">
        <v>2024</v>
      </c>
      <c r="L5217" s="85">
        <v>8</v>
      </c>
      <c r="N5217" s="1" t="s">
        <v>44</v>
      </c>
    </row>
    <row r="5218" spans="1:14">
      <c r="A5218" s="36" t="s">
        <v>32</v>
      </c>
      <c r="B5218" s="37">
        <v>45530</v>
      </c>
      <c r="C5218" s="36" t="s">
        <v>209</v>
      </c>
      <c r="D5218" s="36" t="s">
        <v>1699</v>
      </c>
      <c r="E5218" s="36" t="s">
        <v>76</v>
      </c>
      <c r="G5218" s="87">
        <v>3729400</v>
      </c>
      <c r="H5218" s="87">
        <v>372940</v>
      </c>
      <c r="I5218" s="87">
        <v>4102340</v>
      </c>
      <c r="K5218" s="85">
        <v>2024</v>
      </c>
      <c r="L5218" s="85">
        <v>8</v>
      </c>
      <c r="N5218" s="1" t="s">
        <v>44</v>
      </c>
    </row>
    <row r="5219" spans="1:14">
      <c r="A5219" s="36" t="s">
        <v>32</v>
      </c>
      <c r="B5219" s="37">
        <v>45533</v>
      </c>
      <c r="C5219" s="36" t="s">
        <v>209</v>
      </c>
      <c r="D5219" s="36" t="s">
        <v>1866</v>
      </c>
      <c r="E5219" s="36" t="s">
        <v>76</v>
      </c>
      <c r="G5219" s="87">
        <v>122052720</v>
      </c>
      <c r="H5219" s="87">
        <v>12205272</v>
      </c>
      <c r="I5219" s="87">
        <v>134257992</v>
      </c>
      <c r="K5219" s="85">
        <v>2024</v>
      </c>
      <c r="L5219" s="85">
        <v>8</v>
      </c>
      <c r="N5219" s="1" t="s">
        <v>44</v>
      </c>
    </row>
    <row r="5220" spans="1:14">
      <c r="A5220" s="36" t="s">
        <v>32</v>
      </c>
      <c r="B5220" s="37">
        <v>45533</v>
      </c>
      <c r="C5220" s="36" t="s">
        <v>209</v>
      </c>
      <c r="D5220" s="36" t="s">
        <v>2024</v>
      </c>
      <c r="E5220" s="36" t="s">
        <v>2142</v>
      </c>
      <c r="G5220" s="87">
        <v>52302080</v>
      </c>
      <c r="H5220" s="87">
        <v>5230208</v>
      </c>
      <c r="I5220" s="87">
        <v>57532288</v>
      </c>
      <c r="K5220" s="85">
        <v>2024</v>
      </c>
      <c r="L5220" s="85">
        <v>8</v>
      </c>
      <c r="N5220" s="1" t="s">
        <v>44</v>
      </c>
    </row>
    <row r="5221" spans="1:14">
      <c r="A5221" s="36" t="s">
        <v>32</v>
      </c>
      <c r="B5221" s="37">
        <v>45535</v>
      </c>
      <c r="C5221" s="36" t="s">
        <v>209</v>
      </c>
      <c r="D5221" s="36" t="s">
        <v>2001</v>
      </c>
      <c r="E5221" s="36" t="s">
        <v>76</v>
      </c>
      <c r="G5221" s="87">
        <v>2430000</v>
      </c>
      <c r="H5221" s="87">
        <v>243000</v>
      </c>
      <c r="I5221" s="87">
        <v>2673000</v>
      </c>
      <c r="K5221" s="85">
        <v>2024</v>
      </c>
      <c r="L5221" s="85">
        <v>8</v>
      </c>
      <c r="N5221" s="1" t="s">
        <v>44</v>
      </c>
    </row>
    <row r="5222" spans="1:14">
      <c r="A5222" s="36" t="s">
        <v>32</v>
      </c>
      <c r="B5222" s="37">
        <v>45533</v>
      </c>
      <c r="C5222" s="36" t="s">
        <v>2167</v>
      </c>
      <c r="D5222" s="36" t="s">
        <v>2249</v>
      </c>
      <c r="E5222" s="36" t="s">
        <v>76</v>
      </c>
      <c r="G5222" s="87">
        <v>5050000</v>
      </c>
      <c r="H5222" s="87">
        <v>505000</v>
      </c>
      <c r="I5222" s="87">
        <v>5555000</v>
      </c>
      <c r="K5222" s="85">
        <v>2024</v>
      </c>
      <c r="L5222" s="85">
        <v>8</v>
      </c>
      <c r="N5222" s="1" t="s">
        <v>44</v>
      </c>
    </row>
    <row r="5223" spans="1:14">
      <c r="A5223" s="36" t="s">
        <v>32</v>
      </c>
      <c r="B5223" s="37">
        <v>45535</v>
      </c>
      <c r="C5223" s="36" t="s">
        <v>654</v>
      </c>
      <c r="D5223" s="36" t="s">
        <v>1673</v>
      </c>
      <c r="E5223" s="36" t="s">
        <v>76</v>
      </c>
      <c r="G5223" s="87">
        <v>44854820</v>
      </c>
      <c r="H5223" s="87">
        <v>4485482</v>
      </c>
      <c r="I5223" s="87">
        <v>49340302</v>
      </c>
      <c r="K5223" s="85">
        <v>2024</v>
      </c>
      <c r="L5223" s="85">
        <v>8</v>
      </c>
      <c r="N5223" s="1" t="s">
        <v>44</v>
      </c>
    </row>
    <row r="5224" spans="1:14">
      <c r="A5224" s="36" t="s">
        <v>32</v>
      </c>
      <c r="B5224" s="37">
        <v>45535</v>
      </c>
      <c r="C5224" s="36" t="s">
        <v>654</v>
      </c>
      <c r="D5224" s="36" t="s">
        <v>2281</v>
      </c>
      <c r="E5224" s="36" t="s">
        <v>76</v>
      </c>
      <c r="G5224" s="87">
        <v>9238400</v>
      </c>
      <c r="H5224" s="87">
        <v>923840</v>
      </c>
      <c r="I5224" s="87">
        <v>10162240</v>
      </c>
      <c r="K5224" s="85">
        <v>2024</v>
      </c>
      <c r="L5224" s="85">
        <v>8</v>
      </c>
      <c r="N5224" s="1" t="s">
        <v>44</v>
      </c>
    </row>
    <row r="5225" spans="1:14">
      <c r="A5225" s="36" t="s">
        <v>32</v>
      </c>
      <c r="B5225" s="37">
        <v>45535</v>
      </c>
      <c r="C5225" s="36" t="s">
        <v>654</v>
      </c>
      <c r="D5225" s="36" t="s">
        <v>1941</v>
      </c>
      <c r="E5225" s="36" t="s">
        <v>76</v>
      </c>
      <c r="G5225" s="87">
        <v>6762560</v>
      </c>
      <c r="H5225" s="87">
        <v>676256</v>
      </c>
      <c r="I5225" s="87">
        <v>7438816</v>
      </c>
      <c r="K5225" s="85">
        <v>2024</v>
      </c>
      <c r="L5225" s="85">
        <v>8</v>
      </c>
      <c r="N5225" s="1" t="s">
        <v>44</v>
      </c>
    </row>
    <row r="5226" spans="1:14">
      <c r="A5226" s="36" t="s">
        <v>32</v>
      </c>
      <c r="B5226" s="37">
        <v>45535</v>
      </c>
      <c r="C5226" s="36" t="s">
        <v>654</v>
      </c>
      <c r="D5226" s="36" t="s">
        <v>2216</v>
      </c>
      <c r="E5226" s="36" t="s">
        <v>76</v>
      </c>
      <c r="G5226" s="87">
        <v>60167660</v>
      </c>
      <c r="H5226" s="87">
        <v>6016766</v>
      </c>
      <c r="I5226" s="87">
        <v>66184426</v>
      </c>
      <c r="K5226" s="85">
        <v>2024</v>
      </c>
      <c r="L5226" s="85">
        <v>8</v>
      </c>
      <c r="N5226" s="1" t="s">
        <v>44</v>
      </c>
    </row>
    <row r="5227" spans="1:14">
      <c r="A5227" s="36" t="s">
        <v>32</v>
      </c>
      <c r="B5227" s="37">
        <v>45535</v>
      </c>
      <c r="C5227" s="36" t="s">
        <v>654</v>
      </c>
      <c r="D5227" s="36" t="s">
        <v>2131</v>
      </c>
      <c r="E5227" s="36" t="s">
        <v>76</v>
      </c>
      <c r="G5227" s="87">
        <v>15583080</v>
      </c>
      <c r="H5227" s="87">
        <v>1558308</v>
      </c>
      <c r="I5227" s="87">
        <v>17141388</v>
      </c>
      <c r="K5227" s="85">
        <v>2024</v>
      </c>
      <c r="L5227" s="85">
        <v>8</v>
      </c>
      <c r="N5227" s="1" t="s">
        <v>44</v>
      </c>
    </row>
    <row r="5228" spans="1:14">
      <c r="A5228" s="36" t="s">
        <v>32</v>
      </c>
      <c r="B5228" s="37">
        <v>45535</v>
      </c>
      <c r="C5228" s="36" t="s">
        <v>204</v>
      </c>
      <c r="D5228" s="36" t="s">
        <v>2282</v>
      </c>
      <c r="E5228" s="36" t="s">
        <v>76</v>
      </c>
      <c r="G5228" s="87">
        <v>1400000</v>
      </c>
      <c r="H5228" s="87">
        <v>140000</v>
      </c>
      <c r="I5228" s="87">
        <v>1540000</v>
      </c>
      <c r="K5228" s="85">
        <v>2024</v>
      </c>
      <c r="L5228" s="85">
        <v>8</v>
      </c>
      <c r="N5228" s="1" t="s">
        <v>44</v>
      </c>
    </row>
    <row r="5229" spans="1:14">
      <c r="A5229" s="36" t="s">
        <v>32</v>
      </c>
      <c r="B5229" s="37">
        <v>45535</v>
      </c>
      <c r="C5229" s="36" t="s">
        <v>2279</v>
      </c>
      <c r="D5229" s="36" t="s">
        <v>2283</v>
      </c>
      <c r="E5229" s="36" t="s">
        <v>76</v>
      </c>
      <c r="G5229" s="87">
        <v>46480000</v>
      </c>
      <c r="H5229" s="87">
        <v>4648000</v>
      </c>
      <c r="I5229" s="87">
        <v>51128000</v>
      </c>
      <c r="K5229" s="85">
        <v>2024</v>
      </c>
      <c r="L5229" s="85">
        <v>8</v>
      </c>
      <c r="N5229" s="1" t="s">
        <v>44</v>
      </c>
    </row>
    <row r="5230" spans="1:14">
      <c r="A5230" s="36" t="s">
        <v>32</v>
      </c>
      <c r="B5230" s="37">
        <v>45535</v>
      </c>
      <c r="C5230" s="36" t="s">
        <v>1587</v>
      </c>
      <c r="D5230" s="36" t="s">
        <v>2284</v>
      </c>
      <c r="E5230" s="36" t="s">
        <v>76</v>
      </c>
      <c r="G5230" s="87">
        <v>5054400</v>
      </c>
      <c r="H5230" s="87">
        <v>505440</v>
      </c>
      <c r="I5230" s="87">
        <v>5559840</v>
      </c>
      <c r="K5230" s="85">
        <v>2024</v>
      </c>
      <c r="L5230" s="85">
        <v>8</v>
      </c>
      <c r="N5230" s="1" t="s">
        <v>44</v>
      </c>
    </row>
    <row r="5231" spans="1:14">
      <c r="A5231" s="36" t="s">
        <v>32</v>
      </c>
      <c r="B5231" s="37">
        <v>45535</v>
      </c>
      <c r="C5231" s="36" t="s">
        <v>1587</v>
      </c>
      <c r="D5231" s="36" t="s">
        <v>2285</v>
      </c>
      <c r="E5231" s="36" t="s">
        <v>2142</v>
      </c>
      <c r="G5231" s="87">
        <v>4139168</v>
      </c>
      <c r="H5231" s="87">
        <v>413916.80000000005</v>
      </c>
      <c r="I5231" s="87">
        <v>4553084.8</v>
      </c>
      <c r="K5231" s="85">
        <v>2024</v>
      </c>
      <c r="L5231" s="85">
        <v>8</v>
      </c>
      <c r="N5231" s="1" t="s">
        <v>44</v>
      </c>
    </row>
    <row r="5232" spans="1:14">
      <c r="A5232" s="36" t="s">
        <v>32</v>
      </c>
      <c r="B5232" s="37">
        <v>45535</v>
      </c>
      <c r="C5232" s="36" t="s">
        <v>1587</v>
      </c>
      <c r="D5232" s="36" t="s">
        <v>2141</v>
      </c>
      <c r="E5232" s="36" t="s">
        <v>76</v>
      </c>
      <c r="G5232" s="87">
        <v>29073527</v>
      </c>
      <c r="H5232" s="87">
        <v>2907352.7</v>
      </c>
      <c r="I5232" s="87">
        <v>31980879.699999999</v>
      </c>
      <c r="K5232" s="85">
        <v>2024</v>
      </c>
      <c r="L5232" s="85">
        <v>8</v>
      </c>
      <c r="N5232" s="1" t="s">
        <v>44</v>
      </c>
    </row>
    <row r="5233" spans="1:14">
      <c r="A5233" s="36" t="s">
        <v>32</v>
      </c>
      <c r="B5233" s="37">
        <v>45535</v>
      </c>
      <c r="C5233" s="36" t="s">
        <v>206</v>
      </c>
      <c r="D5233" s="36" t="s">
        <v>2286</v>
      </c>
      <c r="E5233" s="36" t="s">
        <v>76</v>
      </c>
      <c r="G5233" s="87">
        <v>3598000</v>
      </c>
      <c r="H5233" s="87">
        <v>359800</v>
      </c>
      <c r="I5233" s="87">
        <v>3957800</v>
      </c>
      <c r="K5233" s="85">
        <v>2024</v>
      </c>
      <c r="L5233" s="85">
        <v>8</v>
      </c>
      <c r="N5233" s="1" t="s">
        <v>44</v>
      </c>
    </row>
    <row r="5234" spans="1:14">
      <c r="A5234" s="36" t="s">
        <v>32</v>
      </c>
      <c r="B5234" s="37">
        <v>45535</v>
      </c>
      <c r="C5234" s="36" t="s">
        <v>1198</v>
      </c>
      <c r="D5234" s="36" t="s">
        <v>2287</v>
      </c>
      <c r="E5234" s="36" t="s">
        <v>76</v>
      </c>
      <c r="G5234" s="87">
        <v>1354900</v>
      </c>
      <c r="H5234" s="87">
        <v>135490</v>
      </c>
      <c r="I5234" s="87">
        <v>1490390</v>
      </c>
      <c r="K5234" s="85">
        <v>2024</v>
      </c>
      <c r="L5234" s="85">
        <v>8</v>
      </c>
      <c r="N5234" s="1" t="s">
        <v>44</v>
      </c>
    </row>
    <row r="5235" spans="1:14">
      <c r="A5235" s="36" t="s">
        <v>32</v>
      </c>
      <c r="B5235" s="37">
        <v>45535</v>
      </c>
      <c r="C5235" s="36" t="s">
        <v>1198</v>
      </c>
      <c r="D5235" s="36" t="s">
        <v>2288</v>
      </c>
      <c r="E5235" s="36" t="s">
        <v>76</v>
      </c>
      <c r="G5235" s="87">
        <v>3966000</v>
      </c>
      <c r="H5235" s="87">
        <v>396600</v>
      </c>
      <c r="I5235" s="87">
        <v>4362600</v>
      </c>
      <c r="K5235" s="85">
        <v>2024</v>
      </c>
      <c r="L5235" s="85">
        <v>8</v>
      </c>
      <c r="N5235" s="1" t="s">
        <v>44</v>
      </c>
    </row>
    <row r="5236" spans="1:14">
      <c r="A5236" s="36" t="s">
        <v>32</v>
      </c>
      <c r="B5236" s="37">
        <v>45535</v>
      </c>
      <c r="C5236" s="36" t="s">
        <v>1198</v>
      </c>
      <c r="D5236" s="36" t="s">
        <v>2289</v>
      </c>
      <c r="E5236" s="36" t="s">
        <v>76</v>
      </c>
      <c r="G5236" s="87">
        <v>6345000</v>
      </c>
      <c r="H5236" s="87">
        <v>634500</v>
      </c>
      <c r="I5236" s="87">
        <v>6979500</v>
      </c>
      <c r="K5236" s="85">
        <v>2024</v>
      </c>
      <c r="L5236" s="85">
        <v>8</v>
      </c>
      <c r="N5236" s="1" t="s">
        <v>44</v>
      </c>
    </row>
    <row r="5237" spans="1:14">
      <c r="A5237" s="36" t="s">
        <v>32</v>
      </c>
      <c r="B5237" s="37">
        <v>45535</v>
      </c>
      <c r="C5237" s="36" t="s">
        <v>1198</v>
      </c>
      <c r="D5237" s="36" t="s">
        <v>2290</v>
      </c>
      <c r="E5237" s="36" t="s">
        <v>76</v>
      </c>
      <c r="G5237" s="87">
        <v>3725410</v>
      </c>
      <c r="H5237" s="87">
        <v>372541</v>
      </c>
      <c r="I5237" s="87">
        <v>4097951</v>
      </c>
      <c r="K5237" s="85">
        <v>2024</v>
      </c>
      <c r="L5237" s="85">
        <v>8</v>
      </c>
      <c r="N5237" s="1" t="s">
        <v>44</v>
      </c>
    </row>
    <row r="5238" spans="1:14">
      <c r="A5238" s="36" t="s">
        <v>32</v>
      </c>
      <c r="B5238" s="37">
        <v>45535</v>
      </c>
      <c r="C5238" s="36" t="s">
        <v>334</v>
      </c>
      <c r="D5238" s="36" t="s">
        <v>2291</v>
      </c>
      <c r="E5238" s="36" t="s">
        <v>76</v>
      </c>
      <c r="G5238" s="87">
        <v>1260000</v>
      </c>
      <c r="H5238" s="87">
        <v>126000</v>
      </c>
      <c r="I5238" s="87">
        <v>1386000</v>
      </c>
      <c r="K5238" s="85">
        <v>2024</v>
      </c>
      <c r="L5238" s="85">
        <v>8</v>
      </c>
      <c r="N5238" s="1" t="s">
        <v>44</v>
      </c>
    </row>
    <row r="5239" spans="1:14">
      <c r="A5239" s="36" t="s">
        <v>32</v>
      </c>
      <c r="B5239" s="37">
        <v>45535</v>
      </c>
      <c r="C5239" s="36" t="s">
        <v>334</v>
      </c>
      <c r="D5239" s="36" t="s">
        <v>2292</v>
      </c>
      <c r="E5239" s="36" t="s">
        <v>76</v>
      </c>
      <c r="G5239" s="87">
        <v>1320000</v>
      </c>
      <c r="H5239" s="87">
        <v>132000</v>
      </c>
      <c r="I5239" s="87">
        <v>1452000</v>
      </c>
      <c r="K5239" s="85">
        <v>2024</v>
      </c>
      <c r="L5239" s="85">
        <v>8</v>
      </c>
      <c r="N5239" s="1" t="s">
        <v>44</v>
      </c>
    </row>
    <row r="5240" spans="1:14">
      <c r="A5240" s="36" t="s">
        <v>32</v>
      </c>
      <c r="B5240" s="37">
        <v>45535</v>
      </c>
      <c r="C5240" s="36" t="s">
        <v>2248</v>
      </c>
      <c r="D5240" s="36" t="s">
        <v>2293</v>
      </c>
      <c r="E5240" s="36" t="s">
        <v>76</v>
      </c>
      <c r="G5240" s="87">
        <v>27440000</v>
      </c>
      <c r="H5240" s="87">
        <v>2744000</v>
      </c>
      <c r="I5240" s="87">
        <v>30184000</v>
      </c>
      <c r="K5240" s="85">
        <v>2024</v>
      </c>
      <c r="L5240" s="85">
        <v>8</v>
      </c>
      <c r="N5240" s="1" t="s">
        <v>44</v>
      </c>
    </row>
    <row r="5241" spans="1:14">
      <c r="A5241" s="36" t="s">
        <v>32</v>
      </c>
      <c r="B5241" s="37">
        <v>45535</v>
      </c>
      <c r="C5241" s="36" t="s">
        <v>1470</v>
      </c>
      <c r="D5241" s="36" t="s">
        <v>1821</v>
      </c>
      <c r="E5241" s="36" t="s">
        <v>76</v>
      </c>
      <c r="G5241" s="87">
        <v>209924000</v>
      </c>
      <c r="H5241" s="87">
        <v>20992400</v>
      </c>
      <c r="I5241" s="87">
        <v>230916400</v>
      </c>
      <c r="K5241" s="85">
        <v>2024</v>
      </c>
      <c r="L5241" s="85">
        <v>8</v>
      </c>
      <c r="N5241" s="1" t="s">
        <v>44</v>
      </c>
    </row>
    <row r="5242" spans="1:14">
      <c r="A5242" s="36" t="s">
        <v>32</v>
      </c>
      <c r="B5242" s="37">
        <v>45535</v>
      </c>
      <c r="C5242" s="36" t="s">
        <v>1467</v>
      </c>
      <c r="D5242" s="36" t="s">
        <v>1814</v>
      </c>
      <c r="E5242" s="36" t="s">
        <v>76</v>
      </c>
      <c r="G5242" s="87">
        <v>9350000</v>
      </c>
      <c r="H5242" s="87">
        <v>935000</v>
      </c>
      <c r="I5242" s="87">
        <v>10285000</v>
      </c>
      <c r="K5242" s="85">
        <v>2024</v>
      </c>
      <c r="L5242" s="85">
        <v>8</v>
      </c>
      <c r="N5242" s="1" t="s">
        <v>44</v>
      </c>
    </row>
    <row r="5243" spans="1:14">
      <c r="A5243" s="36" t="s">
        <v>32</v>
      </c>
      <c r="B5243" s="37">
        <v>45535</v>
      </c>
      <c r="C5243" s="36" t="s">
        <v>1880</v>
      </c>
      <c r="D5243" s="36" t="s">
        <v>2078</v>
      </c>
      <c r="E5243" s="36" t="s">
        <v>76</v>
      </c>
      <c r="G5243" s="87">
        <v>40600000</v>
      </c>
      <c r="H5243" s="87">
        <v>4060000</v>
      </c>
      <c r="I5243" s="87">
        <v>44660000</v>
      </c>
      <c r="K5243" s="85">
        <v>2024</v>
      </c>
      <c r="L5243" s="85">
        <v>8</v>
      </c>
      <c r="N5243" s="1" t="s">
        <v>44</v>
      </c>
    </row>
    <row r="5244" spans="1:14">
      <c r="A5244" s="36" t="s">
        <v>32</v>
      </c>
      <c r="B5244" s="37">
        <v>45535</v>
      </c>
      <c r="C5244" s="36" t="s">
        <v>288</v>
      </c>
      <c r="D5244" s="36" t="s">
        <v>2294</v>
      </c>
      <c r="E5244" s="36" t="s">
        <v>76</v>
      </c>
      <c r="G5244" s="87">
        <v>5400000</v>
      </c>
      <c r="H5244" s="87">
        <v>540000</v>
      </c>
      <c r="I5244" s="87">
        <v>5940000</v>
      </c>
      <c r="K5244" s="85">
        <v>2024</v>
      </c>
      <c r="L5244" s="85">
        <v>8</v>
      </c>
      <c r="N5244" s="1" t="s">
        <v>44</v>
      </c>
    </row>
    <row r="5245" spans="1:14">
      <c r="A5245" s="36" t="s">
        <v>32</v>
      </c>
      <c r="B5245" s="37">
        <v>45535</v>
      </c>
      <c r="C5245" s="36" t="s">
        <v>1164</v>
      </c>
      <c r="D5245" s="36" t="s">
        <v>2172</v>
      </c>
      <c r="E5245" s="36" t="s">
        <v>76</v>
      </c>
      <c r="G5245" s="87">
        <v>5133000</v>
      </c>
      <c r="H5245" s="87">
        <v>513300</v>
      </c>
      <c r="I5245" s="87">
        <v>5646300</v>
      </c>
      <c r="K5245" s="85">
        <v>2024</v>
      </c>
      <c r="L5245" s="85">
        <v>8</v>
      </c>
      <c r="N5245" s="1" t="s">
        <v>44</v>
      </c>
    </row>
    <row r="5246" spans="1:14">
      <c r="A5246" s="36" t="s">
        <v>32</v>
      </c>
      <c r="B5246" s="37">
        <v>45535</v>
      </c>
      <c r="C5246" s="36" t="s">
        <v>2062</v>
      </c>
      <c r="D5246" s="36" t="s">
        <v>2084</v>
      </c>
      <c r="E5246" s="36" t="s">
        <v>76</v>
      </c>
      <c r="G5246" s="87">
        <v>20000000</v>
      </c>
      <c r="H5246" s="87">
        <v>2000000</v>
      </c>
      <c r="I5246" s="87">
        <v>22000000</v>
      </c>
      <c r="K5246" s="85">
        <v>2024</v>
      </c>
      <c r="L5246" s="85">
        <v>8</v>
      </c>
      <c r="N5246" s="1" t="s">
        <v>44</v>
      </c>
    </row>
    <row r="5247" spans="1:14">
      <c r="A5247" s="36" t="s">
        <v>32</v>
      </c>
      <c r="B5247" s="37">
        <v>45535</v>
      </c>
      <c r="C5247" s="36" t="s">
        <v>264</v>
      </c>
      <c r="D5247" s="36" t="s">
        <v>2295</v>
      </c>
      <c r="E5247" s="36" t="s">
        <v>76</v>
      </c>
      <c r="G5247" s="87">
        <v>32300000</v>
      </c>
      <c r="H5247" s="87">
        <v>3230000</v>
      </c>
      <c r="I5247" s="87">
        <v>35530000</v>
      </c>
      <c r="K5247" s="85">
        <v>2024</v>
      </c>
      <c r="L5247" s="85">
        <v>8</v>
      </c>
      <c r="N5247" s="1" t="s">
        <v>44</v>
      </c>
    </row>
    <row r="5248" spans="1:14">
      <c r="A5248" s="36" t="s">
        <v>32</v>
      </c>
      <c r="B5248" s="37">
        <v>45535</v>
      </c>
      <c r="C5248" s="36" t="s">
        <v>188</v>
      </c>
      <c r="D5248" s="36" t="s">
        <v>896</v>
      </c>
      <c r="E5248" s="36" t="s">
        <v>76</v>
      </c>
      <c r="G5248" s="87">
        <v>6133920</v>
      </c>
      <c r="H5248" s="87">
        <v>613392</v>
      </c>
      <c r="I5248" s="87">
        <v>6747312</v>
      </c>
      <c r="K5248" s="85">
        <v>2024</v>
      </c>
      <c r="L5248" s="85">
        <v>8</v>
      </c>
      <c r="N5248" s="1" t="s">
        <v>44</v>
      </c>
    </row>
    <row r="5249" spans="1:14">
      <c r="A5249" s="36" t="s">
        <v>32</v>
      </c>
      <c r="B5249" s="37">
        <v>45524</v>
      </c>
      <c r="C5249" s="36" t="s">
        <v>2278</v>
      </c>
      <c r="D5249" s="36" t="s">
        <v>2280</v>
      </c>
      <c r="E5249" s="36" t="s">
        <v>77</v>
      </c>
      <c r="J5249" s="38">
        <v>6600000</v>
      </c>
      <c r="K5249" s="85">
        <v>2024</v>
      </c>
      <c r="L5249" s="85">
        <v>8</v>
      </c>
      <c r="N5249" s="1" t="s">
        <v>44</v>
      </c>
    </row>
    <row r="5250" spans="1:14">
      <c r="A5250" s="36" t="s">
        <v>32</v>
      </c>
      <c r="B5250" s="37">
        <v>45545</v>
      </c>
      <c r="C5250" s="36" t="s">
        <v>209</v>
      </c>
      <c r="D5250" s="36" t="s">
        <v>1866</v>
      </c>
      <c r="E5250" s="36" t="s">
        <v>2310</v>
      </c>
      <c r="J5250" s="38">
        <v>134257992</v>
      </c>
      <c r="K5250" s="85">
        <v>2024</v>
      </c>
      <c r="L5250" s="85">
        <v>8</v>
      </c>
      <c r="N5250" s="1" t="s">
        <v>44</v>
      </c>
    </row>
    <row r="5251" spans="1:14">
      <c r="A5251" s="36" t="s">
        <v>32</v>
      </c>
      <c r="B5251" s="37">
        <v>45545</v>
      </c>
      <c r="C5251" s="36" t="s">
        <v>1587</v>
      </c>
      <c r="D5251" s="36" t="s">
        <v>2284</v>
      </c>
      <c r="E5251" s="36" t="s">
        <v>77</v>
      </c>
      <c r="J5251" s="38">
        <v>5559840</v>
      </c>
      <c r="K5251" s="85">
        <v>2024</v>
      </c>
      <c r="L5251" s="85">
        <v>8</v>
      </c>
      <c r="N5251" s="1" t="s">
        <v>44</v>
      </c>
    </row>
    <row r="5252" spans="1:14">
      <c r="A5252" s="36" t="s">
        <v>32</v>
      </c>
      <c r="B5252" s="37">
        <v>45545</v>
      </c>
      <c r="C5252" s="36" t="s">
        <v>1587</v>
      </c>
      <c r="D5252" s="36" t="s">
        <v>2285</v>
      </c>
      <c r="E5252" s="36" t="s">
        <v>77</v>
      </c>
      <c r="J5252" s="38">
        <v>4553085</v>
      </c>
      <c r="K5252" s="85">
        <v>2024</v>
      </c>
      <c r="L5252" s="85">
        <v>8</v>
      </c>
      <c r="N5252" s="1" t="s">
        <v>44</v>
      </c>
    </row>
    <row r="5253" spans="1:14">
      <c r="A5253" s="36" t="s">
        <v>32</v>
      </c>
      <c r="B5253" s="37">
        <v>45546</v>
      </c>
      <c r="C5253" s="36" t="s">
        <v>1164</v>
      </c>
      <c r="D5253" s="36" t="s">
        <v>2172</v>
      </c>
      <c r="E5253" s="36" t="s">
        <v>77</v>
      </c>
      <c r="J5253" s="38">
        <v>5646300</v>
      </c>
      <c r="K5253" s="85">
        <v>2024</v>
      </c>
      <c r="L5253" s="85">
        <v>8</v>
      </c>
      <c r="N5253" s="1" t="s">
        <v>44</v>
      </c>
    </row>
    <row r="5254" spans="1:14">
      <c r="A5254" s="36" t="s">
        <v>33</v>
      </c>
      <c r="B5254" s="37">
        <v>45546</v>
      </c>
      <c r="C5254" s="36" t="s">
        <v>2016</v>
      </c>
      <c r="D5254" s="36" t="s">
        <v>2275</v>
      </c>
      <c r="E5254" s="36" t="s">
        <v>148</v>
      </c>
      <c r="J5254" s="87">
        <v>58630000</v>
      </c>
      <c r="K5254" s="85">
        <v>2024</v>
      </c>
      <c r="L5254" s="85">
        <v>8</v>
      </c>
      <c r="N5254" s="1" t="s">
        <v>44</v>
      </c>
    </row>
    <row r="5255" spans="1:14">
      <c r="A5255" s="36" t="s">
        <v>32</v>
      </c>
      <c r="B5255" s="37">
        <v>45536</v>
      </c>
      <c r="C5255" s="36" t="s">
        <v>2015</v>
      </c>
      <c r="D5255" s="36" t="s">
        <v>2017</v>
      </c>
      <c r="E5255" s="36" t="s">
        <v>267</v>
      </c>
      <c r="G5255" s="87">
        <v>-11000000</v>
      </c>
      <c r="H5255" s="87">
        <v>-1100000</v>
      </c>
      <c r="I5255" s="87">
        <v>-12100000</v>
      </c>
      <c r="K5255" s="85">
        <v>2024</v>
      </c>
      <c r="L5255" s="85">
        <v>2</v>
      </c>
      <c r="N5255" s="1" t="s">
        <v>44</v>
      </c>
    </row>
    <row r="5256" spans="1:14">
      <c r="A5256" s="36" t="s">
        <v>32</v>
      </c>
      <c r="B5256" s="37">
        <v>45546</v>
      </c>
      <c r="C5256" s="36" t="s">
        <v>1198</v>
      </c>
      <c r="D5256" s="36" t="s">
        <v>1811</v>
      </c>
      <c r="E5256" s="36" t="s">
        <v>2296</v>
      </c>
      <c r="J5256" s="38">
        <v>1592580</v>
      </c>
      <c r="K5256" s="85">
        <v>2023</v>
      </c>
      <c r="L5256" s="85">
        <v>11</v>
      </c>
      <c r="N5256" s="1" t="s">
        <v>44</v>
      </c>
    </row>
    <row r="5257" spans="1:14">
      <c r="A5257" s="36" t="s">
        <v>32</v>
      </c>
      <c r="B5257" s="37">
        <v>45546</v>
      </c>
      <c r="C5257" s="36" t="s">
        <v>1198</v>
      </c>
      <c r="D5257" s="36" t="s">
        <v>1811</v>
      </c>
      <c r="E5257" s="36" t="s">
        <v>2297</v>
      </c>
      <c r="J5257" s="38">
        <v>1782000</v>
      </c>
      <c r="K5257" s="85">
        <v>2023</v>
      </c>
      <c r="L5257" s="85">
        <v>11</v>
      </c>
      <c r="N5257" s="1" t="s">
        <v>44</v>
      </c>
    </row>
    <row r="5258" spans="1:14">
      <c r="A5258" s="36" t="s">
        <v>32</v>
      </c>
      <c r="B5258" s="37">
        <v>45546</v>
      </c>
      <c r="C5258" s="36" t="s">
        <v>1198</v>
      </c>
      <c r="D5258" s="36" t="s">
        <v>1811</v>
      </c>
      <c r="E5258" s="36" t="s">
        <v>2298</v>
      </c>
      <c r="J5258" s="38">
        <v>1752300</v>
      </c>
      <c r="K5258" s="85">
        <v>2023</v>
      </c>
      <c r="L5258" s="85">
        <v>11</v>
      </c>
      <c r="M5258" s="36" t="s">
        <v>2300</v>
      </c>
      <c r="N5258" s="1" t="s">
        <v>44</v>
      </c>
    </row>
    <row r="5259" spans="1:14">
      <c r="A5259" s="36" t="s">
        <v>32</v>
      </c>
      <c r="B5259" s="37">
        <v>45546</v>
      </c>
      <c r="C5259" s="36" t="s">
        <v>1198</v>
      </c>
      <c r="D5259" s="36" t="s">
        <v>1811</v>
      </c>
      <c r="E5259" s="36" t="s">
        <v>2299</v>
      </c>
      <c r="J5259" s="38">
        <v>29700</v>
      </c>
      <c r="K5259" s="85">
        <v>2023</v>
      </c>
      <c r="L5259" s="85">
        <v>12</v>
      </c>
      <c r="M5259" s="36" t="s">
        <v>2300</v>
      </c>
      <c r="N5259" s="1" t="s">
        <v>44</v>
      </c>
    </row>
    <row r="5260" spans="1:14">
      <c r="A5260" s="36" t="s">
        <v>32</v>
      </c>
      <c r="B5260" s="37">
        <v>45546</v>
      </c>
      <c r="C5260" s="36" t="s">
        <v>1880</v>
      </c>
      <c r="D5260" s="36" t="s">
        <v>2078</v>
      </c>
      <c r="E5260" s="36" t="s">
        <v>148</v>
      </c>
      <c r="J5260" s="38">
        <v>2800000</v>
      </c>
      <c r="K5260" s="85">
        <v>2024</v>
      </c>
      <c r="L5260" s="85">
        <v>7</v>
      </c>
      <c r="N5260" s="1" t="s">
        <v>44</v>
      </c>
    </row>
    <row r="5261" spans="1:14">
      <c r="A5261" s="36" t="s">
        <v>32</v>
      </c>
      <c r="B5261" s="37">
        <v>45535</v>
      </c>
      <c r="C5261" s="36" t="s">
        <v>1587</v>
      </c>
      <c r="D5261" s="36" t="s">
        <v>2141</v>
      </c>
      <c r="E5261" s="36" t="s">
        <v>148</v>
      </c>
      <c r="J5261" s="87">
        <v>29073527</v>
      </c>
      <c r="K5261" s="85">
        <v>2024</v>
      </c>
      <c r="L5261" s="85">
        <v>8</v>
      </c>
      <c r="N5261" s="1" t="s">
        <v>44</v>
      </c>
    </row>
    <row r="5262" spans="1:14">
      <c r="A5262" s="36" t="s">
        <v>32</v>
      </c>
      <c r="B5262" s="37">
        <v>45536</v>
      </c>
      <c r="C5262" s="36" t="s">
        <v>2015</v>
      </c>
      <c r="D5262" s="36" t="s">
        <v>2017</v>
      </c>
      <c r="E5262" s="36" t="s">
        <v>267</v>
      </c>
      <c r="G5262" s="87">
        <v>5454545</v>
      </c>
      <c r="H5262" s="87">
        <v>545455</v>
      </c>
      <c r="I5262" s="87">
        <v>6000000</v>
      </c>
      <c r="K5262" s="85">
        <v>2024</v>
      </c>
      <c r="L5262" s="85">
        <v>9</v>
      </c>
      <c r="N5262" s="1" t="s">
        <v>44</v>
      </c>
    </row>
    <row r="5263" spans="1:14">
      <c r="A5263" s="36" t="s">
        <v>32</v>
      </c>
      <c r="B5263" s="37">
        <v>45547</v>
      </c>
      <c r="C5263" s="36" t="s">
        <v>2167</v>
      </c>
      <c r="D5263" s="36" t="s">
        <v>2249</v>
      </c>
      <c r="E5263" s="36" t="s">
        <v>148</v>
      </c>
      <c r="J5263" s="87">
        <v>5555000</v>
      </c>
      <c r="K5263" s="85">
        <v>2024</v>
      </c>
      <c r="L5263" s="85">
        <v>8</v>
      </c>
      <c r="N5263" s="1" t="s">
        <v>44</v>
      </c>
    </row>
    <row r="5264" spans="1:14">
      <c r="A5264" s="36" t="s">
        <v>32</v>
      </c>
      <c r="B5264" s="37">
        <v>45548</v>
      </c>
      <c r="C5264" s="36" t="s">
        <v>1662</v>
      </c>
      <c r="D5264" s="36" t="s">
        <v>2032</v>
      </c>
      <c r="E5264" s="36" t="s">
        <v>77</v>
      </c>
      <c r="J5264" s="87">
        <v>8684940</v>
      </c>
      <c r="K5264" s="85">
        <v>2024</v>
      </c>
      <c r="L5264" s="85">
        <v>2</v>
      </c>
      <c r="M5264" s="36" t="s">
        <v>2301</v>
      </c>
      <c r="N5264" s="1" t="s">
        <v>44</v>
      </c>
    </row>
    <row r="5265" spans="1:14">
      <c r="A5265" s="36" t="s">
        <v>32</v>
      </c>
      <c r="B5265" s="37">
        <v>45548</v>
      </c>
      <c r="C5265" s="36" t="s">
        <v>1662</v>
      </c>
      <c r="D5265" s="36" t="s">
        <v>1819</v>
      </c>
      <c r="E5265" s="36" t="s">
        <v>77</v>
      </c>
      <c r="J5265" s="87">
        <v>15572590</v>
      </c>
      <c r="K5265" s="85">
        <v>2024</v>
      </c>
      <c r="L5265" s="85">
        <v>3</v>
      </c>
      <c r="M5265" s="36" t="s">
        <v>2301</v>
      </c>
      <c r="N5265" s="1" t="s">
        <v>44</v>
      </c>
    </row>
    <row r="5266" spans="1:14">
      <c r="A5266" s="36" t="s">
        <v>32</v>
      </c>
      <c r="B5266" s="37">
        <v>45548</v>
      </c>
      <c r="C5266" s="36" t="s">
        <v>1662</v>
      </c>
      <c r="D5266" s="36" t="s">
        <v>2081</v>
      </c>
      <c r="E5266" s="36" t="s">
        <v>77</v>
      </c>
      <c r="J5266" s="87">
        <v>15642000</v>
      </c>
      <c r="K5266" s="85">
        <v>2024</v>
      </c>
      <c r="L5266" s="85">
        <v>3</v>
      </c>
      <c r="M5266" s="36" t="s">
        <v>2301</v>
      </c>
      <c r="N5266" s="1" t="s">
        <v>44</v>
      </c>
    </row>
    <row r="5267" spans="1:14">
      <c r="A5267" s="36" t="s">
        <v>32</v>
      </c>
      <c r="B5267" s="37">
        <v>45548</v>
      </c>
      <c r="C5267" s="36" t="s">
        <v>334</v>
      </c>
      <c r="D5267" s="36" t="s">
        <v>2291</v>
      </c>
      <c r="E5267" s="36" t="s">
        <v>148</v>
      </c>
      <c r="J5267" s="87">
        <v>1386000</v>
      </c>
      <c r="K5267" s="85">
        <v>2024</v>
      </c>
      <c r="L5267" s="85">
        <v>8</v>
      </c>
      <c r="N5267" s="1" t="s">
        <v>44</v>
      </c>
    </row>
    <row r="5268" spans="1:14">
      <c r="A5268" s="36" t="s">
        <v>32</v>
      </c>
      <c r="B5268" s="37">
        <v>45548</v>
      </c>
      <c r="C5268" s="36" t="s">
        <v>334</v>
      </c>
      <c r="D5268" s="36" t="s">
        <v>2292</v>
      </c>
      <c r="E5268" s="36" t="s">
        <v>148</v>
      </c>
      <c r="J5268" s="87">
        <v>1452000</v>
      </c>
      <c r="K5268" s="85">
        <v>2024</v>
      </c>
      <c r="L5268" s="85">
        <v>8</v>
      </c>
      <c r="N5268" s="1" t="s">
        <v>44</v>
      </c>
    </row>
    <row r="5269" spans="1:14">
      <c r="A5269" s="36" t="s">
        <v>32</v>
      </c>
      <c r="B5269" s="37">
        <v>45548</v>
      </c>
      <c r="C5269" s="36" t="s">
        <v>307</v>
      </c>
      <c r="D5269" s="36" t="s">
        <v>1752</v>
      </c>
      <c r="E5269" s="36" t="s">
        <v>148</v>
      </c>
      <c r="J5269" s="38">
        <v>2931760</v>
      </c>
      <c r="K5269" s="85">
        <v>2024</v>
      </c>
      <c r="L5269" s="85">
        <v>4</v>
      </c>
      <c r="N5269" s="1" t="s">
        <v>44</v>
      </c>
    </row>
    <row r="5270" spans="1:14">
      <c r="A5270" s="36" t="s">
        <v>32</v>
      </c>
      <c r="B5270" s="37">
        <v>45548</v>
      </c>
      <c r="C5270" s="36" t="s">
        <v>307</v>
      </c>
      <c r="D5270" s="36" t="s">
        <v>2219</v>
      </c>
      <c r="E5270" s="36" t="s">
        <v>148</v>
      </c>
      <c r="J5270" s="87">
        <v>1540000</v>
      </c>
      <c r="K5270" s="85">
        <v>2024</v>
      </c>
      <c r="L5270" s="85">
        <v>6</v>
      </c>
      <c r="N5270" s="1" t="s">
        <v>44</v>
      </c>
    </row>
    <row r="5271" spans="1:14">
      <c r="A5271" s="36" t="s">
        <v>32</v>
      </c>
      <c r="B5271" s="37">
        <v>45548</v>
      </c>
      <c r="C5271" s="36" t="s">
        <v>288</v>
      </c>
      <c r="D5271" s="36" t="s">
        <v>2294</v>
      </c>
      <c r="E5271" s="36" t="s">
        <v>148</v>
      </c>
      <c r="J5271" s="87">
        <v>5940000</v>
      </c>
      <c r="K5271" s="85">
        <v>2024</v>
      </c>
      <c r="L5271" s="85">
        <v>8</v>
      </c>
      <c r="N5271" s="1" t="s">
        <v>44</v>
      </c>
    </row>
    <row r="5272" spans="1:14">
      <c r="A5272" s="36" t="s">
        <v>33</v>
      </c>
      <c r="B5272" s="37">
        <v>45548</v>
      </c>
      <c r="C5272" s="36" t="s">
        <v>2188</v>
      </c>
      <c r="D5272" s="36" t="s">
        <v>2057</v>
      </c>
      <c r="E5272" s="36" t="s">
        <v>148</v>
      </c>
      <c r="J5272" s="87">
        <v>2929300</v>
      </c>
      <c r="K5272" s="85">
        <v>2024</v>
      </c>
      <c r="L5272" s="85">
        <v>5</v>
      </c>
      <c r="N5272" s="1" t="s">
        <v>44</v>
      </c>
    </row>
    <row r="5273" spans="1:14">
      <c r="A5273" s="36" t="s">
        <v>33</v>
      </c>
      <c r="B5273" s="37">
        <v>45548</v>
      </c>
      <c r="C5273" s="36" t="s">
        <v>2188</v>
      </c>
      <c r="D5273" s="36" t="s">
        <v>2057</v>
      </c>
      <c r="E5273" s="36" t="s">
        <v>148</v>
      </c>
      <c r="J5273" s="87">
        <v>550308</v>
      </c>
      <c r="K5273" s="85">
        <v>2024</v>
      </c>
      <c r="L5273" s="85">
        <v>6</v>
      </c>
      <c r="N5273" s="1" t="s">
        <v>44</v>
      </c>
    </row>
    <row r="5274" spans="1:14">
      <c r="A5274" s="36" t="s">
        <v>32</v>
      </c>
      <c r="B5274" s="37">
        <v>45536</v>
      </c>
      <c r="C5274" s="36" t="s">
        <v>2015</v>
      </c>
      <c r="D5274" s="36" t="s">
        <v>2017</v>
      </c>
      <c r="E5274" s="36" t="s">
        <v>267</v>
      </c>
      <c r="G5274" s="87">
        <v>4500000</v>
      </c>
      <c r="H5274" s="87">
        <v>450000</v>
      </c>
      <c r="I5274" s="87">
        <v>4950000</v>
      </c>
      <c r="K5274" s="85">
        <v>2024</v>
      </c>
      <c r="L5274" s="85">
        <v>9</v>
      </c>
      <c r="N5274" s="1" t="s">
        <v>44</v>
      </c>
    </row>
    <row r="5275" spans="1:14">
      <c r="A5275" s="36" t="s">
        <v>32</v>
      </c>
      <c r="B5275" s="37">
        <v>45547</v>
      </c>
      <c r="C5275" s="36" t="s">
        <v>2015</v>
      </c>
      <c r="D5275" s="36" t="s">
        <v>2017</v>
      </c>
      <c r="E5275" s="36" t="s">
        <v>77</v>
      </c>
      <c r="J5275" s="38">
        <v>4950000</v>
      </c>
      <c r="K5275" s="85">
        <v>2024</v>
      </c>
      <c r="L5275" s="85">
        <v>9</v>
      </c>
      <c r="N5275" s="1" t="s">
        <v>44</v>
      </c>
    </row>
    <row r="5276" spans="1:14">
      <c r="A5276" s="36" t="s">
        <v>33</v>
      </c>
      <c r="B5276" s="37">
        <v>45548</v>
      </c>
      <c r="C5276" s="36" t="s">
        <v>507</v>
      </c>
      <c r="D5276" s="36" t="s">
        <v>1176</v>
      </c>
      <c r="E5276" s="36" t="s">
        <v>76</v>
      </c>
      <c r="G5276" s="87">
        <v>4933130</v>
      </c>
      <c r="H5276" s="87">
        <v>493313</v>
      </c>
      <c r="I5276" s="87">
        <v>5426443</v>
      </c>
      <c r="K5276" s="85">
        <v>2024</v>
      </c>
      <c r="L5276" s="85">
        <v>9</v>
      </c>
      <c r="N5276" s="1" t="s">
        <v>44</v>
      </c>
    </row>
    <row r="5277" spans="1:14">
      <c r="A5277" s="36" t="s">
        <v>33</v>
      </c>
      <c r="B5277" s="37">
        <v>45554</v>
      </c>
      <c r="C5277" s="36" t="s">
        <v>1250</v>
      </c>
      <c r="D5277" s="36" t="s">
        <v>2302</v>
      </c>
      <c r="E5277" s="36" t="s">
        <v>2303</v>
      </c>
      <c r="G5277" s="87">
        <v>160000</v>
      </c>
      <c r="H5277" s="87">
        <v>16000</v>
      </c>
      <c r="I5277" s="87">
        <v>176000</v>
      </c>
      <c r="K5277" s="85">
        <v>2024</v>
      </c>
      <c r="L5277" s="85">
        <v>9</v>
      </c>
      <c r="N5277" s="1" t="s">
        <v>44</v>
      </c>
    </row>
    <row r="5278" spans="1:14">
      <c r="A5278" s="36" t="s">
        <v>33</v>
      </c>
      <c r="B5278" s="37">
        <v>45548</v>
      </c>
      <c r="C5278" s="36" t="s">
        <v>2109</v>
      </c>
      <c r="D5278" s="36" t="s">
        <v>1915</v>
      </c>
      <c r="E5278" s="36" t="s">
        <v>148</v>
      </c>
      <c r="J5278" s="87">
        <v>600600</v>
      </c>
      <c r="K5278" s="85">
        <v>2024</v>
      </c>
      <c r="L5278" s="85">
        <v>8</v>
      </c>
      <c r="N5278" s="1" t="s">
        <v>44</v>
      </c>
    </row>
    <row r="5279" spans="1:14">
      <c r="A5279" s="36" t="s">
        <v>33</v>
      </c>
      <c r="B5279" s="37">
        <v>45548</v>
      </c>
      <c r="C5279" s="36" t="s">
        <v>2122</v>
      </c>
      <c r="D5279" s="36" t="s">
        <v>1921</v>
      </c>
      <c r="E5279" s="36" t="s">
        <v>148</v>
      </c>
      <c r="J5279" s="87">
        <v>616000</v>
      </c>
      <c r="K5279" s="85">
        <v>2024</v>
      </c>
      <c r="L5279" s="85">
        <v>8</v>
      </c>
      <c r="N5279" s="1" t="s">
        <v>44</v>
      </c>
    </row>
    <row r="5280" spans="1:14">
      <c r="A5280" s="36" t="s">
        <v>33</v>
      </c>
      <c r="B5280" s="37">
        <v>45548</v>
      </c>
      <c r="C5280" s="36" t="s">
        <v>1569</v>
      </c>
      <c r="D5280" s="36" t="s">
        <v>2269</v>
      </c>
      <c r="E5280" s="36" t="s">
        <v>148</v>
      </c>
      <c r="J5280" s="87">
        <v>5548950</v>
      </c>
      <c r="K5280" s="85">
        <v>2024</v>
      </c>
      <c r="L5280" s="85">
        <v>8</v>
      </c>
      <c r="N5280" s="1" t="s">
        <v>44</v>
      </c>
    </row>
    <row r="5281" spans="1:14">
      <c r="A5281" s="36" t="s">
        <v>33</v>
      </c>
      <c r="B5281" s="37">
        <v>45548</v>
      </c>
      <c r="C5281" s="36" t="s">
        <v>2116</v>
      </c>
      <c r="D5281" s="36" t="s">
        <v>2117</v>
      </c>
      <c r="E5281" s="36" t="s">
        <v>148</v>
      </c>
      <c r="J5281" s="87">
        <v>1670900</v>
      </c>
      <c r="K5281" s="85">
        <v>2024</v>
      </c>
      <c r="L5281" s="85">
        <v>8</v>
      </c>
      <c r="N5281" s="1" t="s">
        <v>44</v>
      </c>
    </row>
    <row r="5282" spans="1:14">
      <c r="A5282" s="36" t="s">
        <v>33</v>
      </c>
      <c r="B5282" s="37">
        <v>45536</v>
      </c>
      <c r="C5282" s="36" t="s">
        <v>175</v>
      </c>
      <c r="D5282" s="36" t="s">
        <v>1480</v>
      </c>
      <c r="E5282" s="36" t="s">
        <v>267</v>
      </c>
      <c r="G5282" s="87">
        <v>-3437727</v>
      </c>
      <c r="H5282" s="87">
        <v>-343772.7</v>
      </c>
      <c r="I5282" s="87">
        <v>-3781499.7</v>
      </c>
      <c r="K5282" s="85">
        <v>2024</v>
      </c>
      <c r="L5282" s="85">
        <v>4</v>
      </c>
      <c r="N5282" s="1" t="s">
        <v>44</v>
      </c>
    </row>
    <row r="5283" spans="1:14">
      <c r="A5283" s="36" t="s">
        <v>33</v>
      </c>
      <c r="B5283" s="37">
        <v>45558</v>
      </c>
      <c r="C5283" s="36" t="s">
        <v>2016</v>
      </c>
      <c r="D5283" s="36" t="s">
        <v>2276</v>
      </c>
      <c r="E5283" s="36" t="s">
        <v>148</v>
      </c>
      <c r="J5283" s="87">
        <v>71940000</v>
      </c>
      <c r="K5283" s="85">
        <v>2024</v>
      </c>
      <c r="L5283" s="85">
        <v>8</v>
      </c>
      <c r="N5283" s="1" t="s">
        <v>44</v>
      </c>
    </row>
    <row r="5284" spans="1:14">
      <c r="A5284" s="36" t="s">
        <v>32</v>
      </c>
      <c r="B5284" s="37">
        <v>45560</v>
      </c>
      <c r="C5284" s="36" t="s">
        <v>1587</v>
      </c>
      <c r="D5284" s="36" t="s">
        <v>2141</v>
      </c>
      <c r="E5284" s="36" t="s">
        <v>148</v>
      </c>
      <c r="J5284" s="87">
        <v>2907352.7</v>
      </c>
      <c r="K5284" s="85">
        <v>2024</v>
      </c>
      <c r="L5284" s="85">
        <v>8</v>
      </c>
      <c r="N5284" s="1" t="s">
        <v>44</v>
      </c>
    </row>
    <row r="5285" spans="1:14">
      <c r="A5285" s="36" t="s">
        <v>32</v>
      </c>
      <c r="B5285" s="37">
        <v>45535</v>
      </c>
      <c r="C5285" s="36" t="s">
        <v>654</v>
      </c>
      <c r="D5285" s="36" t="s">
        <v>1673</v>
      </c>
      <c r="E5285" s="36" t="s">
        <v>76</v>
      </c>
      <c r="G5285" s="87">
        <v>-44854820</v>
      </c>
      <c r="H5285" s="87">
        <v>-4485482</v>
      </c>
      <c r="I5285" s="87">
        <v>-49340302</v>
      </c>
      <c r="K5285" s="85">
        <v>2024</v>
      </c>
      <c r="L5285" s="85">
        <v>8</v>
      </c>
      <c r="N5285" s="1" t="s">
        <v>44</v>
      </c>
    </row>
    <row r="5286" spans="1:14">
      <c r="A5286" s="36" t="s">
        <v>32</v>
      </c>
      <c r="B5286" s="37">
        <v>45535</v>
      </c>
      <c r="C5286" s="36" t="s">
        <v>654</v>
      </c>
      <c r="D5286" s="36" t="s">
        <v>1673</v>
      </c>
      <c r="E5286" s="36" t="s">
        <v>76</v>
      </c>
      <c r="G5286" s="87">
        <v>34294760</v>
      </c>
      <c r="H5286" s="87">
        <v>3429476</v>
      </c>
      <c r="I5286" s="87">
        <v>37724236</v>
      </c>
      <c r="K5286" s="85">
        <v>2024</v>
      </c>
      <c r="L5286" s="85">
        <v>8</v>
      </c>
      <c r="N5286" s="1" t="s">
        <v>44</v>
      </c>
    </row>
    <row r="5287" spans="1:14">
      <c r="A5287" s="36" t="s">
        <v>32</v>
      </c>
      <c r="B5287" s="37">
        <v>45536</v>
      </c>
      <c r="C5287" s="36" t="s">
        <v>2248</v>
      </c>
      <c r="D5287" s="36" t="s">
        <v>2255</v>
      </c>
      <c r="E5287" s="36" t="s">
        <v>267</v>
      </c>
      <c r="G5287" s="87">
        <v>-17640000</v>
      </c>
      <c r="H5287" s="87">
        <v>-1764000</v>
      </c>
      <c r="I5287" s="87">
        <v>-19404000</v>
      </c>
      <c r="K5287" s="85">
        <v>2024</v>
      </c>
      <c r="L5287" s="85">
        <v>7</v>
      </c>
      <c r="N5287" s="1" t="s">
        <v>44</v>
      </c>
    </row>
    <row r="5288" spans="1:14">
      <c r="A5288" s="36" t="s">
        <v>32</v>
      </c>
      <c r="B5288" s="37">
        <v>45536</v>
      </c>
      <c r="C5288" s="36" t="s">
        <v>2248</v>
      </c>
      <c r="D5288" s="36" t="s">
        <v>2293</v>
      </c>
      <c r="E5288" s="36" t="s">
        <v>76</v>
      </c>
      <c r="G5288" s="87">
        <v>-27440000</v>
      </c>
      <c r="H5288" s="87">
        <v>-2744000</v>
      </c>
      <c r="I5288" s="87">
        <v>-30184000</v>
      </c>
      <c r="K5288" s="85">
        <v>2024</v>
      </c>
      <c r="L5288" s="85">
        <v>8</v>
      </c>
      <c r="N5288" s="1" t="s">
        <v>44</v>
      </c>
    </row>
    <row r="5289" spans="1:14">
      <c r="A5289" s="36" t="s">
        <v>32</v>
      </c>
      <c r="B5289" s="37">
        <v>45560</v>
      </c>
      <c r="C5289" s="36" t="s">
        <v>2248</v>
      </c>
      <c r="D5289" s="36" t="s">
        <v>2255</v>
      </c>
      <c r="E5289" s="36" t="s">
        <v>267</v>
      </c>
      <c r="G5289" s="87">
        <v>56840000</v>
      </c>
      <c r="H5289" s="87">
        <v>5684000</v>
      </c>
      <c r="I5289" s="87">
        <v>62524000</v>
      </c>
      <c r="K5289" s="85">
        <v>2024</v>
      </c>
      <c r="L5289" s="85">
        <v>9</v>
      </c>
      <c r="M5289" s="36" t="s">
        <v>2307</v>
      </c>
      <c r="N5289" s="1" t="s">
        <v>44</v>
      </c>
    </row>
    <row r="5290" spans="1:14">
      <c r="A5290" s="36" t="s">
        <v>32</v>
      </c>
      <c r="B5290" s="37">
        <v>45561</v>
      </c>
      <c r="C5290" s="36" t="s">
        <v>209</v>
      </c>
      <c r="D5290" s="36" t="s">
        <v>2001</v>
      </c>
      <c r="E5290" s="36" t="s">
        <v>2311</v>
      </c>
      <c r="J5290" s="87">
        <v>2673000</v>
      </c>
      <c r="K5290" s="85">
        <v>2024</v>
      </c>
      <c r="L5290" s="85">
        <v>8</v>
      </c>
      <c r="N5290" s="1" t="s">
        <v>44</v>
      </c>
    </row>
    <row r="5291" spans="1:14">
      <c r="A5291" s="36" t="s">
        <v>32</v>
      </c>
      <c r="B5291" s="37">
        <v>45536</v>
      </c>
      <c r="C5291" s="36" t="s">
        <v>1880</v>
      </c>
      <c r="D5291" s="36" t="s">
        <v>2078</v>
      </c>
      <c r="E5291" s="36" t="s">
        <v>76</v>
      </c>
      <c r="G5291" s="87">
        <v>-40600000</v>
      </c>
      <c r="H5291" s="87">
        <v>-4060000</v>
      </c>
      <c r="I5291" s="87">
        <v>-44660000</v>
      </c>
      <c r="K5291" s="85">
        <v>2024</v>
      </c>
      <c r="L5291" s="85">
        <v>8</v>
      </c>
      <c r="N5291" s="1" t="s">
        <v>44</v>
      </c>
    </row>
    <row r="5292" spans="1:14">
      <c r="A5292" s="36" t="s">
        <v>32</v>
      </c>
      <c r="B5292" s="37">
        <v>45565</v>
      </c>
      <c r="C5292" s="36" t="s">
        <v>1741</v>
      </c>
      <c r="D5292" s="36" t="s">
        <v>1745</v>
      </c>
      <c r="E5292" s="36" t="s">
        <v>148</v>
      </c>
      <c r="J5292" s="87">
        <v>2970000</v>
      </c>
      <c r="K5292" s="85">
        <v>2024</v>
      </c>
      <c r="L5292" s="85">
        <v>7</v>
      </c>
      <c r="N5292" s="1" t="s">
        <v>44</v>
      </c>
    </row>
    <row r="5293" spans="1:14">
      <c r="A5293" s="36" t="s">
        <v>32</v>
      </c>
      <c r="B5293" s="37">
        <v>45565</v>
      </c>
      <c r="C5293" s="36" t="s">
        <v>204</v>
      </c>
      <c r="D5293" s="36" t="s">
        <v>2282</v>
      </c>
      <c r="E5293" s="36" t="s">
        <v>148</v>
      </c>
      <c r="J5293" s="87">
        <v>1540000</v>
      </c>
      <c r="K5293" s="85">
        <v>2024</v>
      </c>
      <c r="L5293" s="85">
        <v>8</v>
      </c>
      <c r="N5293" s="1" t="s">
        <v>44</v>
      </c>
    </row>
    <row r="5294" spans="1:14">
      <c r="A5294" s="36" t="s">
        <v>32</v>
      </c>
      <c r="B5294" s="37">
        <v>45565</v>
      </c>
      <c r="C5294" s="36" t="s">
        <v>1470</v>
      </c>
      <c r="D5294" s="36" t="s">
        <v>1821</v>
      </c>
      <c r="E5294" s="36" t="s">
        <v>148</v>
      </c>
      <c r="J5294" s="87">
        <v>230916400</v>
      </c>
      <c r="K5294" s="85">
        <v>2024</v>
      </c>
      <c r="L5294" s="85">
        <v>8</v>
      </c>
      <c r="N5294" s="1" t="s">
        <v>44</v>
      </c>
    </row>
    <row r="5295" spans="1:14">
      <c r="A5295" s="36" t="s">
        <v>32</v>
      </c>
      <c r="B5295" s="37">
        <v>45565</v>
      </c>
      <c r="C5295" s="36" t="s">
        <v>175</v>
      </c>
      <c r="D5295" s="36" t="s">
        <v>1480</v>
      </c>
      <c r="E5295" s="36" t="s">
        <v>148</v>
      </c>
      <c r="J5295" s="38">
        <v>3000000</v>
      </c>
      <c r="K5295" s="85">
        <v>2024</v>
      </c>
      <c r="L5295" s="85">
        <v>4</v>
      </c>
      <c r="N5295" s="1" t="s">
        <v>44</v>
      </c>
    </row>
    <row r="5296" spans="1:14">
      <c r="A5296" s="36" t="s">
        <v>32</v>
      </c>
      <c r="B5296" s="37">
        <v>45565</v>
      </c>
      <c r="C5296" s="36" t="s">
        <v>188</v>
      </c>
      <c r="D5296" s="36" t="s">
        <v>896</v>
      </c>
      <c r="E5296" s="36" t="s">
        <v>148</v>
      </c>
      <c r="J5296" s="87">
        <v>5752032</v>
      </c>
      <c r="K5296" s="85">
        <v>2024</v>
      </c>
      <c r="L5296" s="85">
        <v>7</v>
      </c>
      <c r="N5296" s="1" t="s">
        <v>44</v>
      </c>
    </row>
    <row r="5297" spans="1:14">
      <c r="A5297" s="36" t="s">
        <v>32</v>
      </c>
      <c r="B5297" s="37">
        <v>45566</v>
      </c>
      <c r="C5297" s="36" t="s">
        <v>264</v>
      </c>
      <c r="D5297" s="36" t="s">
        <v>2295</v>
      </c>
      <c r="E5297" s="36" t="s">
        <v>2314</v>
      </c>
      <c r="J5297" s="87">
        <v>35530000</v>
      </c>
      <c r="K5297" s="85">
        <v>2024</v>
      </c>
      <c r="L5297" s="85">
        <v>8</v>
      </c>
      <c r="N5297" s="1" t="s">
        <v>44</v>
      </c>
    </row>
    <row r="5298" spans="1:14">
      <c r="A5298" s="36" t="s">
        <v>32</v>
      </c>
      <c r="B5298" s="37">
        <v>45565</v>
      </c>
      <c r="C5298" s="36" t="s">
        <v>209</v>
      </c>
      <c r="D5298" s="36" t="s">
        <v>1699</v>
      </c>
      <c r="E5298" s="36" t="s">
        <v>2312</v>
      </c>
      <c r="J5298" s="87">
        <v>4102340</v>
      </c>
      <c r="K5298" s="85">
        <v>2024</v>
      </c>
      <c r="L5298" s="85">
        <v>8</v>
      </c>
      <c r="M5298" s="36" t="s">
        <v>2308</v>
      </c>
      <c r="N5298" s="1" t="s">
        <v>44</v>
      </c>
    </row>
    <row r="5299" spans="1:14">
      <c r="A5299" s="36" t="s">
        <v>32</v>
      </c>
      <c r="B5299" s="37">
        <v>45565</v>
      </c>
      <c r="C5299" s="36" t="s">
        <v>209</v>
      </c>
      <c r="D5299" s="36" t="s">
        <v>2024</v>
      </c>
      <c r="E5299" s="36" t="s">
        <v>2309</v>
      </c>
      <c r="J5299" s="87">
        <v>57532288</v>
      </c>
      <c r="K5299" s="85">
        <v>2024</v>
      </c>
      <c r="L5299" s="85">
        <v>8</v>
      </c>
      <c r="M5299" s="36" t="s">
        <v>2308</v>
      </c>
      <c r="N5299" s="1" t="s">
        <v>44</v>
      </c>
    </row>
    <row r="5300" spans="1:14">
      <c r="A5300" s="36" t="s">
        <v>33</v>
      </c>
      <c r="B5300" s="37">
        <v>45535</v>
      </c>
      <c r="C5300" s="36" t="s">
        <v>1914</v>
      </c>
      <c r="D5300" s="36" t="s">
        <v>1915</v>
      </c>
      <c r="E5300" s="36" t="s">
        <v>2314</v>
      </c>
      <c r="J5300" s="87">
        <v>1001000</v>
      </c>
      <c r="K5300" s="85">
        <v>2024</v>
      </c>
      <c r="L5300" s="85">
        <v>8</v>
      </c>
      <c r="N5300" s="1" t="s">
        <v>44</v>
      </c>
    </row>
    <row r="5301" spans="1:14">
      <c r="A5301" s="36" t="s">
        <v>32</v>
      </c>
      <c r="B5301" s="37">
        <v>45565</v>
      </c>
      <c r="C5301" s="36" t="s">
        <v>2062</v>
      </c>
      <c r="D5301" s="36" t="s">
        <v>2084</v>
      </c>
      <c r="E5301" s="36" t="s">
        <v>2314</v>
      </c>
      <c r="J5301" s="87">
        <v>22000000</v>
      </c>
      <c r="K5301" s="85">
        <v>2024</v>
      </c>
      <c r="L5301" s="85">
        <v>8</v>
      </c>
      <c r="N5301" s="1" t="s">
        <v>44</v>
      </c>
    </row>
    <row r="5302" spans="1:14">
      <c r="A5302" s="36" t="s">
        <v>32</v>
      </c>
      <c r="B5302" s="37">
        <v>45565</v>
      </c>
      <c r="C5302" s="36" t="s">
        <v>2279</v>
      </c>
      <c r="D5302" s="36" t="s">
        <v>2283</v>
      </c>
      <c r="E5302" s="36" t="s">
        <v>2315</v>
      </c>
      <c r="J5302" s="38">
        <v>30000000</v>
      </c>
      <c r="K5302" s="85">
        <v>2024</v>
      </c>
      <c r="L5302" s="85">
        <v>8</v>
      </c>
      <c r="N5302" s="1" t="s">
        <v>44</v>
      </c>
    </row>
    <row r="5303" spans="1:14">
      <c r="A5303" s="36" t="s">
        <v>33</v>
      </c>
      <c r="B5303" s="37">
        <v>45565</v>
      </c>
      <c r="C5303" s="36" t="s">
        <v>96</v>
      </c>
      <c r="D5303" s="36" t="s">
        <v>2268</v>
      </c>
      <c r="E5303" s="36" t="s">
        <v>2314</v>
      </c>
      <c r="J5303" s="87">
        <v>11077000</v>
      </c>
      <c r="K5303" s="85">
        <v>2024</v>
      </c>
      <c r="L5303" s="85">
        <v>8</v>
      </c>
      <c r="N5303" s="1" t="s">
        <v>44</v>
      </c>
    </row>
    <row r="5304" spans="1:14">
      <c r="A5304" s="36" t="s">
        <v>33</v>
      </c>
      <c r="B5304" s="37">
        <v>45565</v>
      </c>
      <c r="C5304" s="36" t="s">
        <v>1919</v>
      </c>
      <c r="D5304" s="36" t="s">
        <v>1754</v>
      </c>
      <c r="E5304" s="36" t="s">
        <v>2314</v>
      </c>
      <c r="J5304" s="87">
        <v>4257000</v>
      </c>
      <c r="K5304" s="85">
        <v>2024</v>
      </c>
      <c r="L5304" s="85">
        <v>8</v>
      </c>
      <c r="N5304" s="1" t="s">
        <v>44</v>
      </c>
    </row>
    <row r="5305" spans="1:14">
      <c r="A5305" s="36" t="s">
        <v>33</v>
      </c>
      <c r="B5305" s="37">
        <v>45565</v>
      </c>
      <c r="C5305" s="36" t="s">
        <v>2188</v>
      </c>
      <c r="D5305" s="36" t="s">
        <v>2269</v>
      </c>
      <c r="E5305" s="36" t="s">
        <v>2316</v>
      </c>
      <c r="J5305" s="87">
        <v>147158</v>
      </c>
      <c r="K5305" s="85">
        <v>2024</v>
      </c>
      <c r="L5305" s="85">
        <v>8</v>
      </c>
      <c r="N5305" s="1" t="s">
        <v>44</v>
      </c>
    </row>
    <row r="5306" spans="1:14">
      <c r="A5306" s="36" t="s">
        <v>33</v>
      </c>
      <c r="B5306" s="37">
        <v>45565</v>
      </c>
      <c r="C5306" s="36" t="s">
        <v>1391</v>
      </c>
      <c r="D5306" s="36" t="s">
        <v>197</v>
      </c>
      <c r="E5306" s="36" t="s">
        <v>2317</v>
      </c>
      <c r="J5306" s="87">
        <v>37538600</v>
      </c>
      <c r="K5306" s="85">
        <v>2024</v>
      </c>
      <c r="L5306" s="85">
        <v>7</v>
      </c>
      <c r="N5306" s="1" t="s">
        <v>44</v>
      </c>
    </row>
    <row r="5307" spans="1:14">
      <c r="A5307" s="36" t="s">
        <v>33</v>
      </c>
      <c r="B5307" s="37">
        <v>45565</v>
      </c>
      <c r="C5307" s="36" t="s">
        <v>1391</v>
      </c>
      <c r="D5307" s="36" t="s">
        <v>2164</v>
      </c>
      <c r="E5307" s="36" t="s">
        <v>2318</v>
      </c>
      <c r="J5307" s="87">
        <v>1301300</v>
      </c>
      <c r="K5307" s="85">
        <v>2024</v>
      </c>
      <c r="L5307" s="85">
        <v>7</v>
      </c>
      <c r="N5307" s="1" t="s">
        <v>44</v>
      </c>
    </row>
    <row r="5308" spans="1:14">
      <c r="A5308" s="36" t="s">
        <v>33</v>
      </c>
      <c r="B5308" s="37">
        <v>45565</v>
      </c>
      <c r="C5308" s="36" t="s">
        <v>1391</v>
      </c>
      <c r="D5308" s="36" t="s">
        <v>2273</v>
      </c>
      <c r="E5308" s="36" t="s">
        <v>2319</v>
      </c>
      <c r="J5308" s="87">
        <v>955900</v>
      </c>
      <c r="K5308" s="85">
        <v>2024</v>
      </c>
      <c r="L5308" s="85">
        <v>8</v>
      </c>
      <c r="N5308" s="1" t="s">
        <v>44</v>
      </c>
    </row>
    <row r="5309" spans="1:14">
      <c r="A5309" s="36" t="s">
        <v>33</v>
      </c>
      <c r="B5309" s="37">
        <v>45565</v>
      </c>
      <c r="C5309" s="36" t="s">
        <v>1391</v>
      </c>
      <c r="D5309" s="36" t="s">
        <v>2164</v>
      </c>
      <c r="E5309" s="36" t="s">
        <v>2320</v>
      </c>
      <c r="J5309" s="87">
        <v>1252900</v>
      </c>
      <c r="K5309" s="85">
        <v>2024</v>
      </c>
      <c r="L5309" s="85">
        <v>8</v>
      </c>
      <c r="N5309" s="1" t="s">
        <v>44</v>
      </c>
    </row>
    <row r="5310" spans="1:14">
      <c r="A5310" s="36" t="s">
        <v>33</v>
      </c>
      <c r="B5310" s="37">
        <v>45565</v>
      </c>
      <c r="C5310" s="36" t="s">
        <v>1250</v>
      </c>
      <c r="D5310" s="36" t="s">
        <v>2302</v>
      </c>
      <c r="E5310" s="36" t="s">
        <v>2321</v>
      </c>
      <c r="J5310" s="87">
        <v>176000</v>
      </c>
      <c r="K5310" s="85">
        <v>2024</v>
      </c>
      <c r="L5310" s="85">
        <v>9</v>
      </c>
      <c r="N5310" s="1" t="s">
        <v>44</v>
      </c>
    </row>
    <row r="5311" spans="1:14">
      <c r="A5311" s="36" t="s">
        <v>33</v>
      </c>
      <c r="B5311" s="37">
        <v>45565</v>
      </c>
      <c r="C5311" s="36" t="s">
        <v>507</v>
      </c>
      <c r="D5311" s="36" t="s">
        <v>1176</v>
      </c>
      <c r="E5311" s="36" t="s">
        <v>2314</v>
      </c>
      <c r="J5311" s="87">
        <v>5426443</v>
      </c>
      <c r="K5311" s="85">
        <v>2024</v>
      </c>
      <c r="L5311" s="85">
        <v>9</v>
      </c>
      <c r="N5311" s="1" t="s">
        <v>44</v>
      </c>
    </row>
    <row r="5312" spans="1:14">
      <c r="A5312" s="36" t="s">
        <v>33</v>
      </c>
      <c r="B5312" s="37">
        <v>45565</v>
      </c>
      <c r="C5312" s="36" t="s">
        <v>2009</v>
      </c>
      <c r="D5312" s="36" t="s">
        <v>197</v>
      </c>
      <c r="E5312" s="36" t="s">
        <v>2314</v>
      </c>
      <c r="J5312" s="87">
        <v>1809500</v>
      </c>
      <c r="K5312" s="85">
        <v>2024</v>
      </c>
      <c r="L5312" s="85">
        <v>8</v>
      </c>
      <c r="N5312" s="1" t="s">
        <v>44</v>
      </c>
    </row>
    <row r="5313" spans="1:14">
      <c r="A5313" s="36" t="s">
        <v>33</v>
      </c>
      <c r="B5313" s="37">
        <v>45565</v>
      </c>
      <c r="C5313" s="36" t="s">
        <v>2016</v>
      </c>
      <c r="D5313" s="36" t="s">
        <v>2277</v>
      </c>
      <c r="E5313" s="36" t="s">
        <v>148</v>
      </c>
      <c r="J5313" s="87">
        <v>78210000</v>
      </c>
      <c r="K5313" s="85">
        <v>2024</v>
      </c>
      <c r="L5313" s="85">
        <v>8</v>
      </c>
      <c r="N5313" s="1" t="s">
        <v>44</v>
      </c>
    </row>
    <row r="5314" spans="1:14">
      <c r="A5314" s="36" t="s">
        <v>33</v>
      </c>
      <c r="B5314" s="37">
        <v>45565</v>
      </c>
      <c r="C5314" s="36" t="s">
        <v>1914</v>
      </c>
      <c r="D5314" s="36" t="s">
        <v>1915</v>
      </c>
      <c r="E5314" s="36" t="s">
        <v>157</v>
      </c>
      <c r="G5314" s="87">
        <v>840000</v>
      </c>
      <c r="H5314" s="87">
        <v>84000</v>
      </c>
      <c r="I5314" s="87">
        <v>924000</v>
      </c>
      <c r="K5314" s="85">
        <v>2024</v>
      </c>
      <c r="L5314" s="85">
        <v>9</v>
      </c>
      <c r="N5314" s="1" t="s">
        <v>44</v>
      </c>
    </row>
    <row r="5315" spans="1:14">
      <c r="A5315" s="36" t="s">
        <v>32</v>
      </c>
      <c r="B5315" s="37">
        <v>45569</v>
      </c>
      <c r="C5315" s="36" t="s">
        <v>1198</v>
      </c>
      <c r="D5315" s="36" t="s">
        <v>2289</v>
      </c>
      <c r="E5315" s="36" t="s">
        <v>148</v>
      </c>
      <c r="J5315" s="87">
        <v>6979500</v>
      </c>
      <c r="K5315" s="85">
        <v>2024</v>
      </c>
      <c r="L5315" s="85">
        <v>8</v>
      </c>
      <c r="N5315" s="1" t="s">
        <v>44</v>
      </c>
    </row>
    <row r="5316" spans="1:14">
      <c r="A5316" s="36" t="s">
        <v>33</v>
      </c>
      <c r="B5316" s="37">
        <v>45565</v>
      </c>
      <c r="C5316" s="36" t="s">
        <v>2122</v>
      </c>
      <c r="D5316" s="36" t="s">
        <v>1921</v>
      </c>
      <c r="E5316" s="36" t="s">
        <v>143</v>
      </c>
      <c r="G5316" s="87">
        <v>630000</v>
      </c>
      <c r="H5316" s="87">
        <v>63000</v>
      </c>
      <c r="I5316" s="87">
        <v>693000</v>
      </c>
      <c r="K5316" s="85">
        <v>2024</v>
      </c>
      <c r="L5316" s="85">
        <v>9</v>
      </c>
      <c r="N5316" s="1" t="s">
        <v>44</v>
      </c>
    </row>
    <row r="5317" spans="1:14">
      <c r="A5317" s="36" t="s">
        <v>33</v>
      </c>
      <c r="B5317" s="37">
        <v>45565</v>
      </c>
      <c r="C5317" s="36" t="s">
        <v>2322</v>
      </c>
      <c r="D5317" s="36" t="s">
        <v>197</v>
      </c>
      <c r="E5317" s="36" t="s">
        <v>2119</v>
      </c>
      <c r="G5317" s="87">
        <v>959000</v>
      </c>
      <c r="H5317" s="87">
        <v>95900</v>
      </c>
      <c r="I5317" s="87">
        <v>1054900</v>
      </c>
      <c r="K5317" s="85">
        <v>2024</v>
      </c>
      <c r="L5317" s="85">
        <v>9</v>
      </c>
      <c r="N5317" s="1" t="s">
        <v>44</v>
      </c>
    </row>
    <row r="5318" spans="1:14">
      <c r="A5318" s="36" t="s">
        <v>32</v>
      </c>
      <c r="B5318" s="37">
        <v>45572</v>
      </c>
      <c r="C5318" s="36" t="s">
        <v>654</v>
      </c>
      <c r="D5318" s="36" t="s">
        <v>2281</v>
      </c>
      <c r="E5318" s="36" t="s">
        <v>148</v>
      </c>
      <c r="J5318" s="87">
        <v>10162240</v>
      </c>
      <c r="K5318" s="85">
        <v>2024</v>
      </c>
      <c r="L5318" s="85">
        <v>8</v>
      </c>
      <c r="N5318" s="1" t="s">
        <v>44</v>
      </c>
    </row>
    <row r="5319" spans="1:14">
      <c r="A5319" s="36" t="s">
        <v>32</v>
      </c>
      <c r="B5319" s="37">
        <v>45572</v>
      </c>
      <c r="C5319" s="36" t="s">
        <v>654</v>
      </c>
      <c r="D5319" s="36" t="s">
        <v>1941</v>
      </c>
      <c r="E5319" s="36" t="s">
        <v>148</v>
      </c>
      <c r="J5319" s="87">
        <v>7438816</v>
      </c>
      <c r="K5319" s="85">
        <v>2024</v>
      </c>
      <c r="L5319" s="85">
        <v>8</v>
      </c>
      <c r="N5319" s="1" t="s">
        <v>44</v>
      </c>
    </row>
    <row r="5320" spans="1:14">
      <c r="A5320" s="36" t="s">
        <v>32</v>
      </c>
      <c r="B5320" s="37">
        <v>45536</v>
      </c>
      <c r="C5320" s="36" t="s">
        <v>2063</v>
      </c>
      <c r="D5320" s="36" t="s">
        <v>2235</v>
      </c>
      <c r="E5320" s="36" t="s">
        <v>1492</v>
      </c>
      <c r="G5320" s="87">
        <v>-33584200</v>
      </c>
      <c r="H5320" s="87">
        <v>-3358420</v>
      </c>
      <c r="I5320" s="87">
        <v>-36942620</v>
      </c>
      <c r="K5320" s="85">
        <v>2024</v>
      </c>
      <c r="L5320" s="85">
        <v>5</v>
      </c>
      <c r="N5320" s="1" t="s">
        <v>44</v>
      </c>
    </row>
    <row r="5321" spans="1:14">
      <c r="A5321" s="36" t="s">
        <v>32</v>
      </c>
      <c r="B5321" s="37">
        <v>45536</v>
      </c>
      <c r="C5321" s="36" t="s">
        <v>2063</v>
      </c>
      <c r="D5321" s="36" t="s">
        <v>2140</v>
      </c>
      <c r="E5321" s="36" t="s">
        <v>1492</v>
      </c>
      <c r="G5321" s="87">
        <v>-61659120</v>
      </c>
      <c r="H5321" s="87">
        <v>-6165912</v>
      </c>
      <c r="I5321" s="87">
        <v>-67825032</v>
      </c>
      <c r="K5321" s="85">
        <v>2024</v>
      </c>
      <c r="L5321" s="85">
        <v>6</v>
      </c>
      <c r="M5321" s="36" t="s">
        <v>2323</v>
      </c>
      <c r="N5321" s="1" t="s">
        <v>44</v>
      </c>
    </row>
    <row r="5322" spans="1:14">
      <c r="A5322" s="36" t="s">
        <v>32</v>
      </c>
      <c r="B5322" s="37">
        <v>45536</v>
      </c>
      <c r="C5322" s="36" t="s">
        <v>2063</v>
      </c>
      <c r="D5322" s="36" t="s">
        <v>2140</v>
      </c>
      <c r="E5322" s="36" t="s">
        <v>1492</v>
      </c>
      <c r="G5322" s="87">
        <v>-18040000</v>
      </c>
      <c r="H5322" s="87">
        <v>-1804000</v>
      </c>
      <c r="I5322" s="87">
        <v>-19844000</v>
      </c>
      <c r="K5322" s="85">
        <v>2024</v>
      </c>
      <c r="L5322" s="85">
        <v>7</v>
      </c>
      <c r="M5322" s="36" t="s">
        <v>2323</v>
      </c>
      <c r="N5322" s="1" t="s">
        <v>44</v>
      </c>
    </row>
    <row r="5323" spans="1:14">
      <c r="A5323" s="36" t="s">
        <v>32</v>
      </c>
      <c r="B5323" s="37">
        <v>45575</v>
      </c>
      <c r="C5323" s="36" t="s">
        <v>206</v>
      </c>
      <c r="D5323" s="36" t="s">
        <v>2286</v>
      </c>
      <c r="E5323" s="36" t="s">
        <v>2314</v>
      </c>
      <c r="J5323" s="87">
        <v>3957800</v>
      </c>
      <c r="K5323" s="85">
        <v>2024</v>
      </c>
      <c r="L5323" s="85">
        <v>8</v>
      </c>
      <c r="N5323" s="1" t="s">
        <v>44</v>
      </c>
    </row>
    <row r="5324" spans="1:14">
      <c r="A5324" s="36" t="s">
        <v>33</v>
      </c>
      <c r="B5324" s="37">
        <v>45565</v>
      </c>
      <c r="C5324" s="36" t="s">
        <v>96</v>
      </c>
      <c r="D5324" s="36" t="s">
        <v>97</v>
      </c>
      <c r="E5324" s="36" t="s">
        <v>97</v>
      </c>
      <c r="G5324" s="87">
        <v>1210000</v>
      </c>
      <c r="H5324" s="87">
        <v>121000</v>
      </c>
      <c r="I5324" s="87">
        <v>1331000</v>
      </c>
      <c r="K5324" s="85">
        <v>2024</v>
      </c>
      <c r="L5324" s="85">
        <v>9</v>
      </c>
      <c r="N5324" s="1" t="s">
        <v>44</v>
      </c>
    </row>
    <row r="5325" spans="1:14">
      <c r="A5325" s="36" t="s">
        <v>33</v>
      </c>
      <c r="B5325" s="37">
        <v>45565</v>
      </c>
      <c r="C5325" s="36" t="s">
        <v>2116</v>
      </c>
      <c r="D5325" s="36" t="s">
        <v>2117</v>
      </c>
      <c r="E5325" s="36" t="s">
        <v>2118</v>
      </c>
      <c r="G5325" s="87">
        <v>2212000</v>
      </c>
      <c r="H5325" s="87">
        <v>221200</v>
      </c>
      <c r="I5325" s="87">
        <v>2433200</v>
      </c>
      <c r="K5325" s="85">
        <v>2024</v>
      </c>
      <c r="L5325" s="85">
        <v>9</v>
      </c>
      <c r="N5325" s="1" t="s">
        <v>44</v>
      </c>
    </row>
    <row r="5326" spans="1:14">
      <c r="A5326" s="36" t="s">
        <v>33</v>
      </c>
      <c r="B5326" s="37">
        <v>45565</v>
      </c>
      <c r="C5326" s="36" t="s">
        <v>2109</v>
      </c>
      <c r="D5326" s="36" t="s">
        <v>1915</v>
      </c>
      <c r="E5326" s="36" t="s">
        <v>2163</v>
      </c>
      <c r="G5326" s="87">
        <v>595000</v>
      </c>
      <c r="H5326" s="87">
        <v>59500</v>
      </c>
      <c r="I5326" s="87">
        <v>654500</v>
      </c>
      <c r="K5326" s="85">
        <v>2024</v>
      </c>
      <c r="L5326" s="85">
        <v>9</v>
      </c>
      <c r="N5326" s="1" t="s">
        <v>44</v>
      </c>
    </row>
    <row r="5327" spans="1:14">
      <c r="A5327" s="36" t="s">
        <v>33</v>
      </c>
      <c r="B5327" s="37">
        <v>45565</v>
      </c>
      <c r="C5327" s="36" t="s">
        <v>1919</v>
      </c>
      <c r="D5327" s="36" t="s">
        <v>1754</v>
      </c>
      <c r="E5327" s="36" t="s">
        <v>2115</v>
      </c>
      <c r="G5327" s="87">
        <v>1344000</v>
      </c>
      <c r="H5327" s="87">
        <v>134400</v>
      </c>
      <c r="I5327" s="87">
        <v>1478400</v>
      </c>
      <c r="K5327" s="85">
        <v>2024</v>
      </c>
      <c r="L5327" s="85">
        <v>9</v>
      </c>
      <c r="N5327" s="1" t="s">
        <v>44</v>
      </c>
    </row>
    <row r="5328" spans="1:14">
      <c r="A5328" s="36" t="s">
        <v>33</v>
      </c>
      <c r="B5328" s="37">
        <v>45565</v>
      </c>
      <c r="C5328" s="36" t="s">
        <v>2188</v>
      </c>
      <c r="D5328" s="36" t="s">
        <v>2269</v>
      </c>
      <c r="E5328" s="36" t="s">
        <v>1492</v>
      </c>
      <c r="G5328" s="87">
        <v>12600</v>
      </c>
      <c r="H5328" s="87">
        <v>1260</v>
      </c>
      <c r="I5328" s="87">
        <v>13860</v>
      </c>
      <c r="K5328" s="85">
        <v>2024</v>
      </c>
      <c r="L5328" s="85">
        <v>9</v>
      </c>
      <c r="N5328" s="1" t="s">
        <v>44</v>
      </c>
    </row>
    <row r="5329" spans="1:14">
      <c r="A5329" s="36" t="s">
        <v>33</v>
      </c>
      <c r="B5329" s="37">
        <v>45565</v>
      </c>
      <c r="C5329" s="36" t="s">
        <v>2188</v>
      </c>
      <c r="D5329" s="36" t="s">
        <v>2324</v>
      </c>
      <c r="E5329" s="36" t="s">
        <v>2325</v>
      </c>
      <c r="G5329" s="87">
        <v>28800</v>
      </c>
      <c r="H5329" s="87">
        <v>2880</v>
      </c>
      <c r="I5329" s="87">
        <v>31680</v>
      </c>
      <c r="K5329" s="85">
        <v>2024</v>
      </c>
      <c r="L5329" s="85">
        <v>9</v>
      </c>
      <c r="N5329" s="1" t="s">
        <v>44</v>
      </c>
    </row>
    <row r="5330" spans="1:14">
      <c r="A5330" s="36" t="s">
        <v>33</v>
      </c>
      <c r="B5330" s="37">
        <v>45565</v>
      </c>
      <c r="C5330" s="36" t="s">
        <v>1391</v>
      </c>
      <c r="D5330" s="36" t="s">
        <v>2273</v>
      </c>
      <c r="E5330" s="36" t="s">
        <v>1528</v>
      </c>
      <c r="G5330" s="87">
        <v>541000</v>
      </c>
      <c r="H5330" s="87">
        <v>54100</v>
      </c>
      <c r="I5330" s="87">
        <v>595100</v>
      </c>
      <c r="K5330" s="85">
        <v>2024</v>
      </c>
      <c r="L5330" s="85">
        <v>9</v>
      </c>
      <c r="N5330" s="1" t="s">
        <v>44</v>
      </c>
    </row>
    <row r="5331" spans="1:14">
      <c r="A5331" s="36" t="s">
        <v>33</v>
      </c>
      <c r="B5331" s="37">
        <v>45565</v>
      </c>
      <c r="C5331" s="36" t="s">
        <v>1391</v>
      </c>
      <c r="D5331" s="36" t="s">
        <v>197</v>
      </c>
      <c r="E5331" s="36" t="s">
        <v>1528</v>
      </c>
      <c r="G5331" s="87">
        <v>7968000</v>
      </c>
      <c r="H5331" s="87">
        <v>796800</v>
      </c>
      <c r="I5331" s="87">
        <v>8764800</v>
      </c>
      <c r="K5331" s="85">
        <v>2024</v>
      </c>
      <c r="L5331" s="85">
        <v>9</v>
      </c>
      <c r="N5331" s="1" t="s">
        <v>44</v>
      </c>
    </row>
    <row r="5332" spans="1:14">
      <c r="A5332" s="36" t="s">
        <v>33</v>
      </c>
      <c r="B5332" s="37">
        <v>45565</v>
      </c>
      <c r="C5332" s="36" t="s">
        <v>81</v>
      </c>
      <c r="D5332" s="36" t="s">
        <v>2326</v>
      </c>
      <c r="E5332" s="36" t="s">
        <v>267</v>
      </c>
      <c r="G5332" s="87">
        <v>551000</v>
      </c>
      <c r="H5332" s="87">
        <v>55100</v>
      </c>
      <c r="I5332" s="87">
        <v>606100</v>
      </c>
      <c r="K5332" s="85">
        <v>2024</v>
      </c>
      <c r="L5332" s="85">
        <v>9</v>
      </c>
      <c r="N5332" s="1" t="s">
        <v>44</v>
      </c>
    </row>
    <row r="5333" spans="1:14">
      <c r="A5333" s="36" t="s">
        <v>32</v>
      </c>
      <c r="B5333" s="37">
        <v>45559</v>
      </c>
      <c r="C5333" s="36" t="s">
        <v>2193</v>
      </c>
      <c r="D5333" s="36" t="s">
        <v>2327</v>
      </c>
      <c r="E5333" s="36" t="s">
        <v>2328</v>
      </c>
      <c r="G5333" s="87">
        <v>4332730</v>
      </c>
      <c r="H5333" s="87">
        <v>433273</v>
      </c>
      <c r="I5333" s="87">
        <v>4766003</v>
      </c>
      <c r="K5333" s="85">
        <v>2024</v>
      </c>
      <c r="L5333" s="85">
        <v>9</v>
      </c>
      <c r="N5333" s="1" t="s">
        <v>44</v>
      </c>
    </row>
    <row r="5334" spans="1:14">
      <c r="A5334" s="36" t="s">
        <v>32</v>
      </c>
      <c r="B5334" s="37">
        <v>45572</v>
      </c>
      <c r="C5334" s="36" t="s">
        <v>2193</v>
      </c>
      <c r="D5334" s="36" t="s">
        <v>2327</v>
      </c>
      <c r="E5334" s="36" t="s">
        <v>2329</v>
      </c>
      <c r="J5334" s="38">
        <v>4766003</v>
      </c>
      <c r="K5334" s="85">
        <v>2024</v>
      </c>
      <c r="L5334" s="85">
        <v>9</v>
      </c>
      <c r="N5334" s="1" t="s">
        <v>44</v>
      </c>
    </row>
    <row r="5335" spans="1:14">
      <c r="A5335" s="36" t="s">
        <v>32</v>
      </c>
      <c r="B5335" s="37">
        <v>45540</v>
      </c>
      <c r="C5335" s="36" t="s">
        <v>1880</v>
      </c>
      <c r="D5335" s="36" t="s">
        <v>2332</v>
      </c>
      <c r="E5335" s="36" t="s">
        <v>76</v>
      </c>
      <c r="G5335" s="87">
        <v>37000000</v>
      </c>
      <c r="H5335" s="87">
        <v>3700000</v>
      </c>
      <c r="I5335" s="87">
        <v>40700000</v>
      </c>
      <c r="K5335" s="85">
        <v>2024</v>
      </c>
      <c r="L5335" s="85">
        <v>9</v>
      </c>
      <c r="N5335" s="1" t="s">
        <v>44</v>
      </c>
    </row>
    <row r="5336" spans="1:14">
      <c r="A5336" s="36" t="s">
        <v>32</v>
      </c>
      <c r="B5336" s="37">
        <v>45565</v>
      </c>
      <c r="C5336" s="36" t="s">
        <v>209</v>
      </c>
      <c r="D5336" s="36" t="s">
        <v>2333</v>
      </c>
      <c r="E5336" s="36" t="s">
        <v>76</v>
      </c>
      <c r="G5336" s="87">
        <v>13184500</v>
      </c>
      <c r="H5336" s="87">
        <v>1318450</v>
      </c>
      <c r="I5336" s="87">
        <v>14502950</v>
      </c>
      <c r="K5336" s="85">
        <v>2024</v>
      </c>
      <c r="L5336" s="85">
        <v>9</v>
      </c>
      <c r="N5336" s="1" t="s">
        <v>44</v>
      </c>
    </row>
    <row r="5337" spans="1:14">
      <c r="A5337" s="36" t="s">
        <v>32</v>
      </c>
      <c r="B5337" s="37">
        <v>45565</v>
      </c>
      <c r="C5337" s="36" t="s">
        <v>209</v>
      </c>
      <c r="D5337" s="36" t="s">
        <v>1699</v>
      </c>
      <c r="E5337" s="36" t="s">
        <v>76</v>
      </c>
      <c r="G5337" s="87">
        <v>7045200</v>
      </c>
      <c r="H5337" s="87">
        <v>704520</v>
      </c>
      <c r="I5337" s="87">
        <v>7749720</v>
      </c>
      <c r="K5337" s="85">
        <v>2024</v>
      </c>
      <c r="L5337" s="85">
        <v>9</v>
      </c>
      <c r="N5337" s="1" t="s">
        <v>44</v>
      </c>
    </row>
    <row r="5338" spans="1:14">
      <c r="A5338" s="36" t="s">
        <v>32</v>
      </c>
      <c r="B5338" s="37">
        <v>45565</v>
      </c>
      <c r="C5338" s="36" t="s">
        <v>209</v>
      </c>
      <c r="D5338" s="36" t="s">
        <v>1866</v>
      </c>
      <c r="E5338" s="36" t="s">
        <v>76</v>
      </c>
      <c r="G5338" s="87">
        <v>60892200</v>
      </c>
      <c r="H5338" s="87">
        <v>6089220</v>
      </c>
      <c r="I5338" s="87">
        <v>66981420</v>
      </c>
      <c r="K5338" s="85">
        <v>2024</v>
      </c>
      <c r="L5338" s="85">
        <v>9</v>
      </c>
      <c r="N5338" s="1" t="s">
        <v>44</v>
      </c>
    </row>
    <row r="5339" spans="1:14">
      <c r="A5339" s="36" t="s">
        <v>32</v>
      </c>
      <c r="B5339" s="37">
        <v>45565</v>
      </c>
      <c r="C5339" s="36" t="s">
        <v>209</v>
      </c>
      <c r="D5339" s="36" t="s">
        <v>2024</v>
      </c>
      <c r="E5339" s="36" t="s">
        <v>1492</v>
      </c>
      <c r="G5339" s="87">
        <v>6771600</v>
      </c>
      <c r="H5339" s="87">
        <v>677160</v>
      </c>
      <c r="I5339" s="87">
        <v>7448760</v>
      </c>
      <c r="K5339" s="85">
        <v>2024</v>
      </c>
      <c r="L5339" s="85">
        <v>9</v>
      </c>
      <c r="N5339" s="1" t="s">
        <v>44</v>
      </c>
    </row>
    <row r="5340" spans="1:14">
      <c r="A5340" s="36" t="s">
        <v>32</v>
      </c>
      <c r="B5340" s="37">
        <v>45565</v>
      </c>
      <c r="C5340" s="36" t="s">
        <v>654</v>
      </c>
      <c r="D5340" s="36" t="s">
        <v>2216</v>
      </c>
      <c r="E5340" s="36" t="s">
        <v>76</v>
      </c>
      <c r="G5340" s="87">
        <v>15000000</v>
      </c>
      <c r="H5340" s="87">
        <v>1500000</v>
      </c>
      <c r="I5340" s="87">
        <v>16500000</v>
      </c>
      <c r="K5340" s="85">
        <v>2024</v>
      </c>
      <c r="L5340" s="85">
        <v>9</v>
      </c>
      <c r="N5340" s="1" t="s">
        <v>44</v>
      </c>
    </row>
    <row r="5341" spans="1:14">
      <c r="A5341" s="36" t="s">
        <v>32</v>
      </c>
      <c r="B5341" s="37">
        <v>45565</v>
      </c>
      <c r="C5341" s="36" t="s">
        <v>654</v>
      </c>
      <c r="D5341" s="36" t="s">
        <v>2074</v>
      </c>
      <c r="E5341" s="36" t="s">
        <v>76</v>
      </c>
      <c r="G5341" s="87">
        <v>4350000</v>
      </c>
      <c r="H5341" s="87">
        <v>435000</v>
      </c>
      <c r="I5341" s="87">
        <v>4785000</v>
      </c>
      <c r="K5341" s="85">
        <v>2024</v>
      </c>
      <c r="L5341" s="85">
        <v>9</v>
      </c>
      <c r="N5341" s="1" t="s">
        <v>44</v>
      </c>
    </row>
    <row r="5342" spans="1:14">
      <c r="A5342" s="36" t="s">
        <v>32</v>
      </c>
      <c r="B5342" s="37">
        <v>45565</v>
      </c>
      <c r="C5342" s="36" t="s">
        <v>654</v>
      </c>
      <c r="D5342" s="36" t="s">
        <v>1941</v>
      </c>
      <c r="E5342" s="36" t="s">
        <v>76</v>
      </c>
      <c r="G5342" s="87">
        <v>50747120</v>
      </c>
      <c r="H5342" s="87">
        <v>5074712</v>
      </c>
      <c r="I5342" s="87">
        <v>55821832</v>
      </c>
      <c r="K5342" s="85">
        <v>2024</v>
      </c>
      <c r="L5342" s="85">
        <v>9</v>
      </c>
      <c r="N5342" s="1" t="s">
        <v>44</v>
      </c>
    </row>
    <row r="5343" spans="1:14">
      <c r="A5343" s="36" t="s">
        <v>32</v>
      </c>
      <c r="B5343" s="37">
        <v>45565</v>
      </c>
      <c r="C5343" s="36" t="s">
        <v>654</v>
      </c>
      <c r="D5343" s="36" t="s">
        <v>1854</v>
      </c>
      <c r="E5343" s="36" t="s">
        <v>76</v>
      </c>
      <c r="G5343" s="87">
        <v>39025840</v>
      </c>
      <c r="H5343" s="87">
        <v>3902584</v>
      </c>
      <c r="I5343" s="87">
        <v>42928424</v>
      </c>
      <c r="K5343" s="85">
        <v>2024</v>
      </c>
      <c r="L5343" s="85">
        <v>9</v>
      </c>
      <c r="N5343" s="1" t="s">
        <v>44</v>
      </c>
    </row>
    <row r="5344" spans="1:14">
      <c r="A5344" s="36" t="s">
        <v>32</v>
      </c>
      <c r="B5344" s="37">
        <v>45565</v>
      </c>
      <c r="C5344" s="36" t="s">
        <v>1470</v>
      </c>
      <c r="D5344" s="36" t="s">
        <v>1821</v>
      </c>
      <c r="E5344" s="36" t="s">
        <v>76</v>
      </c>
      <c r="G5344" s="87">
        <v>150336500</v>
      </c>
      <c r="H5344" s="87">
        <v>15033650</v>
      </c>
      <c r="I5344" s="87">
        <v>165370150</v>
      </c>
      <c r="K5344" s="85">
        <v>2024</v>
      </c>
      <c r="L5344" s="85">
        <v>9</v>
      </c>
      <c r="N5344" s="1" t="s">
        <v>44</v>
      </c>
    </row>
    <row r="5345" spans="1:14">
      <c r="A5345" s="36" t="s">
        <v>32</v>
      </c>
      <c r="B5345" s="37">
        <v>45565</v>
      </c>
      <c r="C5345" s="36" t="s">
        <v>2330</v>
      </c>
      <c r="D5345" s="36" t="s">
        <v>2334</v>
      </c>
      <c r="E5345" s="36" t="s">
        <v>76</v>
      </c>
      <c r="G5345" s="87">
        <v>6500000</v>
      </c>
      <c r="H5345" s="87">
        <v>650000</v>
      </c>
      <c r="I5345" s="87">
        <v>7150000</v>
      </c>
      <c r="K5345" s="85">
        <v>2024</v>
      </c>
      <c r="L5345" s="85">
        <v>9</v>
      </c>
      <c r="N5345" s="1" t="s">
        <v>44</v>
      </c>
    </row>
    <row r="5346" spans="1:14">
      <c r="A5346" s="36" t="s">
        <v>32</v>
      </c>
      <c r="B5346" s="37">
        <v>45565</v>
      </c>
      <c r="C5346" s="36" t="s">
        <v>1468</v>
      </c>
      <c r="D5346" s="36" t="s">
        <v>1915</v>
      </c>
      <c r="E5346" s="36" t="s">
        <v>76</v>
      </c>
      <c r="G5346" s="87">
        <v>18001500</v>
      </c>
      <c r="H5346" s="87">
        <v>1800150</v>
      </c>
      <c r="I5346" s="87">
        <v>19801650</v>
      </c>
      <c r="K5346" s="85">
        <v>2024</v>
      </c>
      <c r="L5346" s="85">
        <v>9</v>
      </c>
      <c r="N5346" s="1" t="s">
        <v>44</v>
      </c>
    </row>
    <row r="5347" spans="1:14">
      <c r="A5347" s="36" t="s">
        <v>32</v>
      </c>
      <c r="B5347" s="37">
        <v>45565</v>
      </c>
      <c r="C5347" s="36" t="s">
        <v>2167</v>
      </c>
      <c r="D5347" s="36" t="s">
        <v>2174</v>
      </c>
      <c r="E5347" s="36" t="s">
        <v>76</v>
      </c>
      <c r="G5347" s="87">
        <v>2400000</v>
      </c>
      <c r="H5347" s="87">
        <v>240000</v>
      </c>
      <c r="I5347" s="87">
        <v>2640000</v>
      </c>
      <c r="K5347" s="85">
        <v>2024</v>
      </c>
      <c r="L5347" s="85">
        <v>9</v>
      </c>
      <c r="N5347" s="1" t="s">
        <v>44</v>
      </c>
    </row>
    <row r="5348" spans="1:14">
      <c r="A5348" s="36" t="s">
        <v>32</v>
      </c>
      <c r="B5348" s="37">
        <v>45565</v>
      </c>
      <c r="C5348" s="36" t="s">
        <v>2063</v>
      </c>
      <c r="D5348" s="36" t="s">
        <v>2160</v>
      </c>
      <c r="E5348" s="36" t="s">
        <v>1492</v>
      </c>
      <c r="G5348" s="87">
        <v>42000000</v>
      </c>
      <c r="H5348" s="87">
        <v>4200000</v>
      </c>
      <c r="I5348" s="87">
        <v>46200000</v>
      </c>
      <c r="K5348" s="85">
        <v>2024</v>
      </c>
      <c r="L5348" s="85">
        <v>9</v>
      </c>
      <c r="N5348" s="1" t="s">
        <v>44</v>
      </c>
    </row>
    <row r="5349" spans="1:14">
      <c r="A5349" s="36" t="s">
        <v>32</v>
      </c>
      <c r="B5349" s="37">
        <v>45565</v>
      </c>
      <c r="C5349" s="36" t="s">
        <v>264</v>
      </c>
      <c r="D5349" s="36" t="s">
        <v>2335</v>
      </c>
      <c r="E5349" s="36" t="s">
        <v>76</v>
      </c>
      <c r="G5349" s="87">
        <v>40500000</v>
      </c>
      <c r="H5349" s="87">
        <v>4050000</v>
      </c>
      <c r="I5349" s="87">
        <v>44550000</v>
      </c>
      <c r="K5349" s="85">
        <v>2024</v>
      </c>
      <c r="L5349" s="85">
        <v>9</v>
      </c>
      <c r="N5349" s="1" t="s">
        <v>44</v>
      </c>
    </row>
    <row r="5350" spans="1:14">
      <c r="A5350" s="36" t="s">
        <v>32</v>
      </c>
      <c r="B5350" s="37">
        <v>45565</v>
      </c>
      <c r="C5350" s="36" t="s">
        <v>1198</v>
      </c>
      <c r="D5350" s="36" t="s">
        <v>2336</v>
      </c>
      <c r="E5350" s="36" t="s">
        <v>76</v>
      </c>
      <c r="G5350" s="87">
        <v>6671700</v>
      </c>
      <c r="H5350" s="87">
        <v>667170</v>
      </c>
      <c r="I5350" s="87">
        <v>7338870</v>
      </c>
      <c r="K5350" s="85">
        <v>2024</v>
      </c>
      <c r="L5350" s="85">
        <v>9</v>
      </c>
      <c r="N5350" s="1" t="s">
        <v>44</v>
      </c>
    </row>
    <row r="5351" spans="1:14">
      <c r="A5351" s="36" t="s">
        <v>32</v>
      </c>
      <c r="B5351" s="37">
        <v>45565</v>
      </c>
      <c r="C5351" s="36" t="s">
        <v>1198</v>
      </c>
      <c r="D5351" s="36" t="s">
        <v>2289</v>
      </c>
      <c r="E5351" s="36" t="s">
        <v>76</v>
      </c>
      <c r="G5351" s="87">
        <v>1698300</v>
      </c>
      <c r="H5351" s="87">
        <v>169830</v>
      </c>
      <c r="I5351" s="87">
        <v>1868130</v>
      </c>
      <c r="K5351" s="85">
        <v>2024</v>
      </c>
      <c r="L5351" s="85">
        <v>9</v>
      </c>
      <c r="N5351" s="1" t="s">
        <v>44</v>
      </c>
    </row>
    <row r="5352" spans="1:14">
      <c r="A5352" s="36" t="s">
        <v>32</v>
      </c>
      <c r="B5352" s="37">
        <v>45565</v>
      </c>
      <c r="C5352" s="36" t="s">
        <v>1198</v>
      </c>
      <c r="D5352" s="36" t="s">
        <v>2288</v>
      </c>
      <c r="E5352" s="36" t="s">
        <v>76</v>
      </c>
      <c r="G5352" s="87">
        <v>4830000</v>
      </c>
      <c r="H5352" s="87">
        <v>483000</v>
      </c>
      <c r="I5352" s="87">
        <v>5313000</v>
      </c>
      <c r="K5352" s="85">
        <v>2024</v>
      </c>
      <c r="L5352" s="85">
        <v>9</v>
      </c>
      <c r="N5352" s="1" t="s">
        <v>44</v>
      </c>
    </row>
    <row r="5353" spans="1:14">
      <c r="A5353" s="36" t="s">
        <v>32</v>
      </c>
      <c r="B5353" s="37">
        <v>45565</v>
      </c>
      <c r="C5353" s="36" t="s">
        <v>1198</v>
      </c>
      <c r="D5353" s="36" t="s">
        <v>2287</v>
      </c>
      <c r="E5353" s="36" t="s">
        <v>267</v>
      </c>
      <c r="G5353" s="87">
        <v>540000</v>
      </c>
      <c r="H5353" s="87">
        <v>54000</v>
      </c>
      <c r="I5353" s="87">
        <v>594000</v>
      </c>
      <c r="K5353" s="85">
        <v>2024</v>
      </c>
      <c r="L5353" s="85">
        <v>9</v>
      </c>
      <c r="N5353" s="1" t="s">
        <v>44</v>
      </c>
    </row>
    <row r="5354" spans="1:14">
      <c r="A5354" s="36" t="s">
        <v>32</v>
      </c>
      <c r="B5354" s="37">
        <v>45565</v>
      </c>
      <c r="C5354" s="36" t="s">
        <v>334</v>
      </c>
      <c r="D5354" s="36" t="s">
        <v>2291</v>
      </c>
      <c r="E5354" s="36" t="s">
        <v>76</v>
      </c>
      <c r="G5354" s="87">
        <v>7000000</v>
      </c>
      <c r="H5354" s="87">
        <v>700000</v>
      </c>
      <c r="I5354" s="87">
        <v>7700000</v>
      </c>
      <c r="K5354" s="85">
        <v>2024</v>
      </c>
      <c r="L5354" s="85">
        <v>9</v>
      </c>
      <c r="N5354" s="1" t="s">
        <v>44</v>
      </c>
    </row>
    <row r="5355" spans="1:14">
      <c r="A5355" s="36" t="s">
        <v>32</v>
      </c>
      <c r="B5355" s="37">
        <v>45565</v>
      </c>
      <c r="C5355" s="36" t="s">
        <v>1467</v>
      </c>
      <c r="D5355" s="36" t="s">
        <v>1869</v>
      </c>
      <c r="E5355" s="36" t="s">
        <v>76</v>
      </c>
      <c r="G5355" s="87">
        <v>8424000</v>
      </c>
      <c r="H5355" s="87">
        <v>842400</v>
      </c>
      <c r="I5355" s="87">
        <v>9266400</v>
      </c>
      <c r="K5355" s="85">
        <v>2024</v>
      </c>
      <c r="L5355" s="85">
        <v>9</v>
      </c>
      <c r="N5355" s="1" t="s">
        <v>44</v>
      </c>
    </row>
    <row r="5356" spans="1:14">
      <c r="A5356" s="36" t="s">
        <v>32</v>
      </c>
      <c r="B5356" s="37">
        <v>45565</v>
      </c>
      <c r="C5356" s="36" t="s">
        <v>1587</v>
      </c>
      <c r="D5356" s="36" t="s">
        <v>2337</v>
      </c>
      <c r="E5356" s="36" t="s">
        <v>76</v>
      </c>
      <c r="G5356" s="87">
        <v>2843160</v>
      </c>
      <c r="H5356" s="87">
        <v>284316</v>
      </c>
      <c r="I5356" s="87">
        <v>3127476</v>
      </c>
      <c r="K5356" s="85">
        <v>2024</v>
      </c>
      <c r="L5356" s="85">
        <v>9</v>
      </c>
      <c r="N5356" s="1" t="s">
        <v>44</v>
      </c>
    </row>
    <row r="5357" spans="1:14">
      <c r="A5357" s="36" t="s">
        <v>32</v>
      </c>
      <c r="B5357" s="37">
        <v>45565</v>
      </c>
      <c r="C5357" s="36" t="s">
        <v>1587</v>
      </c>
      <c r="D5357" s="36" t="s">
        <v>2338</v>
      </c>
      <c r="E5357" s="36" t="s">
        <v>76</v>
      </c>
      <c r="G5357" s="87">
        <v>5690413</v>
      </c>
      <c r="H5357" s="87">
        <v>569041.30000000005</v>
      </c>
      <c r="I5357" s="87">
        <v>6259454.2999999998</v>
      </c>
      <c r="K5357" s="85">
        <v>2024</v>
      </c>
      <c r="L5357" s="85">
        <v>9</v>
      </c>
      <c r="N5357" s="1" t="s">
        <v>44</v>
      </c>
    </row>
    <row r="5358" spans="1:14">
      <c r="A5358" s="36" t="s">
        <v>32</v>
      </c>
      <c r="B5358" s="37">
        <v>45565</v>
      </c>
      <c r="C5358" s="36" t="s">
        <v>2331</v>
      </c>
      <c r="D5358" s="36" t="s">
        <v>2339</v>
      </c>
      <c r="E5358" s="36" t="s">
        <v>76</v>
      </c>
      <c r="G5358" s="87">
        <v>17600100</v>
      </c>
      <c r="H5358" s="87">
        <v>1760010</v>
      </c>
      <c r="I5358" s="87">
        <v>19360110</v>
      </c>
      <c r="K5358" s="85">
        <v>2024</v>
      </c>
      <c r="L5358" s="85">
        <v>9</v>
      </c>
      <c r="N5358" s="1" t="s">
        <v>44</v>
      </c>
    </row>
    <row r="5359" spans="1:14">
      <c r="A5359" s="36" t="s">
        <v>32</v>
      </c>
      <c r="B5359" s="37">
        <v>45565</v>
      </c>
      <c r="C5359" s="36" t="s">
        <v>1880</v>
      </c>
      <c r="D5359" s="36" t="s">
        <v>2332</v>
      </c>
      <c r="E5359" s="36" t="s">
        <v>2263</v>
      </c>
      <c r="J5359" s="38">
        <v>32000000</v>
      </c>
      <c r="K5359" s="85">
        <v>2024</v>
      </c>
      <c r="L5359" s="85">
        <v>9</v>
      </c>
      <c r="N5359" s="1" t="s">
        <v>44</v>
      </c>
    </row>
    <row r="5360" spans="1:14">
      <c r="A5360" s="36" t="s">
        <v>32</v>
      </c>
      <c r="B5360" s="37">
        <v>45575</v>
      </c>
      <c r="C5360" s="36" t="s">
        <v>1880</v>
      </c>
      <c r="D5360" s="36" t="s">
        <v>2332</v>
      </c>
      <c r="E5360" s="36" t="s">
        <v>2263</v>
      </c>
      <c r="J5360" s="38">
        <v>8700000</v>
      </c>
      <c r="K5360" s="85">
        <v>2024</v>
      </c>
      <c r="L5360" s="85">
        <v>9</v>
      </c>
      <c r="N5360" s="1" t="s">
        <v>44</v>
      </c>
    </row>
    <row r="5361" spans="1:14">
      <c r="A5361" s="36" t="s">
        <v>32</v>
      </c>
      <c r="B5361" s="37">
        <v>45573</v>
      </c>
      <c r="C5361" s="36" t="s">
        <v>209</v>
      </c>
      <c r="D5361" s="36" t="s">
        <v>1866</v>
      </c>
      <c r="E5361" s="36" t="s">
        <v>2340</v>
      </c>
      <c r="J5361" s="87">
        <v>66981420</v>
      </c>
      <c r="K5361" s="85">
        <v>2024</v>
      </c>
      <c r="L5361" s="85">
        <v>9</v>
      </c>
      <c r="N5361" s="1" t="s">
        <v>44</v>
      </c>
    </row>
    <row r="5362" spans="1:14">
      <c r="A5362" s="36" t="s">
        <v>33</v>
      </c>
      <c r="B5362" s="37">
        <v>45545</v>
      </c>
      <c r="C5362" s="36" t="s">
        <v>2016</v>
      </c>
      <c r="D5362" s="36" t="s">
        <v>1492</v>
      </c>
      <c r="E5362" s="36" t="s">
        <v>1492</v>
      </c>
      <c r="G5362" s="87">
        <v>52800000</v>
      </c>
      <c r="H5362" s="87">
        <v>5280000</v>
      </c>
      <c r="I5362" s="87">
        <v>58080000</v>
      </c>
      <c r="K5362" s="85">
        <v>2024</v>
      </c>
      <c r="L5362" s="85">
        <v>9</v>
      </c>
      <c r="N5362" s="1" t="s">
        <v>44</v>
      </c>
    </row>
    <row r="5363" spans="1:14">
      <c r="A5363" s="36" t="s">
        <v>33</v>
      </c>
      <c r="B5363" s="37">
        <v>45555</v>
      </c>
      <c r="C5363" s="36" t="s">
        <v>2016</v>
      </c>
      <c r="D5363" s="36" t="s">
        <v>1492</v>
      </c>
      <c r="E5363" s="36" t="s">
        <v>1492</v>
      </c>
      <c r="G5363" s="87">
        <v>56200000</v>
      </c>
      <c r="H5363" s="87">
        <v>5620000</v>
      </c>
      <c r="I5363" s="87">
        <v>61820000</v>
      </c>
      <c r="K5363" s="85">
        <v>2024</v>
      </c>
      <c r="L5363" s="85">
        <v>9</v>
      </c>
      <c r="N5363" s="1" t="s">
        <v>44</v>
      </c>
    </row>
    <row r="5364" spans="1:14">
      <c r="A5364" s="36" t="s">
        <v>33</v>
      </c>
      <c r="B5364" s="37">
        <v>45565</v>
      </c>
      <c r="C5364" s="36" t="s">
        <v>2016</v>
      </c>
      <c r="D5364" s="36" t="s">
        <v>1492</v>
      </c>
      <c r="E5364" s="36" t="s">
        <v>1492</v>
      </c>
      <c r="G5364" s="87">
        <v>48500000</v>
      </c>
      <c r="H5364" s="87">
        <v>4850000</v>
      </c>
      <c r="I5364" s="87">
        <v>53350000</v>
      </c>
      <c r="K5364" s="85">
        <v>2024</v>
      </c>
      <c r="L5364" s="85">
        <v>9</v>
      </c>
      <c r="N5364" s="1" t="s">
        <v>44</v>
      </c>
    </row>
    <row r="5365" spans="1:14">
      <c r="A5365" s="36" t="s">
        <v>32</v>
      </c>
      <c r="B5365" s="37">
        <v>45580</v>
      </c>
      <c r="C5365" s="36" t="s">
        <v>672</v>
      </c>
      <c r="D5365" s="36" t="s">
        <v>1596</v>
      </c>
      <c r="E5365" s="36" t="s">
        <v>148</v>
      </c>
      <c r="J5365" s="38">
        <v>2000000</v>
      </c>
      <c r="K5365" s="85">
        <v>2023</v>
      </c>
      <c r="L5365" s="85">
        <v>8</v>
      </c>
      <c r="N5365" s="1" t="s">
        <v>44</v>
      </c>
    </row>
    <row r="5366" spans="1:14">
      <c r="A5366" s="36" t="s">
        <v>32</v>
      </c>
      <c r="B5366" s="37">
        <v>45580</v>
      </c>
      <c r="C5366" s="36" t="s">
        <v>2167</v>
      </c>
      <c r="D5366" s="36" t="s">
        <v>2174</v>
      </c>
      <c r="E5366" s="36" t="s">
        <v>148</v>
      </c>
      <c r="J5366" s="87">
        <v>2640000</v>
      </c>
      <c r="K5366" s="85">
        <v>2024</v>
      </c>
      <c r="L5366" s="85">
        <v>9</v>
      </c>
      <c r="N5366" s="1" t="s">
        <v>44</v>
      </c>
    </row>
    <row r="5367" spans="1:14">
      <c r="A5367" s="36" t="s">
        <v>32</v>
      </c>
      <c r="B5367" s="37">
        <v>45581</v>
      </c>
      <c r="C5367" s="36" t="s">
        <v>1198</v>
      </c>
      <c r="D5367" s="36" t="s">
        <v>2336</v>
      </c>
      <c r="E5367" s="36" t="s">
        <v>2342</v>
      </c>
      <c r="J5367" s="87">
        <v>7338870</v>
      </c>
      <c r="K5367" s="85">
        <v>2024</v>
      </c>
      <c r="L5367" s="85">
        <v>9</v>
      </c>
      <c r="N5367" s="1" t="s">
        <v>44</v>
      </c>
    </row>
    <row r="5368" spans="1:14">
      <c r="A5368" s="36" t="s">
        <v>32</v>
      </c>
      <c r="B5368" s="37">
        <v>45581</v>
      </c>
      <c r="C5368" s="36" t="s">
        <v>1198</v>
      </c>
      <c r="D5368" s="36" t="s">
        <v>2289</v>
      </c>
      <c r="E5368" s="36" t="s">
        <v>2341</v>
      </c>
      <c r="J5368" s="87">
        <v>1868130</v>
      </c>
      <c r="K5368" s="85">
        <v>2024</v>
      </c>
      <c r="L5368" s="85">
        <v>9</v>
      </c>
      <c r="N5368" s="1" t="s">
        <v>44</v>
      </c>
    </row>
    <row r="5369" spans="1:14">
      <c r="A5369" s="36" t="s">
        <v>32</v>
      </c>
      <c r="B5369" s="37">
        <v>45581</v>
      </c>
      <c r="C5369" s="36" t="s">
        <v>1198</v>
      </c>
      <c r="D5369" s="36" t="s">
        <v>2287</v>
      </c>
      <c r="E5369" s="36" t="s">
        <v>2343</v>
      </c>
      <c r="J5369" s="87">
        <v>594000</v>
      </c>
      <c r="K5369" s="85">
        <v>2024</v>
      </c>
      <c r="L5369" s="85">
        <v>9</v>
      </c>
      <c r="N5369" s="1" t="s">
        <v>44</v>
      </c>
    </row>
    <row r="5370" spans="1:14">
      <c r="A5370" s="36" t="s">
        <v>32</v>
      </c>
      <c r="B5370" s="37">
        <v>45581</v>
      </c>
      <c r="C5370" s="36" t="s">
        <v>1468</v>
      </c>
      <c r="D5370" s="36" t="s">
        <v>1915</v>
      </c>
      <c r="E5370" s="36" t="s">
        <v>2344</v>
      </c>
      <c r="J5370" s="87">
        <v>19801650</v>
      </c>
      <c r="K5370" s="85">
        <v>2024</v>
      </c>
      <c r="L5370" s="85">
        <v>9</v>
      </c>
      <c r="N5370" s="1" t="s">
        <v>44</v>
      </c>
    </row>
    <row r="5371" spans="1:14">
      <c r="A5371" s="36" t="s">
        <v>32</v>
      </c>
      <c r="B5371" s="37">
        <v>45581</v>
      </c>
      <c r="C5371" s="36" t="s">
        <v>1198</v>
      </c>
      <c r="D5371" s="36" t="s">
        <v>1811</v>
      </c>
      <c r="E5371" s="36" t="s">
        <v>2345</v>
      </c>
      <c r="J5371" s="38">
        <v>2945250</v>
      </c>
      <c r="K5371" s="85">
        <v>2023</v>
      </c>
      <c r="L5371" s="85">
        <v>12</v>
      </c>
      <c r="N5371" s="1" t="s">
        <v>44</v>
      </c>
    </row>
    <row r="5372" spans="1:14">
      <c r="A5372" s="36" t="s">
        <v>32</v>
      </c>
      <c r="B5372" s="37">
        <v>45581</v>
      </c>
      <c r="C5372" s="36" t="s">
        <v>1198</v>
      </c>
      <c r="D5372" s="36" t="s">
        <v>1811</v>
      </c>
      <c r="E5372" s="36" t="s">
        <v>2345</v>
      </c>
      <c r="J5372" s="38">
        <v>5389450</v>
      </c>
      <c r="K5372" s="85">
        <v>2023</v>
      </c>
      <c r="L5372" s="85">
        <v>12</v>
      </c>
      <c r="M5372" s="36" t="s">
        <v>2346</v>
      </c>
      <c r="N5372" s="1" t="s">
        <v>44</v>
      </c>
    </row>
    <row r="5373" spans="1:14">
      <c r="A5373" s="36" t="s">
        <v>32</v>
      </c>
      <c r="B5373" s="37">
        <v>45581</v>
      </c>
      <c r="C5373" s="36" t="s">
        <v>1198</v>
      </c>
      <c r="D5373" s="36" t="s">
        <v>2287</v>
      </c>
      <c r="E5373" s="36" t="s">
        <v>2347</v>
      </c>
      <c r="J5373" s="87">
        <v>1490390</v>
      </c>
      <c r="K5373" s="85">
        <v>2024</v>
      </c>
      <c r="L5373" s="85">
        <v>8</v>
      </c>
      <c r="M5373" s="36" t="s">
        <v>2361</v>
      </c>
      <c r="N5373" s="1" t="s">
        <v>44</v>
      </c>
    </row>
    <row r="5374" spans="1:14">
      <c r="A5374" s="36" t="s">
        <v>33</v>
      </c>
      <c r="B5374" s="37">
        <v>45583</v>
      </c>
      <c r="C5374" s="36" t="s">
        <v>2016</v>
      </c>
      <c r="D5374" s="36" t="s">
        <v>1492</v>
      </c>
      <c r="E5374" s="36" t="s">
        <v>148</v>
      </c>
      <c r="J5374" s="87">
        <v>58080000</v>
      </c>
      <c r="K5374" s="85">
        <v>2024</v>
      </c>
      <c r="L5374" s="85">
        <v>9</v>
      </c>
      <c r="N5374" s="1" t="s">
        <v>44</v>
      </c>
    </row>
    <row r="5375" spans="1:14">
      <c r="A5375" s="36" t="s">
        <v>33</v>
      </c>
      <c r="B5375" s="37">
        <v>45583</v>
      </c>
      <c r="C5375" s="36" t="s">
        <v>2016</v>
      </c>
      <c r="D5375" s="36" t="s">
        <v>1492</v>
      </c>
      <c r="E5375" s="36" t="s">
        <v>148</v>
      </c>
      <c r="J5375" s="87">
        <v>61820000</v>
      </c>
      <c r="K5375" s="85">
        <v>2024</v>
      </c>
      <c r="L5375" s="85">
        <v>9</v>
      </c>
      <c r="N5375" s="1" t="s">
        <v>44</v>
      </c>
    </row>
    <row r="5376" spans="1:14">
      <c r="A5376" s="36" t="s">
        <v>33</v>
      </c>
      <c r="B5376" s="37">
        <v>45583</v>
      </c>
      <c r="C5376" s="36" t="s">
        <v>2016</v>
      </c>
      <c r="D5376" s="36" t="s">
        <v>1492</v>
      </c>
      <c r="E5376" s="36" t="s">
        <v>148</v>
      </c>
      <c r="J5376" s="87">
        <v>53350000</v>
      </c>
      <c r="K5376" s="85">
        <v>2024</v>
      </c>
      <c r="L5376" s="85">
        <v>9</v>
      </c>
      <c r="N5376" s="1" t="s">
        <v>44</v>
      </c>
    </row>
    <row r="5377" spans="1:14">
      <c r="A5377" s="36" t="s">
        <v>32</v>
      </c>
      <c r="B5377" s="37">
        <v>45565</v>
      </c>
      <c r="C5377" s="36" t="s">
        <v>2330</v>
      </c>
      <c r="D5377" s="36" t="s">
        <v>2334</v>
      </c>
      <c r="E5377" s="36" t="s">
        <v>148</v>
      </c>
      <c r="J5377" s="38">
        <v>7150000</v>
      </c>
      <c r="K5377" s="85">
        <v>2024</v>
      </c>
      <c r="L5377" s="85">
        <v>9</v>
      </c>
      <c r="N5377" s="1" t="s">
        <v>44</v>
      </c>
    </row>
    <row r="5378" spans="1:14">
      <c r="A5378" s="36" t="s">
        <v>32</v>
      </c>
      <c r="B5378" s="37">
        <v>45586</v>
      </c>
      <c r="C5378" s="36" t="s">
        <v>2063</v>
      </c>
      <c r="D5378" s="36" t="s">
        <v>2160</v>
      </c>
      <c r="E5378" s="36" t="s">
        <v>2348</v>
      </c>
      <c r="J5378" s="87">
        <v>46200000</v>
      </c>
      <c r="K5378" s="85">
        <v>2024</v>
      </c>
      <c r="L5378" s="85">
        <v>9</v>
      </c>
      <c r="N5378" s="1" t="s">
        <v>44</v>
      </c>
    </row>
    <row r="5379" spans="1:14">
      <c r="A5379" s="36" t="s">
        <v>32</v>
      </c>
      <c r="B5379" s="37">
        <v>45586</v>
      </c>
      <c r="C5379" s="36" t="s">
        <v>1587</v>
      </c>
      <c r="D5379" s="36" t="s">
        <v>2337</v>
      </c>
      <c r="E5379" s="36" t="s">
        <v>2349</v>
      </c>
      <c r="J5379" s="38">
        <v>1818300</v>
      </c>
      <c r="K5379" s="85">
        <v>2024</v>
      </c>
      <c r="L5379" s="85">
        <v>9</v>
      </c>
      <c r="N5379" s="1" t="s">
        <v>44</v>
      </c>
    </row>
    <row r="5380" spans="1:14">
      <c r="A5380" s="36" t="s">
        <v>32</v>
      </c>
      <c r="B5380" s="37">
        <v>45586</v>
      </c>
      <c r="C5380" s="36" t="s">
        <v>1587</v>
      </c>
      <c r="D5380" s="36" t="s">
        <v>2337</v>
      </c>
      <c r="E5380" s="36" t="s">
        <v>2349</v>
      </c>
      <c r="J5380" s="38">
        <v>1309176</v>
      </c>
      <c r="K5380" s="85">
        <v>2024</v>
      </c>
      <c r="L5380" s="85">
        <v>9</v>
      </c>
      <c r="N5380" s="1" t="s">
        <v>44</v>
      </c>
    </row>
    <row r="5381" spans="1:14">
      <c r="A5381" s="36" t="s">
        <v>33</v>
      </c>
      <c r="B5381" s="37">
        <v>45588</v>
      </c>
      <c r="C5381" s="36" t="s">
        <v>81</v>
      </c>
      <c r="D5381" s="36" t="s">
        <v>2326</v>
      </c>
      <c r="E5381" s="36" t="s">
        <v>148</v>
      </c>
      <c r="J5381" s="87">
        <v>606100</v>
      </c>
      <c r="K5381" s="85">
        <v>2024</v>
      </c>
      <c r="L5381" s="85">
        <v>9</v>
      </c>
      <c r="N5381" s="1" t="s">
        <v>44</v>
      </c>
    </row>
    <row r="5382" spans="1:14">
      <c r="A5382" s="36" t="s">
        <v>33</v>
      </c>
      <c r="B5382" s="37">
        <v>45588</v>
      </c>
      <c r="C5382" s="36" t="s">
        <v>1467</v>
      </c>
      <c r="D5382" s="36" t="s">
        <v>2013</v>
      </c>
      <c r="E5382" s="36" t="s">
        <v>2380</v>
      </c>
      <c r="J5382" s="38">
        <v>5165160</v>
      </c>
      <c r="K5382" s="85">
        <v>2024</v>
      </c>
      <c r="L5382" s="85">
        <v>4</v>
      </c>
      <c r="N5382" s="1" t="s">
        <v>44</v>
      </c>
    </row>
    <row r="5383" spans="1:14">
      <c r="A5383" s="36" t="s">
        <v>33</v>
      </c>
      <c r="B5383" s="37">
        <v>45588</v>
      </c>
      <c r="C5383" s="36" t="s">
        <v>2006</v>
      </c>
      <c r="D5383" s="36" t="s">
        <v>2160</v>
      </c>
      <c r="E5383" s="36" t="s">
        <v>2350</v>
      </c>
      <c r="J5383" s="87">
        <v>17103075</v>
      </c>
      <c r="K5383" s="85">
        <v>2024</v>
      </c>
      <c r="L5383" s="85">
        <v>5</v>
      </c>
      <c r="N5383" s="1" t="s">
        <v>44</v>
      </c>
    </row>
    <row r="5384" spans="1:14">
      <c r="A5384" s="36" t="s">
        <v>33</v>
      </c>
      <c r="B5384" s="37">
        <v>45588</v>
      </c>
      <c r="C5384" s="36" t="s">
        <v>2006</v>
      </c>
      <c r="D5384" s="36" t="s">
        <v>2160</v>
      </c>
      <c r="E5384" s="36" t="s">
        <v>2351</v>
      </c>
      <c r="J5384" s="87">
        <v>9451200</v>
      </c>
      <c r="K5384" s="85">
        <v>2024</v>
      </c>
      <c r="L5384" s="85">
        <v>6</v>
      </c>
      <c r="N5384" s="1" t="s">
        <v>44</v>
      </c>
    </row>
    <row r="5385" spans="1:14">
      <c r="A5385" s="36" t="s">
        <v>33</v>
      </c>
      <c r="B5385" s="37">
        <v>45588</v>
      </c>
      <c r="C5385" s="36" t="s">
        <v>2006</v>
      </c>
      <c r="D5385" s="36" t="s">
        <v>2160</v>
      </c>
      <c r="E5385" s="36" t="s">
        <v>2352</v>
      </c>
      <c r="J5385" s="87">
        <v>6039000</v>
      </c>
      <c r="K5385" s="85">
        <v>2024</v>
      </c>
      <c r="L5385" s="85">
        <v>7</v>
      </c>
      <c r="N5385" s="1" t="s">
        <v>44</v>
      </c>
    </row>
    <row r="5386" spans="1:14">
      <c r="A5386" s="36" t="s">
        <v>32</v>
      </c>
      <c r="B5386" s="37">
        <v>45593</v>
      </c>
      <c r="C5386" s="36" t="s">
        <v>2279</v>
      </c>
      <c r="D5386" s="36" t="s">
        <v>2283</v>
      </c>
      <c r="E5386" s="36" t="s">
        <v>2315</v>
      </c>
      <c r="J5386" s="38">
        <v>21128000</v>
      </c>
      <c r="K5386" s="85">
        <v>2024</v>
      </c>
      <c r="L5386" s="85">
        <v>8</v>
      </c>
      <c r="N5386" s="1" t="s">
        <v>44</v>
      </c>
    </row>
    <row r="5387" spans="1:14">
      <c r="A5387" s="36" t="s">
        <v>32</v>
      </c>
      <c r="B5387" s="37">
        <v>45593</v>
      </c>
      <c r="C5387" s="36" t="s">
        <v>209</v>
      </c>
      <c r="D5387" s="36" t="s">
        <v>2333</v>
      </c>
      <c r="E5387" s="36" t="s">
        <v>2356</v>
      </c>
      <c r="J5387" s="87">
        <v>14502950</v>
      </c>
      <c r="K5387" s="85">
        <v>2024</v>
      </c>
      <c r="L5387" s="85">
        <v>9</v>
      </c>
      <c r="N5387" s="1" t="s">
        <v>44</v>
      </c>
    </row>
    <row r="5388" spans="1:14">
      <c r="A5388" s="36" t="s">
        <v>32</v>
      </c>
      <c r="B5388" s="37">
        <v>45594</v>
      </c>
      <c r="C5388" s="36" t="s">
        <v>1587</v>
      </c>
      <c r="D5388" s="36" t="s">
        <v>2338</v>
      </c>
      <c r="E5388" s="36" t="s">
        <v>2357</v>
      </c>
      <c r="J5388" s="87">
        <v>6259454.2999999998</v>
      </c>
      <c r="K5388" s="85">
        <v>2024</v>
      </c>
      <c r="L5388" s="85">
        <v>9</v>
      </c>
      <c r="N5388" s="1" t="s">
        <v>44</v>
      </c>
    </row>
    <row r="5389" spans="1:14">
      <c r="A5389" s="36" t="s">
        <v>32</v>
      </c>
      <c r="B5389" s="37">
        <v>45595</v>
      </c>
      <c r="C5389" s="36" t="s">
        <v>209</v>
      </c>
      <c r="D5389" s="36" t="s">
        <v>1699</v>
      </c>
      <c r="E5389" s="36" t="s">
        <v>2358</v>
      </c>
      <c r="J5389" s="87">
        <v>7749720</v>
      </c>
      <c r="K5389" s="85">
        <v>2024</v>
      </c>
      <c r="L5389" s="85">
        <v>9</v>
      </c>
      <c r="M5389" s="36" t="s">
        <v>2359</v>
      </c>
      <c r="N5389" s="1" t="s">
        <v>44</v>
      </c>
    </row>
    <row r="5390" spans="1:14">
      <c r="A5390" s="36" t="s">
        <v>32</v>
      </c>
      <c r="B5390" s="37">
        <v>45595</v>
      </c>
      <c r="C5390" s="36" t="s">
        <v>209</v>
      </c>
      <c r="D5390" s="36" t="s">
        <v>2024</v>
      </c>
      <c r="E5390" s="36" t="s">
        <v>2360</v>
      </c>
      <c r="J5390" s="87">
        <v>7448760</v>
      </c>
      <c r="K5390" s="85">
        <v>2024</v>
      </c>
      <c r="L5390" s="85">
        <v>9</v>
      </c>
      <c r="M5390" s="36" t="s">
        <v>2359</v>
      </c>
      <c r="N5390" s="1" t="s">
        <v>44</v>
      </c>
    </row>
    <row r="5391" spans="1:14">
      <c r="A5391" s="36" t="s">
        <v>32</v>
      </c>
      <c r="B5391" s="37">
        <v>45596</v>
      </c>
      <c r="C5391" s="36" t="s">
        <v>1470</v>
      </c>
      <c r="D5391" s="36" t="s">
        <v>1821</v>
      </c>
      <c r="E5391" s="36" t="s">
        <v>148</v>
      </c>
      <c r="J5391" s="87">
        <v>165370150</v>
      </c>
      <c r="K5391" s="85">
        <v>2024</v>
      </c>
      <c r="L5391" s="85">
        <v>9</v>
      </c>
      <c r="N5391" s="1" t="s">
        <v>44</v>
      </c>
    </row>
    <row r="5392" spans="1:14">
      <c r="A5392" s="36" t="s">
        <v>32</v>
      </c>
      <c r="B5392" s="37">
        <v>45596</v>
      </c>
      <c r="C5392" s="36" t="s">
        <v>334</v>
      </c>
      <c r="D5392" s="36" t="s">
        <v>2291</v>
      </c>
      <c r="E5392" s="36" t="s">
        <v>148</v>
      </c>
      <c r="J5392" s="87">
        <v>7700000</v>
      </c>
      <c r="K5392" s="85">
        <v>2024</v>
      </c>
      <c r="L5392" s="85">
        <v>9</v>
      </c>
      <c r="N5392" s="1" t="s">
        <v>44</v>
      </c>
    </row>
    <row r="5393" spans="1:14">
      <c r="A5393" s="36" t="s">
        <v>32</v>
      </c>
      <c r="B5393" s="37">
        <v>45596</v>
      </c>
      <c r="C5393" s="36" t="s">
        <v>264</v>
      </c>
      <c r="D5393" s="36" t="s">
        <v>2335</v>
      </c>
      <c r="E5393" s="36" t="s">
        <v>2362</v>
      </c>
      <c r="J5393" s="87">
        <v>44550000</v>
      </c>
      <c r="K5393" s="85">
        <v>2024</v>
      </c>
      <c r="L5393" s="85">
        <v>9</v>
      </c>
      <c r="N5393" s="1" t="s">
        <v>44</v>
      </c>
    </row>
    <row r="5394" spans="1:14">
      <c r="A5394" s="36" t="s">
        <v>33</v>
      </c>
      <c r="B5394" s="37">
        <v>45535</v>
      </c>
      <c r="C5394" s="36" t="s">
        <v>1391</v>
      </c>
      <c r="D5394" s="36" t="s">
        <v>197</v>
      </c>
      <c r="E5394" s="36" t="s">
        <v>2363</v>
      </c>
      <c r="J5394" s="87">
        <v>23073600</v>
      </c>
      <c r="K5394" s="85">
        <v>2024</v>
      </c>
      <c r="L5394" s="85">
        <v>8</v>
      </c>
      <c r="N5394" s="1" t="s">
        <v>44</v>
      </c>
    </row>
    <row r="5395" spans="1:14">
      <c r="A5395" s="36" t="s">
        <v>33</v>
      </c>
      <c r="B5395" s="37">
        <v>45596</v>
      </c>
      <c r="C5395" s="36" t="s">
        <v>1914</v>
      </c>
      <c r="D5395" s="36" t="s">
        <v>1915</v>
      </c>
      <c r="E5395" s="36" t="s">
        <v>2362</v>
      </c>
      <c r="J5395" s="87">
        <v>924000</v>
      </c>
      <c r="K5395" s="85">
        <v>2024</v>
      </c>
      <c r="L5395" s="85">
        <v>9</v>
      </c>
      <c r="N5395" s="1" t="s">
        <v>44</v>
      </c>
    </row>
    <row r="5396" spans="1:14">
      <c r="A5396" s="36" t="s">
        <v>33</v>
      </c>
      <c r="B5396" s="37">
        <v>45596</v>
      </c>
      <c r="C5396" s="36" t="s">
        <v>2122</v>
      </c>
      <c r="D5396" s="36" t="s">
        <v>1921</v>
      </c>
      <c r="E5396" s="36" t="s">
        <v>148</v>
      </c>
      <c r="J5396" s="87">
        <v>693000</v>
      </c>
      <c r="K5396" s="85">
        <v>2024</v>
      </c>
      <c r="L5396" s="85">
        <v>9</v>
      </c>
      <c r="N5396" s="1" t="s">
        <v>44</v>
      </c>
    </row>
    <row r="5397" spans="1:14">
      <c r="A5397" s="36" t="s">
        <v>33</v>
      </c>
      <c r="B5397" s="37">
        <v>45596</v>
      </c>
      <c r="C5397" s="36" t="s">
        <v>2322</v>
      </c>
      <c r="D5397" s="36" t="s">
        <v>197</v>
      </c>
      <c r="E5397" s="36" t="s">
        <v>2362</v>
      </c>
      <c r="J5397" s="87">
        <v>1054900</v>
      </c>
      <c r="K5397" s="85">
        <v>2024</v>
      </c>
      <c r="L5397" s="85">
        <v>9</v>
      </c>
      <c r="N5397" s="1" t="s">
        <v>44</v>
      </c>
    </row>
    <row r="5398" spans="1:14">
      <c r="A5398" s="36" t="s">
        <v>33</v>
      </c>
      <c r="B5398" s="37">
        <v>45596</v>
      </c>
      <c r="C5398" s="36" t="s">
        <v>96</v>
      </c>
      <c r="D5398" s="36" t="s">
        <v>97</v>
      </c>
      <c r="E5398" s="36" t="s">
        <v>148</v>
      </c>
      <c r="J5398" s="87">
        <v>1331000</v>
      </c>
      <c r="K5398" s="85">
        <v>2024</v>
      </c>
      <c r="L5398" s="85">
        <v>9</v>
      </c>
      <c r="N5398" s="1" t="s">
        <v>44</v>
      </c>
    </row>
    <row r="5399" spans="1:14">
      <c r="A5399" s="36" t="s">
        <v>33</v>
      </c>
      <c r="B5399" s="37">
        <v>45596</v>
      </c>
      <c r="C5399" s="36" t="s">
        <v>2116</v>
      </c>
      <c r="D5399" s="36" t="s">
        <v>2117</v>
      </c>
      <c r="E5399" s="36" t="s">
        <v>148</v>
      </c>
      <c r="J5399" s="87">
        <v>2433200</v>
      </c>
      <c r="K5399" s="85">
        <v>2024</v>
      </c>
      <c r="L5399" s="85">
        <v>9</v>
      </c>
      <c r="N5399" s="1" t="s">
        <v>44</v>
      </c>
    </row>
    <row r="5400" spans="1:14">
      <c r="A5400" s="36" t="s">
        <v>33</v>
      </c>
      <c r="B5400" s="37">
        <v>45596</v>
      </c>
      <c r="C5400" s="36" t="s">
        <v>2109</v>
      </c>
      <c r="D5400" s="36" t="s">
        <v>1915</v>
      </c>
      <c r="E5400" s="36" t="s">
        <v>148</v>
      </c>
      <c r="J5400" s="87">
        <v>654500</v>
      </c>
      <c r="K5400" s="85">
        <v>2024</v>
      </c>
      <c r="L5400" s="85">
        <v>9</v>
      </c>
      <c r="N5400" s="1" t="s">
        <v>44</v>
      </c>
    </row>
    <row r="5401" spans="1:14">
      <c r="A5401" s="36" t="s">
        <v>33</v>
      </c>
      <c r="B5401" s="37">
        <v>45596</v>
      </c>
      <c r="C5401" s="36" t="s">
        <v>1919</v>
      </c>
      <c r="D5401" s="36" t="s">
        <v>1754</v>
      </c>
      <c r="E5401" s="36" t="s">
        <v>148</v>
      </c>
      <c r="J5401" s="87">
        <v>1478400</v>
      </c>
      <c r="K5401" s="85">
        <v>2024</v>
      </c>
      <c r="L5401" s="85">
        <v>9</v>
      </c>
      <c r="N5401" s="1" t="s">
        <v>44</v>
      </c>
    </row>
    <row r="5402" spans="1:14">
      <c r="A5402" s="36" t="s">
        <v>33</v>
      </c>
      <c r="B5402" s="37">
        <v>45596</v>
      </c>
      <c r="C5402" s="36" t="s">
        <v>1391</v>
      </c>
      <c r="D5402" s="36" t="s">
        <v>2273</v>
      </c>
      <c r="E5402" s="36" t="s">
        <v>2364</v>
      </c>
      <c r="J5402" s="87">
        <v>595100</v>
      </c>
      <c r="K5402" s="85">
        <v>2024</v>
      </c>
      <c r="L5402" s="85">
        <v>9</v>
      </c>
      <c r="N5402" s="1" t="s">
        <v>44</v>
      </c>
    </row>
    <row r="5403" spans="1:14">
      <c r="A5403" s="36" t="s">
        <v>32</v>
      </c>
      <c r="B5403" s="37">
        <v>45597</v>
      </c>
      <c r="C5403" s="36" t="s">
        <v>654</v>
      </c>
      <c r="D5403" s="36" t="s">
        <v>1941</v>
      </c>
      <c r="E5403" s="36" t="s">
        <v>2365</v>
      </c>
      <c r="J5403" s="87">
        <v>55821832</v>
      </c>
      <c r="K5403" s="85">
        <v>2024</v>
      </c>
      <c r="L5403" s="85">
        <v>9</v>
      </c>
      <c r="N5403" s="1" t="s">
        <v>44</v>
      </c>
    </row>
    <row r="5404" spans="1:14">
      <c r="A5404" s="36" t="s">
        <v>33</v>
      </c>
      <c r="B5404" s="37">
        <v>45596</v>
      </c>
      <c r="C5404" s="36" t="s">
        <v>1914</v>
      </c>
      <c r="D5404" s="36" t="s">
        <v>1915</v>
      </c>
      <c r="E5404" s="36" t="s">
        <v>165</v>
      </c>
      <c r="G5404" s="87">
        <v>840000</v>
      </c>
      <c r="H5404" s="87">
        <v>84000</v>
      </c>
      <c r="I5404" s="87">
        <v>924000</v>
      </c>
      <c r="K5404" s="85">
        <v>2024</v>
      </c>
      <c r="L5404" s="85">
        <v>10</v>
      </c>
      <c r="N5404" s="1" t="s">
        <v>44</v>
      </c>
    </row>
    <row r="5405" spans="1:14">
      <c r="A5405" s="36" t="s">
        <v>33</v>
      </c>
      <c r="B5405" s="37">
        <v>45596</v>
      </c>
      <c r="C5405" s="36" t="s">
        <v>2122</v>
      </c>
      <c r="D5405" s="36" t="s">
        <v>1921</v>
      </c>
      <c r="E5405" s="36" t="s">
        <v>157</v>
      </c>
      <c r="G5405" s="87">
        <v>210000</v>
      </c>
      <c r="H5405" s="87">
        <v>21000</v>
      </c>
      <c r="I5405" s="87">
        <v>231000</v>
      </c>
      <c r="K5405" s="85">
        <v>2024</v>
      </c>
      <c r="L5405" s="85">
        <v>10</v>
      </c>
      <c r="N5405" s="1" t="s">
        <v>44</v>
      </c>
    </row>
    <row r="5406" spans="1:14">
      <c r="A5406" s="36" t="s">
        <v>33</v>
      </c>
      <c r="B5406" s="37">
        <v>45596</v>
      </c>
      <c r="C5406" s="36" t="s">
        <v>2803</v>
      </c>
      <c r="D5406" s="36" t="s">
        <v>2271</v>
      </c>
      <c r="E5406" s="36" t="s">
        <v>2366</v>
      </c>
      <c r="G5406" s="87">
        <v>441000</v>
      </c>
      <c r="H5406" s="87">
        <v>44100</v>
      </c>
      <c r="I5406" s="87">
        <v>485100</v>
      </c>
      <c r="K5406" s="85">
        <v>2024</v>
      </c>
      <c r="L5406" s="85">
        <v>10</v>
      </c>
      <c r="N5406" s="1" t="s">
        <v>44</v>
      </c>
    </row>
    <row r="5407" spans="1:14">
      <c r="A5407" s="36" t="s">
        <v>33</v>
      </c>
      <c r="B5407" s="37">
        <v>45596</v>
      </c>
      <c r="C5407" s="36" t="s">
        <v>2322</v>
      </c>
      <c r="D5407" s="36" t="s">
        <v>197</v>
      </c>
      <c r="E5407" s="36" t="s">
        <v>2367</v>
      </c>
      <c r="G5407" s="87">
        <v>567000</v>
      </c>
      <c r="H5407" s="87">
        <v>56700</v>
      </c>
      <c r="I5407" s="87">
        <v>623700</v>
      </c>
      <c r="K5407" s="85">
        <v>2024</v>
      </c>
      <c r="L5407" s="85">
        <v>10</v>
      </c>
      <c r="N5407" s="1" t="s">
        <v>44</v>
      </c>
    </row>
    <row r="5408" spans="1:14">
      <c r="A5408" s="36" t="s">
        <v>32</v>
      </c>
      <c r="B5408" s="37">
        <v>45601</v>
      </c>
      <c r="C5408" s="36" t="s">
        <v>2331</v>
      </c>
      <c r="D5408" s="36" t="s">
        <v>2339</v>
      </c>
      <c r="E5408" s="36" t="s">
        <v>148</v>
      </c>
      <c r="J5408" s="87">
        <v>19360110</v>
      </c>
      <c r="K5408" s="85">
        <v>2024</v>
      </c>
      <c r="L5408" s="85">
        <v>9</v>
      </c>
      <c r="N5408" s="1" t="s">
        <v>44</v>
      </c>
    </row>
    <row r="5409" spans="1:14">
      <c r="A5409" s="36" t="s">
        <v>33</v>
      </c>
      <c r="B5409" s="37">
        <v>45596</v>
      </c>
      <c r="C5409" s="36" t="s">
        <v>1569</v>
      </c>
      <c r="D5409" s="36" t="s">
        <v>1412</v>
      </c>
      <c r="E5409" s="36" t="s">
        <v>1653</v>
      </c>
      <c r="G5409" s="87">
        <v>2721000</v>
      </c>
      <c r="H5409" s="87">
        <v>272100</v>
      </c>
      <c r="I5409" s="87">
        <v>2993100</v>
      </c>
      <c r="K5409" s="85">
        <v>2024</v>
      </c>
      <c r="L5409" s="85">
        <v>10</v>
      </c>
      <c r="N5409" s="1" t="s">
        <v>44</v>
      </c>
    </row>
    <row r="5410" spans="1:14">
      <c r="A5410" s="36" t="s">
        <v>33</v>
      </c>
      <c r="B5410" s="37">
        <v>45596</v>
      </c>
      <c r="C5410" s="36" t="s">
        <v>1218</v>
      </c>
      <c r="D5410" s="36" t="s">
        <v>1921</v>
      </c>
      <c r="E5410" s="36" t="s">
        <v>1492</v>
      </c>
      <c r="G5410" s="87">
        <v>5000000</v>
      </c>
      <c r="H5410" s="87">
        <v>500000</v>
      </c>
      <c r="I5410" s="87">
        <v>5500000</v>
      </c>
      <c r="K5410" s="85">
        <v>2024</v>
      </c>
      <c r="L5410" s="85">
        <v>10</v>
      </c>
      <c r="N5410" s="1" t="s">
        <v>44</v>
      </c>
    </row>
    <row r="5411" spans="1:14">
      <c r="A5411" s="36" t="s">
        <v>33</v>
      </c>
      <c r="B5411" s="37">
        <v>45596</v>
      </c>
      <c r="C5411" s="36" t="s">
        <v>1569</v>
      </c>
      <c r="D5411" s="36" t="s">
        <v>1227</v>
      </c>
      <c r="E5411" s="36" t="s">
        <v>1492</v>
      </c>
      <c r="G5411" s="87">
        <v>2163600</v>
      </c>
      <c r="H5411" s="87">
        <v>216360</v>
      </c>
      <c r="I5411" s="87">
        <v>2379960</v>
      </c>
      <c r="K5411" s="85">
        <v>2024</v>
      </c>
      <c r="L5411" s="85">
        <v>10</v>
      </c>
      <c r="N5411" s="1" t="s">
        <v>44</v>
      </c>
    </row>
    <row r="5412" spans="1:14">
      <c r="A5412" s="36" t="s">
        <v>33</v>
      </c>
      <c r="B5412" s="37">
        <v>45596</v>
      </c>
      <c r="C5412" s="36" t="s">
        <v>1569</v>
      </c>
      <c r="D5412" s="36" t="s">
        <v>1431</v>
      </c>
      <c r="E5412" s="36" t="s">
        <v>1492</v>
      </c>
      <c r="G5412" s="87">
        <v>7821600</v>
      </c>
      <c r="H5412" s="87">
        <v>782160</v>
      </c>
      <c r="I5412" s="87">
        <v>8603760</v>
      </c>
      <c r="K5412" s="85">
        <v>2024</v>
      </c>
      <c r="L5412" s="85">
        <v>10</v>
      </c>
      <c r="N5412" s="1" t="s">
        <v>44</v>
      </c>
    </row>
    <row r="5413" spans="1:14">
      <c r="A5413" s="36" t="s">
        <v>33</v>
      </c>
      <c r="B5413" s="37">
        <v>45596</v>
      </c>
      <c r="C5413" s="36" t="s">
        <v>2368</v>
      </c>
      <c r="D5413" s="36" t="s">
        <v>2369</v>
      </c>
      <c r="E5413" s="36" t="s">
        <v>2370</v>
      </c>
      <c r="G5413" s="87">
        <v>2954000</v>
      </c>
      <c r="H5413" s="87">
        <v>295400</v>
      </c>
      <c r="I5413" s="87">
        <v>3249400</v>
      </c>
      <c r="K5413" s="85">
        <v>2024</v>
      </c>
      <c r="L5413" s="85">
        <v>10</v>
      </c>
      <c r="N5413" s="1" t="s">
        <v>44</v>
      </c>
    </row>
    <row r="5414" spans="1:14">
      <c r="A5414" s="36" t="s">
        <v>33</v>
      </c>
      <c r="B5414" s="37">
        <v>45596</v>
      </c>
      <c r="C5414" s="36" t="s">
        <v>2109</v>
      </c>
      <c r="D5414" s="36" t="s">
        <v>1915</v>
      </c>
      <c r="E5414" s="36" t="s">
        <v>2371</v>
      </c>
      <c r="G5414" s="87">
        <v>434000</v>
      </c>
      <c r="H5414" s="87">
        <v>43400</v>
      </c>
      <c r="I5414" s="87">
        <v>477400</v>
      </c>
      <c r="K5414" s="85">
        <v>2024</v>
      </c>
      <c r="L5414" s="85">
        <v>10</v>
      </c>
      <c r="N5414" s="1" t="s">
        <v>44</v>
      </c>
    </row>
    <row r="5415" spans="1:14">
      <c r="A5415" s="36" t="s">
        <v>32</v>
      </c>
      <c r="B5415" s="37">
        <v>45603</v>
      </c>
      <c r="C5415" s="36" t="s">
        <v>1862</v>
      </c>
      <c r="D5415" s="36" t="s">
        <v>1874</v>
      </c>
      <c r="E5415" s="36" t="s">
        <v>148</v>
      </c>
      <c r="J5415" s="87">
        <v>4158000</v>
      </c>
      <c r="K5415" s="85">
        <v>2024</v>
      </c>
      <c r="L5415" s="85">
        <v>7</v>
      </c>
      <c r="N5415" s="1" t="s">
        <v>44</v>
      </c>
    </row>
    <row r="5416" spans="1:14">
      <c r="A5416" s="36" t="s">
        <v>33</v>
      </c>
      <c r="B5416" s="37">
        <v>45596</v>
      </c>
      <c r="C5416" s="36" t="s">
        <v>2223</v>
      </c>
      <c r="D5416" s="36" t="s">
        <v>2261</v>
      </c>
      <c r="E5416" s="36" t="s">
        <v>1492</v>
      </c>
      <c r="G5416" s="87">
        <v>3223767</v>
      </c>
      <c r="H5416" s="87">
        <v>322376</v>
      </c>
      <c r="I5416" s="87">
        <v>3546143</v>
      </c>
      <c r="K5416" s="85">
        <v>2024</v>
      </c>
      <c r="L5416" s="85">
        <v>10</v>
      </c>
      <c r="N5416" s="1" t="s">
        <v>44</v>
      </c>
    </row>
    <row r="5417" spans="1:14">
      <c r="A5417" s="36" t="s">
        <v>32</v>
      </c>
      <c r="B5417" s="37">
        <v>45603</v>
      </c>
      <c r="C5417" s="36" t="s">
        <v>1198</v>
      </c>
      <c r="D5417" s="36" t="s">
        <v>2288</v>
      </c>
      <c r="E5417" s="36" t="s">
        <v>2373</v>
      </c>
      <c r="J5417" s="87">
        <v>4362600</v>
      </c>
      <c r="K5417" s="85">
        <v>2024</v>
      </c>
      <c r="L5417" s="85">
        <v>8</v>
      </c>
      <c r="M5417" s="254" t="s">
        <v>2372</v>
      </c>
      <c r="N5417" s="1" t="s">
        <v>44</v>
      </c>
    </row>
    <row r="5418" spans="1:14">
      <c r="A5418" s="36" t="s">
        <v>32</v>
      </c>
      <c r="B5418" s="37">
        <v>45603</v>
      </c>
      <c r="C5418" s="36" t="s">
        <v>1198</v>
      </c>
      <c r="D5418" s="36" t="s">
        <v>2288</v>
      </c>
      <c r="E5418" s="36" t="s">
        <v>2374</v>
      </c>
      <c r="J5418" s="87">
        <v>5313000</v>
      </c>
      <c r="K5418" s="85">
        <v>2024</v>
      </c>
      <c r="L5418" s="85">
        <v>9</v>
      </c>
      <c r="M5418" s="254" t="s">
        <v>2372</v>
      </c>
      <c r="N5418" s="1" t="s">
        <v>44</v>
      </c>
    </row>
    <row r="5419" spans="1:14">
      <c r="A5419" s="36" t="s">
        <v>32</v>
      </c>
      <c r="B5419" s="37">
        <v>45604</v>
      </c>
      <c r="C5419" s="36" t="s">
        <v>1467</v>
      </c>
      <c r="D5419" s="36" t="s">
        <v>1750</v>
      </c>
      <c r="E5419" s="36" t="s">
        <v>2375</v>
      </c>
      <c r="J5419" s="87">
        <v>1976920</v>
      </c>
      <c r="K5419" s="85">
        <v>2024</v>
      </c>
      <c r="L5419" s="85">
        <v>7</v>
      </c>
      <c r="M5419" s="36" t="s">
        <v>2379</v>
      </c>
      <c r="N5419" s="1" t="s">
        <v>44</v>
      </c>
    </row>
    <row r="5420" spans="1:14">
      <c r="A5420" s="36" t="s">
        <v>32</v>
      </c>
      <c r="B5420" s="37">
        <v>45604</v>
      </c>
      <c r="C5420" s="36" t="s">
        <v>1467</v>
      </c>
      <c r="D5420" s="36" t="s">
        <v>1814</v>
      </c>
      <c r="E5420" s="36" t="s">
        <v>2376</v>
      </c>
      <c r="J5420" s="87">
        <v>10285000</v>
      </c>
      <c r="K5420" s="85">
        <v>2024</v>
      </c>
      <c r="L5420" s="85">
        <v>8</v>
      </c>
      <c r="M5420" s="36" t="s">
        <v>2378</v>
      </c>
      <c r="N5420" s="1" t="s">
        <v>44</v>
      </c>
    </row>
    <row r="5421" spans="1:14">
      <c r="A5421" s="36" t="s">
        <v>32</v>
      </c>
      <c r="B5421" s="37">
        <v>45604</v>
      </c>
      <c r="C5421" s="36" t="s">
        <v>1467</v>
      </c>
      <c r="D5421" s="36" t="s">
        <v>1869</v>
      </c>
      <c r="E5421" s="36" t="s">
        <v>2377</v>
      </c>
      <c r="J5421" s="38">
        <v>7763470</v>
      </c>
      <c r="K5421" s="85">
        <v>2024</v>
      </c>
      <c r="L5421" s="85">
        <v>9</v>
      </c>
      <c r="M5421" s="36" t="s">
        <v>2389</v>
      </c>
      <c r="N5421" s="1" t="s">
        <v>44</v>
      </c>
    </row>
    <row r="5422" spans="1:14">
      <c r="A5422" s="36" t="s">
        <v>33</v>
      </c>
      <c r="B5422" s="37">
        <v>45604</v>
      </c>
      <c r="C5422" s="36" t="s">
        <v>1467</v>
      </c>
      <c r="D5422" s="36" t="s">
        <v>2209</v>
      </c>
      <c r="E5422" s="36" t="s">
        <v>2385</v>
      </c>
      <c r="J5422" s="87">
        <v>7114800</v>
      </c>
      <c r="K5422" s="85">
        <v>2024</v>
      </c>
      <c r="L5422" s="85">
        <v>6</v>
      </c>
      <c r="M5422" s="36" t="s">
        <v>2386</v>
      </c>
      <c r="N5422" s="1" t="s">
        <v>44</v>
      </c>
    </row>
    <row r="5423" spans="1:14">
      <c r="A5423" s="36" t="s">
        <v>33</v>
      </c>
      <c r="B5423" s="37">
        <v>45604</v>
      </c>
      <c r="C5423" s="36" t="s">
        <v>1467</v>
      </c>
      <c r="D5423" s="36" t="s">
        <v>2013</v>
      </c>
      <c r="E5423" s="36" t="s">
        <v>2384</v>
      </c>
      <c r="J5423" s="87">
        <v>12910590</v>
      </c>
      <c r="K5423" s="85">
        <v>2024</v>
      </c>
      <c r="L5423" s="85">
        <v>6</v>
      </c>
      <c r="M5423" s="36" t="s">
        <v>2386</v>
      </c>
      <c r="N5423" s="1" t="s">
        <v>44</v>
      </c>
    </row>
    <row r="5424" spans="1:14">
      <c r="A5424" s="36" t="s">
        <v>32</v>
      </c>
      <c r="B5424" s="37">
        <v>45607</v>
      </c>
      <c r="C5424" s="36" t="s">
        <v>1467</v>
      </c>
      <c r="D5424" s="36" t="s">
        <v>1869</v>
      </c>
      <c r="E5424" s="36" t="s">
        <v>2387</v>
      </c>
      <c r="J5424" s="38">
        <v>1502930</v>
      </c>
      <c r="K5424" s="85">
        <v>2024</v>
      </c>
      <c r="L5424" s="85">
        <v>9</v>
      </c>
      <c r="M5424" s="36" t="s">
        <v>2388</v>
      </c>
      <c r="N5424" s="1" t="s">
        <v>44</v>
      </c>
    </row>
    <row r="5425" spans="1:14">
      <c r="A5425" s="36" t="s">
        <v>32</v>
      </c>
      <c r="B5425" s="37">
        <v>45590</v>
      </c>
      <c r="C5425" s="36" t="s">
        <v>1880</v>
      </c>
      <c r="D5425" s="36" t="s">
        <v>2396</v>
      </c>
      <c r="E5425" s="36" t="s">
        <v>76</v>
      </c>
      <c r="G5425" s="87">
        <v>3000000</v>
      </c>
      <c r="H5425" s="87">
        <v>300000</v>
      </c>
      <c r="I5425" s="87">
        <v>3300000</v>
      </c>
      <c r="K5425" s="85">
        <v>2024</v>
      </c>
      <c r="L5425" s="85">
        <v>10</v>
      </c>
      <c r="N5425" s="1" t="s">
        <v>44</v>
      </c>
    </row>
    <row r="5426" spans="1:14">
      <c r="A5426" s="36" t="s">
        <v>32</v>
      </c>
      <c r="B5426" s="37">
        <v>45570</v>
      </c>
      <c r="C5426" s="36" t="s">
        <v>1880</v>
      </c>
      <c r="D5426" s="36" t="s">
        <v>2078</v>
      </c>
      <c r="E5426" s="36" t="s">
        <v>76</v>
      </c>
      <c r="G5426" s="87">
        <v>5000000</v>
      </c>
      <c r="H5426" s="87">
        <v>500000</v>
      </c>
      <c r="I5426" s="87">
        <v>5500000</v>
      </c>
      <c r="K5426" s="85">
        <v>2024</v>
      </c>
      <c r="L5426" s="85">
        <v>10</v>
      </c>
      <c r="N5426" s="1" t="s">
        <v>44</v>
      </c>
    </row>
    <row r="5427" spans="1:14">
      <c r="A5427" s="36" t="s">
        <v>32</v>
      </c>
      <c r="B5427" s="37">
        <v>45590</v>
      </c>
      <c r="C5427" s="36" t="s">
        <v>209</v>
      </c>
      <c r="D5427" s="36" t="s">
        <v>1699</v>
      </c>
      <c r="E5427" s="36" t="s">
        <v>76</v>
      </c>
      <c r="G5427" s="87">
        <v>14473600</v>
      </c>
      <c r="H5427" s="87">
        <v>1447360</v>
      </c>
      <c r="I5427" s="87">
        <v>15920960</v>
      </c>
      <c r="K5427" s="85">
        <v>2024</v>
      </c>
      <c r="L5427" s="85">
        <v>10</v>
      </c>
      <c r="N5427" s="1" t="s">
        <v>44</v>
      </c>
    </row>
    <row r="5428" spans="1:14">
      <c r="A5428" s="36" t="s">
        <v>32</v>
      </c>
      <c r="B5428" s="37">
        <v>45590</v>
      </c>
      <c r="C5428" s="36" t="s">
        <v>209</v>
      </c>
      <c r="D5428" s="36" t="s">
        <v>1885</v>
      </c>
      <c r="E5428" s="36" t="s">
        <v>1492</v>
      </c>
      <c r="G5428" s="87">
        <v>2524200</v>
      </c>
      <c r="H5428" s="87">
        <v>252420</v>
      </c>
      <c r="I5428" s="87">
        <v>2776620</v>
      </c>
      <c r="K5428" s="85">
        <v>2024</v>
      </c>
      <c r="L5428" s="85">
        <v>10</v>
      </c>
      <c r="N5428" s="1" t="s">
        <v>44</v>
      </c>
    </row>
    <row r="5429" spans="1:14">
      <c r="A5429" s="36" t="s">
        <v>32</v>
      </c>
      <c r="B5429" s="37">
        <v>45595</v>
      </c>
      <c r="C5429" s="36" t="s">
        <v>209</v>
      </c>
      <c r="D5429" s="36" t="s">
        <v>1866</v>
      </c>
      <c r="E5429" s="36" t="s">
        <v>76</v>
      </c>
      <c r="G5429" s="87">
        <v>57680400</v>
      </c>
      <c r="H5429" s="87">
        <v>5768040</v>
      </c>
      <c r="I5429" s="87">
        <v>63448440</v>
      </c>
      <c r="K5429" s="85">
        <v>2024</v>
      </c>
      <c r="L5429" s="85">
        <v>10</v>
      </c>
      <c r="N5429" s="1" t="s">
        <v>44</v>
      </c>
    </row>
    <row r="5430" spans="1:14">
      <c r="A5430" s="36" t="s">
        <v>32</v>
      </c>
      <c r="B5430" s="37">
        <v>45595</v>
      </c>
      <c r="C5430" s="36" t="s">
        <v>209</v>
      </c>
      <c r="D5430" s="36" t="s">
        <v>2024</v>
      </c>
      <c r="E5430" s="36" t="s">
        <v>1492</v>
      </c>
      <c r="G5430" s="87">
        <v>10374000</v>
      </c>
      <c r="H5430" s="87">
        <v>1037400</v>
      </c>
      <c r="I5430" s="87">
        <v>11411400</v>
      </c>
      <c r="K5430" s="85">
        <v>2024</v>
      </c>
      <c r="L5430" s="85">
        <v>10</v>
      </c>
      <c r="N5430" s="1" t="s">
        <v>44</v>
      </c>
    </row>
    <row r="5431" spans="1:14">
      <c r="A5431" s="36" t="s">
        <v>32</v>
      </c>
      <c r="B5431" s="37">
        <v>45596</v>
      </c>
      <c r="C5431" s="36" t="s">
        <v>209</v>
      </c>
      <c r="D5431" s="36" t="s">
        <v>2333</v>
      </c>
      <c r="E5431" s="36" t="s">
        <v>76</v>
      </c>
      <c r="G5431" s="87">
        <v>13785095</v>
      </c>
      <c r="H5431" s="87">
        <v>1378509.5</v>
      </c>
      <c r="I5431" s="87">
        <v>15163604.5</v>
      </c>
      <c r="K5431" s="85">
        <v>2024</v>
      </c>
      <c r="L5431" s="85">
        <v>10</v>
      </c>
      <c r="N5431" s="1" t="s">
        <v>44</v>
      </c>
    </row>
    <row r="5432" spans="1:14">
      <c r="A5432" s="36" t="s">
        <v>32</v>
      </c>
      <c r="B5432" s="37">
        <v>45596</v>
      </c>
      <c r="C5432" s="36" t="s">
        <v>209</v>
      </c>
      <c r="D5432" s="36" t="s">
        <v>2171</v>
      </c>
      <c r="E5432" s="36" t="s">
        <v>1492</v>
      </c>
      <c r="G5432" s="87">
        <v>8221600</v>
      </c>
      <c r="H5432" s="87">
        <v>822160</v>
      </c>
      <c r="I5432" s="87">
        <v>9043760</v>
      </c>
      <c r="K5432" s="85">
        <v>2024</v>
      </c>
      <c r="L5432" s="85">
        <v>10</v>
      </c>
      <c r="N5432" s="1" t="s">
        <v>44</v>
      </c>
    </row>
    <row r="5433" spans="1:14">
      <c r="A5433" s="36" t="s">
        <v>32</v>
      </c>
      <c r="B5433" s="37">
        <v>45596</v>
      </c>
      <c r="C5433" s="36" t="s">
        <v>209</v>
      </c>
      <c r="D5433" s="36" t="s">
        <v>1892</v>
      </c>
      <c r="E5433" s="36" t="s">
        <v>1492</v>
      </c>
      <c r="G5433" s="87">
        <v>1465100</v>
      </c>
      <c r="H5433" s="87">
        <v>146510</v>
      </c>
      <c r="I5433" s="87">
        <v>1611610</v>
      </c>
      <c r="K5433" s="85">
        <v>2024</v>
      </c>
      <c r="L5433" s="85">
        <v>10</v>
      </c>
      <c r="N5433" s="1" t="s">
        <v>44</v>
      </c>
    </row>
    <row r="5434" spans="1:14">
      <c r="A5434" s="36" t="s">
        <v>32</v>
      </c>
      <c r="B5434" s="37">
        <v>45594</v>
      </c>
      <c r="C5434" s="36" t="s">
        <v>654</v>
      </c>
      <c r="D5434" s="36" t="s">
        <v>1854</v>
      </c>
      <c r="E5434" s="36" t="s">
        <v>76</v>
      </c>
      <c r="G5434" s="87">
        <v>17948220</v>
      </c>
      <c r="H5434" s="87">
        <v>1794822</v>
      </c>
      <c r="I5434" s="87">
        <v>19743042</v>
      </c>
      <c r="K5434" s="85">
        <v>2024</v>
      </c>
      <c r="L5434" s="85">
        <v>10</v>
      </c>
      <c r="N5434" s="1" t="s">
        <v>44</v>
      </c>
    </row>
    <row r="5435" spans="1:14">
      <c r="A5435" s="36" t="s">
        <v>32</v>
      </c>
      <c r="B5435" s="37">
        <v>45596</v>
      </c>
      <c r="C5435" s="36" t="s">
        <v>654</v>
      </c>
      <c r="D5435" s="36" t="s">
        <v>2397</v>
      </c>
      <c r="E5435" s="36" t="s">
        <v>76</v>
      </c>
      <c r="G5435" s="87">
        <v>15895400</v>
      </c>
      <c r="H5435" s="87">
        <v>1589540</v>
      </c>
      <c r="I5435" s="87">
        <v>17484940</v>
      </c>
      <c r="K5435" s="85">
        <v>2024</v>
      </c>
      <c r="L5435" s="85">
        <v>10</v>
      </c>
      <c r="N5435" s="1" t="s">
        <v>44</v>
      </c>
    </row>
    <row r="5436" spans="1:14">
      <c r="A5436" s="36" t="s">
        <v>32</v>
      </c>
      <c r="B5436" s="37">
        <v>45596</v>
      </c>
      <c r="C5436" s="36" t="s">
        <v>2279</v>
      </c>
      <c r="D5436" s="36" t="s">
        <v>2283</v>
      </c>
      <c r="E5436" s="36" t="s">
        <v>76</v>
      </c>
      <c r="G5436" s="87">
        <v>8120000</v>
      </c>
      <c r="H5436" s="87">
        <v>812000</v>
      </c>
      <c r="I5436" s="87">
        <v>8932000</v>
      </c>
      <c r="K5436" s="85">
        <v>2024</v>
      </c>
      <c r="L5436" s="85">
        <v>10</v>
      </c>
      <c r="N5436" s="1" t="s">
        <v>44</v>
      </c>
    </row>
    <row r="5437" spans="1:14">
      <c r="A5437" s="36" t="s">
        <v>32</v>
      </c>
      <c r="B5437" s="37">
        <v>45596</v>
      </c>
      <c r="C5437" s="36" t="s">
        <v>2390</v>
      </c>
      <c r="D5437" s="36" t="s">
        <v>2398</v>
      </c>
      <c r="E5437" s="36" t="s">
        <v>76</v>
      </c>
      <c r="G5437" s="87">
        <v>1120000</v>
      </c>
      <c r="H5437" s="87">
        <v>112000</v>
      </c>
      <c r="I5437" s="87">
        <v>1232000</v>
      </c>
      <c r="K5437" s="85">
        <v>2024</v>
      </c>
      <c r="L5437" s="85">
        <v>10</v>
      </c>
      <c r="N5437" s="1" t="s">
        <v>44</v>
      </c>
    </row>
    <row r="5438" spans="1:14">
      <c r="A5438" s="36" t="s">
        <v>32</v>
      </c>
      <c r="B5438" s="37">
        <v>45596</v>
      </c>
      <c r="C5438" s="36" t="s">
        <v>334</v>
      </c>
      <c r="D5438" s="36" t="s">
        <v>2399</v>
      </c>
      <c r="E5438" s="36" t="s">
        <v>76</v>
      </c>
      <c r="G5438" s="87">
        <v>4216000</v>
      </c>
      <c r="H5438" s="87">
        <v>421600</v>
      </c>
      <c r="I5438" s="87">
        <v>4637600</v>
      </c>
      <c r="K5438" s="85">
        <v>2024</v>
      </c>
      <c r="L5438" s="85">
        <v>10</v>
      </c>
      <c r="N5438" s="1" t="s">
        <v>44</v>
      </c>
    </row>
    <row r="5439" spans="1:14">
      <c r="A5439" s="36" t="s">
        <v>32</v>
      </c>
      <c r="B5439" s="37">
        <v>45596</v>
      </c>
      <c r="C5439" s="36" t="s">
        <v>1164</v>
      </c>
      <c r="D5439" s="36" t="s">
        <v>2172</v>
      </c>
      <c r="E5439" s="36" t="s">
        <v>76</v>
      </c>
      <c r="G5439" s="87">
        <v>7825000</v>
      </c>
      <c r="H5439" s="87">
        <v>782500</v>
      </c>
      <c r="I5439" s="87">
        <v>8607500</v>
      </c>
      <c r="K5439" s="85">
        <v>2024</v>
      </c>
      <c r="L5439" s="85">
        <v>10</v>
      </c>
      <c r="N5439" s="1" t="s">
        <v>44</v>
      </c>
    </row>
    <row r="5440" spans="1:14">
      <c r="A5440" s="36" t="s">
        <v>32</v>
      </c>
      <c r="B5440" s="37">
        <v>45596</v>
      </c>
      <c r="C5440" s="36" t="s">
        <v>2330</v>
      </c>
      <c r="D5440" s="36" t="s">
        <v>2334</v>
      </c>
      <c r="E5440" s="36" t="s">
        <v>76</v>
      </c>
      <c r="G5440" s="87">
        <v>1200000</v>
      </c>
      <c r="H5440" s="87">
        <v>120000</v>
      </c>
      <c r="I5440" s="87">
        <v>1320000</v>
      </c>
      <c r="K5440" s="85">
        <v>2024</v>
      </c>
      <c r="L5440" s="85">
        <v>10</v>
      </c>
      <c r="N5440" s="1" t="s">
        <v>44</v>
      </c>
    </row>
    <row r="5441" spans="1:14">
      <c r="A5441" s="36" t="s">
        <v>32</v>
      </c>
      <c r="B5441" s="37">
        <v>45596</v>
      </c>
      <c r="C5441" s="36" t="s">
        <v>206</v>
      </c>
      <c r="D5441" s="36" t="s">
        <v>2400</v>
      </c>
      <c r="E5441" s="36" t="s">
        <v>76</v>
      </c>
      <c r="G5441" s="87">
        <v>2111000</v>
      </c>
      <c r="H5441" s="87">
        <v>211100</v>
      </c>
      <c r="I5441" s="87">
        <v>2322100</v>
      </c>
      <c r="K5441" s="85">
        <v>2024</v>
      </c>
      <c r="L5441" s="85">
        <v>10</v>
      </c>
      <c r="N5441" s="1" t="s">
        <v>44</v>
      </c>
    </row>
    <row r="5442" spans="1:14">
      <c r="A5442" s="36" t="s">
        <v>32</v>
      </c>
      <c r="B5442" s="37">
        <v>45596</v>
      </c>
      <c r="C5442" s="36" t="s">
        <v>2167</v>
      </c>
      <c r="D5442" s="36" t="s">
        <v>2174</v>
      </c>
      <c r="E5442" s="36" t="s">
        <v>76</v>
      </c>
      <c r="G5442" s="87">
        <v>27180000</v>
      </c>
      <c r="H5442" s="87">
        <v>2718000</v>
      </c>
      <c r="I5442" s="87">
        <v>29898000</v>
      </c>
      <c r="K5442" s="85">
        <v>2024</v>
      </c>
      <c r="L5442" s="85">
        <v>10</v>
      </c>
      <c r="N5442" s="1" t="s">
        <v>44</v>
      </c>
    </row>
    <row r="5443" spans="1:14">
      <c r="A5443" s="36" t="s">
        <v>32</v>
      </c>
      <c r="B5443" s="37">
        <v>45596</v>
      </c>
      <c r="C5443" s="36" t="s">
        <v>2391</v>
      </c>
      <c r="D5443" s="36" t="s">
        <v>2401</v>
      </c>
      <c r="E5443" s="36" t="s">
        <v>2409</v>
      </c>
      <c r="G5443" s="87">
        <v>4900000</v>
      </c>
      <c r="H5443" s="87">
        <v>490000</v>
      </c>
      <c r="I5443" s="87">
        <v>5390000</v>
      </c>
      <c r="K5443" s="85">
        <v>2024</v>
      </c>
      <c r="L5443" s="85">
        <v>10</v>
      </c>
      <c r="N5443" s="1" t="s">
        <v>44</v>
      </c>
    </row>
    <row r="5444" spans="1:14">
      <c r="A5444" s="36" t="s">
        <v>32</v>
      </c>
      <c r="B5444" s="37">
        <v>45596</v>
      </c>
      <c r="C5444" s="36" t="s">
        <v>1468</v>
      </c>
      <c r="D5444" s="36" t="s">
        <v>2402</v>
      </c>
      <c r="E5444" s="36" t="s">
        <v>78</v>
      </c>
      <c r="G5444" s="87">
        <v>18450000</v>
      </c>
      <c r="H5444" s="87">
        <v>1845000</v>
      </c>
      <c r="I5444" s="87">
        <v>20295000</v>
      </c>
      <c r="K5444" s="85">
        <v>2024</v>
      </c>
      <c r="L5444" s="85">
        <v>10</v>
      </c>
      <c r="N5444" s="1" t="s">
        <v>44</v>
      </c>
    </row>
    <row r="5445" spans="1:14">
      <c r="A5445" s="36" t="s">
        <v>32</v>
      </c>
      <c r="B5445" s="37">
        <v>45596</v>
      </c>
      <c r="C5445" s="36" t="s">
        <v>1468</v>
      </c>
      <c r="D5445" s="36" t="s">
        <v>2402</v>
      </c>
      <c r="E5445" s="36" t="s">
        <v>1492</v>
      </c>
      <c r="G5445" s="87">
        <v>5164500</v>
      </c>
      <c r="H5445" s="87">
        <v>516450</v>
      </c>
      <c r="I5445" s="87">
        <v>5680950</v>
      </c>
      <c r="K5445" s="85">
        <v>2024</v>
      </c>
      <c r="L5445" s="85">
        <v>10</v>
      </c>
      <c r="N5445" s="1" t="s">
        <v>44</v>
      </c>
    </row>
    <row r="5446" spans="1:14">
      <c r="A5446" s="36" t="s">
        <v>32</v>
      </c>
      <c r="B5446" s="37">
        <v>45596</v>
      </c>
      <c r="C5446" s="36" t="s">
        <v>1198</v>
      </c>
      <c r="D5446" s="36" t="s">
        <v>2336</v>
      </c>
      <c r="E5446" s="36" t="s">
        <v>76</v>
      </c>
      <c r="G5446" s="87">
        <v>4447800</v>
      </c>
      <c r="H5446" s="87">
        <v>444780</v>
      </c>
      <c r="I5446" s="87">
        <v>4892580</v>
      </c>
      <c r="K5446" s="85">
        <v>2024</v>
      </c>
      <c r="L5446" s="85">
        <v>10</v>
      </c>
      <c r="N5446" s="1" t="s">
        <v>44</v>
      </c>
    </row>
    <row r="5447" spans="1:14">
      <c r="A5447" s="36" t="s">
        <v>32</v>
      </c>
      <c r="B5447" s="37">
        <v>45596</v>
      </c>
      <c r="C5447" s="36" t="s">
        <v>1198</v>
      </c>
      <c r="D5447" s="36" t="s">
        <v>2027</v>
      </c>
      <c r="E5447" s="36" t="s">
        <v>76</v>
      </c>
      <c r="G5447" s="87">
        <v>12788800</v>
      </c>
      <c r="H5447" s="87">
        <v>1278880</v>
      </c>
      <c r="I5447" s="87">
        <v>14067680</v>
      </c>
      <c r="K5447" s="85">
        <v>2024</v>
      </c>
      <c r="L5447" s="85">
        <v>10</v>
      </c>
      <c r="N5447" s="1" t="s">
        <v>44</v>
      </c>
    </row>
    <row r="5448" spans="1:14">
      <c r="A5448" s="36" t="s">
        <v>32</v>
      </c>
      <c r="B5448" s="37">
        <v>45596</v>
      </c>
      <c r="C5448" s="36" t="s">
        <v>1198</v>
      </c>
      <c r="D5448" s="36" t="s">
        <v>2403</v>
      </c>
      <c r="E5448" s="36" t="s">
        <v>76</v>
      </c>
      <c r="G5448" s="87">
        <v>1350000</v>
      </c>
      <c r="H5448" s="87">
        <v>135000</v>
      </c>
      <c r="I5448" s="87">
        <v>1485000</v>
      </c>
      <c r="K5448" s="85">
        <v>2024</v>
      </c>
      <c r="L5448" s="85">
        <v>10</v>
      </c>
      <c r="N5448" s="1" t="s">
        <v>44</v>
      </c>
    </row>
    <row r="5449" spans="1:14">
      <c r="A5449" s="36" t="s">
        <v>32</v>
      </c>
      <c r="B5449" s="37">
        <v>45596</v>
      </c>
      <c r="C5449" s="36" t="s">
        <v>1198</v>
      </c>
      <c r="D5449" s="36" t="s">
        <v>2289</v>
      </c>
      <c r="E5449" s="36" t="s">
        <v>76</v>
      </c>
      <c r="G5449" s="87">
        <v>7213200</v>
      </c>
      <c r="H5449" s="87">
        <v>721320</v>
      </c>
      <c r="I5449" s="87">
        <v>7934520</v>
      </c>
      <c r="K5449" s="85">
        <v>2024</v>
      </c>
      <c r="L5449" s="85">
        <v>10</v>
      </c>
      <c r="N5449" s="1" t="s">
        <v>44</v>
      </c>
    </row>
    <row r="5450" spans="1:14">
      <c r="A5450" s="36" t="s">
        <v>32</v>
      </c>
      <c r="B5450" s="37">
        <v>45596</v>
      </c>
      <c r="C5450" s="36" t="s">
        <v>1198</v>
      </c>
      <c r="D5450" s="36" t="s">
        <v>2176</v>
      </c>
      <c r="E5450" s="36" t="s">
        <v>76</v>
      </c>
      <c r="G5450" s="87">
        <v>1080000</v>
      </c>
      <c r="H5450" s="87">
        <v>108000</v>
      </c>
      <c r="I5450" s="87">
        <v>1188000</v>
      </c>
      <c r="K5450" s="85">
        <v>2024</v>
      </c>
      <c r="L5450" s="85">
        <v>10</v>
      </c>
      <c r="N5450" s="1" t="s">
        <v>44</v>
      </c>
    </row>
    <row r="5451" spans="1:14">
      <c r="A5451" s="36" t="s">
        <v>32</v>
      </c>
      <c r="B5451" s="37">
        <v>45596</v>
      </c>
      <c r="C5451" s="36" t="s">
        <v>1587</v>
      </c>
      <c r="D5451" s="36" t="s">
        <v>2410</v>
      </c>
      <c r="E5451" s="36" t="s">
        <v>1492</v>
      </c>
      <c r="G5451" s="87">
        <v>5037480</v>
      </c>
      <c r="H5451" s="87">
        <v>503748</v>
      </c>
      <c r="I5451" s="87">
        <v>5541228</v>
      </c>
      <c r="K5451" s="85">
        <v>2024</v>
      </c>
      <c r="L5451" s="85">
        <v>10</v>
      </c>
      <c r="N5451" s="1" t="s">
        <v>44</v>
      </c>
    </row>
    <row r="5452" spans="1:14">
      <c r="A5452" s="36" t="s">
        <v>32</v>
      </c>
      <c r="B5452" s="37">
        <v>45596</v>
      </c>
      <c r="C5452" s="36" t="s">
        <v>1587</v>
      </c>
      <c r="D5452" s="36" t="s">
        <v>2411</v>
      </c>
      <c r="E5452" s="36" t="s">
        <v>1492</v>
      </c>
      <c r="G5452" s="87">
        <v>8696160</v>
      </c>
      <c r="H5452" s="87">
        <v>869616</v>
      </c>
      <c r="I5452" s="87">
        <v>9565776</v>
      </c>
      <c r="K5452" s="85">
        <v>2024</v>
      </c>
      <c r="L5452" s="85">
        <v>10</v>
      </c>
      <c r="N5452" s="1" t="s">
        <v>44</v>
      </c>
    </row>
    <row r="5453" spans="1:14">
      <c r="A5453" s="36" t="s">
        <v>32</v>
      </c>
      <c r="B5453" s="37">
        <v>45596</v>
      </c>
      <c r="C5453" s="36" t="s">
        <v>2392</v>
      </c>
      <c r="D5453" s="36" t="s">
        <v>2404</v>
      </c>
      <c r="E5453" s="36" t="s">
        <v>76</v>
      </c>
      <c r="G5453" s="87">
        <v>16170000</v>
      </c>
      <c r="H5453" s="87">
        <v>1617000</v>
      </c>
      <c r="I5453" s="87">
        <v>17787000</v>
      </c>
      <c r="K5453" s="85">
        <v>2024</v>
      </c>
      <c r="L5453" s="85">
        <v>10</v>
      </c>
      <c r="N5453" s="1" t="s">
        <v>44</v>
      </c>
    </row>
    <row r="5454" spans="1:14">
      <c r="A5454" s="36" t="s">
        <v>32</v>
      </c>
      <c r="B5454" s="37">
        <v>45596</v>
      </c>
      <c r="C5454" s="36" t="s">
        <v>2331</v>
      </c>
      <c r="D5454" s="36" t="s">
        <v>2405</v>
      </c>
      <c r="E5454" s="36" t="s">
        <v>76</v>
      </c>
      <c r="G5454" s="87">
        <v>11733400</v>
      </c>
      <c r="H5454" s="87">
        <v>1173340</v>
      </c>
      <c r="I5454" s="87">
        <v>12906740</v>
      </c>
      <c r="K5454" s="85">
        <v>2024</v>
      </c>
      <c r="L5454" s="85">
        <v>10</v>
      </c>
      <c r="N5454" s="1" t="s">
        <v>44</v>
      </c>
    </row>
    <row r="5455" spans="1:14">
      <c r="A5455" s="36" t="s">
        <v>32</v>
      </c>
      <c r="B5455" s="37">
        <v>45596</v>
      </c>
      <c r="C5455" s="36" t="s">
        <v>2393</v>
      </c>
      <c r="D5455" s="36" t="s">
        <v>2406</v>
      </c>
      <c r="E5455" s="36" t="s">
        <v>78</v>
      </c>
      <c r="G5455" s="87">
        <v>7553360</v>
      </c>
      <c r="H5455" s="87">
        <v>755336</v>
      </c>
      <c r="I5455" s="87">
        <v>8308696</v>
      </c>
      <c r="K5455" s="85">
        <v>2024</v>
      </c>
      <c r="L5455" s="85">
        <v>10</v>
      </c>
      <c r="N5455" s="1" t="s">
        <v>44</v>
      </c>
    </row>
    <row r="5456" spans="1:14">
      <c r="A5456" s="36" t="s">
        <v>32</v>
      </c>
      <c r="B5456" s="37">
        <v>45596</v>
      </c>
      <c r="C5456" s="36" t="s">
        <v>2394</v>
      </c>
      <c r="D5456" s="36" t="s">
        <v>2407</v>
      </c>
      <c r="E5456" s="36" t="s">
        <v>76</v>
      </c>
      <c r="G5456" s="87">
        <v>17734080</v>
      </c>
      <c r="H5456" s="87">
        <v>1773408</v>
      </c>
      <c r="I5456" s="87">
        <v>19507488</v>
      </c>
      <c r="K5456" s="85">
        <v>2024</v>
      </c>
      <c r="L5456" s="85">
        <v>10</v>
      </c>
      <c r="N5456" s="1" t="s">
        <v>44</v>
      </c>
    </row>
    <row r="5457" spans="1:14">
      <c r="A5457" s="36" t="s">
        <v>32</v>
      </c>
      <c r="B5457" s="37">
        <v>45596</v>
      </c>
      <c r="C5457" s="36" t="s">
        <v>264</v>
      </c>
      <c r="D5457" s="36" t="s">
        <v>2408</v>
      </c>
      <c r="E5457" s="36" t="s">
        <v>76</v>
      </c>
      <c r="G5457" s="87">
        <v>37100000</v>
      </c>
      <c r="H5457" s="87">
        <v>3710000</v>
      </c>
      <c r="I5457" s="87">
        <v>40810000</v>
      </c>
      <c r="K5457" s="85">
        <v>2024</v>
      </c>
      <c r="L5457" s="85">
        <v>10</v>
      </c>
      <c r="N5457" s="1" t="s">
        <v>44</v>
      </c>
    </row>
    <row r="5458" spans="1:14">
      <c r="A5458" s="36" t="s">
        <v>32</v>
      </c>
      <c r="B5458" s="37">
        <v>45596</v>
      </c>
      <c r="C5458" s="36" t="s">
        <v>2062</v>
      </c>
      <c r="D5458" s="36" t="s">
        <v>2084</v>
      </c>
      <c r="E5458" s="36" t="s">
        <v>76</v>
      </c>
      <c r="G5458" s="87">
        <v>7000000</v>
      </c>
      <c r="H5458" s="87">
        <v>700000</v>
      </c>
      <c r="I5458" s="87">
        <v>7700000</v>
      </c>
      <c r="K5458" s="85">
        <v>2024</v>
      </c>
      <c r="L5458" s="85">
        <v>10</v>
      </c>
      <c r="N5458" s="1" t="s">
        <v>44</v>
      </c>
    </row>
    <row r="5459" spans="1:14">
      <c r="A5459" s="36" t="s">
        <v>32</v>
      </c>
      <c r="B5459" s="37">
        <v>45596</v>
      </c>
      <c r="C5459" s="36" t="s">
        <v>1470</v>
      </c>
      <c r="D5459" s="36" t="s">
        <v>1821</v>
      </c>
      <c r="E5459" s="36" t="s">
        <v>76</v>
      </c>
      <c r="G5459" s="87">
        <v>164961000</v>
      </c>
      <c r="H5459" s="87">
        <v>16496100</v>
      </c>
      <c r="I5459" s="87">
        <v>181457100</v>
      </c>
      <c r="K5459" s="85">
        <v>2024</v>
      </c>
      <c r="L5459" s="85">
        <v>10</v>
      </c>
      <c r="N5459" s="1" t="s">
        <v>44</v>
      </c>
    </row>
    <row r="5460" spans="1:14">
      <c r="A5460" s="36" t="s">
        <v>32</v>
      </c>
      <c r="B5460" s="37">
        <v>45596</v>
      </c>
      <c r="C5460" s="36" t="s">
        <v>334</v>
      </c>
      <c r="D5460" s="36" t="s">
        <v>2291</v>
      </c>
      <c r="E5460" s="36" t="s">
        <v>76</v>
      </c>
      <c r="G5460" s="87">
        <v>6000000</v>
      </c>
      <c r="H5460" s="87">
        <v>600000</v>
      </c>
      <c r="I5460" s="87">
        <v>6600000</v>
      </c>
      <c r="K5460" s="85">
        <v>2024</v>
      </c>
      <c r="L5460" s="85">
        <v>10</v>
      </c>
      <c r="N5460" s="1" t="s">
        <v>44</v>
      </c>
    </row>
    <row r="5461" spans="1:14">
      <c r="A5461" s="36" t="s">
        <v>32</v>
      </c>
      <c r="B5461" s="37">
        <v>45596</v>
      </c>
      <c r="C5461" s="36" t="s">
        <v>2395</v>
      </c>
      <c r="D5461" s="36" t="s">
        <v>2369</v>
      </c>
      <c r="E5461" s="36" t="s">
        <v>78</v>
      </c>
      <c r="G5461" s="87">
        <v>60588960</v>
      </c>
      <c r="H5461" s="87">
        <v>6058896</v>
      </c>
      <c r="I5461" s="87">
        <v>66647856</v>
      </c>
      <c r="K5461" s="85">
        <v>2024</v>
      </c>
      <c r="L5461" s="85">
        <v>10</v>
      </c>
      <c r="N5461" s="1" t="s">
        <v>44</v>
      </c>
    </row>
    <row r="5462" spans="1:14">
      <c r="A5462" s="36" t="s">
        <v>32</v>
      </c>
      <c r="B5462" s="37">
        <v>45590</v>
      </c>
      <c r="C5462" s="36" t="s">
        <v>1880</v>
      </c>
      <c r="D5462" s="36" t="s">
        <v>2396</v>
      </c>
      <c r="E5462" s="36" t="s">
        <v>2412</v>
      </c>
      <c r="J5462" s="38">
        <v>3300000</v>
      </c>
      <c r="K5462" s="85">
        <v>2024</v>
      </c>
      <c r="L5462" s="85">
        <v>10</v>
      </c>
      <c r="N5462" s="1" t="s">
        <v>44</v>
      </c>
    </row>
    <row r="5463" spans="1:14">
      <c r="A5463" s="36" t="s">
        <v>32</v>
      </c>
      <c r="B5463" s="37">
        <v>45604</v>
      </c>
      <c r="C5463" s="36" t="s">
        <v>1880</v>
      </c>
      <c r="D5463" s="36" t="s">
        <v>2078</v>
      </c>
      <c r="E5463" s="36" t="s">
        <v>2413</v>
      </c>
      <c r="J5463" s="38">
        <v>5500000</v>
      </c>
      <c r="K5463" s="85">
        <v>2024</v>
      </c>
      <c r="L5463" s="85">
        <v>10</v>
      </c>
      <c r="N5463" s="1" t="s">
        <v>44</v>
      </c>
    </row>
    <row r="5464" spans="1:14">
      <c r="A5464" s="36" t="s">
        <v>32</v>
      </c>
      <c r="B5464" s="37">
        <v>45604</v>
      </c>
      <c r="C5464" s="36" t="s">
        <v>209</v>
      </c>
      <c r="D5464" s="36" t="s">
        <v>1866</v>
      </c>
      <c r="E5464" s="36" t="s">
        <v>2414</v>
      </c>
      <c r="J5464" s="38">
        <v>63448440</v>
      </c>
      <c r="K5464" s="85">
        <v>2024</v>
      </c>
      <c r="L5464" s="85">
        <v>10</v>
      </c>
      <c r="N5464" s="1" t="s">
        <v>44</v>
      </c>
    </row>
    <row r="5465" spans="1:14">
      <c r="A5465" s="36" t="s">
        <v>32</v>
      </c>
      <c r="B5465" s="37">
        <v>45604</v>
      </c>
      <c r="C5465" s="36" t="s">
        <v>1164</v>
      </c>
      <c r="D5465" s="36" t="s">
        <v>2172</v>
      </c>
      <c r="E5465" s="36" t="s">
        <v>2415</v>
      </c>
      <c r="J5465" s="38">
        <v>8607500</v>
      </c>
      <c r="K5465" s="85">
        <v>2024</v>
      </c>
      <c r="L5465" s="85">
        <v>10</v>
      </c>
      <c r="N5465" s="1" t="s">
        <v>44</v>
      </c>
    </row>
    <row r="5466" spans="1:14">
      <c r="A5466" s="36" t="s">
        <v>32</v>
      </c>
      <c r="B5466" s="37">
        <v>45607</v>
      </c>
      <c r="C5466" s="36" t="s">
        <v>2393</v>
      </c>
      <c r="D5466" s="36" t="s">
        <v>2406</v>
      </c>
      <c r="E5466" s="36" t="s">
        <v>2416</v>
      </c>
      <c r="J5466" s="38">
        <v>8308696</v>
      </c>
      <c r="K5466" s="85">
        <v>2024</v>
      </c>
      <c r="L5466" s="85">
        <v>10</v>
      </c>
      <c r="N5466" s="1" t="s">
        <v>44</v>
      </c>
    </row>
    <row r="5467" spans="1:14">
      <c r="A5467" s="36" t="s">
        <v>33</v>
      </c>
      <c r="B5467" s="37">
        <v>45596</v>
      </c>
      <c r="C5467" s="36" t="s">
        <v>2417</v>
      </c>
      <c r="D5467" s="36" t="s">
        <v>2418</v>
      </c>
      <c r="E5467" s="36" t="s">
        <v>157</v>
      </c>
      <c r="G5467" s="87">
        <v>4410000</v>
      </c>
      <c r="H5467" s="87">
        <v>441000</v>
      </c>
      <c r="I5467" s="87">
        <v>4851000</v>
      </c>
      <c r="K5467" s="85">
        <v>2024</v>
      </c>
      <c r="L5467" s="85">
        <v>10</v>
      </c>
      <c r="N5467" s="1" t="s">
        <v>44</v>
      </c>
    </row>
    <row r="5468" spans="1:14">
      <c r="A5468" s="36" t="s">
        <v>33</v>
      </c>
      <c r="B5468" s="37">
        <v>45596</v>
      </c>
      <c r="C5468" s="36" t="s">
        <v>1391</v>
      </c>
      <c r="D5468" s="36" t="s">
        <v>197</v>
      </c>
      <c r="E5468" s="36" t="s">
        <v>2419</v>
      </c>
      <c r="G5468" s="87">
        <v>8910000</v>
      </c>
      <c r="H5468" s="87">
        <v>891000</v>
      </c>
      <c r="I5468" s="87">
        <v>9801000</v>
      </c>
      <c r="K5468" s="85">
        <v>2024</v>
      </c>
      <c r="L5468" s="85">
        <v>10</v>
      </c>
      <c r="N5468" s="1" t="s">
        <v>44</v>
      </c>
    </row>
    <row r="5469" spans="1:14">
      <c r="A5469" s="36" t="s">
        <v>33</v>
      </c>
      <c r="B5469" s="37">
        <v>45596</v>
      </c>
      <c r="C5469" s="36" t="s">
        <v>1391</v>
      </c>
      <c r="D5469" s="36" t="s">
        <v>2164</v>
      </c>
      <c r="E5469" s="36" t="s">
        <v>2419</v>
      </c>
      <c r="G5469" s="87">
        <v>16941000</v>
      </c>
      <c r="H5469" s="87">
        <v>1694100</v>
      </c>
      <c r="I5469" s="87">
        <v>18635100</v>
      </c>
      <c r="K5469" s="85">
        <v>2024</v>
      </c>
      <c r="L5469" s="85">
        <v>10</v>
      </c>
      <c r="N5469" s="1" t="s">
        <v>44</v>
      </c>
    </row>
    <row r="5470" spans="1:14">
      <c r="A5470" s="36" t="s">
        <v>33</v>
      </c>
      <c r="B5470" s="37">
        <v>45596</v>
      </c>
      <c r="C5470" s="36" t="s">
        <v>1391</v>
      </c>
      <c r="D5470" s="36" t="s">
        <v>2273</v>
      </c>
      <c r="E5470" s="36" t="s">
        <v>2419</v>
      </c>
      <c r="G5470" s="87">
        <v>528000</v>
      </c>
      <c r="H5470" s="87">
        <v>52800</v>
      </c>
      <c r="I5470" s="87">
        <v>580800</v>
      </c>
      <c r="K5470" s="85">
        <v>2024</v>
      </c>
      <c r="L5470" s="85">
        <v>10</v>
      </c>
      <c r="N5470" s="1" t="s">
        <v>44</v>
      </c>
    </row>
    <row r="5471" spans="1:14">
      <c r="A5471" s="36" t="s">
        <v>33</v>
      </c>
      <c r="B5471" s="37">
        <v>45596</v>
      </c>
      <c r="C5471" s="36" t="s">
        <v>2444</v>
      </c>
      <c r="D5471" s="36" t="s">
        <v>2271</v>
      </c>
      <c r="E5471" s="36" t="s">
        <v>1773</v>
      </c>
      <c r="G5471" s="87">
        <v>10031760</v>
      </c>
      <c r="H5471" s="87">
        <v>1003176</v>
      </c>
      <c r="I5471" s="87">
        <v>11034936</v>
      </c>
      <c r="K5471" s="85">
        <v>2024</v>
      </c>
      <c r="L5471" s="85">
        <v>10</v>
      </c>
      <c r="N5471" s="1" t="s">
        <v>44</v>
      </c>
    </row>
    <row r="5472" spans="1:14">
      <c r="A5472" s="36" t="s">
        <v>33</v>
      </c>
      <c r="B5472" s="37">
        <v>45596</v>
      </c>
      <c r="C5472" s="36" t="s">
        <v>2188</v>
      </c>
      <c r="D5472" s="36" t="s">
        <v>2269</v>
      </c>
      <c r="E5472" s="36" t="s">
        <v>1492</v>
      </c>
      <c r="G5472" s="87">
        <v>13020</v>
      </c>
      <c r="H5472" s="87">
        <v>1302</v>
      </c>
      <c r="I5472" s="87">
        <v>14322</v>
      </c>
      <c r="K5472" s="85">
        <v>2024</v>
      </c>
      <c r="L5472" s="85">
        <v>10</v>
      </c>
      <c r="N5472" s="1" t="s">
        <v>44</v>
      </c>
    </row>
    <row r="5473" spans="1:14">
      <c r="A5473" s="36" t="s">
        <v>33</v>
      </c>
      <c r="B5473" s="37">
        <v>45596</v>
      </c>
      <c r="C5473" s="36" t="s">
        <v>2188</v>
      </c>
      <c r="D5473" s="36" t="s">
        <v>2324</v>
      </c>
      <c r="E5473" s="36" t="s">
        <v>2420</v>
      </c>
      <c r="G5473" s="87">
        <v>29760</v>
      </c>
      <c r="H5473" s="87">
        <v>2976</v>
      </c>
      <c r="I5473" s="87">
        <v>32736</v>
      </c>
      <c r="K5473" s="85">
        <v>2024</v>
      </c>
      <c r="L5473" s="85">
        <v>10</v>
      </c>
      <c r="N5473" s="1" t="s">
        <v>44</v>
      </c>
    </row>
    <row r="5474" spans="1:14">
      <c r="A5474" s="36" t="s">
        <v>33</v>
      </c>
      <c r="B5474" s="37">
        <v>45596</v>
      </c>
      <c r="C5474" s="36" t="s">
        <v>2006</v>
      </c>
      <c r="D5474" s="36" t="s">
        <v>2160</v>
      </c>
      <c r="E5474" s="36" t="s">
        <v>2421</v>
      </c>
      <c r="G5474" s="87">
        <v>2500000</v>
      </c>
      <c r="H5474" s="87">
        <v>250000</v>
      </c>
      <c r="I5474" s="87">
        <v>2750000</v>
      </c>
      <c r="K5474" s="85">
        <v>2024</v>
      </c>
      <c r="L5474" s="85">
        <v>10</v>
      </c>
      <c r="N5474" s="1" t="s">
        <v>44</v>
      </c>
    </row>
    <row r="5475" spans="1:14">
      <c r="A5475" s="36" t="s">
        <v>33</v>
      </c>
      <c r="B5475" s="37">
        <v>45596</v>
      </c>
      <c r="C5475" s="36" t="s">
        <v>2116</v>
      </c>
      <c r="D5475" s="36" t="s">
        <v>2117</v>
      </c>
      <c r="E5475" s="36" t="s">
        <v>2118</v>
      </c>
      <c r="G5475" s="87">
        <v>2345000</v>
      </c>
      <c r="H5475" s="87">
        <v>234500</v>
      </c>
      <c r="I5475" s="87">
        <v>2579500</v>
      </c>
      <c r="K5475" s="85">
        <v>2024</v>
      </c>
      <c r="L5475" s="85">
        <v>10</v>
      </c>
      <c r="N5475" s="1" t="s">
        <v>44</v>
      </c>
    </row>
    <row r="5476" spans="1:14">
      <c r="A5476" s="36" t="s">
        <v>33</v>
      </c>
      <c r="B5476" s="37">
        <v>45596</v>
      </c>
      <c r="C5476" s="36" t="s">
        <v>96</v>
      </c>
      <c r="D5476" s="36" t="s">
        <v>97</v>
      </c>
      <c r="E5476" s="36" t="s">
        <v>97</v>
      </c>
      <c r="G5476" s="87">
        <v>1710000</v>
      </c>
      <c r="H5476" s="87">
        <v>171000</v>
      </c>
      <c r="I5476" s="87">
        <v>1881000</v>
      </c>
      <c r="K5476" s="85">
        <v>2024</v>
      </c>
      <c r="L5476" s="85">
        <v>10</v>
      </c>
      <c r="N5476" s="1" t="s">
        <v>44</v>
      </c>
    </row>
    <row r="5477" spans="1:14">
      <c r="A5477" s="36" t="s">
        <v>32</v>
      </c>
      <c r="B5477" s="37">
        <v>45596</v>
      </c>
      <c r="C5477" s="36" t="s">
        <v>654</v>
      </c>
      <c r="D5477" s="36" t="s">
        <v>2216</v>
      </c>
      <c r="E5477" s="36" t="s">
        <v>2422</v>
      </c>
      <c r="J5477" s="87">
        <v>60167660</v>
      </c>
      <c r="K5477" s="85">
        <v>2024</v>
      </c>
      <c r="L5477" s="85">
        <v>8</v>
      </c>
      <c r="N5477" s="1" t="s">
        <v>44</v>
      </c>
    </row>
    <row r="5478" spans="1:14">
      <c r="A5478" s="36" t="s">
        <v>33</v>
      </c>
      <c r="B5478" s="37">
        <v>45596</v>
      </c>
      <c r="C5478" s="36" t="s">
        <v>2016</v>
      </c>
      <c r="D5478" s="36" t="s">
        <v>1492</v>
      </c>
      <c r="E5478" s="36" t="s">
        <v>1492</v>
      </c>
      <c r="G5478" s="87">
        <v>173900000</v>
      </c>
      <c r="H5478" s="87">
        <v>17390000</v>
      </c>
      <c r="I5478" s="87">
        <v>191290000</v>
      </c>
      <c r="K5478" s="85">
        <v>2024</v>
      </c>
      <c r="L5478" s="85">
        <v>10</v>
      </c>
      <c r="N5478" s="1" t="s">
        <v>44</v>
      </c>
    </row>
    <row r="5479" spans="1:14">
      <c r="A5479" s="36" t="s">
        <v>32</v>
      </c>
      <c r="B5479" s="37">
        <v>45608</v>
      </c>
      <c r="C5479" s="36" t="s">
        <v>2330</v>
      </c>
      <c r="D5479" s="36" t="s">
        <v>2334</v>
      </c>
      <c r="E5479" s="36" t="s">
        <v>148</v>
      </c>
      <c r="J5479" s="87">
        <v>1320000</v>
      </c>
      <c r="K5479" s="85">
        <v>2024</v>
      </c>
      <c r="L5479" s="85">
        <v>10</v>
      </c>
      <c r="N5479" s="1" t="s">
        <v>44</v>
      </c>
    </row>
    <row r="5480" spans="1:14">
      <c r="A5480" s="36" t="s">
        <v>32</v>
      </c>
      <c r="B5480" s="37">
        <v>45610</v>
      </c>
      <c r="C5480" s="36" t="s">
        <v>209</v>
      </c>
      <c r="D5480" s="36" t="s">
        <v>1892</v>
      </c>
      <c r="E5480" s="36" t="s">
        <v>2423</v>
      </c>
      <c r="J5480" s="87">
        <v>1611610</v>
      </c>
      <c r="K5480" s="85">
        <v>2024</v>
      </c>
      <c r="L5480" s="85">
        <v>10</v>
      </c>
      <c r="N5480" s="1" t="s">
        <v>44</v>
      </c>
    </row>
    <row r="5481" spans="1:14">
      <c r="A5481" s="36" t="s">
        <v>32</v>
      </c>
      <c r="B5481" s="37">
        <v>45611</v>
      </c>
      <c r="C5481" s="36" t="s">
        <v>654</v>
      </c>
      <c r="D5481" s="36" t="s">
        <v>1901</v>
      </c>
      <c r="E5481" s="36" t="s">
        <v>2424</v>
      </c>
      <c r="J5481" s="38">
        <v>26238370</v>
      </c>
      <c r="K5481" s="85">
        <v>2024</v>
      </c>
      <c r="L5481" s="85">
        <v>1</v>
      </c>
      <c r="M5481" s="36" t="s">
        <v>2425</v>
      </c>
      <c r="N5481" s="1" t="s">
        <v>44</v>
      </c>
    </row>
    <row r="5482" spans="1:14">
      <c r="A5482" s="36" t="s">
        <v>32</v>
      </c>
      <c r="B5482" s="37">
        <v>45611</v>
      </c>
      <c r="C5482" s="36" t="s">
        <v>654</v>
      </c>
      <c r="D5482" s="36" t="s">
        <v>1940</v>
      </c>
      <c r="E5482" s="36" t="s">
        <v>2426</v>
      </c>
      <c r="J5482" s="87">
        <v>57341218</v>
      </c>
      <c r="K5482" s="85">
        <v>2024</v>
      </c>
      <c r="L5482" s="85">
        <v>1</v>
      </c>
      <c r="M5482" s="36" t="s">
        <v>2427</v>
      </c>
      <c r="N5482" s="1" t="s">
        <v>44</v>
      </c>
    </row>
    <row r="5483" spans="1:14">
      <c r="A5483" s="36" t="s">
        <v>32</v>
      </c>
      <c r="B5483" s="37">
        <v>45611</v>
      </c>
      <c r="C5483" s="36" t="s">
        <v>654</v>
      </c>
      <c r="D5483" s="36" t="s">
        <v>1673</v>
      </c>
      <c r="E5483" s="36" t="s">
        <v>2428</v>
      </c>
      <c r="J5483" s="38">
        <v>6420412</v>
      </c>
      <c r="K5483" s="85">
        <v>2024</v>
      </c>
      <c r="L5483" s="85">
        <v>7</v>
      </c>
      <c r="M5483" s="36" t="s">
        <v>2427</v>
      </c>
      <c r="N5483" s="1" t="s">
        <v>44</v>
      </c>
    </row>
    <row r="5484" spans="1:14">
      <c r="A5484" s="36" t="s">
        <v>33</v>
      </c>
      <c r="B5484" s="37">
        <v>45614</v>
      </c>
      <c r="C5484" s="36" t="s">
        <v>838</v>
      </c>
      <c r="D5484" s="36" t="s">
        <v>2429</v>
      </c>
      <c r="E5484" s="36" t="s">
        <v>2430</v>
      </c>
      <c r="G5484" s="87">
        <v>300000</v>
      </c>
      <c r="H5484" s="87">
        <v>30000</v>
      </c>
      <c r="I5484" s="87">
        <v>330000</v>
      </c>
      <c r="K5484" s="85">
        <v>2024</v>
      </c>
      <c r="L5484" s="85">
        <v>11</v>
      </c>
      <c r="N5484" s="1" t="s">
        <v>44</v>
      </c>
    </row>
    <row r="5485" spans="1:14">
      <c r="A5485" s="36" t="s">
        <v>33</v>
      </c>
      <c r="B5485" s="37">
        <v>45614</v>
      </c>
      <c r="C5485" s="36" t="s">
        <v>838</v>
      </c>
      <c r="D5485" s="36" t="s">
        <v>2429</v>
      </c>
      <c r="E5485" s="36" t="s">
        <v>77</v>
      </c>
      <c r="J5485" s="38">
        <v>330000</v>
      </c>
      <c r="K5485" s="85">
        <v>2024</v>
      </c>
      <c r="L5485" s="85">
        <v>11</v>
      </c>
      <c r="N5485" s="1" t="s">
        <v>44</v>
      </c>
    </row>
    <row r="5486" spans="1:14">
      <c r="A5486" s="36" t="s">
        <v>32</v>
      </c>
      <c r="B5486" s="37">
        <v>45614</v>
      </c>
      <c r="C5486" s="36" t="s">
        <v>1468</v>
      </c>
      <c r="D5486" s="36" t="s">
        <v>2402</v>
      </c>
      <c r="E5486" s="36" t="s">
        <v>148</v>
      </c>
      <c r="J5486" s="87">
        <v>20295000</v>
      </c>
      <c r="K5486" s="85">
        <v>2024</v>
      </c>
      <c r="L5486" s="85">
        <v>10</v>
      </c>
      <c r="N5486" s="1" t="s">
        <v>44</v>
      </c>
    </row>
    <row r="5487" spans="1:14">
      <c r="A5487" s="36" t="s">
        <v>32</v>
      </c>
      <c r="B5487" s="37">
        <v>45614</v>
      </c>
      <c r="C5487" s="36" t="s">
        <v>2434</v>
      </c>
      <c r="D5487" s="36" t="s">
        <v>2402</v>
      </c>
      <c r="E5487" s="36" t="s">
        <v>148</v>
      </c>
      <c r="J5487" s="87">
        <v>5680950</v>
      </c>
      <c r="K5487" s="85">
        <v>2024</v>
      </c>
      <c r="L5487" s="85">
        <v>10</v>
      </c>
      <c r="N5487" s="1" t="s">
        <v>44</v>
      </c>
    </row>
    <row r="5488" spans="1:14">
      <c r="A5488" s="36" t="s">
        <v>33</v>
      </c>
      <c r="B5488" s="37">
        <v>45616</v>
      </c>
      <c r="C5488" s="36" t="s">
        <v>2016</v>
      </c>
      <c r="D5488" s="36" t="s">
        <v>1492</v>
      </c>
      <c r="E5488" s="36" t="s">
        <v>148</v>
      </c>
      <c r="J5488" s="38">
        <v>72160000</v>
      </c>
      <c r="K5488" s="85">
        <v>2024</v>
      </c>
      <c r="L5488" s="85">
        <v>10</v>
      </c>
      <c r="N5488" s="1" t="s">
        <v>44</v>
      </c>
    </row>
    <row r="5489" spans="1:14">
      <c r="A5489" s="36" t="s">
        <v>32</v>
      </c>
      <c r="B5489" s="37">
        <v>45596</v>
      </c>
      <c r="C5489" s="36" t="s">
        <v>1587</v>
      </c>
      <c r="D5489" s="36" t="s">
        <v>2410</v>
      </c>
      <c r="E5489" s="36" t="s">
        <v>148</v>
      </c>
      <c r="J5489" s="87">
        <v>5541228</v>
      </c>
      <c r="K5489" s="85">
        <v>2024</v>
      </c>
      <c r="L5489" s="85">
        <v>10</v>
      </c>
      <c r="N5489" s="1" t="s">
        <v>44</v>
      </c>
    </row>
    <row r="5490" spans="1:14">
      <c r="A5490" s="36" t="s">
        <v>32</v>
      </c>
      <c r="B5490" s="37">
        <v>45596</v>
      </c>
      <c r="C5490" s="36" t="s">
        <v>1587</v>
      </c>
      <c r="D5490" s="36" t="s">
        <v>2411</v>
      </c>
      <c r="E5490" s="36" t="s">
        <v>148</v>
      </c>
      <c r="J5490" s="87">
        <v>9565776</v>
      </c>
      <c r="K5490" s="85">
        <v>2024</v>
      </c>
      <c r="L5490" s="85">
        <v>10</v>
      </c>
      <c r="N5490" s="1" t="s">
        <v>44</v>
      </c>
    </row>
    <row r="5491" spans="1:14">
      <c r="A5491" s="36" t="s">
        <v>32</v>
      </c>
      <c r="B5491" s="37">
        <v>45611</v>
      </c>
      <c r="C5491" s="36" t="s">
        <v>2167</v>
      </c>
      <c r="D5491" s="36" t="s">
        <v>2174</v>
      </c>
      <c r="E5491" s="36" t="s">
        <v>148</v>
      </c>
      <c r="J5491" s="87">
        <v>29898000</v>
      </c>
      <c r="K5491" s="85">
        <v>2024</v>
      </c>
      <c r="L5491" s="85">
        <v>10</v>
      </c>
      <c r="N5491" s="1" t="s">
        <v>44</v>
      </c>
    </row>
    <row r="5492" spans="1:14">
      <c r="A5492" s="36" t="s">
        <v>33</v>
      </c>
      <c r="B5492" s="37">
        <v>45617</v>
      </c>
      <c r="C5492" s="36" t="s">
        <v>2188</v>
      </c>
      <c r="D5492" s="36" t="s">
        <v>2269</v>
      </c>
      <c r="E5492" s="36" t="s">
        <v>2431</v>
      </c>
      <c r="J5492" s="87">
        <v>13860</v>
      </c>
      <c r="K5492" s="85">
        <v>2024</v>
      </c>
      <c r="L5492" s="85">
        <v>9</v>
      </c>
      <c r="N5492" s="1" t="s">
        <v>44</v>
      </c>
    </row>
    <row r="5493" spans="1:14">
      <c r="A5493" s="36" t="s">
        <v>33</v>
      </c>
      <c r="B5493" s="37">
        <v>45617</v>
      </c>
      <c r="C5493" s="36" t="s">
        <v>2188</v>
      </c>
      <c r="D5493" s="36" t="s">
        <v>2269</v>
      </c>
      <c r="E5493" s="36" t="s">
        <v>2432</v>
      </c>
      <c r="J5493" s="87">
        <v>14322</v>
      </c>
      <c r="K5493" s="85">
        <v>2024</v>
      </c>
      <c r="L5493" s="85">
        <v>10</v>
      </c>
      <c r="N5493" s="1" t="s">
        <v>44</v>
      </c>
    </row>
    <row r="5494" spans="1:14">
      <c r="A5494" s="36" t="s">
        <v>33</v>
      </c>
      <c r="B5494" s="37">
        <v>45617</v>
      </c>
      <c r="C5494" s="36" t="s">
        <v>2116</v>
      </c>
      <c r="D5494" s="36" t="s">
        <v>2117</v>
      </c>
      <c r="E5494" s="36" t="s">
        <v>148</v>
      </c>
      <c r="J5494" s="87">
        <v>2579500</v>
      </c>
      <c r="K5494" s="85">
        <v>2024</v>
      </c>
      <c r="L5494" s="85">
        <v>10</v>
      </c>
      <c r="N5494" s="1" t="s">
        <v>44</v>
      </c>
    </row>
    <row r="5495" spans="1:14">
      <c r="A5495" s="36" t="s">
        <v>33</v>
      </c>
      <c r="B5495" s="37">
        <v>45617</v>
      </c>
      <c r="C5495" s="36" t="s">
        <v>81</v>
      </c>
      <c r="D5495" s="36" t="s">
        <v>2271</v>
      </c>
      <c r="E5495" s="36" t="s">
        <v>148</v>
      </c>
      <c r="J5495" s="87">
        <v>11034936</v>
      </c>
      <c r="K5495" s="85">
        <v>2024</v>
      </c>
      <c r="L5495" s="85">
        <v>10</v>
      </c>
      <c r="N5495" s="1" t="s">
        <v>44</v>
      </c>
    </row>
    <row r="5496" spans="1:14">
      <c r="A5496" s="36" t="s">
        <v>33</v>
      </c>
      <c r="B5496" s="37">
        <v>45617</v>
      </c>
      <c r="C5496" s="36" t="s">
        <v>2223</v>
      </c>
      <c r="D5496" s="36" t="s">
        <v>2261</v>
      </c>
      <c r="E5496" s="36" t="s">
        <v>148</v>
      </c>
      <c r="J5496" s="87">
        <v>3546143</v>
      </c>
      <c r="K5496" s="85">
        <v>2024</v>
      </c>
      <c r="L5496" s="85">
        <v>10</v>
      </c>
      <c r="N5496" s="1" t="s">
        <v>44</v>
      </c>
    </row>
    <row r="5497" spans="1:14">
      <c r="A5497" s="36" t="s">
        <v>33</v>
      </c>
      <c r="B5497" s="37">
        <v>45617</v>
      </c>
      <c r="C5497" s="36" t="s">
        <v>2109</v>
      </c>
      <c r="D5497" s="36" t="s">
        <v>1915</v>
      </c>
      <c r="E5497" s="36" t="s">
        <v>148</v>
      </c>
      <c r="J5497" s="87">
        <v>477400</v>
      </c>
      <c r="K5497" s="85">
        <v>2024</v>
      </c>
      <c r="L5497" s="85">
        <v>10</v>
      </c>
      <c r="N5497" s="1" t="s">
        <v>44</v>
      </c>
    </row>
    <row r="5498" spans="1:14">
      <c r="A5498" s="36" t="s">
        <v>33</v>
      </c>
      <c r="B5498" s="37">
        <v>45596</v>
      </c>
      <c r="C5498" s="36" t="s">
        <v>1218</v>
      </c>
      <c r="D5498" s="36" t="s">
        <v>1921</v>
      </c>
      <c r="E5498" s="36" t="s">
        <v>148</v>
      </c>
      <c r="J5498" s="87">
        <v>5500000</v>
      </c>
      <c r="K5498" s="85">
        <v>2024</v>
      </c>
      <c r="L5498" s="85">
        <v>10</v>
      </c>
      <c r="N5498" s="1" t="s">
        <v>44</v>
      </c>
    </row>
    <row r="5499" spans="1:14">
      <c r="A5499" s="36" t="s">
        <v>33</v>
      </c>
      <c r="B5499" s="37">
        <v>45617</v>
      </c>
      <c r="C5499" s="36" t="s">
        <v>1569</v>
      </c>
      <c r="D5499" s="36" t="s">
        <v>1412</v>
      </c>
      <c r="E5499" s="36" t="s">
        <v>2423</v>
      </c>
      <c r="J5499" s="87">
        <v>2993100</v>
      </c>
      <c r="K5499" s="85">
        <v>2024</v>
      </c>
      <c r="L5499" s="85">
        <v>10</v>
      </c>
      <c r="N5499" s="1" t="s">
        <v>44</v>
      </c>
    </row>
    <row r="5500" spans="1:14">
      <c r="A5500" s="36" t="s">
        <v>33</v>
      </c>
      <c r="B5500" s="37">
        <v>45617</v>
      </c>
      <c r="C5500" s="36" t="s">
        <v>2322</v>
      </c>
      <c r="D5500" s="36" t="s">
        <v>197</v>
      </c>
      <c r="E5500" s="36" t="s">
        <v>2433</v>
      </c>
      <c r="J5500" s="87">
        <v>623700</v>
      </c>
      <c r="K5500" s="85">
        <v>2024</v>
      </c>
      <c r="L5500" s="85">
        <v>10</v>
      </c>
      <c r="N5500" s="1" t="s">
        <v>44</v>
      </c>
    </row>
    <row r="5501" spans="1:14">
      <c r="A5501" s="36" t="s">
        <v>33</v>
      </c>
      <c r="B5501" s="37">
        <v>45617</v>
      </c>
      <c r="C5501" s="36" t="s">
        <v>2803</v>
      </c>
      <c r="D5501" s="36" t="s">
        <v>2271</v>
      </c>
      <c r="E5501" s="36" t="s">
        <v>2433</v>
      </c>
      <c r="J5501" s="87">
        <v>485100</v>
      </c>
      <c r="K5501" s="85">
        <v>2024</v>
      </c>
      <c r="L5501" s="85">
        <v>10</v>
      </c>
      <c r="N5501" s="1" t="s">
        <v>44</v>
      </c>
    </row>
    <row r="5502" spans="1:14">
      <c r="A5502" s="36" t="s">
        <v>33</v>
      </c>
      <c r="B5502" s="37">
        <v>45617</v>
      </c>
      <c r="C5502" s="36" t="s">
        <v>2122</v>
      </c>
      <c r="D5502" s="36" t="s">
        <v>1921</v>
      </c>
      <c r="E5502" s="36" t="s">
        <v>2433</v>
      </c>
      <c r="J5502" s="87">
        <v>231000</v>
      </c>
      <c r="K5502" s="85">
        <v>2024</v>
      </c>
      <c r="L5502" s="85">
        <v>10</v>
      </c>
      <c r="N5502" s="1" t="s">
        <v>44</v>
      </c>
    </row>
    <row r="5503" spans="1:14">
      <c r="A5503" s="36" t="s">
        <v>33</v>
      </c>
      <c r="B5503" s="37">
        <v>45617</v>
      </c>
      <c r="C5503" s="36" t="s">
        <v>1914</v>
      </c>
      <c r="D5503" s="36" t="s">
        <v>1915</v>
      </c>
      <c r="E5503" s="36" t="s">
        <v>2433</v>
      </c>
      <c r="J5503" s="87">
        <v>924000</v>
      </c>
      <c r="K5503" s="85">
        <v>2024</v>
      </c>
      <c r="L5503" s="85">
        <v>10</v>
      </c>
      <c r="N5503" s="1" t="s">
        <v>44</v>
      </c>
    </row>
    <row r="5504" spans="1:14">
      <c r="A5504" s="36" t="s">
        <v>32</v>
      </c>
      <c r="B5504" s="37">
        <v>45618</v>
      </c>
      <c r="C5504" s="36" t="s">
        <v>188</v>
      </c>
      <c r="D5504" s="36" t="s">
        <v>896</v>
      </c>
      <c r="E5504" s="36" t="s">
        <v>148</v>
      </c>
      <c r="J5504" s="87">
        <v>6747312</v>
      </c>
      <c r="K5504" s="85">
        <v>2024</v>
      </c>
      <c r="L5504" s="85">
        <v>8</v>
      </c>
      <c r="N5504" s="1" t="s">
        <v>44</v>
      </c>
    </row>
    <row r="5505" spans="1:14">
      <c r="A5505" s="36" t="s">
        <v>32</v>
      </c>
      <c r="B5505" s="37">
        <v>45597</v>
      </c>
      <c r="C5505" s="36" t="s">
        <v>2394</v>
      </c>
      <c r="D5505" s="36" t="s">
        <v>2407</v>
      </c>
      <c r="E5505" s="36" t="s">
        <v>76</v>
      </c>
      <c r="G5505" s="87">
        <v>-17734080</v>
      </c>
      <c r="H5505" s="87">
        <v>-1773408</v>
      </c>
      <c r="I5505" s="87">
        <v>-19507488</v>
      </c>
      <c r="K5505" s="85">
        <v>2024</v>
      </c>
      <c r="L5505" s="85">
        <v>10</v>
      </c>
      <c r="N5505" s="1" t="s">
        <v>44</v>
      </c>
    </row>
    <row r="5506" spans="1:14">
      <c r="A5506" s="36" t="s">
        <v>32</v>
      </c>
      <c r="B5506" s="37">
        <v>45624</v>
      </c>
      <c r="C5506" s="36" t="s">
        <v>209</v>
      </c>
      <c r="D5506" s="36" t="s">
        <v>1699</v>
      </c>
      <c r="E5506" s="36" t="s">
        <v>2435</v>
      </c>
      <c r="J5506" s="87">
        <v>15920960</v>
      </c>
      <c r="K5506" s="85">
        <v>2024</v>
      </c>
      <c r="L5506" s="85">
        <v>10</v>
      </c>
      <c r="M5506" s="36" t="s">
        <v>2440</v>
      </c>
      <c r="N5506" s="1" t="s">
        <v>44</v>
      </c>
    </row>
    <row r="5507" spans="1:14">
      <c r="A5507" s="36" t="s">
        <v>32</v>
      </c>
      <c r="B5507" s="37">
        <v>45624</v>
      </c>
      <c r="C5507" s="36" t="s">
        <v>209</v>
      </c>
      <c r="D5507" s="36" t="s">
        <v>1885</v>
      </c>
      <c r="E5507" s="36" t="s">
        <v>2436</v>
      </c>
      <c r="J5507" s="87">
        <v>2776620</v>
      </c>
      <c r="K5507" s="85">
        <v>2024</v>
      </c>
      <c r="L5507" s="85">
        <v>10</v>
      </c>
      <c r="M5507" s="36" t="s">
        <v>2440</v>
      </c>
      <c r="N5507" s="1" t="s">
        <v>44</v>
      </c>
    </row>
    <row r="5508" spans="1:14">
      <c r="A5508" s="36" t="s">
        <v>32</v>
      </c>
      <c r="B5508" s="37">
        <v>45624</v>
      </c>
      <c r="C5508" s="36" t="s">
        <v>209</v>
      </c>
      <c r="D5508" s="36" t="s">
        <v>2024</v>
      </c>
      <c r="E5508" s="36" t="s">
        <v>2437</v>
      </c>
      <c r="J5508" s="87">
        <v>11411400</v>
      </c>
      <c r="K5508" s="85">
        <v>2024</v>
      </c>
      <c r="L5508" s="85">
        <v>10</v>
      </c>
      <c r="M5508" s="36" t="s">
        <v>2440</v>
      </c>
      <c r="N5508" s="1" t="s">
        <v>44</v>
      </c>
    </row>
    <row r="5509" spans="1:14">
      <c r="A5509" s="36" t="s">
        <v>32</v>
      </c>
      <c r="B5509" s="37">
        <v>45624</v>
      </c>
      <c r="C5509" s="36" t="s">
        <v>209</v>
      </c>
      <c r="D5509" s="36" t="s">
        <v>2333</v>
      </c>
      <c r="E5509" s="36" t="s">
        <v>2438</v>
      </c>
      <c r="J5509" s="87">
        <v>15163604.5</v>
      </c>
      <c r="K5509" s="85">
        <v>2024</v>
      </c>
      <c r="L5509" s="85">
        <v>10</v>
      </c>
      <c r="M5509" s="36" t="s">
        <v>2440</v>
      </c>
      <c r="N5509" s="1" t="s">
        <v>44</v>
      </c>
    </row>
    <row r="5510" spans="1:14">
      <c r="A5510" s="36" t="s">
        <v>32</v>
      </c>
      <c r="B5510" s="37">
        <v>45624</v>
      </c>
      <c r="C5510" s="36" t="s">
        <v>209</v>
      </c>
      <c r="D5510" s="36" t="s">
        <v>2171</v>
      </c>
      <c r="E5510" s="36" t="s">
        <v>2439</v>
      </c>
      <c r="J5510" s="87">
        <v>9043760</v>
      </c>
      <c r="K5510" s="85">
        <v>2024</v>
      </c>
      <c r="L5510" s="85">
        <v>10</v>
      </c>
      <c r="M5510" s="36" t="s">
        <v>2440</v>
      </c>
      <c r="N5510" s="1" t="s">
        <v>44</v>
      </c>
    </row>
    <row r="5511" spans="1:14">
      <c r="A5511" s="36" t="s">
        <v>32</v>
      </c>
      <c r="B5511" s="37">
        <v>45624</v>
      </c>
      <c r="C5511" s="36" t="s">
        <v>209</v>
      </c>
      <c r="D5511" s="36" t="s">
        <v>1699</v>
      </c>
      <c r="E5511" s="36" t="s">
        <v>2509</v>
      </c>
      <c r="J5511" s="87">
        <v>15163604</v>
      </c>
      <c r="K5511" s="85">
        <v>2024</v>
      </c>
      <c r="L5511" s="85">
        <v>11</v>
      </c>
      <c r="N5511" s="1" t="s">
        <v>44</v>
      </c>
    </row>
    <row r="5512" spans="1:14">
      <c r="A5512" s="36" t="s">
        <v>32</v>
      </c>
      <c r="B5512" s="37">
        <v>45625</v>
      </c>
      <c r="C5512" s="36" t="s">
        <v>1470</v>
      </c>
      <c r="D5512" s="36" t="s">
        <v>1821</v>
      </c>
      <c r="E5512" s="36" t="s">
        <v>148</v>
      </c>
      <c r="J5512" s="87">
        <v>181457100</v>
      </c>
      <c r="K5512" s="85">
        <v>2024</v>
      </c>
      <c r="L5512" s="85">
        <v>10</v>
      </c>
      <c r="N5512" s="1" t="s">
        <v>44</v>
      </c>
    </row>
    <row r="5513" spans="1:14">
      <c r="A5513" s="36" t="s">
        <v>33</v>
      </c>
      <c r="B5513" s="37">
        <v>45625</v>
      </c>
      <c r="C5513" s="36" t="s">
        <v>1391</v>
      </c>
      <c r="D5513" s="36" t="s">
        <v>197</v>
      </c>
      <c r="E5513" s="36" t="s">
        <v>2360</v>
      </c>
      <c r="J5513" s="87">
        <v>8764800</v>
      </c>
      <c r="K5513" s="85">
        <v>2024</v>
      </c>
      <c r="L5513" s="85">
        <v>9</v>
      </c>
      <c r="N5513" s="1" t="s">
        <v>44</v>
      </c>
    </row>
    <row r="5514" spans="1:14">
      <c r="A5514" s="36" t="s">
        <v>33</v>
      </c>
      <c r="B5514" s="37">
        <v>45625</v>
      </c>
      <c r="C5514" s="36" t="s">
        <v>1569</v>
      </c>
      <c r="D5514" s="36" t="s">
        <v>1227</v>
      </c>
      <c r="E5514" s="36" t="s">
        <v>2436</v>
      </c>
      <c r="J5514" s="87">
        <v>2379960</v>
      </c>
      <c r="K5514" s="85">
        <v>2024</v>
      </c>
      <c r="L5514" s="85">
        <v>10</v>
      </c>
      <c r="N5514" s="1" t="s">
        <v>44</v>
      </c>
    </row>
    <row r="5515" spans="1:14">
      <c r="A5515" s="36" t="s">
        <v>33</v>
      </c>
      <c r="B5515" s="37">
        <v>45625</v>
      </c>
      <c r="C5515" s="36" t="s">
        <v>1569</v>
      </c>
      <c r="D5515" s="36" t="s">
        <v>1431</v>
      </c>
      <c r="E5515" s="36" t="s">
        <v>2439</v>
      </c>
      <c r="J5515" s="87">
        <v>8603760</v>
      </c>
      <c r="K5515" s="85">
        <v>2024</v>
      </c>
      <c r="L5515" s="85">
        <v>10</v>
      </c>
      <c r="N5515" s="1" t="s">
        <v>44</v>
      </c>
    </row>
    <row r="5516" spans="1:14">
      <c r="A5516" s="36" t="s">
        <v>33</v>
      </c>
      <c r="B5516" s="37">
        <v>45625</v>
      </c>
      <c r="C5516" s="36" t="s">
        <v>2016</v>
      </c>
      <c r="D5516" s="36" t="s">
        <v>1492</v>
      </c>
      <c r="E5516" s="36" t="s">
        <v>148</v>
      </c>
      <c r="J5516" s="38">
        <v>60390000</v>
      </c>
      <c r="K5516" s="85">
        <v>2024</v>
      </c>
      <c r="L5516" s="85">
        <v>10</v>
      </c>
      <c r="N5516" s="1" t="s">
        <v>44</v>
      </c>
    </row>
    <row r="5517" spans="1:14">
      <c r="A5517" s="36" t="s">
        <v>33</v>
      </c>
      <c r="B5517" s="37">
        <v>45625</v>
      </c>
      <c r="C5517" s="36" t="s">
        <v>96</v>
      </c>
      <c r="D5517" s="36" t="s">
        <v>97</v>
      </c>
      <c r="E5517" s="36" t="s">
        <v>148</v>
      </c>
      <c r="J5517" s="87">
        <v>1881000</v>
      </c>
      <c r="K5517" s="85">
        <v>2024</v>
      </c>
      <c r="L5517" s="85">
        <v>10</v>
      </c>
      <c r="N5517" s="1" t="s">
        <v>44</v>
      </c>
    </row>
    <row r="5518" spans="1:14">
      <c r="A5518" s="36" t="s">
        <v>32</v>
      </c>
      <c r="B5518" s="37">
        <v>45628</v>
      </c>
      <c r="C5518" s="36" t="s">
        <v>264</v>
      </c>
      <c r="D5518" s="36" t="s">
        <v>2408</v>
      </c>
      <c r="E5518" s="36" t="s">
        <v>148</v>
      </c>
      <c r="J5518" s="87">
        <v>40810000</v>
      </c>
      <c r="K5518" s="85">
        <v>2024</v>
      </c>
      <c r="L5518" s="85">
        <v>10</v>
      </c>
      <c r="N5518" s="1" t="s">
        <v>44</v>
      </c>
    </row>
    <row r="5519" spans="1:14">
      <c r="A5519" s="36" t="s">
        <v>32</v>
      </c>
      <c r="B5519" s="37">
        <v>45626</v>
      </c>
      <c r="C5519" s="36" t="s">
        <v>307</v>
      </c>
      <c r="D5519" s="36" t="s">
        <v>1752</v>
      </c>
      <c r="E5519" s="36" t="s">
        <v>148</v>
      </c>
      <c r="J5519" s="38">
        <v>2000000</v>
      </c>
      <c r="K5519" s="85">
        <v>2024</v>
      </c>
      <c r="L5519" s="85">
        <v>6</v>
      </c>
      <c r="N5519" s="1" t="s">
        <v>44</v>
      </c>
    </row>
    <row r="5520" spans="1:14">
      <c r="A5520" s="36" t="s">
        <v>32</v>
      </c>
      <c r="B5520" s="37">
        <v>45628</v>
      </c>
      <c r="C5520" s="36" t="s">
        <v>2062</v>
      </c>
      <c r="D5520" s="36" t="s">
        <v>2084</v>
      </c>
      <c r="E5520" s="36" t="s">
        <v>2433</v>
      </c>
      <c r="J5520" s="87">
        <v>7700000</v>
      </c>
      <c r="K5520" s="85">
        <v>2024</v>
      </c>
      <c r="L5520" s="85">
        <v>10</v>
      </c>
      <c r="N5520" s="1" t="s">
        <v>44</v>
      </c>
    </row>
    <row r="5521" spans="1:14">
      <c r="A5521" s="36" t="s">
        <v>32</v>
      </c>
      <c r="B5521" s="37">
        <v>45628</v>
      </c>
      <c r="C5521" s="36" t="s">
        <v>654</v>
      </c>
      <c r="D5521" s="36" t="s">
        <v>2397</v>
      </c>
      <c r="E5521" s="36" t="s">
        <v>2441</v>
      </c>
      <c r="J5521" s="87">
        <v>17484940</v>
      </c>
      <c r="K5521" s="85">
        <v>2024</v>
      </c>
      <c r="L5521" s="85">
        <v>10</v>
      </c>
      <c r="N5521" s="1" t="s">
        <v>44</v>
      </c>
    </row>
    <row r="5522" spans="1:14">
      <c r="A5522" s="36" t="s">
        <v>33</v>
      </c>
      <c r="B5522" s="37">
        <v>45628</v>
      </c>
      <c r="C5522" s="36" t="s">
        <v>1391</v>
      </c>
      <c r="D5522" s="36" t="s">
        <v>2164</v>
      </c>
      <c r="E5522" s="36" t="s">
        <v>2442</v>
      </c>
      <c r="J5522" s="87">
        <v>18635100</v>
      </c>
      <c r="K5522" s="85">
        <v>2024</v>
      </c>
      <c r="L5522" s="85">
        <v>10</v>
      </c>
      <c r="N5522" s="1" t="s">
        <v>44</v>
      </c>
    </row>
    <row r="5523" spans="1:14">
      <c r="A5523" s="36" t="s">
        <v>32</v>
      </c>
      <c r="B5523" s="37">
        <v>45628</v>
      </c>
      <c r="C5523" s="36" t="s">
        <v>1198</v>
      </c>
      <c r="D5523" s="36" t="s">
        <v>2336</v>
      </c>
      <c r="E5523" s="36" t="s">
        <v>148</v>
      </c>
      <c r="J5523" s="87">
        <v>4892580</v>
      </c>
      <c r="K5523" s="85">
        <v>2024</v>
      </c>
      <c r="L5523" s="85">
        <v>10</v>
      </c>
      <c r="N5523" s="1" t="s">
        <v>44</v>
      </c>
    </row>
    <row r="5524" spans="1:14">
      <c r="A5524" s="36" t="s">
        <v>32</v>
      </c>
      <c r="B5524" s="37">
        <v>45628</v>
      </c>
      <c r="C5524" s="36" t="s">
        <v>1198</v>
      </c>
      <c r="D5524" s="36" t="s">
        <v>2027</v>
      </c>
      <c r="E5524" s="36" t="s">
        <v>148</v>
      </c>
      <c r="J5524" s="87">
        <v>14067680</v>
      </c>
      <c r="K5524" s="85">
        <v>2024</v>
      </c>
      <c r="L5524" s="85">
        <v>10</v>
      </c>
      <c r="N5524" s="1" t="s">
        <v>44</v>
      </c>
    </row>
    <row r="5525" spans="1:14">
      <c r="A5525" s="36" t="s">
        <v>32</v>
      </c>
      <c r="B5525" s="37">
        <v>45628</v>
      </c>
      <c r="C5525" s="36" t="s">
        <v>1198</v>
      </c>
      <c r="D5525" s="36" t="s">
        <v>2403</v>
      </c>
      <c r="E5525" s="36" t="s">
        <v>148</v>
      </c>
      <c r="J5525" s="87">
        <v>1485000</v>
      </c>
      <c r="K5525" s="85">
        <v>2024</v>
      </c>
      <c r="L5525" s="85">
        <v>10</v>
      </c>
      <c r="N5525" s="1" t="s">
        <v>44</v>
      </c>
    </row>
    <row r="5526" spans="1:14">
      <c r="A5526" s="36" t="s">
        <v>32</v>
      </c>
      <c r="B5526" s="37">
        <v>45628</v>
      </c>
      <c r="C5526" s="36" t="s">
        <v>1198</v>
      </c>
      <c r="D5526" s="36" t="s">
        <v>2289</v>
      </c>
      <c r="E5526" s="36" t="s">
        <v>148</v>
      </c>
      <c r="J5526" s="87">
        <v>7934520</v>
      </c>
      <c r="K5526" s="85">
        <v>2024</v>
      </c>
      <c r="L5526" s="85">
        <v>10</v>
      </c>
      <c r="N5526" s="1" t="s">
        <v>44</v>
      </c>
    </row>
    <row r="5527" spans="1:14">
      <c r="A5527" s="36" t="s">
        <v>32</v>
      </c>
      <c r="B5527" s="37">
        <v>45628</v>
      </c>
      <c r="C5527" s="36" t="s">
        <v>1198</v>
      </c>
      <c r="D5527" s="36" t="s">
        <v>2176</v>
      </c>
      <c r="E5527" s="36" t="s">
        <v>148</v>
      </c>
      <c r="J5527" s="87">
        <v>1188000</v>
      </c>
      <c r="K5527" s="85">
        <v>2024</v>
      </c>
      <c r="L5527" s="85">
        <v>10</v>
      </c>
      <c r="N5527" s="1" t="s">
        <v>44</v>
      </c>
    </row>
    <row r="5528" spans="1:14">
      <c r="A5528" s="36" t="s">
        <v>32</v>
      </c>
      <c r="B5528" s="37">
        <v>45628</v>
      </c>
      <c r="C5528" s="36" t="s">
        <v>2392</v>
      </c>
      <c r="D5528" s="36" t="s">
        <v>2404</v>
      </c>
      <c r="E5528" s="36" t="s">
        <v>148</v>
      </c>
      <c r="J5528" s="87">
        <v>17787000</v>
      </c>
      <c r="K5528" s="85">
        <v>2024</v>
      </c>
      <c r="L5528" s="85">
        <v>10</v>
      </c>
      <c r="N5528" s="1" t="s">
        <v>44</v>
      </c>
    </row>
    <row r="5529" spans="1:14">
      <c r="A5529" s="36" t="s">
        <v>32</v>
      </c>
      <c r="B5529" s="37">
        <v>45629</v>
      </c>
      <c r="C5529" s="36" t="s">
        <v>2331</v>
      </c>
      <c r="D5529" s="36" t="s">
        <v>2405</v>
      </c>
      <c r="E5529" s="36" t="s">
        <v>148</v>
      </c>
      <c r="J5529" s="87">
        <v>12906740</v>
      </c>
      <c r="K5529" s="85">
        <v>2024</v>
      </c>
      <c r="L5529" s="85">
        <v>10</v>
      </c>
      <c r="N5529" s="1" t="s">
        <v>44</v>
      </c>
    </row>
    <row r="5530" spans="1:14">
      <c r="A5530" s="36" t="s">
        <v>32</v>
      </c>
      <c r="B5530" s="37">
        <v>45628</v>
      </c>
      <c r="C5530" s="36" t="s">
        <v>334</v>
      </c>
      <c r="D5530" s="36" t="s">
        <v>2291</v>
      </c>
      <c r="E5530" s="36" t="s">
        <v>148</v>
      </c>
      <c r="J5530" s="87">
        <v>6600000</v>
      </c>
      <c r="K5530" s="85">
        <v>2024</v>
      </c>
      <c r="L5530" s="85">
        <v>10</v>
      </c>
      <c r="N5530" s="1" t="s">
        <v>44</v>
      </c>
    </row>
    <row r="5531" spans="1:14">
      <c r="A5531" s="36" t="s">
        <v>32</v>
      </c>
      <c r="B5531" s="37">
        <v>45628</v>
      </c>
      <c r="C5531" s="36" t="s">
        <v>2395</v>
      </c>
      <c r="D5531" s="36" t="s">
        <v>2369</v>
      </c>
      <c r="E5531" s="36" t="s">
        <v>148</v>
      </c>
      <c r="J5531" s="87">
        <v>66647856</v>
      </c>
      <c r="K5531" s="85">
        <v>2024</v>
      </c>
      <c r="L5531" s="85">
        <v>10</v>
      </c>
      <c r="N5531" s="1" t="s">
        <v>44</v>
      </c>
    </row>
    <row r="5532" spans="1:14">
      <c r="A5532" s="36" t="s">
        <v>33</v>
      </c>
      <c r="B5532" s="37">
        <v>45629</v>
      </c>
      <c r="C5532" s="36" t="s">
        <v>2417</v>
      </c>
      <c r="D5532" s="36" t="s">
        <v>2418</v>
      </c>
      <c r="E5532" s="36" t="s">
        <v>148</v>
      </c>
      <c r="J5532" s="87">
        <v>4851000</v>
      </c>
      <c r="K5532" s="85">
        <v>2024</v>
      </c>
      <c r="L5532" s="85">
        <v>10</v>
      </c>
      <c r="N5532" s="1" t="s">
        <v>44</v>
      </c>
    </row>
    <row r="5533" spans="1:14">
      <c r="A5533" s="36" t="s">
        <v>33</v>
      </c>
      <c r="B5533" s="37">
        <v>45626</v>
      </c>
      <c r="C5533" s="36" t="s">
        <v>838</v>
      </c>
      <c r="D5533" s="36" t="s">
        <v>2443</v>
      </c>
      <c r="E5533" s="36" t="s">
        <v>165</v>
      </c>
      <c r="G5533" s="87">
        <v>950000</v>
      </c>
      <c r="H5533" s="87">
        <v>95000</v>
      </c>
      <c r="I5533" s="87">
        <v>1045000</v>
      </c>
      <c r="K5533" s="85">
        <v>2024</v>
      </c>
      <c r="L5533" s="85">
        <v>11</v>
      </c>
      <c r="N5533" s="1" t="s">
        <v>44</v>
      </c>
    </row>
    <row r="5534" spans="1:14">
      <c r="A5534" s="36" t="s">
        <v>33</v>
      </c>
      <c r="B5534" s="37">
        <v>45626</v>
      </c>
      <c r="C5534" s="36" t="s">
        <v>1914</v>
      </c>
      <c r="D5534" s="36" t="s">
        <v>1915</v>
      </c>
      <c r="E5534" s="36" t="s">
        <v>165</v>
      </c>
      <c r="G5534" s="87">
        <v>280000</v>
      </c>
      <c r="H5534" s="87">
        <v>28000</v>
      </c>
      <c r="I5534" s="87">
        <v>308000</v>
      </c>
      <c r="K5534" s="85">
        <v>2024</v>
      </c>
      <c r="L5534" s="85">
        <v>11</v>
      </c>
      <c r="N5534" s="1" t="s">
        <v>44</v>
      </c>
    </row>
    <row r="5535" spans="1:14">
      <c r="A5535" s="36" t="s">
        <v>33</v>
      </c>
      <c r="B5535" s="37">
        <v>45629</v>
      </c>
      <c r="C5535" s="36" t="s">
        <v>2368</v>
      </c>
      <c r="D5535" s="36" t="s">
        <v>2369</v>
      </c>
      <c r="E5535" s="36" t="s">
        <v>148</v>
      </c>
      <c r="J5535" s="87">
        <v>3249400</v>
      </c>
      <c r="K5535" s="85">
        <v>2024</v>
      </c>
      <c r="L5535" s="85">
        <v>10</v>
      </c>
      <c r="N5535" s="1" t="s">
        <v>44</v>
      </c>
    </row>
    <row r="5536" spans="1:14">
      <c r="A5536" s="36" t="s">
        <v>33</v>
      </c>
      <c r="B5536" s="37">
        <v>45626</v>
      </c>
      <c r="C5536" s="36" t="s">
        <v>2322</v>
      </c>
      <c r="D5536" s="36" t="s">
        <v>197</v>
      </c>
      <c r="E5536" s="36" t="s">
        <v>2445</v>
      </c>
      <c r="G5536" s="87">
        <v>665000</v>
      </c>
      <c r="H5536" s="87">
        <v>66500</v>
      </c>
      <c r="I5536" s="87">
        <v>731500</v>
      </c>
      <c r="K5536" s="85">
        <v>2024</v>
      </c>
      <c r="L5536" s="85">
        <v>11</v>
      </c>
      <c r="N5536" s="1" t="s">
        <v>44</v>
      </c>
    </row>
    <row r="5537" spans="1:14">
      <c r="A5537" s="36" t="s">
        <v>32</v>
      </c>
      <c r="B5537" s="37">
        <v>45580</v>
      </c>
      <c r="C5537" s="36" t="s">
        <v>654</v>
      </c>
      <c r="D5537" s="36" t="s">
        <v>1930</v>
      </c>
      <c r="E5537" s="36" t="s">
        <v>2446</v>
      </c>
      <c r="J5537" s="87">
        <v>352300</v>
      </c>
      <c r="K5537" s="85">
        <v>2024</v>
      </c>
      <c r="L5537" s="85">
        <v>1</v>
      </c>
      <c r="M5537" s="36" t="s">
        <v>2447</v>
      </c>
      <c r="N5537" s="1" t="s">
        <v>44</v>
      </c>
    </row>
    <row r="5538" spans="1:14">
      <c r="A5538" s="36" t="s">
        <v>32</v>
      </c>
      <c r="B5538" s="37">
        <v>45580</v>
      </c>
      <c r="C5538" s="36" t="s">
        <v>654</v>
      </c>
      <c r="D5538" s="36" t="s">
        <v>1944</v>
      </c>
      <c r="E5538" s="36" t="s">
        <v>2448</v>
      </c>
      <c r="J5538" s="87">
        <v>1377640</v>
      </c>
      <c r="K5538" s="85">
        <v>2024</v>
      </c>
      <c r="L5538" s="85">
        <v>1</v>
      </c>
      <c r="M5538" s="36" t="s">
        <v>2447</v>
      </c>
      <c r="N5538" s="1" t="s">
        <v>44</v>
      </c>
    </row>
    <row r="5539" spans="1:14">
      <c r="A5539" s="36" t="s">
        <v>32</v>
      </c>
      <c r="B5539" s="37">
        <v>45580</v>
      </c>
      <c r="C5539" s="36" t="s">
        <v>654</v>
      </c>
      <c r="D5539" s="36" t="s">
        <v>1898</v>
      </c>
      <c r="E5539" s="36" t="s">
        <v>2449</v>
      </c>
      <c r="J5539" s="38">
        <v>3690692</v>
      </c>
      <c r="K5539" s="85">
        <v>2024</v>
      </c>
      <c r="L5539" s="85">
        <v>1</v>
      </c>
      <c r="M5539" s="36" t="s">
        <v>2447</v>
      </c>
      <c r="N5539" s="1" t="s">
        <v>44</v>
      </c>
    </row>
    <row r="5540" spans="1:14">
      <c r="A5540" s="36" t="s">
        <v>32</v>
      </c>
      <c r="B5540" s="37">
        <v>45580</v>
      </c>
      <c r="C5540" s="36" t="s">
        <v>654</v>
      </c>
      <c r="D5540" s="36" t="s">
        <v>1945</v>
      </c>
      <c r="E5540" s="36" t="s">
        <v>2450</v>
      </c>
      <c r="J5540" s="38">
        <v>3804580</v>
      </c>
      <c r="K5540" s="85">
        <v>2024</v>
      </c>
      <c r="L5540" s="85">
        <v>1</v>
      </c>
      <c r="M5540" s="36" t="s">
        <v>2447</v>
      </c>
      <c r="N5540" s="1" t="s">
        <v>44</v>
      </c>
    </row>
    <row r="5541" spans="1:14">
      <c r="A5541" s="36" t="s">
        <v>32</v>
      </c>
      <c r="B5541" s="37">
        <v>45580</v>
      </c>
      <c r="C5541" s="36" t="s">
        <v>654</v>
      </c>
      <c r="D5541" s="36" t="s">
        <v>2158</v>
      </c>
      <c r="E5541" s="36" t="s">
        <v>2451</v>
      </c>
      <c r="J5541" s="38">
        <v>3848400</v>
      </c>
      <c r="K5541" s="85">
        <v>2024</v>
      </c>
      <c r="L5541" s="85">
        <v>4</v>
      </c>
      <c r="M5541" s="36" t="s">
        <v>2447</v>
      </c>
      <c r="N5541" s="1" t="s">
        <v>44</v>
      </c>
    </row>
    <row r="5542" spans="1:14">
      <c r="A5542" s="36" t="s">
        <v>32</v>
      </c>
      <c r="B5542" s="37">
        <v>45580</v>
      </c>
      <c r="C5542" s="36" t="s">
        <v>654</v>
      </c>
      <c r="D5542" s="36" t="s">
        <v>2131</v>
      </c>
      <c r="E5542" s="36" t="s">
        <v>2452</v>
      </c>
      <c r="J5542" s="38">
        <v>17141388</v>
      </c>
      <c r="K5542" s="85">
        <v>2024</v>
      </c>
      <c r="L5542" s="85">
        <v>8</v>
      </c>
      <c r="M5542" s="36" t="s">
        <v>2447</v>
      </c>
      <c r="N5542" s="1" t="s">
        <v>44</v>
      </c>
    </row>
    <row r="5543" spans="1:14">
      <c r="A5543" s="36" t="s">
        <v>32</v>
      </c>
      <c r="B5543" s="37">
        <v>45580</v>
      </c>
      <c r="C5543" s="36" t="s">
        <v>654</v>
      </c>
      <c r="D5543" s="36" t="s">
        <v>2074</v>
      </c>
      <c r="E5543" s="36" t="s">
        <v>2453</v>
      </c>
      <c r="J5543" s="87">
        <v>4785000</v>
      </c>
      <c r="K5543" s="85">
        <v>2024</v>
      </c>
      <c r="L5543" s="85">
        <v>9</v>
      </c>
      <c r="M5543" s="36" t="s">
        <v>2447</v>
      </c>
      <c r="N5543" s="1" t="s">
        <v>44</v>
      </c>
    </row>
    <row r="5544" spans="1:14">
      <c r="A5544" s="36" t="s">
        <v>32</v>
      </c>
      <c r="B5544" s="37">
        <v>45630</v>
      </c>
      <c r="C5544" s="36" t="s">
        <v>654</v>
      </c>
      <c r="D5544" s="36" t="s">
        <v>1673</v>
      </c>
      <c r="E5544" s="36" t="s">
        <v>2428</v>
      </c>
      <c r="J5544" s="38">
        <v>3419582</v>
      </c>
      <c r="K5544" s="85">
        <v>2024</v>
      </c>
      <c r="L5544" s="85">
        <v>7</v>
      </c>
      <c r="M5544" s="36" t="s">
        <v>2454</v>
      </c>
      <c r="N5544" s="1" t="s">
        <v>44</v>
      </c>
    </row>
    <row r="5545" spans="1:14">
      <c r="A5545" s="36" t="s">
        <v>32</v>
      </c>
      <c r="B5545" s="37">
        <v>45630</v>
      </c>
      <c r="C5545" s="36" t="s">
        <v>654</v>
      </c>
      <c r="D5545" s="36" t="s">
        <v>1673</v>
      </c>
      <c r="E5545" s="36" t="s">
        <v>2455</v>
      </c>
      <c r="J5545" s="87">
        <v>37724236</v>
      </c>
      <c r="K5545" s="85">
        <v>2024</v>
      </c>
      <c r="L5545" s="85">
        <v>8</v>
      </c>
      <c r="M5545" s="36" t="s">
        <v>2454</v>
      </c>
      <c r="N5545" s="1" t="s">
        <v>44</v>
      </c>
    </row>
    <row r="5546" spans="1:14">
      <c r="A5546" s="36" t="s">
        <v>32</v>
      </c>
      <c r="B5546" s="37">
        <v>45630</v>
      </c>
      <c r="C5546" s="36" t="s">
        <v>654</v>
      </c>
      <c r="D5546" s="36" t="s">
        <v>1854</v>
      </c>
      <c r="E5546" s="36" t="s">
        <v>2456</v>
      </c>
      <c r="J5546" s="87">
        <v>42928424</v>
      </c>
      <c r="K5546" s="85">
        <v>2024</v>
      </c>
      <c r="L5546" s="85">
        <v>9</v>
      </c>
      <c r="M5546" s="36" t="s">
        <v>2454</v>
      </c>
      <c r="N5546" s="1" t="s">
        <v>44</v>
      </c>
    </row>
    <row r="5547" spans="1:14">
      <c r="A5547" s="36" t="s">
        <v>32</v>
      </c>
      <c r="B5547" s="37">
        <v>45630</v>
      </c>
      <c r="C5547" s="36" t="s">
        <v>654</v>
      </c>
      <c r="D5547" s="36" t="s">
        <v>1854</v>
      </c>
      <c r="E5547" s="36" t="s">
        <v>2457</v>
      </c>
      <c r="J5547" s="87">
        <v>19743042</v>
      </c>
      <c r="K5547" s="85">
        <v>2024</v>
      </c>
      <c r="L5547" s="85">
        <v>10</v>
      </c>
      <c r="M5547" s="36" t="s">
        <v>2454</v>
      </c>
      <c r="N5547" s="1" t="s">
        <v>44</v>
      </c>
    </row>
    <row r="5548" spans="1:14">
      <c r="A5548" s="36" t="s">
        <v>32</v>
      </c>
      <c r="B5548" s="37">
        <v>45597</v>
      </c>
      <c r="C5548" s="36" t="s">
        <v>664</v>
      </c>
      <c r="D5548" s="36" t="s">
        <v>2181</v>
      </c>
      <c r="E5548" s="36" t="s">
        <v>267</v>
      </c>
      <c r="G5548" s="87">
        <v>-1072500</v>
      </c>
      <c r="H5548" s="87">
        <v>-107250</v>
      </c>
      <c r="I5548" s="87">
        <v>-1179750</v>
      </c>
      <c r="K5548" s="85">
        <v>2024</v>
      </c>
      <c r="L5548" s="85">
        <v>7</v>
      </c>
      <c r="N5548" s="1" t="s">
        <v>44</v>
      </c>
    </row>
    <row r="5549" spans="1:14">
      <c r="A5549" s="36" t="s">
        <v>33</v>
      </c>
      <c r="B5549" s="37">
        <v>45621</v>
      </c>
      <c r="C5549" s="36" t="s">
        <v>1569</v>
      </c>
      <c r="D5549" s="36" t="s">
        <v>2269</v>
      </c>
      <c r="E5549" s="36" t="s">
        <v>102</v>
      </c>
      <c r="G5549" s="87">
        <v>5044500</v>
      </c>
      <c r="H5549" s="87">
        <v>504450</v>
      </c>
      <c r="I5549" s="87">
        <v>5548950</v>
      </c>
      <c r="K5549" s="85">
        <v>2024</v>
      </c>
      <c r="L5549" s="85">
        <v>11</v>
      </c>
      <c r="N5549" s="1" t="s">
        <v>44</v>
      </c>
    </row>
    <row r="5550" spans="1:14">
      <c r="A5550" s="36" t="s">
        <v>33</v>
      </c>
      <c r="B5550" s="37">
        <v>45626</v>
      </c>
      <c r="C5550" s="36" t="s">
        <v>2368</v>
      </c>
      <c r="D5550" s="36" t="s">
        <v>2369</v>
      </c>
      <c r="E5550" s="36" t="s">
        <v>2370</v>
      </c>
      <c r="G5550" s="87">
        <v>4669000</v>
      </c>
      <c r="H5550" s="87">
        <v>466900</v>
      </c>
      <c r="I5550" s="87">
        <v>5135900</v>
      </c>
      <c r="K5550" s="85">
        <v>2024</v>
      </c>
      <c r="L5550" s="85">
        <v>11</v>
      </c>
      <c r="N5550" s="1" t="s">
        <v>44</v>
      </c>
    </row>
    <row r="5551" spans="1:14">
      <c r="A5551" s="36" t="s">
        <v>33</v>
      </c>
      <c r="B5551" s="37">
        <v>45626</v>
      </c>
      <c r="C5551" s="36" t="s">
        <v>2803</v>
      </c>
      <c r="D5551" s="36" t="s">
        <v>2271</v>
      </c>
      <c r="E5551" s="36" t="s">
        <v>2458</v>
      </c>
      <c r="G5551" s="87">
        <v>226000</v>
      </c>
      <c r="H5551" s="87">
        <v>22600</v>
      </c>
      <c r="I5551" s="87">
        <v>248600</v>
      </c>
      <c r="K5551" s="85">
        <v>2024</v>
      </c>
      <c r="L5551" s="85">
        <v>11</v>
      </c>
      <c r="N5551" s="1" t="s">
        <v>44</v>
      </c>
    </row>
    <row r="5552" spans="1:14">
      <c r="A5552" s="36" t="s">
        <v>33</v>
      </c>
      <c r="B5552" s="37">
        <v>45631</v>
      </c>
      <c r="C5552" s="36" t="s">
        <v>912</v>
      </c>
      <c r="D5552" s="36" t="s">
        <v>2206</v>
      </c>
      <c r="E5552" s="36" t="s">
        <v>148</v>
      </c>
      <c r="J5552" s="87">
        <v>18405420</v>
      </c>
      <c r="K5552" s="85">
        <v>2024</v>
      </c>
      <c r="L5552" s="85">
        <v>5</v>
      </c>
      <c r="N5552" s="1" t="s">
        <v>44</v>
      </c>
    </row>
    <row r="5553" spans="1:14">
      <c r="A5553" s="36" t="s">
        <v>33</v>
      </c>
      <c r="B5553" s="37">
        <v>45626</v>
      </c>
      <c r="C5553" s="36" t="s">
        <v>2122</v>
      </c>
      <c r="D5553" s="36" t="s">
        <v>1921</v>
      </c>
      <c r="E5553" s="36" t="s">
        <v>143</v>
      </c>
      <c r="G5553" s="87">
        <v>840000</v>
      </c>
      <c r="H5553" s="87">
        <v>84000</v>
      </c>
      <c r="I5553" s="87">
        <v>924000</v>
      </c>
      <c r="K5553" s="85">
        <v>2024</v>
      </c>
      <c r="L5553" s="85">
        <v>11</v>
      </c>
      <c r="N5553" s="1" t="s">
        <v>44</v>
      </c>
    </row>
    <row r="5554" spans="1:14">
      <c r="A5554" s="36" t="s">
        <v>33</v>
      </c>
      <c r="B5554" s="37">
        <v>45626</v>
      </c>
      <c r="C5554" s="36" t="s">
        <v>1391</v>
      </c>
      <c r="D5554" s="36" t="s">
        <v>197</v>
      </c>
      <c r="E5554" s="36" t="s">
        <v>1528</v>
      </c>
      <c r="G5554" s="87">
        <v>10290000</v>
      </c>
      <c r="H5554" s="87">
        <v>1028999</v>
      </c>
      <c r="I5554" s="87">
        <v>11318999</v>
      </c>
      <c r="K5554" s="85">
        <v>2024</v>
      </c>
      <c r="L5554" s="85">
        <v>11</v>
      </c>
      <c r="N5554" s="1" t="s">
        <v>44</v>
      </c>
    </row>
    <row r="5555" spans="1:14">
      <c r="A5555" s="36" t="s">
        <v>33</v>
      </c>
      <c r="B5555" s="37">
        <v>45626</v>
      </c>
      <c r="C5555" s="36" t="s">
        <v>2223</v>
      </c>
      <c r="D5555" s="36" t="s">
        <v>2261</v>
      </c>
      <c r="E5555" s="36" t="s">
        <v>2459</v>
      </c>
      <c r="G5555" s="87">
        <v>3926000</v>
      </c>
      <c r="H5555" s="87">
        <v>392600</v>
      </c>
      <c r="I5555" s="87">
        <v>4318600</v>
      </c>
      <c r="K5555" s="85">
        <v>2024</v>
      </c>
      <c r="L5555" s="85">
        <v>11</v>
      </c>
      <c r="N5555" s="1" t="s">
        <v>44</v>
      </c>
    </row>
    <row r="5556" spans="1:14">
      <c r="A5556" s="36" t="s">
        <v>33</v>
      </c>
      <c r="B5556" s="37">
        <v>45616</v>
      </c>
      <c r="C5556" s="36" t="s">
        <v>1569</v>
      </c>
      <c r="D5556" s="36" t="s">
        <v>1412</v>
      </c>
      <c r="E5556" s="36" t="s">
        <v>1492</v>
      </c>
      <c r="G5556" s="87">
        <v>3624000</v>
      </c>
      <c r="H5556" s="87">
        <v>362400</v>
      </c>
      <c r="I5556" s="87">
        <v>3986400</v>
      </c>
      <c r="K5556" s="85">
        <v>2024</v>
      </c>
      <c r="L5556" s="85">
        <v>11</v>
      </c>
      <c r="N5556" s="1" t="s">
        <v>44</v>
      </c>
    </row>
    <row r="5557" spans="1:14">
      <c r="A5557" s="36" t="s">
        <v>33</v>
      </c>
      <c r="B5557" s="37">
        <v>45626</v>
      </c>
      <c r="C5557" s="36" t="s">
        <v>2116</v>
      </c>
      <c r="D5557" s="36" t="s">
        <v>2117</v>
      </c>
      <c r="E5557" s="36" t="s">
        <v>2460</v>
      </c>
      <c r="G5557" s="87">
        <v>1960000</v>
      </c>
      <c r="H5557" s="87">
        <v>196000</v>
      </c>
      <c r="I5557" s="87">
        <v>2156000</v>
      </c>
      <c r="K5557" s="85">
        <v>2024</v>
      </c>
      <c r="L5557" s="85">
        <v>11</v>
      </c>
      <c r="N5557" s="1" t="s">
        <v>44</v>
      </c>
    </row>
    <row r="5558" spans="1:14">
      <c r="A5558" s="36" t="s">
        <v>33</v>
      </c>
      <c r="B5558" s="37">
        <v>45636</v>
      </c>
      <c r="C5558" s="36" t="s">
        <v>2016</v>
      </c>
      <c r="D5558" s="36" t="s">
        <v>1492</v>
      </c>
      <c r="E5558" s="36" t="s">
        <v>148</v>
      </c>
      <c r="J5558" s="38">
        <v>58740000</v>
      </c>
      <c r="K5558" s="85">
        <v>2024</v>
      </c>
      <c r="L5558" s="85">
        <v>10</v>
      </c>
      <c r="N5558" s="1" t="s">
        <v>44</v>
      </c>
    </row>
    <row r="5559" spans="1:14">
      <c r="A5559" s="36" t="s">
        <v>33</v>
      </c>
      <c r="B5559" s="37">
        <v>45626</v>
      </c>
      <c r="C5559" s="36" t="s">
        <v>96</v>
      </c>
      <c r="D5559" s="36" t="s">
        <v>97</v>
      </c>
      <c r="E5559" s="36" t="s">
        <v>97</v>
      </c>
      <c r="G5559" s="87">
        <v>1030000</v>
      </c>
      <c r="H5559" s="87">
        <v>103000</v>
      </c>
      <c r="I5559" s="87">
        <v>1133000</v>
      </c>
      <c r="K5559" s="85">
        <v>2024</v>
      </c>
      <c r="L5559" s="85">
        <v>11</v>
      </c>
      <c r="N5559" s="1" t="s">
        <v>44</v>
      </c>
    </row>
    <row r="5560" spans="1:14">
      <c r="A5560" s="36" t="s">
        <v>33</v>
      </c>
      <c r="B5560" s="37">
        <v>45626</v>
      </c>
      <c r="C5560" s="36" t="s">
        <v>2188</v>
      </c>
      <c r="D5560" s="36" t="s">
        <v>2324</v>
      </c>
      <c r="E5560" s="36" t="s">
        <v>2461</v>
      </c>
      <c r="G5560" s="87">
        <v>28800</v>
      </c>
      <c r="H5560" s="87">
        <v>2880</v>
      </c>
      <c r="I5560" s="87">
        <v>31680</v>
      </c>
      <c r="K5560" s="85">
        <v>2024</v>
      </c>
      <c r="L5560" s="85">
        <v>11</v>
      </c>
      <c r="N5560" s="1" t="s">
        <v>44</v>
      </c>
    </row>
    <row r="5561" spans="1:14">
      <c r="A5561" s="36" t="s">
        <v>33</v>
      </c>
      <c r="B5561" s="37">
        <v>45626</v>
      </c>
      <c r="C5561" s="36" t="s">
        <v>2188</v>
      </c>
      <c r="D5561" s="36" t="s">
        <v>2269</v>
      </c>
      <c r="E5561" s="36" t="s">
        <v>1528</v>
      </c>
      <c r="G5561" s="87">
        <v>100000</v>
      </c>
      <c r="H5561" s="87">
        <v>10000</v>
      </c>
      <c r="I5561" s="87">
        <v>110000</v>
      </c>
      <c r="K5561" s="85">
        <v>2024</v>
      </c>
      <c r="L5561" s="85">
        <v>11</v>
      </c>
      <c r="N5561" s="1" t="s">
        <v>44</v>
      </c>
    </row>
    <row r="5562" spans="1:14">
      <c r="A5562" s="36" t="s">
        <v>33</v>
      </c>
      <c r="B5562" s="37">
        <v>45637</v>
      </c>
      <c r="C5562" s="36" t="s">
        <v>1391</v>
      </c>
      <c r="D5562" s="36" t="s">
        <v>2273</v>
      </c>
      <c r="E5562" s="36" t="s">
        <v>2462</v>
      </c>
      <c r="J5562" s="87">
        <v>580800</v>
      </c>
      <c r="K5562" s="85">
        <v>2024</v>
      </c>
      <c r="L5562" s="85">
        <v>10</v>
      </c>
      <c r="N5562" s="1" t="s">
        <v>44</v>
      </c>
    </row>
    <row r="5563" spans="1:14">
      <c r="A5563" s="36" t="s">
        <v>33</v>
      </c>
      <c r="B5563" s="37">
        <v>45626</v>
      </c>
      <c r="C5563" s="36" t="s">
        <v>2417</v>
      </c>
      <c r="D5563" s="36" t="s">
        <v>2418</v>
      </c>
      <c r="E5563" s="36" t="s">
        <v>2463</v>
      </c>
      <c r="G5563" s="87">
        <v>1890000</v>
      </c>
      <c r="H5563" s="87">
        <v>189000</v>
      </c>
      <c r="I5563" s="87">
        <v>2079000</v>
      </c>
      <c r="K5563" s="85">
        <v>2024</v>
      </c>
      <c r="L5563" s="85">
        <v>11</v>
      </c>
      <c r="N5563" s="1" t="s">
        <v>44</v>
      </c>
    </row>
    <row r="5564" spans="1:14">
      <c r="A5564" s="36" t="s">
        <v>33</v>
      </c>
      <c r="B5564" s="37">
        <v>45626</v>
      </c>
      <c r="C5564" s="36" t="s">
        <v>81</v>
      </c>
      <c r="D5564" s="36" t="s">
        <v>2464</v>
      </c>
      <c r="E5564" s="36" t="s">
        <v>2465</v>
      </c>
      <c r="G5564" s="87">
        <v>882000</v>
      </c>
      <c r="H5564" s="87">
        <v>88200</v>
      </c>
      <c r="I5564" s="87">
        <v>970200</v>
      </c>
      <c r="K5564" s="85">
        <v>2024</v>
      </c>
      <c r="L5564" s="85">
        <v>11</v>
      </c>
      <c r="N5564" s="1" t="s">
        <v>44</v>
      </c>
    </row>
    <row r="5565" spans="1:14">
      <c r="A5565" s="36" t="s">
        <v>33</v>
      </c>
      <c r="B5565" s="37">
        <v>45626</v>
      </c>
      <c r="C5565" s="36" t="s">
        <v>81</v>
      </c>
      <c r="D5565" s="36" t="s">
        <v>2466</v>
      </c>
      <c r="E5565" s="36" t="s">
        <v>1560</v>
      </c>
      <c r="G5565" s="87">
        <v>2914028</v>
      </c>
      <c r="H5565" s="87">
        <v>291402</v>
      </c>
      <c r="I5565" s="87">
        <v>3205430</v>
      </c>
      <c r="K5565" s="85">
        <v>2024</v>
      </c>
      <c r="L5565" s="85">
        <v>11</v>
      </c>
      <c r="N5565" s="1" t="s">
        <v>44</v>
      </c>
    </row>
    <row r="5566" spans="1:14">
      <c r="A5566" s="36" t="s">
        <v>33</v>
      </c>
      <c r="B5566" s="37">
        <v>45626</v>
      </c>
      <c r="C5566" s="36" t="s">
        <v>81</v>
      </c>
      <c r="D5566" s="36" t="s">
        <v>2271</v>
      </c>
      <c r="E5566" s="36" t="s">
        <v>102</v>
      </c>
      <c r="G5566" s="87">
        <v>6627840</v>
      </c>
      <c r="H5566" s="87">
        <v>662784</v>
      </c>
      <c r="I5566" s="87">
        <v>7290624</v>
      </c>
      <c r="K5566" s="85">
        <v>2024</v>
      </c>
      <c r="L5566" s="85">
        <v>11</v>
      </c>
      <c r="N5566" s="1" t="s">
        <v>44</v>
      </c>
    </row>
    <row r="5567" spans="1:14">
      <c r="A5567" s="36" t="s">
        <v>33</v>
      </c>
      <c r="B5567" s="37">
        <v>45616</v>
      </c>
      <c r="C5567" s="36" t="s">
        <v>2016</v>
      </c>
      <c r="D5567" s="36" t="s">
        <v>2467</v>
      </c>
      <c r="E5567" s="36" t="s">
        <v>1492</v>
      </c>
      <c r="G5567" s="87">
        <v>78535000</v>
      </c>
      <c r="H5567" s="87">
        <v>7853500</v>
      </c>
      <c r="I5567" s="87">
        <v>86388500</v>
      </c>
      <c r="K5567" s="85">
        <v>2024</v>
      </c>
      <c r="L5567" s="85">
        <v>11</v>
      </c>
      <c r="N5567" s="1" t="s">
        <v>44</v>
      </c>
    </row>
    <row r="5568" spans="1:14">
      <c r="A5568" s="36" t="s">
        <v>33</v>
      </c>
      <c r="B5568" s="37">
        <v>45626</v>
      </c>
      <c r="C5568" s="36" t="s">
        <v>2016</v>
      </c>
      <c r="D5568" s="36" t="s">
        <v>2468</v>
      </c>
      <c r="E5568" s="36" t="s">
        <v>1492</v>
      </c>
      <c r="G5568" s="87">
        <v>64265080</v>
      </c>
      <c r="H5568" s="87">
        <v>6426508</v>
      </c>
      <c r="I5568" s="87">
        <v>70691588</v>
      </c>
      <c r="K5568" s="85">
        <v>2024</v>
      </c>
      <c r="L5568" s="85">
        <v>11</v>
      </c>
      <c r="N5568" s="1" t="s">
        <v>44</v>
      </c>
    </row>
    <row r="5569" spans="1:14">
      <c r="A5569" s="36" t="s">
        <v>32</v>
      </c>
      <c r="B5569" s="37">
        <v>45603</v>
      </c>
      <c r="C5569" s="36" t="s">
        <v>2469</v>
      </c>
      <c r="D5569" s="36" t="s">
        <v>2471</v>
      </c>
      <c r="E5569" s="36" t="s">
        <v>76</v>
      </c>
      <c r="G5569" s="87">
        <v>1960000</v>
      </c>
      <c r="H5569" s="87">
        <v>196000</v>
      </c>
      <c r="I5569" s="87">
        <v>2156000</v>
      </c>
      <c r="K5569" s="85">
        <v>2024</v>
      </c>
      <c r="L5569" s="85">
        <v>11</v>
      </c>
      <c r="N5569" s="1" t="s">
        <v>44</v>
      </c>
    </row>
    <row r="5570" spans="1:14">
      <c r="A5570" s="36" t="s">
        <v>32</v>
      </c>
      <c r="B5570" s="37">
        <v>45604</v>
      </c>
      <c r="C5570" s="36" t="s">
        <v>2470</v>
      </c>
      <c r="D5570" s="36" t="s">
        <v>2472</v>
      </c>
      <c r="E5570" s="36" t="s">
        <v>76</v>
      </c>
      <c r="G5570" s="87">
        <v>5700000</v>
      </c>
      <c r="H5570" s="87">
        <v>570000</v>
      </c>
      <c r="I5570" s="87">
        <v>6270000</v>
      </c>
      <c r="K5570" s="85">
        <v>2024</v>
      </c>
      <c r="L5570" s="85">
        <v>11</v>
      </c>
      <c r="N5570" s="1" t="s">
        <v>44</v>
      </c>
    </row>
    <row r="5571" spans="1:14">
      <c r="A5571" s="36" t="s">
        <v>32</v>
      </c>
      <c r="B5571" s="37">
        <v>45597</v>
      </c>
      <c r="C5571" s="36" t="s">
        <v>2247</v>
      </c>
      <c r="D5571" s="36" t="s">
        <v>2473</v>
      </c>
      <c r="E5571" s="36" t="s">
        <v>267</v>
      </c>
      <c r="G5571" s="87">
        <v>22314800</v>
      </c>
      <c r="H5571" s="87">
        <v>2231480</v>
      </c>
      <c r="I5571" s="87">
        <v>24546280</v>
      </c>
      <c r="K5571" s="85">
        <v>2024</v>
      </c>
      <c r="L5571" s="85">
        <v>11</v>
      </c>
      <c r="N5571" s="1" t="s">
        <v>44</v>
      </c>
    </row>
    <row r="5572" spans="1:14">
      <c r="A5572" s="36" t="s">
        <v>32</v>
      </c>
      <c r="B5572" s="37">
        <v>45616</v>
      </c>
      <c r="C5572" s="36" t="s">
        <v>209</v>
      </c>
      <c r="D5572" s="36" t="s">
        <v>2494</v>
      </c>
      <c r="E5572" s="36" t="s">
        <v>1492</v>
      </c>
      <c r="G5572" s="87">
        <v>4814400</v>
      </c>
      <c r="H5572" s="87">
        <v>481440</v>
      </c>
      <c r="I5572" s="87">
        <v>5295840</v>
      </c>
      <c r="K5572" s="85">
        <v>2024</v>
      </c>
      <c r="L5572" s="85">
        <v>11</v>
      </c>
      <c r="N5572" s="1" t="s">
        <v>44</v>
      </c>
    </row>
    <row r="5573" spans="1:14">
      <c r="A5573" s="36" t="s">
        <v>32</v>
      </c>
      <c r="B5573" s="37">
        <v>45622</v>
      </c>
      <c r="C5573" s="36" t="s">
        <v>209</v>
      </c>
      <c r="D5573" s="36" t="s">
        <v>1699</v>
      </c>
      <c r="E5573" s="36" t="s">
        <v>76</v>
      </c>
      <c r="G5573" s="87">
        <v>23396400</v>
      </c>
      <c r="H5573" s="87">
        <v>2339640</v>
      </c>
      <c r="I5573" s="87">
        <v>25736040</v>
      </c>
      <c r="K5573" s="85">
        <v>2024</v>
      </c>
      <c r="L5573" s="85">
        <v>11</v>
      </c>
      <c r="N5573" s="1" t="s">
        <v>44</v>
      </c>
    </row>
    <row r="5574" spans="1:14">
      <c r="A5574" s="36" t="s">
        <v>32</v>
      </c>
      <c r="B5574" s="37">
        <v>45622</v>
      </c>
      <c r="C5574" s="36" t="s">
        <v>209</v>
      </c>
      <c r="D5574" s="36" t="s">
        <v>1885</v>
      </c>
      <c r="E5574" s="36" t="s">
        <v>1492</v>
      </c>
      <c r="G5574" s="87">
        <v>1682800</v>
      </c>
      <c r="H5574" s="87">
        <v>168280</v>
      </c>
      <c r="I5574" s="87">
        <v>1851080</v>
      </c>
      <c r="K5574" s="85">
        <v>2024</v>
      </c>
      <c r="L5574" s="85">
        <v>11</v>
      </c>
      <c r="N5574" s="1" t="s">
        <v>44</v>
      </c>
    </row>
    <row r="5575" spans="1:14">
      <c r="A5575" s="36" t="s">
        <v>32</v>
      </c>
      <c r="B5575" s="37">
        <v>45616</v>
      </c>
      <c r="C5575" s="36" t="s">
        <v>209</v>
      </c>
      <c r="D5575" s="36" t="s">
        <v>2333</v>
      </c>
      <c r="E5575" s="36" t="s">
        <v>76</v>
      </c>
      <c r="G5575" s="87">
        <v>6531498</v>
      </c>
      <c r="H5575" s="87">
        <v>653149.80000000005</v>
      </c>
      <c r="I5575" s="87">
        <v>7184647.7999999998</v>
      </c>
      <c r="K5575" s="85">
        <v>2024</v>
      </c>
      <c r="L5575" s="85">
        <v>11</v>
      </c>
      <c r="N5575" s="1" t="s">
        <v>44</v>
      </c>
    </row>
    <row r="5576" spans="1:14">
      <c r="A5576" s="36" t="s">
        <v>32</v>
      </c>
      <c r="B5576" s="37">
        <v>45625</v>
      </c>
      <c r="C5576" s="36" t="s">
        <v>209</v>
      </c>
      <c r="D5576" s="36" t="s">
        <v>1866</v>
      </c>
      <c r="E5576" s="36" t="s">
        <v>76</v>
      </c>
      <c r="G5576" s="87">
        <v>68086800</v>
      </c>
      <c r="H5576" s="87">
        <v>6808680</v>
      </c>
      <c r="I5576" s="87">
        <v>74895480</v>
      </c>
      <c r="K5576" s="85">
        <v>2024</v>
      </c>
      <c r="L5576" s="85">
        <v>11</v>
      </c>
      <c r="N5576" s="1" t="s">
        <v>44</v>
      </c>
    </row>
    <row r="5577" spans="1:14">
      <c r="A5577" s="36" t="s">
        <v>32</v>
      </c>
      <c r="B5577" s="37">
        <v>45625</v>
      </c>
      <c r="C5577" s="36" t="s">
        <v>209</v>
      </c>
      <c r="D5577" s="36" t="s">
        <v>2024</v>
      </c>
      <c r="E5577" s="36" t="s">
        <v>1492</v>
      </c>
      <c r="G5577" s="87">
        <v>33850400</v>
      </c>
      <c r="H5577" s="87">
        <v>3385040</v>
      </c>
      <c r="I5577" s="87">
        <v>37235440</v>
      </c>
      <c r="K5577" s="85">
        <v>2024</v>
      </c>
      <c r="L5577" s="85">
        <v>11</v>
      </c>
      <c r="N5577" s="1" t="s">
        <v>44</v>
      </c>
    </row>
    <row r="5578" spans="1:14">
      <c r="A5578" s="36" t="s">
        <v>32</v>
      </c>
      <c r="B5578" s="37">
        <v>45626</v>
      </c>
      <c r="C5578" s="36" t="s">
        <v>209</v>
      </c>
      <c r="D5578" s="36" t="s">
        <v>1892</v>
      </c>
      <c r="E5578" s="36" t="s">
        <v>1492</v>
      </c>
      <c r="G5578" s="87">
        <v>3685700</v>
      </c>
      <c r="H5578" s="87">
        <v>368570</v>
      </c>
      <c r="I5578" s="87">
        <v>4054270</v>
      </c>
      <c r="K5578" s="85">
        <v>2024</v>
      </c>
      <c r="L5578" s="85">
        <v>11</v>
      </c>
      <c r="N5578" s="1" t="s">
        <v>44</v>
      </c>
    </row>
    <row r="5579" spans="1:14">
      <c r="A5579" s="36" t="s">
        <v>32</v>
      </c>
      <c r="B5579" s="37">
        <v>45626</v>
      </c>
      <c r="C5579" s="36" t="s">
        <v>1198</v>
      </c>
      <c r="D5579" s="36" t="s">
        <v>2289</v>
      </c>
      <c r="E5579" s="36" t="s">
        <v>76</v>
      </c>
      <c r="G5579" s="87">
        <v>1054000</v>
      </c>
      <c r="H5579" s="87">
        <v>105400</v>
      </c>
      <c r="I5579" s="87">
        <v>1159400</v>
      </c>
      <c r="K5579" s="85">
        <v>2024</v>
      </c>
      <c r="L5579" s="85">
        <v>11</v>
      </c>
      <c r="N5579" s="1" t="s">
        <v>44</v>
      </c>
    </row>
    <row r="5580" spans="1:14">
      <c r="A5580" s="36" t="s">
        <v>32</v>
      </c>
      <c r="B5580" s="37">
        <v>45626</v>
      </c>
      <c r="C5580" s="36" t="s">
        <v>1198</v>
      </c>
      <c r="D5580" s="36" t="s">
        <v>2079</v>
      </c>
      <c r="E5580" s="36" t="s">
        <v>76</v>
      </c>
      <c r="G5580" s="87">
        <v>12966600</v>
      </c>
      <c r="H5580" s="87">
        <v>1296660</v>
      </c>
      <c r="I5580" s="87">
        <v>14263260</v>
      </c>
      <c r="K5580" s="85">
        <v>2024</v>
      </c>
      <c r="L5580" s="85">
        <v>11</v>
      </c>
      <c r="N5580" s="1" t="s">
        <v>44</v>
      </c>
    </row>
    <row r="5581" spans="1:14">
      <c r="A5581" s="36" t="s">
        <v>32</v>
      </c>
      <c r="B5581" s="37">
        <v>45626</v>
      </c>
      <c r="C5581" s="36" t="s">
        <v>1198</v>
      </c>
      <c r="D5581" s="36" t="s">
        <v>2221</v>
      </c>
      <c r="E5581" s="36" t="s">
        <v>76</v>
      </c>
      <c r="G5581" s="87">
        <v>3918200</v>
      </c>
      <c r="H5581" s="87">
        <v>391820</v>
      </c>
      <c r="I5581" s="87">
        <v>4310020</v>
      </c>
      <c r="K5581" s="85">
        <v>2024</v>
      </c>
      <c r="L5581" s="85">
        <v>11</v>
      </c>
      <c r="N5581" s="1" t="s">
        <v>44</v>
      </c>
    </row>
    <row r="5582" spans="1:14">
      <c r="A5582" s="36" t="s">
        <v>32</v>
      </c>
      <c r="B5582" s="37">
        <v>45626</v>
      </c>
      <c r="C5582" s="36" t="s">
        <v>1198</v>
      </c>
      <c r="D5582" s="36" t="s">
        <v>2515</v>
      </c>
      <c r="E5582" s="36" t="s">
        <v>76</v>
      </c>
      <c r="G5582" s="87">
        <v>6276000</v>
      </c>
      <c r="H5582" s="87">
        <v>627600</v>
      </c>
      <c r="I5582" s="87">
        <v>6903600</v>
      </c>
      <c r="K5582" s="85">
        <v>2024</v>
      </c>
      <c r="L5582" s="85">
        <v>11</v>
      </c>
      <c r="N5582" s="1" t="s">
        <v>44</v>
      </c>
    </row>
    <row r="5583" spans="1:14">
      <c r="A5583" s="36" t="s">
        <v>32</v>
      </c>
      <c r="B5583" s="37">
        <v>45626</v>
      </c>
      <c r="C5583" s="36" t="s">
        <v>2474</v>
      </c>
      <c r="D5583" s="36" t="s">
        <v>2691</v>
      </c>
      <c r="E5583" s="36" t="s">
        <v>267</v>
      </c>
      <c r="G5583" s="87">
        <v>810000</v>
      </c>
      <c r="H5583" s="87">
        <v>81000</v>
      </c>
      <c r="I5583" s="87">
        <v>891000</v>
      </c>
      <c r="K5583" s="85">
        <v>2024</v>
      </c>
      <c r="L5583" s="85">
        <v>11</v>
      </c>
      <c r="N5583" s="1" t="s">
        <v>44</v>
      </c>
    </row>
    <row r="5584" spans="1:14">
      <c r="A5584" s="36" t="s">
        <v>32</v>
      </c>
      <c r="B5584" s="37">
        <v>45626</v>
      </c>
      <c r="C5584" s="36" t="s">
        <v>1198</v>
      </c>
      <c r="D5584" s="36" t="s">
        <v>2287</v>
      </c>
      <c r="E5584" s="36" t="s">
        <v>76</v>
      </c>
      <c r="G5584" s="87">
        <v>5249600</v>
      </c>
      <c r="H5584" s="87">
        <v>524960</v>
      </c>
      <c r="I5584" s="87">
        <v>5774560</v>
      </c>
      <c r="K5584" s="85">
        <v>2024</v>
      </c>
      <c r="L5584" s="85">
        <v>11</v>
      </c>
      <c r="N5584" s="1" t="s">
        <v>44</v>
      </c>
    </row>
    <row r="5585" spans="1:14">
      <c r="A5585" s="36" t="s">
        <v>32</v>
      </c>
      <c r="B5585" s="37">
        <v>45626</v>
      </c>
      <c r="C5585" s="36" t="s">
        <v>2279</v>
      </c>
      <c r="D5585" s="36" t="s">
        <v>2499</v>
      </c>
      <c r="E5585" s="36" t="s">
        <v>76</v>
      </c>
      <c r="G5585" s="87">
        <v>3080000</v>
      </c>
      <c r="H5585" s="87">
        <v>308000</v>
      </c>
      <c r="I5585" s="87">
        <v>3388000</v>
      </c>
      <c r="K5585" s="85">
        <v>2024</v>
      </c>
      <c r="L5585" s="85">
        <v>11</v>
      </c>
      <c r="N5585" s="1" t="s">
        <v>44</v>
      </c>
    </row>
    <row r="5586" spans="1:14">
      <c r="A5586" s="36" t="s">
        <v>32</v>
      </c>
      <c r="B5586" s="37">
        <v>45626</v>
      </c>
      <c r="C5586" s="36" t="s">
        <v>174</v>
      </c>
      <c r="D5586" s="36" t="s">
        <v>2480</v>
      </c>
      <c r="E5586" s="36" t="s">
        <v>76</v>
      </c>
      <c r="G5586" s="87">
        <v>25490000</v>
      </c>
      <c r="H5586" s="87">
        <v>2549000</v>
      </c>
      <c r="I5586" s="87">
        <v>28039000</v>
      </c>
      <c r="K5586" s="85">
        <v>2024</v>
      </c>
      <c r="L5586" s="85">
        <v>11</v>
      </c>
      <c r="N5586" s="1" t="s">
        <v>44</v>
      </c>
    </row>
    <row r="5587" spans="1:14">
      <c r="A5587" s="36" t="s">
        <v>32</v>
      </c>
      <c r="B5587" s="37">
        <v>45626</v>
      </c>
      <c r="C5587" s="36" t="s">
        <v>206</v>
      </c>
      <c r="D5587" s="36" t="s">
        <v>2400</v>
      </c>
      <c r="E5587" s="36" t="s">
        <v>76</v>
      </c>
      <c r="G5587" s="87">
        <v>7756000</v>
      </c>
      <c r="H5587" s="87">
        <v>775600</v>
      </c>
      <c r="I5587" s="87">
        <v>8531600</v>
      </c>
      <c r="K5587" s="85">
        <v>2024</v>
      </c>
      <c r="L5587" s="85">
        <v>11</v>
      </c>
      <c r="N5587" s="1" t="s">
        <v>44</v>
      </c>
    </row>
    <row r="5588" spans="1:14">
      <c r="A5588" s="36" t="s">
        <v>32</v>
      </c>
      <c r="B5588" s="37">
        <v>45626</v>
      </c>
      <c r="C5588" s="36" t="s">
        <v>2167</v>
      </c>
      <c r="D5588" s="36" t="s">
        <v>2498</v>
      </c>
      <c r="E5588" s="36" t="s">
        <v>76</v>
      </c>
      <c r="G5588" s="87">
        <v>10800000</v>
      </c>
      <c r="H5588" s="87">
        <v>1080000</v>
      </c>
      <c r="I5588" s="87">
        <v>11880000</v>
      </c>
      <c r="K5588" s="85">
        <v>2024</v>
      </c>
      <c r="L5588" s="85">
        <v>11</v>
      </c>
      <c r="N5588" s="1" t="s">
        <v>44</v>
      </c>
    </row>
    <row r="5589" spans="1:14">
      <c r="A5589" s="36" t="s">
        <v>32</v>
      </c>
      <c r="B5589" s="37">
        <v>45626</v>
      </c>
      <c r="C5589" s="36" t="s">
        <v>2475</v>
      </c>
      <c r="D5589" s="36" t="s">
        <v>2481</v>
      </c>
      <c r="E5589" s="36" t="s">
        <v>76</v>
      </c>
      <c r="G5589" s="87">
        <v>6210000</v>
      </c>
      <c r="H5589" s="87">
        <v>621000</v>
      </c>
      <c r="I5589" s="87">
        <v>6831000</v>
      </c>
      <c r="K5589" s="85">
        <v>2024</v>
      </c>
      <c r="L5589" s="85">
        <v>11</v>
      </c>
      <c r="N5589" s="1" t="s">
        <v>44</v>
      </c>
    </row>
    <row r="5590" spans="1:14">
      <c r="A5590" s="36" t="s">
        <v>32</v>
      </c>
      <c r="B5590" s="37">
        <v>45626</v>
      </c>
      <c r="C5590" s="36" t="s">
        <v>2476</v>
      </c>
      <c r="D5590" s="36" t="s">
        <v>2482</v>
      </c>
      <c r="E5590" s="36" t="s">
        <v>76</v>
      </c>
      <c r="G5590" s="87">
        <v>11415500</v>
      </c>
      <c r="H5590" s="87">
        <v>1141550</v>
      </c>
      <c r="I5590" s="87">
        <v>12557050</v>
      </c>
      <c r="K5590" s="85">
        <v>2024</v>
      </c>
      <c r="L5590" s="85">
        <v>11</v>
      </c>
      <c r="N5590" s="1" t="s">
        <v>44</v>
      </c>
    </row>
    <row r="5591" spans="1:14">
      <c r="A5591" s="36" t="s">
        <v>32</v>
      </c>
      <c r="B5591" s="37">
        <v>45626</v>
      </c>
      <c r="C5591" s="36" t="s">
        <v>2392</v>
      </c>
      <c r="D5591" s="36" t="s">
        <v>2483</v>
      </c>
      <c r="E5591" s="36" t="s">
        <v>76</v>
      </c>
      <c r="G5591" s="87">
        <v>4187700</v>
      </c>
      <c r="H5591" s="87">
        <v>418770</v>
      </c>
      <c r="I5591" s="87">
        <v>4606470</v>
      </c>
      <c r="K5591" s="85">
        <v>2024</v>
      </c>
      <c r="L5591" s="85">
        <v>11</v>
      </c>
      <c r="N5591" s="1" t="s">
        <v>44</v>
      </c>
    </row>
    <row r="5592" spans="1:14">
      <c r="A5592" s="36" t="s">
        <v>32</v>
      </c>
      <c r="B5592" s="37">
        <v>45626</v>
      </c>
      <c r="C5592" s="36" t="s">
        <v>2393</v>
      </c>
      <c r="D5592" s="36" t="s">
        <v>2484</v>
      </c>
      <c r="E5592" s="36" t="s">
        <v>267</v>
      </c>
      <c r="G5592" s="87">
        <v>4000000</v>
      </c>
      <c r="H5592" s="87">
        <v>400000</v>
      </c>
      <c r="I5592" s="87">
        <v>4400000</v>
      </c>
      <c r="K5592" s="85">
        <v>2024</v>
      </c>
      <c r="L5592" s="85">
        <v>11</v>
      </c>
      <c r="N5592" s="1" t="s">
        <v>44</v>
      </c>
    </row>
    <row r="5593" spans="1:14">
      <c r="A5593" s="36" t="s">
        <v>32</v>
      </c>
      <c r="B5593" s="37">
        <v>45626</v>
      </c>
      <c r="C5593" s="36" t="s">
        <v>2477</v>
      </c>
      <c r="D5593" s="36" t="s">
        <v>2485</v>
      </c>
      <c r="E5593" s="36" t="s">
        <v>76</v>
      </c>
      <c r="G5593" s="87">
        <v>4806000</v>
      </c>
      <c r="H5593" s="87">
        <v>480600</v>
      </c>
      <c r="I5593" s="87">
        <v>5286600</v>
      </c>
      <c r="K5593" s="85">
        <v>2024</v>
      </c>
      <c r="L5593" s="85">
        <v>11</v>
      </c>
      <c r="N5593" s="1" t="s">
        <v>44</v>
      </c>
    </row>
    <row r="5594" spans="1:14">
      <c r="A5594" s="36" t="s">
        <v>32</v>
      </c>
      <c r="B5594" s="37">
        <v>45626</v>
      </c>
      <c r="C5594" s="36" t="s">
        <v>2477</v>
      </c>
      <c r="D5594" s="36" t="s">
        <v>2485</v>
      </c>
      <c r="E5594" s="36" t="s">
        <v>2493</v>
      </c>
      <c r="G5594" s="87">
        <v>11920440</v>
      </c>
      <c r="H5594" s="87">
        <v>1192044</v>
      </c>
      <c r="I5594" s="87">
        <v>13112484</v>
      </c>
      <c r="K5594" s="85">
        <v>2024</v>
      </c>
      <c r="L5594" s="85">
        <v>11</v>
      </c>
      <c r="N5594" s="1" t="s">
        <v>44</v>
      </c>
    </row>
    <row r="5595" spans="1:14">
      <c r="A5595" s="36" t="s">
        <v>32</v>
      </c>
      <c r="B5595" s="37">
        <v>45626</v>
      </c>
      <c r="C5595" s="36" t="s">
        <v>334</v>
      </c>
      <c r="D5595" s="36" t="s">
        <v>2486</v>
      </c>
      <c r="E5595" s="36" t="s">
        <v>76</v>
      </c>
      <c r="G5595" s="87">
        <v>7340000</v>
      </c>
      <c r="H5595" s="87">
        <v>734000</v>
      </c>
      <c r="I5595" s="87">
        <v>8074000</v>
      </c>
      <c r="K5595" s="85">
        <v>2024</v>
      </c>
      <c r="L5595" s="85">
        <v>11</v>
      </c>
      <c r="N5595" s="1" t="s">
        <v>44</v>
      </c>
    </row>
    <row r="5596" spans="1:14">
      <c r="A5596" s="36" t="s">
        <v>32</v>
      </c>
      <c r="B5596" s="37">
        <v>45626</v>
      </c>
      <c r="C5596" s="36" t="s">
        <v>1587</v>
      </c>
      <c r="D5596" s="36" t="s">
        <v>2271</v>
      </c>
      <c r="E5596" s="36" t="s">
        <v>1492</v>
      </c>
      <c r="G5596" s="87">
        <v>7613760</v>
      </c>
      <c r="H5596" s="87">
        <v>761376</v>
      </c>
      <c r="I5596" s="87">
        <v>8375136</v>
      </c>
      <c r="K5596" s="85">
        <v>2024</v>
      </c>
      <c r="L5596" s="85">
        <v>11</v>
      </c>
      <c r="N5596" s="1" t="s">
        <v>44</v>
      </c>
    </row>
    <row r="5597" spans="1:14">
      <c r="A5597" s="36" t="s">
        <v>32</v>
      </c>
      <c r="B5597" s="37">
        <v>45626</v>
      </c>
      <c r="C5597" s="36" t="s">
        <v>1468</v>
      </c>
      <c r="D5597" s="36" t="s">
        <v>2072</v>
      </c>
      <c r="E5597" s="36" t="s">
        <v>1492</v>
      </c>
      <c r="G5597" s="87">
        <v>10941480</v>
      </c>
      <c r="H5597" s="87">
        <v>1094148</v>
      </c>
      <c r="I5597" s="87">
        <v>12035628</v>
      </c>
      <c r="K5597" s="85">
        <v>2024</v>
      </c>
      <c r="L5597" s="85">
        <v>11</v>
      </c>
      <c r="N5597" s="1" t="s">
        <v>44</v>
      </c>
    </row>
    <row r="5598" spans="1:14">
      <c r="A5598" s="36" t="s">
        <v>32</v>
      </c>
      <c r="B5598" s="37">
        <v>45626</v>
      </c>
      <c r="C5598" s="36" t="s">
        <v>2478</v>
      </c>
      <c r="D5598" s="36" t="s">
        <v>2487</v>
      </c>
      <c r="E5598" s="36" t="s">
        <v>267</v>
      </c>
      <c r="G5598" s="87">
        <v>12750000</v>
      </c>
      <c r="H5598" s="87">
        <v>1275000</v>
      </c>
      <c r="I5598" s="87">
        <v>14025000</v>
      </c>
      <c r="K5598" s="85">
        <v>2024</v>
      </c>
      <c r="L5598" s="85">
        <v>11</v>
      </c>
      <c r="N5598" s="1" t="s">
        <v>44</v>
      </c>
    </row>
    <row r="5599" spans="1:14">
      <c r="A5599" s="36" t="s">
        <v>32</v>
      </c>
      <c r="B5599" s="37">
        <v>45626</v>
      </c>
      <c r="C5599" s="36" t="s">
        <v>264</v>
      </c>
      <c r="D5599" s="36" t="s">
        <v>2488</v>
      </c>
      <c r="E5599" s="36" t="s">
        <v>76</v>
      </c>
      <c r="G5599" s="87">
        <v>32000000</v>
      </c>
      <c r="H5599" s="87">
        <v>3200000</v>
      </c>
      <c r="I5599" s="87">
        <v>35200000</v>
      </c>
      <c r="K5599" s="85">
        <v>2024</v>
      </c>
      <c r="L5599" s="85">
        <v>11</v>
      </c>
      <c r="N5599" s="1" t="s">
        <v>44</v>
      </c>
    </row>
    <row r="5600" spans="1:14">
      <c r="A5600" s="36" t="s">
        <v>32</v>
      </c>
      <c r="B5600" s="37">
        <v>45626</v>
      </c>
      <c r="C5600" s="36" t="s">
        <v>2479</v>
      </c>
      <c r="D5600" s="36" t="s">
        <v>2489</v>
      </c>
      <c r="E5600" s="36" t="s">
        <v>2459</v>
      </c>
      <c r="G5600" s="87">
        <v>3926000</v>
      </c>
      <c r="H5600" s="87">
        <v>392600</v>
      </c>
      <c r="I5600" s="87">
        <v>4318600</v>
      </c>
      <c r="K5600" s="85">
        <v>2024</v>
      </c>
      <c r="L5600" s="85">
        <v>11</v>
      </c>
      <c r="N5600" s="1" t="s">
        <v>44</v>
      </c>
    </row>
    <row r="5601" spans="1:14">
      <c r="A5601" s="36" t="s">
        <v>32</v>
      </c>
      <c r="B5601" s="37">
        <v>45626</v>
      </c>
      <c r="C5601" s="36" t="s">
        <v>1470</v>
      </c>
      <c r="D5601" s="36" t="s">
        <v>1487</v>
      </c>
      <c r="E5601" s="36" t="s">
        <v>76</v>
      </c>
      <c r="G5601" s="87">
        <v>149348400</v>
      </c>
      <c r="H5601" s="87">
        <v>14934840</v>
      </c>
      <c r="I5601" s="87">
        <v>164283240</v>
      </c>
      <c r="K5601" s="85">
        <v>2024</v>
      </c>
      <c r="L5601" s="85">
        <v>11</v>
      </c>
      <c r="N5601" s="1" t="s">
        <v>44</v>
      </c>
    </row>
    <row r="5602" spans="1:14">
      <c r="A5602" s="36" t="s">
        <v>32</v>
      </c>
      <c r="B5602" s="37">
        <v>45626</v>
      </c>
      <c r="C5602" s="36" t="s">
        <v>334</v>
      </c>
      <c r="D5602" s="36" t="s">
        <v>2490</v>
      </c>
      <c r="E5602" s="36" t="s">
        <v>76</v>
      </c>
      <c r="G5602" s="87">
        <v>5000000</v>
      </c>
      <c r="H5602" s="87">
        <v>500000</v>
      </c>
      <c r="I5602" s="87">
        <v>5500000</v>
      </c>
      <c r="K5602" s="85">
        <v>2024</v>
      </c>
      <c r="L5602" s="85">
        <v>11</v>
      </c>
      <c r="N5602" s="1" t="s">
        <v>44</v>
      </c>
    </row>
    <row r="5603" spans="1:14">
      <c r="A5603" s="36" t="s">
        <v>32</v>
      </c>
      <c r="B5603" s="37">
        <v>45626</v>
      </c>
      <c r="C5603" s="36" t="s">
        <v>1164</v>
      </c>
      <c r="D5603" s="36" t="s">
        <v>2491</v>
      </c>
      <c r="E5603" s="36" t="s">
        <v>76</v>
      </c>
      <c r="G5603" s="87">
        <v>7012000</v>
      </c>
      <c r="H5603" s="87">
        <v>701200</v>
      </c>
      <c r="I5603" s="87">
        <v>7713200</v>
      </c>
      <c r="K5603" s="85">
        <v>2024</v>
      </c>
      <c r="L5603" s="85">
        <v>11</v>
      </c>
      <c r="N5603" s="1" t="s">
        <v>44</v>
      </c>
    </row>
    <row r="5604" spans="1:14">
      <c r="A5604" s="36" t="s">
        <v>32</v>
      </c>
      <c r="B5604" s="37">
        <v>45626</v>
      </c>
      <c r="C5604" s="36" t="s">
        <v>2395</v>
      </c>
      <c r="D5604" s="36" t="s">
        <v>2369</v>
      </c>
      <c r="E5604" s="36" t="s">
        <v>267</v>
      </c>
      <c r="G5604" s="87">
        <v>90000000</v>
      </c>
      <c r="H5604" s="87">
        <v>9000000</v>
      </c>
      <c r="I5604" s="87">
        <v>99000000</v>
      </c>
      <c r="K5604" s="85">
        <v>2024</v>
      </c>
      <c r="L5604" s="85">
        <v>11</v>
      </c>
      <c r="N5604" s="1" t="s">
        <v>44</v>
      </c>
    </row>
    <row r="5605" spans="1:14">
      <c r="A5605" s="36" t="s">
        <v>32</v>
      </c>
      <c r="B5605" s="37">
        <v>45607</v>
      </c>
      <c r="C5605" s="36" t="s">
        <v>2470</v>
      </c>
      <c r="D5605" s="36" t="s">
        <v>2472</v>
      </c>
      <c r="E5605" s="36" t="s">
        <v>77</v>
      </c>
      <c r="J5605" s="38">
        <v>6270000</v>
      </c>
      <c r="K5605" s="85">
        <v>2024</v>
      </c>
      <c r="L5605" s="85">
        <v>11</v>
      </c>
      <c r="N5605" s="1" t="s">
        <v>44</v>
      </c>
    </row>
    <row r="5606" spans="1:14">
      <c r="A5606" s="36" t="s">
        <v>32</v>
      </c>
      <c r="B5606" s="37">
        <v>45611</v>
      </c>
      <c r="C5606" s="36" t="s">
        <v>2247</v>
      </c>
      <c r="D5606" s="36" t="s">
        <v>2473</v>
      </c>
      <c r="E5606" s="36" t="s">
        <v>77</v>
      </c>
      <c r="J5606" s="38">
        <v>24546280</v>
      </c>
      <c r="K5606" s="85">
        <v>2024</v>
      </c>
      <c r="L5606" s="85">
        <v>11</v>
      </c>
      <c r="N5606" s="1" t="s">
        <v>44</v>
      </c>
    </row>
    <row r="5607" spans="1:14">
      <c r="A5607" s="36" t="s">
        <v>32</v>
      </c>
      <c r="B5607" s="37">
        <v>45635</v>
      </c>
      <c r="C5607" s="36" t="s">
        <v>206</v>
      </c>
      <c r="D5607" s="36" t="s">
        <v>2400</v>
      </c>
      <c r="E5607" s="36" t="s">
        <v>77</v>
      </c>
      <c r="J5607" s="87">
        <v>2322100</v>
      </c>
      <c r="K5607" s="85">
        <v>2024</v>
      </c>
      <c r="L5607" s="85">
        <v>10</v>
      </c>
      <c r="M5607" s="36" t="s">
        <v>2492</v>
      </c>
      <c r="N5607" s="1" t="s">
        <v>44</v>
      </c>
    </row>
    <row r="5608" spans="1:14">
      <c r="A5608" s="36" t="s">
        <v>32</v>
      </c>
      <c r="B5608" s="37">
        <v>45631</v>
      </c>
      <c r="C5608" s="36" t="s">
        <v>2476</v>
      </c>
      <c r="D5608" s="36" t="s">
        <v>2482</v>
      </c>
      <c r="E5608" s="36" t="s">
        <v>77</v>
      </c>
      <c r="J5608" s="87">
        <v>12557050</v>
      </c>
      <c r="K5608" s="85">
        <v>2024</v>
      </c>
      <c r="L5608" s="85">
        <v>11</v>
      </c>
      <c r="N5608" s="1" t="s">
        <v>44</v>
      </c>
    </row>
    <row r="5609" spans="1:14">
      <c r="A5609" s="36" t="s">
        <v>32</v>
      </c>
      <c r="B5609" s="37">
        <v>45637</v>
      </c>
      <c r="C5609" s="36" t="s">
        <v>2393</v>
      </c>
      <c r="D5609" s="36" t="s">
        <v>2484</v>
      </c>
      <c r="E5609" s="36" t="s">
        <v>2495</v>
      </c>
      <c r="J5609" s="87">
        <v>4400000</v>
      </c>
      <c r="K5609" s="85">
        <v>2024</v>
      </c>
      <c r="L5609" s="85">
        <v>11</v>
      </c>
      <c r="N5609" s="1" t="s">
        <v>44</v>
      </c>
    </row>
    <row r="5610" spans="1:14">
      <c r="A5610" s="36" t="s">
        <v>32</v>
      </c>
      <c r="B5610" s="37">
        <v>45637</v>
      </c>
      <c r="C5610" s="36" t="s">
        <v>209</v>
      </c>
      <c r="D5610" s="36" t="s">
        <v>1866</v>
      </c>
      <c r="E5610" s="36" t="s">
        <v>2496</v>
      </c>
      <c r="J5610" s="87">
        <v>74895480</v>
      </c>
      <c r="K5610" s="85">
        <v>2024</v>
      </c>
      <c r="L5610" s="85">
        <v>11</v>
      </c>
      <c r="N5610" s="1" t="s">
        <v>44</v>
      </c>
    </row>
    <row r="5611" spans="1:14">
      <c r="A5611" s="36" t="s">
        <v>32</v>
      </c>
      <c r="B5611" s="37">
        <v>45635</v>
      </c>
      <c r="C5611" s="36" t="s">
        <v>206</v>
      </c>
      <c r="D5611" s="36" t="s">
        <v>2400</v>
      </c>
      <c r="J5611" s="87">
        <v>8531600</v>
      </c>
      <c r="K5611" s="85">
        <v>2024</v>
      </c>
      <c r="L5611" s="85">
        <v>11</v>
      </c>
      <c r="M5611" s="36" t="s">
        <v>2492</v>
      </c>
      <c r="N5611" s="1" t="s">
        <v>44</v>
      </c>
    </row>
    <row r="5612" spans="1:14">
      <c r="A5612" s="36" t="s">
        <v>32</v>
      </c>
      <c r="B5612" s="37">
        <v>45642</v>
      </c>
      <c r="C5612" s="36" t="s">
        <v>2469</v>
      </c>
      <c r="D5612" s="36" t="s">
        <v>2471</v>
      </c>
      <c r="E5612" s="36" t="s">
        <v>2497</v>
      </c>
      <c r="J5612" s="87">
        <v>2156000</v>
      </c>
      <c r="K5612" s="85">
        <v>2024</v>
      </c>
      <c r="L5612" s="85">
        <v>11</v>
      </c>
      <c r="N5612" s="1" t="s">
        <v>44</v>
      </c>
    </row>
    <row r="5613" spans="1:14">
      <c r="A5613" s="36" t="s">
        <v>32</v>
      </c>
      <c r="B5613" s="37">
        <v>45642</v>
      </c>
      <c r="C5613" s="36" t="s">
        <v>209</v>
      </c>
      <c r="D5613" s="36" t="s">
        <v>1892</v>
      </c>
      <c r="E5613" s="36" t="s">
        <v>2497</v>
      </c>
      <c r="J5613" s="87">
        <v>4054270</v>
      </c>
      <c r="K5613" s="85">
        <v>2024</v>
      </c>
      <c r="L5613" s="85">
        <v>11</v>
      </c>
      <c r="N5613" s="1" t="s">
        <v>44</v>
      </c>
    </row>
    <row r="5614" spans="1:14">
      <c r="A5614" s="36" t="s">
        <v>32</v>
      </c>
      <c r="B5614" s="37">
        <v>45642</v>
      </c>
      <c r="C5614" s="36" t="s">
        <v>2167</v>
      </c>
      <c r="D5614" s="36" t="s">
        <v>2498</v>
      </c>
      <c r="E5614" s="36" t="s">
        <v>2497</v>
      </c>
      <c r="J5614" s="87">
        <v>11880000</v>
      </c>
      <c r="K5614" s="85">
        <v>2024</v>
      </c>
      <c r="L5614" s="85">
        <v>11</v>
      </c>
      <c r="N5614" s="1" t="s">
        <v>44</v>
      </c>
    </row>
    <row r="5615" spans="1:14">
      <c r="A5615" s="36" t="s">
        <v>32</v>
      </c>
      <c r="B5615" s="37">
        <v>45642</v>
      </c>
      <c r="C5615" s="36" t="s">
        <v>1468</v>
      </c>
      <c r="D5615" s="36" t="s">
        <v>2072</v>
      </c>
      <c r="E5615" s="36" t="s">
        <v>2497</v>
      </c>
      <c r="J5615" s="87">
        <v>12035628</v>
      </c>
      <c r="K5615" s="85">
        <v>2024</v>
      </c>
      <c r="L5615" s="85">
        <v>11</v>
      </c>
      <c r="N5615" s="1" t="s">
        <v>44</v>
      </c>
    </row>
    <row r="5616" spans="1:14">
      <c r="A5616" s="36" t="s">
        <v>32</v>
      </c>
      <c r="B5616" s="37">
        <v>45645</v>
      </c>
      <c r="C5616" s="36" t="s">
        <v>2279</v>
      </c>
      <c r="D5616" s="36" t="s">
        <v>2283</v>
      </c>
      <c r="E5616" s="36" t="s">
        <v>2500</v>
      </c>
      <c r="J5616" s="87">
        <v>8932000</v>
      </c>
      <c r="K5616" s="85">
        <v>2024</v>
      </c>
      <c r="L5616" s="85">
        <v>10</v>
      </c>
      <c r="M5616" s="36" t="s">
        <v>2501</v>
      </c>
      <c r="N5616" s="1" t="s">
        <v>44</v>
      </c>
    </row>
    <row r="5617" spans="1:14">
      <c r="A5617" s="36" t="s">
        <v>32</v>
      </c>
      <c r="B5617" s="37">
        <v>45645</v>
      </c>
      <c r="C5617" s="36" t="s">
        <v>2279</v>
      </c>
      <c r="D5617" s="36" t="s">
        <v>2499</v>
      </c>
      <c r="E5617" s="36" t="s">
        <v>2500</v>
      </c>
      <c r="J5617" s="87">
        <v>3388000</v>
      </c>
      <c r="K5617" s="85">
        <v>2024</v>
      </c>
      <c r="L5617" s="85">
        <v>11</v>
      </c>
      <c r="M5617" s="36" t="s">
        <v>2501</v>
      </c>
      <c r="N5617" s="1" t="s">
        <v>44</v>
      </c>
    </row>
    <row r="5618" spans="1:14">
      <c r="A5618" s="36" t="s">
        <v>32</v>
      </c>
      <c r="B5618" s="37">
        <v>45644</v>
      </c>
      <c r="C5618" s="36" t="s">
        <v>773</v>
      </c>
      <c r="D5618" s="36" t="s">
        <v>816</v>
      </c>
      <c r="E5618" s="36" t="s">
        <v>2502</v>
      </c>
      <c r="J5618" s="38">
        <v>20310000</v>
      </c>
      <c r="K5618" s="85">
        <v>2023</v>
      </c>
      <c r="L5618" s="85">
        <v>1</v>
      </c>
      <c r="M5618" s="36" t="s">
        <v>2503</v>
      </c>
      <c r="N5618" s="1" t="s">
        <v>44</v>
      </c>
    </row>
    <row r="5619" spans="1:14">
      <c r="A5619" s="36" t="s">
        <v>32</v>
      </c>
      <c r="B5619" s="37">
        <v>45646</v>
      </c>
      <c r="C5619" s="36" t="s">
        <v>1587</v>
      </c>
      <c r="D5619" s="36" t="s">
        <v>2271</v>
      </c>
      <c r="E5619" s="36" t="s">
        <v>2504</v>
      </c>
      <c r="J5619" s="87">
        <v>8375136</v>
      </c>
      <c r="K5619" s="85">
        <v>2024</v>
      </c>
      <c r="L5619" s="85">
        <v>11</v>
      </c>
      <c r="N5619" s="1" t="s">
        <v>44</v>
      </c>
    </row>
    <row r="5620" spans="1:14">
      <c r="A5620" s="36" t="s">
        <v>33</v>
      </c>
      <c r="B5620" s="37">
        <v>45649</v>
      </c>
      <c r="C5620" s="36" t="s">
        <v>81</v>
      </c>
      <c r="D5620" s="36" t="s">
        <v>2271</v>
      </c>
      <c r="E5620" s="36" t="s">
        <v>2505</v>
      </c>
      <c r="J5620" s="87">
        <v>7290624</v>
      </c>
      <c r="K5620" s="85">
        <v>2024</v>
      </c>
      <c r="L5620" s="85">
        <v>11</v>
      </c>
      <c r="N5620" s="1" t="s">
        <v>44</v>
      </c>
    </row>
    <row r="5621" spans="1:14">
      <c r="A5621" s="36" t="s">
        <v>33</v>
      </c>
      <c r="B5621" s="37">
        <v>45649</v>
      </c>
      <c r="C5621" s="36" t="s">
        <v>1569</v>
      </c>
      <c r="D5621" s="36" t="s">
        <v>2269</v>
      </c>
      <c r="E5621" s="36" t="s">
        <v>2506</v>
      </c>
      <c r="J5621" s="87">
        <v>5548950</v>
      </c>
      <c r="K5621" s="85">
        <v>2024</v>
      </c>
      <c r="L5621" s="85">
        <v>11</v>
      </c>
      <c r="N5621" s="1" t="s">
        <v>44</v>
      </c>
    </row>
    <row r="5622" spans="1:14">
      <c r="A5622" s="36" t="s">
        <v>32</v>
      </c>
      <c r="B5622" s="37">
        <v>45650</v>
      </c>
      <c r="C5622" s="36" t="s">
        <v>334</v>
      </c>
      <c r="D5622" s="36" t="s">
        <v>2399</v>
      </c>
      <c r="E5622" s="36" t="s">
        <v>2507</v>
      </c>
      <c r="J5622" s="87">
        <v>4637600</v>
      </c>
      <c r="K5622" s="85">
        <v>2024</v>
      </c>
      <c r="L5622" s="85">
        <v>10</v>
      </c>
      <c r="N5622" s="1" t="s">
        <v>44</v>
      </c>
    </row>
    <row r="5623" spans="1:14">
      <c r="A5623" s="36" t="s">
        <v>32</v>
      </c>
      <c r="B5623" s="37">
        <v>45652</v>
      </c>
      <c r="C5623" s="36" t="s">
        <v>2390</v>
      </c>
      <c r="D5623" s="36" t="s">
        <v>2398</v>
      </c>
      <c r="E5623" s="36" t="s">
        <v>2508</v>
      </c>
      <c r="J5623" s="87">
        <v>1232000</v>
      </c>
      <c r="K5623" s="85">
        <v>2024</v>
      </c>
      <c r="L5623" s="85">
        <v>10</v>
      </c>
      <c r="N5623" s="1" t="s">
        <v>44</v>
      </c>
    </row>
    <row r="5624" spans="1:14">
      <c r="A5624" s="36" t="s">
        <v>32</v>
      </c>
      <c r="B5624" s="37">
        <v>45616</v>
      </c>
      <c r="C5624" s="36" t="s">
        <v>209</v>
      </c>
      <c r="D5624" s="36" t="s">
        <v>2494</v>
      </c>
      <c r="E5624" s="36" t="s">
        <v>2513</v>
      </c>
      <c r="J5624" s="87">
        <v>5295840</v>
      </c>
      <c r="K5624" s="85">
        <v>2024</v>
      </c>
      <c r="L5624" s="85">
        <v>11</v>
      </c>
      <c r="N5624" s="1" t="s">
        <v>44</v>
      </c>
    </row>
    <row r="5625" spans="1:14">
      <c r="A5625" s="36" t="s">
        <v>32</v>
      </c>
      <c r="B5625" s="37">
        <v>45622</v>
      </c>
      <c r="C5625" s="36" t="s">
        <v>209</v>
      </c>
      <c r="D5625" s="36" t="s">
        <v>1699</v>
      </c>
      <c r="E5625" s="36" t="s">
        <v>2510</v>
      </c>
      <c r="J5625" s="87">
        <v>10572435</v>
      </c>
      <c r="K5625" s="85">
        <v>2024</v>
      </c>
      <c r="L5625" s="85">
        <v>11</v>
      </c>
      <c r="N5625" s="1" t="s">
        <v>44</v>
      </c>
    </row>
    <row r="5626" spans="1:14">
      <c r="A5626" s="36" t="s">
        <v>32</v>
      </c>
      <c r="B5626" s="37">
        <v>45622</v>
      </c>
      <c r="C5626" s="36" t="s">
        <v>209</v>
      </c>
      <c r="D5626" s="36" t="s">
        <v>1885</v>
      </c>
      <c r="E5626" s="36" t="s">
        <v>2511</v>
      </c>
      <c r="J5626" s="87">
        <v>1851080</v>
      </c>
      <c r="K5626" s="85">
        <v>2024</v>
      </c>
      <c r="L5626" s="85">
        <v>11</v>
      </c>
      <c r="N5626" s="1" t="s">
        <v>44</v>
      </c>
    </row>
    <row r="5627" spans="1:14">
      <c r="A5627" s="36" t="s">
        <v>32</v>
      </c>
      <c r="B5627" s="37">
        <v>45616</v>
      </c>
      <c r="C5627" s="36" t="s">
        <v>209</v>
      </c>
      <c r="D5627" s="36" t="s">
        <v>2333</v>
      </c>
      <c r="E5627" s="36" t="s">
        <v>2512</v>
      </c>
      <c r="J5627" s="87">
        <v>7184647.7999999998</v>
      </c>
      <c r="K5627" s="85">
        <v>2024</v>
      </c>
      <c r="L5627" s="85">
        <v>11</v>
      </c>
      <c r="N5627" s="1" t="s">
        <v>44</v>
      </c>
    </row>
    <row r="5628" spans="1:14">
      <c r="A5628" s="36" t="s">
        <v>32</v>
      </c>
      <c r="B5628" s="37">
        <v>45625</v>
      </c>
      <c r="C5628" s="36" t="s">
        <v>209</v>
      </c>
      <c r="D5628" s="36" t="s">
        <v>2024</v>
      </c>
      <c r="E5628" s="36" t="s">
        <v>2514</v>
      </c>
      <c r="J5628" s="87">
        <v>37235440</v>
      </c>
      <c r="K5628" s="85">
        <v>2024</v>
      </c>
      <c r="L5628" s="85">
        <v>11</v>
      </c>
      <c r="N5628" s="1" t="s">
        <v>44</v>
      </c>
    </row>
    <row r="5629" spans="1:14">
      <c r="A5629" s="18" t="s">
        <v>32</v>
      </c>
      <c r="B5629" s="122">
        <v>45627</v>
      </c>
      <c r="C5629" s="18" t="s">
        <v>834</v>
      </c>
      <c r="D5629" s="18" t="s">
        <v>2028</v>
      </c>
      <c r="E5629" s="18" t="s">
        <v>76</v>
      </c>
      <c r="F5629" s="123"/>
      <c r="G5629" s="124">
        <v>-6500000</v>
      </c>
      <c r="H5629" s="124">
        <v>-650000</v>
      </c>
      <c r="I5629" s="124">
        <v>-7150000</v>
      </c>
      <c r="K5629" s="85">
        <v>2024</v>
      </c>
      <c r="L5629" s="85">
        <v>7</v>
      </c>
      <c r="N5629" s="1" t="s">
        <v>44</v>
      </c>
    </row>
    <row r="5630" spans="1:14">
      <c r="A5630" s="36" t="s">
        <v>32</v>
      </c>
      <c r="B5630" s="37">
        <v>45656</v>
      </c>
      <c r="C5630" s="36" t="s">
        <v>1198</v>
      </c>
      <c r="D5630" s="36" t="s">
        <v>2289</v>
      </c>
      <c r="E5630" s="36" t="s">
        <v>2516</v>
      </c>
      <c r="J5630" s="87">
        <v>1159400</v>
      </c>
      <c r="K5630" s="85">
        <v>2024</v>
      </c>
      <c r="L5630" s="85">
        <v>11</v>
      </c>
      <c r="N5630" s="1" t="s">
        <v>44</v>
      </c>
    </row>
    <row r="5631" spans="1:14">
      <c r="A5631" s="36" t="s">
        <v>32</v>
      </c>
      <c r="B5631" s="37">
        <v>45656</v>
      </c>
      <c r="C5631" s="36" t="s">
        <v>1198</v>
      </c>
      <c r="D5631" s="36" t="s">
        <v>2079</v>
      </c>
      <c r="E5631" s="36" t="s">
        <v>2517</v>
      </c>
      <c r="J5631" s="87">
        <v>14263260</v>
      </c>
      <c r="K5631" s="85">
        <v>2024</v>
      </c>
      <c r="L5631" s="85">
        <v>11</v>
      </c>
      <c r="N5631" s="1" t="s">
        <v>44</v>
      </c>
    </row>
    <row r="5632" spans="1:14">
      <c r="A5632" s="36" t="s">
        <v>32</v>
      </c>
      <c r="B5632" s="37">
        <v>45656</v>
      </c>
      <c r="C5632" s="36" t="s">
        <v>1198</v>
      </c>
      <c r="D5632" s="36" t="s">
        <v>2221</v>
      </c>
      <c r="E5632" s="36" t="s">
        <v>2518</v>
      </c>
      <c r="J5632" s="87">
        <v>4310020</v>
      </c>
      <c r="K5632" s="85">
        <v>2024</v>
      </c>
      <c r="L5632" s="85">
        <v>11</v>
      </c>
      <c r="N5632" s="1" t="s">
        <v>44</v>
      </c>
    </row>
    <row r="5633" spans="1:14">
      <c r="A5633" s="36" t="s">
        <v>32</v>
      </c>
      <c r="B5633" s="37">
        <v>45656</v>
      </c>
      <c r="C5633" s="36" t="s">
        <v>1198</v>
      </c>
      <c r="D5633" s="36" t="s">
        <v>2515</v>
      </c>
      <c r="E5633" s="36" t="s">
        <v>2519</v>
      </c>
      <c r="J5633" s="87">
        <v>6903600</v>
      </c>
      <c r="K5633" s="85">
        <v>2024</v>
      </c>
      <c r="L5633" s="85">
        <v>11</v>
      </c>
      <c r="N5633" s="1" t="s">
        <v>44</v>
      </c>
    </row>
    <row r="5634" spans="1:14">
      <c r="A5634" s="36" t="s">
        <v>32</v>
      </c>
      <c r="B5634" s="37">
        <v>45656</v>
      </c>
      <c r="C5634" s="36" t="s">
        <v>1198</v>
      </c>
      <c r="D5634" s="36" t="s">
        <v>2287</v>
      </c>
      <c r="E5634" s="36" t="s">
        <v>2520</v>
      </c>
      <c r="J5634" s="87">
        <v>5774560</v>
      </c>
      <c r="K5634" s="85">
        <v>2024</v>
      </c>
      <c r="L5634" s="85">
        <v>11</v>
      </c>
      <c r="N5634" s="1" t="s">
        <v>44</v>
      </c>
    </row>
    <row r="5635" spans="1:14">
      <c r="A5635" s="36" t="s">
        <v>32</v>
      </c>
      <c r="B5635" s="37">
        <v>45657</v>
      </c>
      <c r="C5635" s="36" t="s">
        <v>2478</v>
      </c>
      <c r="D5635" s="36" t="s">
        <v>2487</v>
      </c>
      <c r="E5635" s="36" t="s">
        <v>2521</v>
      </c>
      <c r="J5635" s="87">
        <v>14025000</v>
      </c>
      <c r="K5635" s="85">
        <v>2024</v>
      </c>
      <c r="L5635" s="85">
        <v>11</v>
      </c>
      <c r="N5635" s="1" t="s">
        <v>44</v>
      </c>
    </row>
    <row r="5636" spans="1:14">
      <c r="A5636" s="36" t="s">
        <v>32</v>
      </c>
      <c r="B5636" s="37">
        <v>45657</v>
      </c>
      <c r="C5636" s="36" t="s">
        <v>334</v>
      </c>
      <c r="D5636" s="36" t="s">
        <v>2490</v>
      </c>
      <c r="E5636" s="36" t="s">
        <v>2522</v>
      </c>
      <c r="J5636" s="87">
        <v>5500000</v>
      </c>
      <c r="K5636" s="85">
        <v>2024</v>
      </c>
      <c r="L5636" s="85">
        <v>11</v>
      </c>
      <c r="N5636" s="1" t="s">
        <v>44</v>
      </c>
    </row>
    <row r="5637" spans="1:14">
      <c r="A5637" s="36" t="s">
        <v>32</v>
      </c>
      <c r="B5637" s="37">
        <v>45657</v>
      </c>
      <c r="C5637" s="36" t="s">
        <v>1470</v>
      </c>
      <c r="D5637" s="36" t="s">
        <v>1487</v>
      </c>
      <c r="E5637" s="36" t="s">
        <v>2521</v>
      </c>
      <c r="J5637" s="87">
        <v>164283240</v>
      </c>
      <c r="K5637" s="85">
        <v>2024</v>
      </c>
      <c r="L5637" s="85">
        <v>11</v>
      </c>
      <c r="N5637" s="1" t="s">
        <v>44</v>
      </c>
    </row>
    <row r="5638" spans="1:14">
      <c r="A5638" s="36" t="s">
        <v>32</v>
      </c>
      <c r="B5638" s="37">
        <v>45657</v>
      </c>
      <c r="C5638" s="36" t="s">
        <v>264</v>
      </c>
      <c r="D5638" s="36" t="s">
        <v>2488</v>
      </c>
      <c r="E5638" s="36" t="s">
        <v>2521</v>
      </c>
      <c r="J5638" s="87">
        <v>35200000</v>
      </c>
      <c r="K5638" s="85">
        <v>2024</v>
      </c>
      <c r="L5638" s="85">
        <v>11</v>
      </c>
      <c r="N5638" s="1" t="s">
        <v>44</v>
      </c>
    </row>
    <row r="5639" spans="1:14">
      <c r="A5639" s="36" t="s">
        <v>32</v>
      </c>
      <c r="B5639" s="37">
        <v>45657</v>
      </c>
      <c r="C5639" s="36" t="s">
        <v>1164</v>
      </c>
      <c r="D5639" s="36" t="s">
        <v>2491</v>
      </c>
      <c r="E5639" s="36" t="s">
        <v>2521</v>
      </c>
      <c r="J5639" s="87">
        <v>7713200</v>
      </c>
      <c r="K5639" s="85">
        <v>2024</v>
      </c>
      <c r="L5639" s="85">
        <v>11</v>
      </c>
      <c r="N5639" s="1" t="s">
        <v>44</v>
      </c>
    </row>
    <row r="5640" spans="1:14">
      <c r="A5640" s="36" t="s">
        <v>32</v>
      </c>
      <c r="B5640" s="37">
        <v>45657</v>
      </c>
      <c r="C5640" s="36" t="s">
        <v>2477</v>
      </c>
      <c r="D5640" s="36" t="s">
        <v>2485</v>
      </c>
      <c r="E5640" s="36" t="s">
        <v>2521</v>
      </c>
      <c r="J5640" s="87">
        <v>5286600</v>
      </c>
      <c r="K5640" s="85">
        <v>2024</v>
      </c>
      <c r="L5640" s="85">
        <v>11</v>
      </c>
      <c r="N5640" s="1" t="s">
        <v>44</v>
      </c>
    </row>
    <row r="5641" spans="1:14">
      <c r="A5641" s="36" t="s">
        <v>32</v>
      </c>
      <c r="B5641" s="37">
        <v>45657</v>
      </c>
      <c r="C5641" s="36" t="s">
        <v>2477</v>
      </c>
      <c r="D5641" s="36" t="s">
        <v>2485</v>
      </c>
      <c r="E5641" s="36" t="s">
        <v>2521</v>
      </c>
      <c r="J5641" s="87">
        <v>13112484</v>
      </c>
      <c r="K5641" s="85">
        <v>2024</v>
      </c>
      <c r="L5641" s="85">
        <v>11</v>
      </c>
      <c r="N5641" s="1" t="s">
        <v>44</v>
      </c>
    </row>
    <row r="5642" spans="1:14">
      <c r="A5642" s="36" t="s">
        <v>32</v>
      </c>
      <c r="B5642" s="37">
        <v>45657</v>
      </c>
      <c r="C5642" s="36" t="s">
        <v>2479</v>
      </c>
      <c r="D5642" s="36" t="s">
        <v>2489</v>
      </c>
      <c r="E5642" s="36" t="s">
        <v>2521</v>
      </c>
      <c r="J5642" s="87">
        <v>4318600</v>
      </c>
      <c r="K5642" s="85">
        <v>2024</v>
      </c>
      <c r="L5642" s="85">
        <v>11</v>
      </c>
      <c r="N5642" s="1" t="s">
        <v>44</v>
      </c>
    </row>
    <row r="5643" spans="1:14">
      <c r="A5643" s="36" t="s">
        <v>32</v>
      </c>
      <c r="B5643" s="37">
        <v>45657</v>
      </c>
      <c r="C5643" s="36" t="s">
        <v>2395</v>
      </c>
      <c r="D5643" s="36" t="s">
        <v>2369</v>
      </c>
      <c r="E5643" s="36" t="s">
        <v>2521</v>
      </c>
      <c r="J5643" s="87">
        <v>99000000</v>
      </c>
      <c r="K5643" s="85">
        <v>2024</v>
      </c>
      <c r="L5643" s="85">
        <v>11</v>
      </c>
      <c r="N5643" s="1" t="s">
        <v>44</v>
      </c>
    </row>
    <row r="5644" spans="1:14">
      <c r="A5644" s="36" t="s">
        <v>33</v>
      </c>
      <c r="B5644" s="37">
        <v>45657</v>
      </c>
      <c r="C5644" s="36" t="s">
        <v>1391</v>
      </c>
      <c r="D5644" s="36" t="s">
        <v>197</v>
      </c>
      <c r="E5644" s="36" t="s">
        <v>2523</v>
      </c>
      <c r="J5644" s="87">
        <v>9801000</v>
      </c>
      <c r="K5644" s="85">
        <v>2024</v>
      </c>
      <c r="L5644" s="85">
        <v>10</v>
      </c>
      <c r="N5644" s="1" t="s">
        <v>44</v>
      </c>
    </row>
    <row r="5645" spans="1:14">
      <c r="A5645" s="36" t="s">
        <v>33</v>
      </c>
      <c r="B5645" s="37">
        <v>45657</v>
      </c>
      <c r="C5645" s="36" t="s">
        <v>838</v>
      </c>
      <c r="D5645" s="36" t="s">
        <v>2443</v>
      </c>
      <c r="E5645" s="36" t="s">
        <v>2524</v>
      </c>
      <c r="J5645" s="87">
        <v>1045000</v>
      </c>
      <c r="K5645" s="85">
        <v>2024</v>
      </c>
      <c r="L5645" s="85">
        <v>11</v>
      </c>
      <c r="N5645" s="1" t="s">
        <v>44</v>
      </c>
    </row>
    <row r="5646" spans="1:14">
      <c r="A5646" s="36" t="s">
        <v>33</v>
      </c>
      <c r="B5646" s="37">
        <v>45657</v>
      </c>
      <c r="C5646" s="36" t="s">
        <v>1914</v>
      </c>
      <c r="D5646" s="36" t="s">
        <v>1915</v>
      </c>
      <c r="E5646" s="36" t="s">
        <v>2525</v>
      </c>
      <c r="J5646" s="87">
        <v>308000</v>
      </c>
      <c r="K5646" s="85">
        <v>2024</v>
      </c>
      <c r="L5646" s="85">
        <v>11</v>
      </c>
      <c r="N5646" s="1" t="s">
        <v>44</v>
      </c>
    </row>
    <row r="5647" spans="1:14">
      <c r="A5647" s="36" t="s">
        <v>33</v>
      </c>
      <c r="B5647" s="37">
        <v>45657</v>
      </c>
      <c r="C5647" s="36" t="s">
        <v>2322</v>
      </c>
      <c r="D5647" s="36" t="s">
        <v>197</v>
      </c>
      <c r="E5647" s="36" t="s">
        <v>2525</v>
      </c>
      <c r="J5647" s="87">
        <v>731500</v>
      </c>
      <c r="K5647" s="85">
        <v>2024</v>
      </c>
      <c r="L5647" s="85">
        <v>11</v>
      </c>
      <c r="N5647" s="1" t="s">
        <v>44</v>
      </c>
    </row>
    <row r="5648" spans="1:14">
      <c r="A5648" s="36" t="s">
        <v>33</v>
      </c>
      <c r="B5648" s="37">
        <v>45657</v>
      </c>
      <c r="C5648" s="36" t="s">
        <v>2803</v>
      </c>
      <c r="D5648" s="36" t="s">
        <v>2271</v>
      </c>
      <c r="E5648" s="36" t="s">
        <v>2525</v>
      </c>
      <c r="J5648" s="87">
        <v>248600</v>
      </c>
      <c r="K5648" s="85">
        <v>2024</v>
      </c>
      <c r="L5648" s="85">
        <v>11</v>
      </c>
      <c r="N5648" s="1" t="s">
        <v>44</v>
      </c>
    </row>
    <row r="5649" spans="1:14">
      <c r="A5649" s="36" t="s">
        <v>33</v>
      </c>
      <c r="B5649" s="37">
        <v>45657</v>
      </c>
      <c r="C5649" s="36" t="s">
        <v>2122</v>
      </c>
      <c r="D5649" s="36" t="s">
        <v>1921</v>
      </c>
      <c r="E5649" s="36" t="s">
        <v>2525</v>
      </c>
      <c r="J5649" s="87">
        <v>924000</v>
      </c>
      <c r="K5649" s="85">
        <v>2024</v>
      </c>
      <c r="L5649" s="85">
        <v>11</v>
      </c>
      <c r="N5649" s="1" t="s">
        <v>44</v>
      </c>
    </row>
    <row r="5650" spans="1:14">
      <c r="A5650" s="36" t="s">
        <v>33</v>
      </c>
      <c r="B5650" s="37">
        <v>45657</v>
      </c>
      <c r="C5650" s="36" t="s">
        <v>1569</v>
      </c>
      <c r="D5650" s="36" t="s">
        <v>1412</v>
      </c>
      <c r="E5650" s="36" t="s">
        <v>2526</v>
      </c>
      <c r="J5650" s="87">
        <v>3986400</v>
      </c>
      <c r="K5650" s="85">
        <v>2024</v>
      </c>
      <c r="L5650" s="85">
        <v>11</v>
      </c>
      <c r="N5650" s="1" t="s">
        <v>44</v>
      </c>
    </row>
    <row r="5651" spans="1:14">
      <c r="A5651" s="36" t="s">
        <v>33</v>
      </c>
      <c r="B5651" s="37">
        <v>45657</v>
      </c>
      <c r="C5651" s="36" t="s">
        <v>2116</v>
      </c>
      <c r="D5651" s="36" t="s">
        <v>2117</v>
      </c>
      <c r="E5651" s="36" t="s">
        <v>2527</v>
      </c>
      <c r="J5651" s="87">
        <v>2156000</v>
      </c>
      <c r="K5651" s="85">
        <v>2024</v>
      </c>
      <c r="L5651" s="85">
        <v>11</v>
      </c>
      <c r="N5651" s="1" t="s">
        <v>44</v>
      </c>
    </row>
    <row r="5652" spans="1:14">
      <c r="A5652" s="36" t="s">
        <v>33</v>
      </c>
      <c r="B5652" s="37">
        <v>45657</v>
      </c>
      <c r="C5652" s="36" t="s">
        <v>96</v>
      </c>
      <c r="D5652" s="36" t="s">
        <v>97</v>
      </c>
      <c r="E5652" s="36" t="s">
        <v>2527</v>
      </c>
      <c r="J5652" s="87">
        <v>1133000</v>
      </c>
      <c r="K5652" s="85">
        <v>2024</v>
      </c>
      <c r="L5652" s="85">
        <v>11</v>
      </c>
      <c r="N5652" s="1" t="s">
        <v>44</v>
      </c>
    </row>
    <row r="5653" spans="1:14">
      <c r="A5653" s="36" t="s">
        <v>33</v>
      </c>
      <c r="B5653" s="37">
        <v>45657</v>
      </c>
      <c r="C5653" s="36" t="s">
        <v>2188</v>
      </c>
      <c r="D5653" s="36" t="s">
        <v>2269</v>
      </c>
      <c r="E5653" s="36" t="s">
        <v>2528</v>
      </c>
      <c r="J5653" s="87">
        <v>110000</v>
      </c>
      <c r="K5653" s="85">
        <v>2024</v>
      </c>
      <c r="L5653" s="85">
        <v>11</v>
      </c>
      <c r="N5653" s="1" t="s">
        <v>44</v>
      </c>
    </row>
    <row r="5654" spans="1:14">
      <c r="A5654" s="36" t="s">
        <v>33</v>
      </c>
      <c r="B5654" s="37">
        <v>45657</v>
      </c>
      <c r="C5654" s="36" t="s">
        <v>81</v>
      </c>
      <c r="D5654" s="36" t="s">
        <v>2464</v>
      </c>
      <c r="E5654" s="36" t="s">
        <v>2529</v>
      </c>
      <c r="J5654" s="87">
        <v>970200</v>
      </c>
      <c r="K5654" s="85">
        <v>2024</v>
      </c>
      <c r="L5654" s="85">
        <v>11</v>
      </c>
      <c r="N5654" s="1" t="s">
        <v>44</v>
      </c>
    </row>
    <row r="5655" spans="1:14">
      <c r="A5655" s="36" t="s">
        <v>33</v>
      </c>
      <c r="B5655" s="37">
        <v>45657</v>
      </c>
      <c r="C5655" s="36" t="s">
        <v>81</v>
      </c>
      <c r="D5655" s="36" t="s">
        <v>2466</v>
      </c>
      <c r="E5655" s="36" t="s">
        <v>2530</v>
      </c>
      <c r="J5655" s="87">
        <v>3205430</v>
      </c>
      <c r="K5655" s="85">
        <v>2024</v>
      </c>
      <c r="L5655" s="85">
        <v>11</v>
      </c>
      <c r="N5655" s="1" t="s">
        <v>44</v>
      </c>
    </row>
    <row r="5656" spans="1:14">
      <c r="A5656" s="36" t="s">
        <v>33</v>
      </c>
      <c r="B5656" s="37">
        <v>45657</v>
      </c>
      <c r="C5656" s="36" t="s">
        <v>2368</v>
      </c>
      <c r="D5656" s="36" t="s">
        <v>2369</v>
      </c>
      <c r="E5656" s="36" t="s">
        <v>2527</v>
      </c>
      <c r="J5656" s="87">
        <v>5135900</v>
      </c>
      <c r="K5656" s="85">
        <v>2024</v>
      </c>
      <c r="L5656" s="85">
        <v>11</v>
      </c>
      <c r="N5656" s="1" t="s">
        <v>44</v>
      </c>
    </row>
    <row r="5657" spans="1:14">
      <c r="A5657" s="36" t="s">
        <v>33</v>
      </c>
      <c r="B5657" s="37">
        <v>45657</v>
      </c>
      <c r="C5657" s="36" t="s">
        <v>2417</v>
      </c>
      <c r="D5657" s="36" t="s">
        <v>2418</v>
      </c>
      <c r="E5657" s="36" t="s">
        <v>2527</v>
      </c>
      <c r="J5657" s="87">
        <v>2079000</v>
      </c>
      <c r="K5657" s="85">
        <v>2024</v>
      </c>
      <c r="L5657" s="85">
        <v>11</v>
      </c>
      <c r="N5657" s="1" t="s">
        <v>44</v>
      </c>
    </row>
    <row r="5658" spans="1:14">
      <c r="A5658" s="36" t="s">
        <v>33</v>
      </c>
      <c r="B5658" s="37">
        <v>45657</v>
      </c>
      <c r="C5658" s="36" t="s">
        <v>2223</v>
      </c>
      <c r="D5658" s="36" t="s">
        <v>2261</v>
      </c>
      <c r="E5658" s="36" t="s">
        <v>2527</v>
      </c>
      <c r="J5658" s="87">
        <v>4318600</v>
      </c>
      <c r="K5658" s="85">
        <v>2024</v>
      </c>
      <c r="L5658" s="85">
        <v>11</v>
      </c>
      <c r="N5658" s="1" t="s">
        <v>44</v>
      </c>
    </row>
    <row r="5659" spans="1:14">
      <c r="A5659" s="36" t="s">
        <v>33</v>
      </c>
      <c r="B5659" s="37">
        <v>45657</v>
      </c>
      <c r="C5659" s="36" t="s">
        <v>2016</v>
      </c>
      <c r="D5659" s="36" t="s">
        <v>2467</v>
      </c>
      <c r="E5659" s="36" t="s">
        <v>2527</v>
      </c>
      <c r="J5659" s="87">
        <v>86388500</v>
      </c>
      <c r="K5659" s="85">
        <v>2024</v>
      </c>
      <c r="L5659" s="85">
        <v>11</v>
      </c>
      <c r="N5659" s="1" t="s">
        <v>44</v>
      </c>
    </row>
    <row r="5660" spans="1:14">
      <c r="A5660" s="36" t="s">
        <v>33</v>
      </c>
      <c r="B5660" s="37">
        <v>45657</v>
      </c>
      <c r="C5660" s="36" t="s">
        <v>2016</v>
      </c>
      <c r="D5660" s="36" t="s">
        <v>2468</v>
      </c>
      <c r="E5660" s="36" t="s">
        <v>2527</v>
      </c>
      <c r="J5660" s="87">
        <v>70691588</v>
      </c>
      <c r="K5660" s="85">
        <v>2024</v>
      </c>
      <c r="L5660" s="85">
        <v>11</v>
      </c>
      <c r="N5660" s="1" t="s">
        <v>44</v>
      </c>
    </row>
    <row r="5661" spans="1:14">
      <c r="A5661" s="36" t="s">
        <v>32</v>
      </c>
      <c r="B5661" s="37">
        <v>45659</v>
      </c>
      <c r="C5661" s="36" t="s">
        <v>834</v>
      </c>
      <c r="D5661" s="36" t="s">
        <v>2028</v>
      </c>
      <c r="E5661" s="36" t="s">
        <v>2527</v>
      </c>
      <c r="J5661" s="38">
        <v>13152920</v>
      </c>
      <c r="K5661" s="85">
        <v>2024</v>
      </c>
      <c r="L5661" s="85">
        <v>7</v>
      </c>
      <c r="N5661" s="1" t="s">
        <v>44</v>
      </c>
    </row>
    <row r="5662" spans="1:14">
      <c r="A5662" s="36" t="s">
        <v>32</v>
      </c>
      <c r="B5662" s="37">
        <v>45659</v>
      </c>
      <c r="C5662" s="36" t="s">
        <v>2248</v>
      </c>
      <c r="D5662" s="36" t="s">
        <v>2255</v>
      </c>
      <c r="E5662" s="36" t="s">
        <v>2531</v>
      </c>
      <c r="J5662" s="87">
        <v>62524000</v>
      </c>
      <c r="K5662" s="85">
        <v>2024</v>
      </c>
      <c r="L5662" s="85">
        <v>9</v>
      </c>
      <c r="M5662" s="36" t="s">
        <v>2307</v>
      </c>
      <c r="N5662" s="1" t="s">
        <v>44</v>
      </c>
    </row>
    <row r="5663" spans="1:14">
      <c r="A5663" s="36" t="s">
        <v>33</v>
      </c>
      <c r="B5663" s="37">
        <v>45660</v>
      </c>
      <c r="C5663" s="36" t="s">
        <v>2188</v>
      </c>
      <c r="D5663" s="36" t="s">
        <v>2272</v>
      </c>
      <c r="E5663" s="36" t="s">
        <v>2532</v>
      </c>
      <c r="J5663" s="87">
        <v>194656</v>
      </c>
      <c r="K5663" s="85">
        <v>2024</v>
      </c>
      <c r="L5663" s="85">
        <v>7</v>
      </c>
      <c r="N5663" s="1" t="s">
        <v>44</v>
      </c>
    </row>
    <row r="5664" spans="1:14">
      <c r="A5664" s="36" t="s">
        <v>33</v>
      </c>
      <c r="B5664" s="37">
        <v>45660</v>
      </c>
      <c r="C5664" s="36" t="s">
        <v>2188</v>
      </c>
      <c r="D5664" s="36" t="s">
        <v>2272</v>
      </c>
      <c r="E5664" s="36" t="s">
        <v>2532</v>
      </c>
      <c r="J5664" s="87">
        <v>32736</v>
      </c>
      <c r="K5664" s="85">
        <v>2024</v>
      </c>
      <c r="L5664" s="85">
        <v>8</v>
      </c>
      <c r="N5664" s="1" t="s">
        <v>44</v>
      </c>
    </row>
    <row r="5665" spans="1:14">
      <c r="A5665" s="36" t="s">
        <v>33</v>
      </c>
      <c r="B5665" s="37">
        <v>45660</v>
      </c>
      <c r="C5665" s="36" t="s">
        <v>2188</v>
      </c>
      <c r="D5665" s="36" t="s">
        <v>2324</v>
      </c>
      <c r="E5665" s="36" t="s">
        <v>2532</v>
      </c>
      <c r="J5665" s="87">
        <v>31680</v>
      </c>
      <c r="K5665" s="85">
        <v>2024</v>
      </c>
      <c r="L5665" s="85">
        <v>9</v>
      </c>
      <c r="N5665" s="1" t="s">
        <v>44</v>
      </c>
    </row>
    <row r="5666" spans="1:14">
      <c r="A5666" s="36" t="s">
        <v>33</v>
      </c>
      <c r="B5666" s="37">
        <v>45660</v>
      </c>
      <c r="C5666" s="36" t="s">
        <v>2188</v>
      </c>
      <c r="D5666" s="36" t="s">
        <v>2324</v>
      </c>
      <c r="E5666" s="36" t="s">
        <v>2532</v>
      </c>
      <c r="J5666" s="87">
        <v>32736</v>
      </c>
      <c r="K5666" s="85">
        <v>2024</v>
      </c>
      <c r="L5666" s="85">
        <v>10</v>
      </c>
      <c r="N5666" s="1" t="s">
        <v>44</v>
      </c>
    </row>
    <row r="5667" spans="1:14">
      <c r="A5667" s="36" t="s">
        <v>33</v>
      </c>
      <c r="B5667" s="37">
        <v>45660</v>
      </c>
      <c r="C5667" s="36" t="s">
        <v>2188</v>
      </c>
      <c r="D5667" s="36" t="s">
        <v>2324</v>
      </c>
      <c r="E5667" s="36" t="s">
        <v>2532</v>
      </c>
      <c r="J5667" s="87">
        <v>31680</v>
      </c>
      <c r="K5667" s="85">
        <v>2024</v>
      </c>
      <c r="L5667" s="85">
        <v>11</v>
      </c>
      <c r="N5667" s="1" t="s">
        <v>44</v>
      </c>
    </row>
    <row r="5668" spans="1:14">
      <c r="A5668" s="36" t="s">
        <v>33</v>
      </c>
      <c r="B5668" s="37">
        <v>45657</v>
      </c>
      <c r="C5668" s="36" t="s">
        <v>1914</v>
      </c>
      <c r="D5668" s="36" t="s">
        <v>1915</v>
      </c>
      <c r="E5668" s="36" t="s">
        <v>165</v>
      </c>
      <c r="G5668" s="87">
        <v>350000</v>
      </c>
      <c r="H5668" s="87">
        <v>35000</v>
      </c>
      <c r="I5668" s="87">
        <v>385000</v>
      </c>
      <c r="K5668" s="85">
        <v>2024</v>
      </c>
      <c r="L5668" s="85">
        <v>12</v>
      </c>
      <c r="N5668" s="1" t="s">
        <v>44</v>
      </c>
    </row>
    <row r="5669" spans="1:14">
      <c r="A5669" s="36" t="s">
        <v>33</v>
      </c>
      <c r="B5669" s="37">
        <v>45657</v>
      </c>
      <c r="C5669" s="36" t="s">
        <v>2322</v>
      </c>
      <c r="D5669" s="36" t="s">
        <v>197</v>
      </c>
      <c r="E5669" s="36" t="s">
        <v>2119</v>
      </c>
      <c r="G5669" s="87">
        <v>735000</v>
      </c>
      <c r="H5669" s="87">
        <v>73500</v>
      </c>
      <c r="I5669" s="87">
        <v>808500</v>
      </c>
      <c r="K5669" s="85">
        <v>2024</v>
      </c>
      <c r="L5669" s="85">
        <v>12</v>
      </c>
      <c r="N5669" s="1" t="s">
        <v>44</v>
      </c>
    </row>
    <row r="5670" spans="1:14">
      <c r="A5670" s="36" t="s">
        <v>32</v>
      </c>
      <c r="B5670" s="37">
        <v>45660</v>
      </c>
      <c r="C5670" s="36" t="s">
        <v>1198</v>
      </c>
      <c r="D5670" s="36" t="s">
        <v>2290</v>
      </c>
      <c r="E5670" s="36" t="s">
        <v>2533</v>
      </c>
      <c r="J5670" s="87">
        <v>4097951</v>
      </c>
      <c r="K5670" s="85">
        <v>2024</v>
      </c>
      <c r="L5670" s="85">
        <v>8</v>
      </c>
      <c r="N5670" s="1" t="s">
        <v>44</v>
      </c>
    </row>
    <row r="5671" spans="1:14">
      <c r="A5671" s="36" t="s">
        <v>33</v>
      </c>
      <c r="B5671" s="37">
        <v>45657</v>
      </c>
      <c r="C5671" s="36" t="s">
        <v>2122</v>
      </c>
      <c r="D5671" s="36" t="s">
        <v>1921</v>
      </c>
      <c r="E5671" s="36" t="s">
        <v>157</v>
      </c>
      <c r="G5671" s="87">
        <v>455000</v>
      </c>
      <c r="H5671" s="87">
        <v>45500</v>
      </c>
      <c r="I5671" s="87">
        <v>500500</v>
      </c>
      <c r="K5671" s="85">
        <v>2024</v>
      </c>
      <c r="L5671" s="85">
        <v>12</v>
      </c>
      <c r="N5671" s="1" t="s">
        <v>44</v>
      </c>
    </row>
    <row r="5672" spans="1:14">
      <c r="A5672" s="36" t="s">
        <v>33</v>
      </c>
      <c r="B5672" s="37">
        <v>45657</v>
      </c>
      <c r="C5672" s="36" t="s">
        <v>2368</v>
      </c>
      <c r="D5672" s="36" t="s">
        <v>2369</v>
      </c>
      <c r="E5672" s="36" t="s">
        <v>2370</v>
      </c>
      <c r="G5672" s="87">
        <v>3626000</v>
      </c>
      <c r="H5672" s="87">
        <v>362600</v>
      </c>
      <c r="I5672" s="87">
        <v>3988600</v>
      </c>
      <c r="K5672" s="85">
        <v>2024</v>
      </c>
      <c r="L5672" s="85">
        <v>12</v>
      </c>
      <c r="N5672" s="1" t="s">
        <v>44</v>
      </c>
    </row>
    <row r="5673" spans="1:14">
      <c r="A5673" s="36" t="s">
        <v>33</v>
      </c>
      <c r="B5673" s="37">
        <v>45651</v>
      </c>
      <c r="C5673" s="36" t="s">
        <v>1569</v>
      </c>
      <c r="D5673" s="36" t="s">
        <v>1412</v>
      </c>
      <c r="E5673" s="36" t="s">
        <v>2534</v>
      </c>
      <c r="G5673" s="87">
        <v>4000000</v>
      </c>
      <c r="H5673" s="87">
        <v>400000</v>
      </c>
      <c r="I5673" s="87">
        <v>4400000</v>
      </c>
      <c r="K5673" s="85">
        <v>2024</v>
      </c>
      <c r="L5673" s="85">
        <v>12</v>
      </c>
      <c r="N5673" s="1" t="s">
        <v>44</v>
      </c>
    </row>
    <row r="5674" spans="1:14">
      <c r="A5674" s="36" t="s">
        <v>33</v>
      </c>
      <c r="B5674" s="37">
        <v>45651</v>
      </c>
      <c r="C5674" s="36" t="s">
        <v>1569</v>
      </c>
      <c r="D5674" s="36" t="s">
        <v>1431</v>
      </c>
      <c r="E5674" s="36" t="s">
        <v>1492</v>
      </c>
      <c r="G5674" s="87">
        <v>4814400</v>
      </c>
      <c r="H5674" s="87">
        <v>481440</v>
      </c>
      <c r="I5674" s="87">
        <v>5295840</v>
      </c>
      <c r="K5674" s="85">
        <v>2024</v>
      </c>
      <c r="L5674" s="85">
        <v>12</v>
      </c>
      <c r="N5674" s="1" t="s">
        <v>44</v>
      </c>
    </row>
    <row r="5675" spans="1:14">
      <c r="A5675" s="36" t="s">
        <v>33</v>
      </c>
      <c r="B5675" s="37">
        <v>45651</v>
      </c>
      <c r="C5675" s="36" t="s">
        <v>1569</v>
      </c>
      <c r="D5675" s="36" t="s">
        <v>1227</v>
      </c>
      <c r="E5675" s="36" t="s">
        <v>1492</v>
      </c>
      <c r="G5675" s="87">
        <v>1612400</v>
      </c>
      <c r="H5675" s="87">
        <v>161240</v>
      </c>
      <c r="I5675" s="87">
        <v>1773640</v>
      </c>
      <c r="K5675" s="85">
        <v>2024</v>
      </c>
      <c r="L5675" s="85">
        <v>12</v>
      </c>
      <c r="N5675" s="1" t="s">
        <v>44</v>
      </c>
    </row>
    <row r="5676" spans="1:14">
      <c r="A5676" s="36" t="s">
        <v>33</v>
      </c>
      <c r="B5676" s="37">
        <v>45657</v>
      </c>
      <c r="C5676" s="36" t="s">
        <v>2803</v>
      </c>
      <c r="D5676" s="36" t="s">
        <v>2271</v>
      </c>
      <c r="E5676" s="36" t="s">
        <v>2458</v>
      </c>
      <c r="G5676" s="87">
        <v>287000</v>
      </c>
      <c r="H5676" s="87">
        <v>28700</v>
      </c>
      <c r="I5676" s="87">
        <v>315700</v>
      </c>
      <c r="K5676" s="85">
        <v>2024</v>
      </c>
      <c r="L5676" s="85">
        <v>12</v>
      </c>
      <c r="N5676" s="1" t="s">
        <v>44</v>
      </c>
    </row>
    <row r="5677" spans="1:14">
      <c r="A5677" s="36" t="s">
        <v>32</v>
      </c>
      <c r="B5677" s="37">
        <v>45664</v>
      </c>
      <c r="C5677" s="36" t="s">
        <v>2392</v>
      </c>
      <c r="D5677" s="36" t="s">
        <v>2483</v>
      </c>
      <c r="E5677" s="36" t="s">
        <v>2535</v>
      </c>
      <c r="J5677" s="87">
        <v>4606470</v>
      </c>
      <c r="K5677" s="85">
        <v>2024</v>
      </c>
      <c r="L5677" s="85">
        <v>11</v>
      </c>
      <c r="N5677" s="1" t="s">
        <v>44</v>
      </c>
    </row>
    <row r="5678" spans="1:14">
      <c r="A5678" s="36" t="s">
        <v>33</v>
      </c>
      <c r="B5678" s="37">
        <v>45657</v>
      </c>
      <c r="C5678" s="36" t="s">
        <v>2536</v>
      </c>
      <c r="D5678" s="36" t="s">
        <v>2537</v>
      </c>
      <c r="E5678" s="36" t="s">
        <v>2538</v>
      </c>
      <c r="G5678" s="87">
        <v>252000</v>
      </c>
      <c r="H5678" s="87">
        <v>25200</v>
      </c>
      <c r="I5678" s="87">
        <v>277200</v>
      </c>
      <c r="K5678" s="85">
        <v>2024</v>
      </c>
      <c r="L5678" s="85">
        <v>12</v>
      </c>
      <c r="N5678" s="1" t="s">
        <v>44</v>
      </c>
    </row>
    <row r="5679" spans="1:14">
      <c r="A5679" s="36" t="s">
        <v>33</v>
      </c>
      <c r="B5679" s="37">
        <v>45657</v>
      </c>
      <c r="C5679" s="36" t="s">
        <v>2188</v>
      </c>
      <c r="D5679" s="36" t="s">
        <v>2324</v>
      </c>
      <c r="E5679" s="36" t="s">
        <v>1492</v>
      </c>
      <c r="G5679" s="87">
        <v>29760</v>
      </c>
      <c r="H5679" s="87">
        <v>2976</v>
      </c>
      <c r="I5679" s="87">
        <v>32736</v>
      </c>
      <c r="K5679" s="85">
        <v>2024</v>
      </c>
      <c r="L5679" s="85">
        <v>12</v>
      </c>
      <c r="N5679" s="1" t="s">
        <v>44</v>
      </c>
    </row>
    <row r="5680" spans="1:14">
      <c r="A5680" s="36" t="s">
        <v>33</v>
      </c>
      <c r="B5680" s="37">
        <v>45657</v>
      </c>
      <c r="C5680" s="36" t="s">
        <v>81</v>
      </c>
      <c r="D5680" s="36" t="s">
        <v>2466</v>
      </c>
      <c r="E5680" s="36" t="s">
        <v>1492</v>
      </c>
      <c r="G5680" s="87">
        <v>1555092</v>
      </c>
      <c r="H5680" s="87">
        <v>155509.20000000001</v>
      </c>
      <c r="I5680" s="87">
        <v>1710601.2</v>
      </c>
      <c r="K5680" s="85">
        <v>2024</v>
      </c>
      <c r="L5680" s="85">
        <v>12</v>
      </c>
      <c r="N5680" s="1" t="s">
        <v>44</v>
      </c>
    </row>
    <row r="5681" spans="1:14">
      <c r="A5681" s="36" t="s">
        <v>33</v>
      </c>
      <c r="B5681" s="37">
        <v>45657</v>
      </c>
      <c r="C5681" s="36" t="s">
        <v>81</v>
      </c>
      <c r="D5681" s="36" t="s">
        <v>2464</v>
      </c>
      <c r="E5681" s="36" t="s">
        <v>1492</v>
      </c>
      <c r="G5681" s="87">
        <v>2399400</v>
      </c>
      <c r="H5681" s="87">
        <v>239940</v>
      </c>
      <c r="I5681" s="87">
        <v>2639340</v>
      </c>
      <c r="K5681" s="85">
        <v>2024</v>
      </c>
      <c r="L5681" s="85">
        <v>12</v>
      </c>
      <c r="N5681" s="1" t="s">
        <v>44</v>
      </c>
    </row>
    <row r="5682" spans="1:14">
      <c r="A5682" s="36" t="s">
        <v>33</v>
      </c>
      <c r="B5682" s="37">
        <v>45657</v>
      </c>
      <c r="C5682" s="36" t="s">
        <v>81</v>
      </c>
      <c r="D5682" s="36" t="s">
        <v>2271</v>
      </c>
      <c r="E5682" s="36" t="s">
        <v>1492</v>
      </c>
      <c r="G5682" s="87">
        <v>6797600</v>
      </c>
      <c r="H5682" s="87">
        <v>679760</v>
      </c>
      <c r="I5682" s="87">
        <v>7477360</v>
      </c>
      <c r="K5682" s="85">
        <v>2024</v>
      </c>
      <c r="L5682" s="85">
        <v>12</v>
      </c>
      <c r="N5682" s="1" t="s">
        <v>44</v>
      </c>
    </row>
    <row r="5683" spans="1:14">
      <c r="A5683" s="36" t="s">
        <v>33</v>
      </c>
      <c r="B5683" s="37">
        <v>45657</v>
      </c>
      <c r="C5683" s="36" t="s">
        <v>96</v>
      </c>
      <c r="D5683" s="36" t="s">
        <v>97</v>
      </c>
      <c r="E5683" s="36" t="s">
        <v>97</v>
      </c>
      <c r="G5683" s="87">
        <v>880000</v>
      </c>
      <c r="H5683" s="87">
        <v>88000</v>
      </c>
      <c r="I5683" s="87">
        <v>968000</v>
      </c>
      <c r="K5683" s="85">
        <v>2024</v>
      </c>
      <c r="L5683" s="85">
        <v>12</v>
      </c>
      <c r="N5683" s="1" t="s">
        <v>44</v>
      </c>
    </row>
    <row r="5684" spans="1:14">
      <c r="A5684" s="36" t="s">
        <v>33</v>
      </c>
      <c r="B5684" s="37">
        <v>45657</v>
      </c>
      <c r="C5684" s="36" t="s">
        <v>2116</v>
      </c>
      <c r="D5684" s="36" t="s">
        <v>2117</v>
      </c>
      <c r="E5684" s="36" t="s">
        <v>2539</v>
      </c>
      <c r="G5684" s="87">
        <v>2121000</v>
      </c>
      <c r="H5684" s="87">
        <v>212100</v>
      </c>
      <c r="I5684" s="87">
        <v>2333100</v>
      </c>
      <c r="K5684" s="85">
        <v>2024</v>
      </c>
      <c r="L5684" s="85">
        <v>12</v>
      </c>
      <c r="N5684" s="1" t="s">
        <v>44</v>
      </c>
    </row>
    <row r="5685" spans="1:14">
      <c r="A5685" s="36" t="s">
        <v>33</v>
      </c>
      <c r="B5685" s="37">
        <v>45657</v>
      </c>
      <c r="C5685" s="36" t="s">
        <v>2016</v>
      </c>
      <c r="D5685" s="36" t="s">
        <v>1492</v>
      </c>
      <c r="E5685" s="36" t="s">
        <v>1492</v>
      </c>
      <c r="G5685" s="87">
        <v>76364150</v>
      </c>
      <c r="H5685" s="87">
        <v>7636415</v>
      </c>
      <c r="I5685" s="87">
        <v>84000565</v>
      </c>
      <c r="K5685" s="85">
        <v>2024</v>
      </c>
      <c r="L5685" s="85">
        <v>12</v>
      </c>
      <c r="N5685" s="1" t="s">
        <v>44</v>
      </c>
    </row>
    <row r="5686" spans="1:14">
      <c r="A5686" s="36" t="s">
        <v>33</v>
      </c>
      <c r="B5686" s="37">
        <v>45657</v>
      </c>
      <c r="C5686" s="36" t="s">
        <v>1391</v>
      </c>
      <c r="D5686" s="36" t="s">
        <v>197</v>
      </c>
      <c r="E5686" s="36" t="s">
        <v>1492</v>
      </c>
      <c r="G5686" s="87">
        <v>11916000</v>
      </c>
      <c r="H5686" s="87">
        <v>1191600</v>
      </c>
      <c r="I5686" s="87">
        <v>13107600</v>
      </c>
      <c r="K5686" s="85">
        <v>2024</v>
      </c>
      <c r="L5686" s="85">
        <v>12</v>
      </c>
      <c r="N5686" s="1" t="s">
        <v>44</v>
      </c>
    </row>
    <row r="5687" spans="1:14">
      <c r="A5687" s="36" t="s">
        <v>33</v>
      </c>
      <c r="B5687" s="37">
        <v>45666</v>
      </c>
      <c r="C5687" s="36" t="s">
        <v>2540</v>
      </c>
      <c r="D5687" s="36" t="s">
        <v>2541</v>
      </c>
      <c r="E5687" s="36" t="s">
        <v>469</v>
      </c>
      <c r="G5687" s="87">
        <v>336000</v>
      </c>
      <c r="H5687" s="87">
        <v>33600</v>
      </c>
      <c r="I5687" s="87">
        <v>369600</v>
      </c>
      <c r="K5687" s="85">
        <v>2025</v>
      </c>
      <c r="L5687" s="85">
        <v>1</v>
      </c>
      <c r="N5687" s="1" t="s">
        <v>44</v>
      </c>
    </row>
    <row r="5688" spans="1:14">
      <c r="A5688" s="36" t="s">
        <v>32</v>
      </c>
      <c r="B5688" s="37">
        <v>45657</v>
      </c>
      <c r="C5688" s="36" t="s">
        <v>1395</v>
      </c>
      <c r="D5688" s="36" t="s">
        <v>2547</v>
      </c>
      <c r="E5688" s="36" t="s">
        <v>76</v>
      </c>
      <c r="G5688" s="87">
        <v>4090909</v>
      </c>
      <c r="H5688" s="87">
        <v>409090.9</v>
      </c>
      <c r="I5688" s="87">
        <v>4499999.9000000004</v>
      </c>
      <c r="K5688" s="85">
        <v>2024</v>
      </c>
      <c r="L5688" s="85">
        <v>12</v>
      </c>
      <c r="N5688" s="1" t="s">
        <v>44</v>
      </c>
    </row>
    <row r="5689" spans="1:14">
      <c r="A5689" s="36" t="s">
        <v>32</v>
      </c>
      <c r="B5689" s="37">
        <v>45627</v>
      </c>
      <c r="C5689" s="36" t="s">
        <v>1587</v>
      </c>
      <c r="D5689" s="36" t="s">
        <v>2285</v>
      </c>
      <c r="E5689" s="36" t="s">
        <v>2142</v>
      </c>
      <c r="G5689" s="87">
        <v>60000000</v>
      </c>
      <c r="H5689" s="87">
        <v>6000000</v>
      </c>
      <c r="I5689" s="87">
        <v>66000000</v>
      </c>
      <c r="K5689" s="85">
        <v>2024</v>
      </c>
      <c r="L5689" s="85">
        <v>12</v>
      </c>
      <c r="N5689" s="1" t="s">
        <v>44</v>
      </c>
    </row>
    <row r="5690" spans="1:14">
      <c r="A5690" s="36" t="s">
        <v>32</v>
      </c>
      <c r="B5690" s="37">
        <v>45628</v>
      </c>
      <c r="C5690" s="36" t="s">
        <v>1880</v>
      </c>
      <c r="D5690" s="36" t="s">
        <v>2396</v>
      </c>
      <c r="E5690" s="36" t="s">
        <v>76</v>
      </c>
      <c r="G5690" s="87">
        <v>10000000</v>
      </c>
      <c r="H5690" s="87">
        <v>1000000</v>
      </c>
      <c r="I5690" s="87">
        <v>11000000</v>
      </c>
      <c r="K5690" s="85">
        <v>2024</v>
      </c>
      <c r="L5690" s="85">
        <v>12</v>
      </c>
      <c r="N5690" s="1" t="s">
        <v>44</v>
      </c>
    </row>
    <row r="5691" spans="1:14">
      <c r="A5691" s="36" t="s">
        <v>32</v>
      </c>
      <c r="B5691" s="37">
        <v>45650</v>
      </c>
      <c r="C5691" s="36" t="s">
        <v>2542</v>
      </c>
      <c r="D5691" s="36" t="s">
        <v>2548</v>
      </c>
      <c r="E5691" s="36" t="s">
        <v>267</v>
      </c>
      <c r="G5691" s="87">
        <v>540000</v>
      </c>
      <c r="H5691" s="87">
        <v>54000</v>
      </c>
      <c r="I5691" s="87">
        <v>594000</v>
      </c>
      <c r="K5691" s="85">
        <v>2024</v>
      </c>
      <c r="L5691" s="85">
        <v>12</v>
      </c>
      <c r="N5691" s="1" t="s">
        <v>44</v>
      </c>
    </row>
    <row r="5692" spans="1:14">
      <c r="A5692" s="36" t="s">
        <v>32</v>
      </c>
      <c r="B5692" s="37">
        <v>45650</v>
      </c>
      <c r="C5692" s="36" t="s">
        <v>81</v>
      </c>
      <c r="D5692" s="36" t="s">
        <v>2549</v>
      </c>
      <c r="E5692" s="36" t="s">
        <v>267</v>
      </c>
      <c r="G5692" s="87">
        <v>2000000</v>
      </c>
      <c r="H5692" s="87">
        <v>200000</v>
      </c>
      <c r="I5692" s="87">
        <v>2200000</v>
      </c>
      <c r="K5692" s="85">
        <v>2024</v>
      </c>
      <c r="L5692" s="85">
        <v>12</v>
      </c>
      <c r="N5692" s="1" t="s">
        <v>44</v>
      </c>
    </row>
    <row r="5693" spans="1:14">
      <c r="A5693" s="36" t="s">
        <v>32</v>
      </c>
      <c r="B5693" s="37">
        <v>45657</v>
      </c>
      <c r="C5693" s="36" t="s">
        <v>209</v>
      </c>
      <c r="D5693" s="36" t="s">
        <v>1638</v>
      </c>
      <c r="E5693" s="36" t="s">
        <v>76</v>
      </c>
      <c r="G5693" s="87">
        <v>19012800</v>
      </c>
      <c r="H5693" s="87">
        <v>1901280</v>
      </c>
      <c r="I5693" s="87">
        <v>20914080</v>
      </c>
      <c r="K5693" s="85">
        <v>2024</v>
      </c>
      <c r="L5693" s="85">
        <v>12</v>
      </c>
      <c r="N5693" s="1" t="s">
        <v>44</v>
      </c>
    </row>
    <row r="5694" spans="1:14">
      <c r="A5694" s="36" t="s">
        <v>32</v>
      </c>
      <c r="B5694" s="37">
        <v>45657</v>
      </c>
      <c r="C5694" s="36" t="s">
        <v>209</v>
      </c>
      <c r="D5694" s="36" t="s">
        <v>1866</v>
      </c>
      <c r="E5694" s="36" t="s">
        <v>76</v>
      </c>
      <c r="G5694" s="87">
        <v>66175200</v>
      </c>
      <c r="H5694" s="87">
        <v>6617520</v>
      </c>
      <c r="I5694" s="87">
        <v>72792720</v>
      </c>
      <c r="K5694" s="85">
        <v>2024</v>
      </c>
      <c r="L5694" s="85">
        <v>12</v>
      </c>
      <c r="N5694" s="1" t="s">
        <v>44</v>
      </c>
    </row>
    <row r="5695" spans="1:14">
      <c r="A5695" s="36" t="s">
        <v>32</v>
      </c>
      <c r="B5695" s="37">
        <v>45657</v>
      </c>
      <c r="C5695" s="36" t="s">
        <v>209</v>
      </c>
      <c r="D5695" s="36" t="s">
        <v>2550</v>
      </c>
      <c r="E5695" s="36" t="s">
        <v>1492</v>
      </c>
      <c r="G5695" s="87">
        <v>13269600</v>
      </c>
      <c r="H5695" s="87">
        <v>1326960</v>
      </c>
      <c r="I5695" s="87">
        <v>14596560</v>
      </c>
      <c r="K5695" s="85">
        <v>2024</v>
      </c>
      <c r="L5695" s="85">
        <v>12</v>
      </c>
      <c r="N5695" s="1" t="s">
        <v>44</v>
      </c>
    </row>
    <row r="5696" spans="1:14">
      <c r="A5696" s="36" t="s">
        <v>32</v>
      </c>
      <c r="B5696" s="37">
        <v>45657</v>
      </c>
      <c r="C5696" s="36" t="s">
        <v>209</v>
      </c>
      <c r="D5696" s="36" t="s">
        <v>2551</v>
      </c>
      <c r="E5696" s="36" t="s">
        <v>76</v>
      </c>
      <c r="G5696" s="87">
        <v>30376066</v>
      </c>
      <c r="H5696" s="87">
        <v>3037606</v>
      </c>
      <c r="I5696" s="87">
        <v>33413672</v>
      </c>
      <c r="K5696" s="85">
        <v>2024</v>
      </c>
      <c r="L5696" s="85">
        <v>12</v>
      </c>
      <c r="N5696" s="1" t="s">
        <v>44</v>
      </c>
    </row>
    <row r="5697" spans="1:14">
      <c r="A5697" s="36" t="s">
        <v>32</v>
      </c>
      <c r="B5697" s="37">
        <v>45657</v>
      </c>
      <c r="C5697" s="36" t="s">
        <v>188</v>
      </c>
      <c r="D5697" s="36" t="s">
        <v>2552</v>
      </c>
      <c r="E5697" s="36" t="s">
        <v>267</v>
      </c>
      <c r="G5697" s="87">
        <v>3000000</v>
      </c>
      <c r="H5697" s="87">
        <v>300000</v>
      </c>
      <c r="I5697" s="87">
        <v>3300000</v>
      </c>
      <c r="K5697" s="85">
        <v>2024</v>
      </c>
      <c r="L5697" s="85">
        <v>12</v>
      </c>
      <c r="N5697" s="1" t="s">
        <v>44</v>
      </c>
    </row>
    <row r="5698" spans="1:14">
      <c r="A5698" s="36" t="s">
        <v>32</v>
      </c>
      <c r="B5698" s="37">
        <v>45657</v>
      </c>
      <c r="C5698" s="36" t="s">
        <v>334</v>
      </c>
      <c r="D5698" s="36" t="s">
        <v>2486</v>
      </c>
      <c r="E5698" s="36" t="s">
        <v>76</v>
      </c>
      <c r="G5698" s="87">
        <v>5042000</v>
      </c>
      <c r="H5698" s="87">
        <v>504200</v>
      </c>
      <c r="I5698" s="87">
        <v>5546200</v>
      </c>
      <c r="K5698" s="85">
        <v>2024</v>
      </c>
      <c r="L5698" s="85">
        <v>12</v>
      </c>
      <c r="N5698" s="1" t="s">
        <v>44</v>
      </c>
    </row>
    <row r="5699" spans="1:14">
      <c r="A5699" s="36" t="s">
        <v>32</v>
      </c>
      <c r="B5699" s="37">
        <v>45657</v>
      </c>
      <c r="C5699" s="36" t="s">
        <v>206</v>
      </c>
      <c r="D5699" s="36" t="s">
        <v>2553</v>
      </c>
      <c r="E5699" s="36" t="s">
        <v>76</v>
      </c>
      <c r="G5699" s="87">
        <v>3078000</v>
      </c>
      <c r="H5699" s="87">
        <v>307800</v>
      </c>
      <c r="I5699" s="87">
        <v>3385800</v>
      </c>
      <c r="K5699" s="85">
        <v>2024</v>
      </c>
      <c r="L5699" s="85">
        <v>12</v>
      </c>
      <c r="N5699" s="1" t="s">
        <v>44</v>
      </c>
    </row>
    <row r="5700" spans="1:14">
      <c r="A5700" s="36" t="s">
        <v>32</v>
      </c>
      <c r="B5700" s="37">
        <v>45657</v>
      </c>
      <c r="C5700" s="36" t="s">
        <v>2477</v>
      </c>
      <c r="D5700" s="36" t="s">
        <v>2485</v>
      </c>
      <c r="E5700" s="36" t="s">
        <v>267</v>
      </c>
      <c r="G5700" s="87">
        <v>4498800</v>
      </c>
      <c r="H5700" s="87">
        <v>449880</v>
      </c>
      <c r="I5700" s="87">
        <v>4948680</v>
      </c>
      <c r="K5700" s="85">
        <v>2024</v>
      </c>
      <c r="L5700" s="85">
        <v>12</v>
      </c>
      <c r="N5700" s="1" t="s">
        <v>44</v>
      </c>
    </row>
    <row r="5701" spans="1:14">
      <c r="A5701" s="36" t="s">
        <v>32</v>
      </c>
      <c r="B5701" s="37">
        <v>45657</v>
      </c>
      <c r="C5701" s="36" t="s">
        <v>334</v>
      </c>
      <c r="D5701" s="36" t="s">
        <v>2490</v>
      </c>
      <c r="E5701" s="36" t="s">
        <v>76</v>
      </c>
      <c r="G5701" s="87">
        <v>5000000</v>
      </c>
      <c r="H5701" s="87">
        <v>500000</v>
      </c>
      <c r="I5701" s="87">
        <v>5500000</v>
      </c>
      <c r="K5701" s="85">
        <v>2024</v>
      </c>
      <c r="L5701" s="85">
        <v>12</v>
      </c>
      <c r="N5701" s="1" t="s">
        <v>44</v>
      </c>
    </row>
    <row r="5702" spans="1:14">
      <c r="A5702" s="36" t="s">
        <v>32</v>
      </c>
      <c r="B5702" s="37">
        <v>45657</v>
      </c>
      <c r="C5702" s="36" t="s">
        <v>2543</v>
      </c>
      <c r="D5702" s="36" t="s">
        <v>2554</v>
      </c>
      <c r="E5702" s="36" t="s">
        <v>267</v>
      </c>
      <c r="G5702" s="87">
        <v>1809000</v>
      </c>
      <c r="H5702" s="87">
        <v>180900</v>
      </c>
      <c r="I5702" s="87">
        <v>1989900</v>
      </c>
      <c r="K5702" s="85">
        <v>2024</v>
      </c>
      <c r="L5702" s="85">
        <v>12</v>
      </c>
      <c r="N5702" s="1" t="s">
        <v>44</v>
      </c>
    </row>
    <row r="5703" spans="1:14">
      <c r="A5703" s="36" t="s">
        <v>32</v>
      </c>
      <c r="B5703" s="37">
        <v>45657</v>
      </c>
      <c r="C5703" s="36" t="s">
        <v>1587</v>
      </c>
      <c r="D5703" s="36" t="s">
        <v>2271</v>
      </c>
      <c r="E5703" s="36" t="s">
        <v>267</v>
      </c>
      <c r="G5703" s="87">
        <v>6297200</v>
      </c>
      <c r="H5703" s="87">
        <v>629720</v>
      </c>
      <c r="I5703" s="87">
        <v>6926920</v>
      </c>
      <c r="K5703" s="85">
        <v>2024</v>
      </c>
      <c r="L5703" s="85">
        <v>12</v>
      </c>
      <c r="N5703" s="1" t="s">
        <v>44</v>
      </c>
    </row>
    <row r="5704" spans="1:14">
      <c r="A5704" s="36" t="s">
        <v>32</v>
      </c>
      <c r="B5704" s="37">
        <v>45657</v>
      </c>
      <c r="C5704" s="36" t="s">
        <v>1587</v>
      </c>
      <c r="D5704" s="36" t="s">
        <v>2563</v>
      </c>
      <c r="E5704" s="36" t="s">
        <v>2564</v>
      </c>
      <c r="G5704" s="87">
        <v>1400000</v>
      </c>
      <c r="H5704" s="87">
        <v>140000</v>
      </c>
      <c r="I5704" s="87">
        <v>1540000</v>
      </c>
      <c r="K5704" s="85">
        <v>2024</v>
      </c>
      <c r="L5704" s="85">
        <v>12</v>
      </c>
      <c r="N5704" s="1" t="s">
        <v>44</v>
      </c>
    </row>
    <row r="5705" spans="1:14">
      <c r="A5705" s="36" t="s">
        <v>32</v>
      </c>
      <c r="B5705" s="37">
        <v>45657</v>
      </c>
      <c r="C5705" s="36" t="s">
        <v>2544</v>
      </c>
      <c r="D5705" s="36" t="s">
        <v>2207</v>
      </c>
      <c r="E5705" s="36" t="s">
        <v>267</v>
      </c>
      <c r="G5705" s="87">
        <v>10000000</v>
      </c>
      <c r="H5705" s="87">
        <v>1000000</v>
      </c>
      <c r="I5705" s="87">
        <v>11000000</v>
      </c>
      <c r="K5705" s="85">
        <v>2024</v>
      </c>
      <c r="L5705" s="85">
        <v>12</v>
      </c>
      <c r="N5705" s="1" t="s">
        <v>44</v>
      </c>
    </row>
    <row r="5706" spans="1:14">
      <c r="A5706" s="36" t="s">
        <v>32</v>
      </c>
      <c r="B5706" s="37">
        <v>45657</v>
      </c>
      <c r="C5706" s="36" t="s">
        <v>264</v>
      </c>
      <c r="D5706" s="36" t="s">
        <v>2555</v>
      </c>
      <c r="E5706" s="36" t="s">
        <v>76</v>
      </c>
      <c r="G5706" s="87">
        <v>29000000</v>
      </c>
      <c r="H5706" s="87">
        <v>2900000</v>
      </c>
      <c r="I5706" s="87">
        <v>31900000</v>
      </c>
      <c r="K5706" s="85">
        <v>2024</v>
      </c>
      <c r="L5706" s="85">
        <v>12</v>
      </c>
      <c r="N5706" s="1" t="s">
        <v>44</v>
      </c>
    </row>
    <row r="5707" spans="1:14">
      <c r="A5707" s="36" t="s">
        <v>32</v>
      </c>
      <c r="B5707" s="37">
        <v>45657</v>
      </c>
      <c r="C5707" s="36" t="s">
        <v>1470</v>
      </c>
      <c r="D5707" s="36" t="s">
        <v>1487</v>
      </c>
      <c r="E5707" s="36" t="s">
        <v>76</v>
      </c>
      <c r="G5707" s="87">
        <v>75531500</v>
      </c>
      <c r="H5707" s="87">
        <v>7553150</v>
      </c>
      <c r="I5707" s="87">
        <v>83084650</v>
      </c>
      <c r="K5707" s="85">
        <v>2024</v>
      </c>
      <c r="L5707" s="85">
        <v>12</v>
      </c>
      <c r="N5707" s="1" t="s">
        <v>44</v>
      </c>
    </row>
    <row r="5708" spans="1:14">
      <c r="A5708" s="36" t="s">
        <v>32</v>
      </c>
      <c r="B5708" s="37">
        <v>45657</v>
      </c>
      <c r="C5708" s="36" t="s">
        <v>2545</v>
      </c>
      <c r="D5708" s="36" t="s">
        <v>2556</v>
      </c>
      <c r="E5708" s="36" t="s">
        <v>76</v>
      </c>
      <c r="G5708" s="87">
        <v>25000000</v>
      </c>
      <c r="H5708" s="87">
        <v>2500000</v>
      </c>
      <c r="I5708" s="87">
        <v>27500000</v>
      </c>
      <c r="K5708" s="85">
        <v>2024</v>
      </c>
      <c r="L5708" s="85">
        <v>12</v>
      </c>
      <c r="N5708" s="1" t="s">
        <v>44</v>
      </c>
    </row>
    <row r="5709" spans="1:14">
      <c r="A5709" s="36" t="s">
        <v>32</v>
      </c>
      <c r="B5709" s="37">
        <v>45657</v>
      </c>
      <c r="C5709" s="36" t="s">
        <v>2546</v>
      </c>
      <c r="D5709" s="36" t="s">
        <v>2557</v>
      </c>
      <c r="E5709" s="36" t="s">
        <v>267</v>
      </c>
      <c r="G5709" s="87">
        <v>8400000</v>
      </c>
      <c r="H5709" s="87">
        <v>840000</v>
      </c>
      <c r="I5709" s="87">
        <v>9240000</v>
      </c>
      <c r="K5709" s="85">
        <v>2024</v>
      </c>
      <c r="L5709" s="85">
        <v>12</v>
      </c>
      <c r="N5709" s="1" t="s">
        <v>44</v>
      </c>
    </row>
    <row r="5710" spans="1:14">
      <c r="A5710" s="36" t="s">
        <v>32</v>
      </c>
      <c r="B5710" s="37">
        <v>45657</v>
      </c>
      <c r="C5710" s="36" t="s">
        <v>2543</v>
      </c>
      <c r="D5710" s="36" t="s">
        <v>2558</v>
      </c>
      <c r="E5710" s="36" t="s">
        <v>76</v>
      </c>
      <c r="G5710" s="87">
        <v>540000</v>
      </c>
      <c r="H5710" s="87">
        <v>54000</v>
      </c>
      <c r="I5710" s="87">
        <v>594000</v>
      </c>
      <c r="K5710" s="85">
        <v>2024</v>
      </c>
      <c r="L5710" s="85">
        <v>12</v>
      </c>
      <c r="N5710" s="1" t="s">
        <v>44</v>
      </c>
    </row>
    <row r="5711" spans="1:14">
      <c r="A5711" s="36" t="s">
        <v>32</v>
      </c>
      <c r="B5711" s="37">
        <v>45657</v>
      </c>
      <c r="C5711" s="36" t="s">
        <v>1198</v>
      </c>
      <c r="D5711" s="36" t="s">
        <v>2559</v>
      </c>
      <c r="E5711" s="36" t="s">
        <v>267</v>
      </c>
      <c r="G5711" s="87">
        <v>810000</v>
      </c>
      <c r="H5711" s="87">
        <v>81000</v>
      </c>
      <c r="I5711" s="87">
        <v>891000</v>
      </c>
      <c r="K5711" s="85">
        <v>2024</v>
      </c>
      <c r="L5711" s="85">
        <v>12</v>
      </c>
      <c r="N5711" s="1" t="s">
        <v>44</v>
      </c>
    </row>
    <row r="5712" spans="1:14">
      <c r="A5712" s="36" t="s">
        <v>32</v>
      </c>
      <c r="B5712" s="37">
        <v>45657</v>
      </c>
      <c r="C5712" s="36" t="s">
        <v>1198</v>
      </c>
      <c r="D5712" s="36" t="s">
        <v>2560</v>
      </c>
      <c r="E5712" s="36" t="s">
        <v>267</v>
      </c>
      <c r="G5712" s="87">
        <v>3240000</v>
      </c>
      <c r="H5712" s="87">
        <v>324000</v>
      </c>
      <c r="I5712" s="87">
        <v>3564000</v>
      </c>
      <c r="K5712" s="85">
        <v>2024</v>
      </c>
      <c r="L5712" s="85">
        <v>12</v>
      </c>
      <c r="N5712" s="1" t="s">
        <v>44</v>
      </c>
    </row>
    <row r="5713" spans="1:14">
      <c r="A5713" s="36" t="s">
        <v>32</v>
      </c>
      <c r="B5713" s="37">
        <v>45657</v>
      </c>
      <c r="C5713" s="36" t="s">
        <v>2393</v>
      </c>
      <c r="D5713" s="36" t="s">
        <v>2484</v>
      </c>
      <c r="E5713" s="36" t="s">
        <v>267</v>
      </c>
      <c r="G5713" s="87">
        <v>8575160</v>
      </c>
      <c r="H5713" s="87">
        <v>857516</v>
      </c>
      <c r="I5713" s="87">
        <v>9432676</v>
      </c>
      <c r="K5713" s="85">
        <v>2024</v>
      </c>
      <c r="L5713" s="85">
        <v>12</v>
      </c>
      <c r="N5713" s="1" t="s">
        <v>44</v>
      </c>
    </row>
    <row r="5714" spans="1:14">
      <c r="A5714" s="36" t="s">
        <v>32</v>
      </c>
      <c r="B5714" s="37">
        <v>45657</v>
      </c>
      <c r="C5714" s="36" t="s">
        <v>2393</v>
      </c>
      <c r="D5714" s="36" t="s">
        <v>2561</v>
      </c>
      <c r="E5714" s="36" t="s">
        <v>267</v>
      </c>
      <c r="G5714" s="87">
        <v>5000000</v>
      </c>
      <c r="H5714" s="87">
        <v>500000</v>
      </c>
      <c r="I5714" s="87">
        <v>5500000</v>
      </c>
      <c r="K5714" s="85">
        <v>2024</v>
      </c>
      <c r="L5714" s="85">
        <v>12</v>
      </c>
      <c r="N5714" s="1" t="s">
        <v>44</v>
      </c>
    </row>
    <row r="5715" spans="1:14">
      <c r="A5715" s="36" t="s">
        <v>32</v>
      </c>
      <c r="B5715" s="37">
        <v>45657</v>
      </c>
      <c r="C5715" s="36" t="s">
        <v>288</v>
      </c>
      <c r="D5715" s="36" t="s">
        <v>1414</v>
      </c>
      <c r="E5715" s="36" t="s">
        <v>267</v>
      </c>
      <c r="G5715" s="87">
        <v>17383900</v>
      </c>
      <c r="H5715" s="87">
        <v>1738390</v>
      </c>
      <c r="I5715" s="87">
        <v>19122290</v>
      </c>
      <c r="K5715" s="85">
        <v>2024</v>
      </c>
      <c r="L5715" s="85">
        <v>12</v>
      </c>
      <c r="N5715" s="1" t="s">
        <v>44</v>
      </c>
    </row>
    <row r="5716" spans="1:14">
      <c r="A5716" s="36" t="s">
        <v>32</v>
      </c>
      <c r="B5716" s="37">
        <v>45657</v>
      </c>
      <c r="C5716" s="36" t="s">
        <v>1395</v>
      </c>
      <c r="D5716" s="36" t="s">
        <v>2547</v>
      </c>
      <c r="E5716" s="36" t="s">
        <v>77</v>
      </c>
      <c r="J5716" s="38">
        <v>4500000</v>
      </c>
      <c r="K5716" s="85">
        <v>2024</v>
      </c>
      <c r="L5716" s="85">
        <v>12</v>
      </c>
      <c r="N5716" s="1" t="s">
        <v>44</v>
      </c>
    </row>
    <row r="5717" spans="1:14">
      <c r="A5717" s="36" t="s">
        <v>32</v>
      </c>
      <c r="B5717" s="37">
        <v>45650</v>
      </c>
      <c r="C5717" s="36" t="s">
        <v>1880</v>
      </c>
      <c r="D5717" s="36" t="s">
        <v>2396</v>
      </c>
      <c r="E5717" s="36" t="s">
        <v>77</v>
      </c>
      <c r="J5717" s="38">
        <v>10000000</v>
      </c>
      <c r="K5717" s="85">
        <v>2024</v>
      </c>
      <c r="L5717" s="85">
        <v>12</v>
      </c>
      <c r="N5717" s="1" t="s">
        <v>44</v>
      </c>
    </row>
    <row r="5718" spans="1:14">
      <c r="A5718" s="36" t="s">
        <v>32</v>
      </c>
      <c r="B5718" s="37">
        <v>45656</v>
      </c>
      <c r="C5718" s="36" t="s">
        <v>81</v>
      </c>
      <c r="D5718" s="36" t="s">
        <v>2549</v>
      </c>
      <c r="E5718" s="36" t="s">
        <v>2601</v>
      </c>
      <c r="J5718" s="38">
        <v>2200000</v>
      </c>
      <c r="K5718" s="85">
        <v>2024</v>
      </c>
      <c r="L5718" s="85">
        <v>12</v>
      </c>
      <c r="N5718" s="1" t="s">
        <v>44</v>
      </c>
    </row>
    <row r="5719" spans="1:14">
      <c r="A5719" s="36" t="s">
        <v>32</v>
      </c>
      <c r="B5719" s="37">
        <v>45622</v>
      </c>
      <c r="C5719" s="36" t="s">
        <v>2443</v>
      </c>
      <c r="D5719" s="36" t="s">
        <v>2562</v>
      </c>
      <c r="E5719" s="36" t="s">
        <v>2562</v>
      </c>
      <c r="J5719" s="38">
        <v>10000000</v>
      </c>
      <c r="K5719" s="85">
        <v>2024</v>
      </c>
      <c r="L5719" s="85">
        <v>12</v>
      </c>
      <c r="N5719" s="1" t="s">
        <v>44</v>
      </c>
    </row>
    <row r="5720" spans="1:14">
      <c r="A5720" s="36" t="s">
        <v>32</v>
      </c>
      <c r="B5720" s="37">
        <v>45672</v>
      </c>
      <c r="C5720" s="36" t="s">
        <v>2543</v>
      </c>
      <c r="D5720" s="36" t="s">
        <v>2554</v>
      </c>
      <c r="E5720" s="36" t="s">
        <v>2565</v>
      </c>
      <c r="J5720" s="87">
        <v>1989900</v>
      </c>
      <c r="K5720" s="85">
        <v>2024</v>
      </c>
      <c r="L5720" s="85">
        <v>12</v>
      </c>
      <c r="N5720" s="1" t="s">
        <v>44</v>
      </c>
    </row>
    <row r="5721" spans="1:14">
      <c r="A5721" s="36" t="s">
        <v>32</v>
      </c>
      <c r="B5721" s="37">
        <v>45672</v>
      </c>
      <c r="C5721" s="36" t="s">
        <v>2543</v>
      </c>
      <c r="D5721" s="36" t="s">
        <v>2558</v>
      </c>
      <c r="E5721" s="36" t="s">
        <v>2565</v>
      </c>
      <c r="J5721" s="87">
        <v>594000</v>
      </c>
      <c r="K5721" s="85">
        <v>2024</v>
      </c>
      <c r="L5721" s="85">
        <v>12</v>
      </c>
      <c r="N5721" s="1" t="s">
        <v>44</v>
      </c>
    </row>
    <row r="5722" spans="1:14">
      <c r="A5722" s="36" t="s">
        <v>32</v>
      </c>
      <c r="B5722" s="37">
        <v>45672</v>
      </c>
      <c r="C5722" s="36" t="s">
        <v>2475</v>
      </c>
      <c r="D5722" s="36" t="s">
        <v>2481</v>
      </c>
      <c r="E5722" s="36" t="s">
        <v>2565</v>
      </c>
      <c r="J5722" s="87">
        <v>6831000</v>
      </c>
      <c r="K5722" s="85">
        <v>2024</v>
      </c>
      <c r="L5722" s="85">
        <v>11</v>
      </c>
      <c r="N5722" s="1" t="s">
        <v>44</v>
      </c>
    </row>
    <row r="5723" spans="1:14">
      <c r="A5723" s="36" t="s">
        <v>32</v>
      </c>
      <c r="B5723" s="37">
        <v>45670</v>
      </c>
      <c r="C5723" s="36" t="s">
        <v>1587</v>
      </c>
      <c r="D5723" s="36" t="s">
        <v>2285</v>
      </c>
      <c r="E5723" s="36" t="s">
        <v>2566</v>
      </c>
      <c r="J5723" s="87">
        <v>66000000</v>
      </c>
      <c r="K5723" s="85">
        <v>2024</v>
      </c>
      <c r="L5723" s="85">
        <v>12</v>
      </c>
      <c r="N5723" s="1" t="s">
        <v>44</v>
      </c>
    </row>
    <row r="5724" spans="1:14">
      <c r="A5724" s="36" t="s">
        <v>32</v>
      </c>
      <c r="B5724" s="37">
        <v>45660</v>
      </c>
      <c r="C5724" s="36" t="s">
        <v>1880</v>
      </c>
      <c r="D5724" s="36" t="s">
        <v>2396</v>
      </c>
      <c r="E5724" s="36" t="s">
        <v>77</v>
      </c>
      <c r="J5724" s="87">
        <v>1000000</v>
      </c>
      <c r="K5724" s="85">
        <v>2024</v>
      </c>
      <c r="L5724" s="85">
        <v>12</v>
      </c>
      <c r="N5724" s="1" t="s">
        <v>44</v>
      </c>
    </row>
    <row r="5725" spans="1:14">
      <c r="A5725" s="36" t="s">
        <v>32</v>
      </c>
      <c r="B5725" s="37">
        <v>45672</v>
      </c>
      <c r="C5725" s="36" t="s">
        <v>2545</v>
      </c>
      <c r="D5725" s="36" t="s">
        <v>2556</v>
      </c>
      <c r="E5725" s="36" t="s">
        <v>2567</v>
      </c>
      <c r="J5725" s="87">
        <v>27500000</v>
      </c>
      <c r="K5725" s="85">
        <v>2024</v>
      </c>
      <c r="L5725" s="85">
        <v>12</v>
      </c>
      <c r="N5725" s="1" t="s">
        <v>44</v>
      </c>
    </row>
    <row r="5726" spans="1:14">
      <c r="A5726" s="36" t="s">
        <v>32</v>
      </c>
      <c r="B5726" s="37">
        <v>45672</v>
      </c>
      <c r="C5726" s="36" t="s">
        <v>1587</v>
      </c>
      <c r="D5726" s="36" t="s">
        <v>2563</v>
      </c>
      <c r="E5726" s="36" t="s">
        <v>2568</v>
      </c>
      <c r="J5726" s="87">
        <v>1540000</v>
      </c>
      <c r="K5726" s="85">
        <v>2024</v>
      </c>
      <c r="L5726" s="85">
        <v>12</v>
      </c>
      <c r="N5726" s="1" t="s">
        <v>44</v>
      </c>
    </row>
    <row r="5727" spans="1:14">
      <c r="A5727" s="36" t="s">
        <v>32</v>
      </c>
      <c r="B5727" s="37">
        <v>45667</v>
      </c>
      <c r="C5727" s="36" t="s">
        <v>209</v>
      </c>
      <c r="D5727" s="36" t="s">
        <v>1866</v>
      </c>
      <c r="E5727" s="36" t="s">
        <v>2569</v>
      </c>
      <c r="J5727" s="87">
        <v>72792720</v>
      </c>
      <c r="K5727" s="85">
        <v>2024</v>
      </c>
      <c r="L5727" s="85">
        <v>12</v>
      </c>
      <c r="N5727" s="1" t="s">
        <v>44</v>
      </c>
    </row>
    <row r="5728" spans="1:14">
      <c r="A5728" s="36" t="s">
        <v>32</v>
      </c>
      <c r="B5728" s="37">
        <v>45673</v>
      </c>
      <c r="C5728" s="36" t="s">
        <v>2544</v>
      </c>
      <c r="D5728" s="36" t="s">
        <v>2207</v>
      </c>
      <c r="E5728" s="36" t="s">
        <v>2570</v>
      </c>
      <c r="J5728" s="87">
        <v>11000000</v>
      </c>
      <c r="K5728" s="85">
        <v>2024</v>
      </c>
      <c r="L5728" s="85">
        <v>12</v>
      </c>
      <c r="N5728" s="1" t="s">
        <v>44</v>
      </c>
    </row>
    <row r="5729" spans="1:14">
      <c r="A5729" s="36" t="s">
        <v>33</v>
      </c>
      <c r="B5729" s="37">
        <v>45672</v>
      </c>
      <c r="C5729" s="36" t="s">
        <v>2571</v>
      </c>
      <c r="D5729" s="36" t="s">
        <v>447</v>
      </c>
      <c r="E5729" s="36" t="s">
        <v>447</v>
      </c>
      <c r="G5729" s="87">
        <v>3000000</v>
      </c>
      <c r="H5729" s="87">
        <v>300000</v>
      </c>
      <c r="I5729" s="87">
        <v>3300000</v>
      </c>
      <c r="K5729" s="85">
        <v>2025</v>
      </c>
      <c r="L5729" s="85">
        <v>1</v>
      </c>
      <c r="N5729" s="1" t="s">
        <v>44</v>
      </c>
    </row>
    <row r="5730" spans="1:14">
      <c r="A5730" s="36" t="s">
        <v>33</v>
      </c>
      <c r="B5730" s="37">
        <v>45673</v>
      </c>
      <c r="C5730" s="36" t="s">
        <v>2571</v>
      </c>
      <c r="D5730" s="36" t="s">
        <v>447</v>
      </c>
      <c r="E5730" s="36" t="s">
        <v>77</v>
      </c>
      <c r="J5730" s="38">
        <v>3300000</v>
      </c>
      <c r="K5730" s="85">
        <v>2025</v>
      </c>
      <c r="L5730" s="85">
        <v>1</v>
      </c>
      <c r="N5730" s="1" t="s">
        <v>44</v>
      </c>
    </row>
    <row r="5731" spans="1:14">
      <c r="A5731" s="36" t="s">
        <v>32</v>
      </c>
      <c r="B5731" s="37">
        <v>45659</v>
      </c>
      <c r="C5731" s="36" t="s">
        <v>2476</v>
      </c>
      <c r="D5731" s="36" t="s">
        <v>2573</v>
      </c>
      <c r="E5731" s="36" t="s">
        <v>76</v>
      </c>
      <c r="G5731" s="87">
        <v>10026000</v>
      </c>
      <c r="H5731" s="87">
        <v>1002600</v>
      </c>
      <c r="I5731" s="87">
        <v>11028600</v>
      </c>
      <c r="K5731" s="85">
        <v>2025</v>
      </c>
      <c r="L5731" s="85">
        <v>1</v>
      </c>
      <c r="N5731" s="1" t="s">
        <v>44</v>
      </c>
    </row>
    <row r="5732" spans="1:14">
      <c r="A5732" s="36" t="s">
        <v>32</v>
      </c>
      <c r="B5732" s="37">
        <v>45660</v>
      </c>
      <c r="C5732" s="36" t="s">
        <v>654</v>
      </c>
      <c r="D5732" s="36" t="s">
        <v>2574</v>
      </c>
      <c r="E5732" s="36" t="s">
        <v>76</v>
      </c>
      <c r="G5732" s="87">
        <v>25421600</v>
      </c>
      <c r="H5732" s="87">
        <v>2542160</v>
      </c>
      <c r="I5732" s="87">
        <v>27963760</v>
      </c>
      <c r="K5732" s="85">
        <v>2025</v>
      </c>
      <c r="L5732" s="85">
        <v>1</v>
      </c>
      <c r="N5732" s="1" t="s">
        <v>44</v>
      </c>
    </row>
    <row r="5733" spans="1:14">
      <c r="A5733" s="36" t="s">
        <v>32</v>
      </c>
      <c r="B5733" s="37">
        <v>45660</v>
      </c>
      <c r="C5733" s="36" t="s">
        <v>654</v>
      </c>
      <c r="D5733" s="36" t="s">
        <v>2575</v>
      </c>
      <c r="E5733" s="36" t="s">
        <v>76</v>
      </c>
      <c r="G5733" s="87">
        <v>33734760</v>
      </c>
      <c r="H5733" s="87">
        <v>3373476</v>
      </c>
      <c r="I5733" s="87">
        <v>37108236</v>
      </c>
      <c r="K5733" s="85">
        <v>2025</v>
      </c>
      <c r="L5733" s="85">
        <v>1</v>
      </c>
      <c r="N5733" s="1" t="s">
        <v>44</v>
      </c>
    </row>
    <row r="5734" spans="1:14">
      <c r="A5734" s="36" t="s">
        <v>32</v>
      </c>
      <c r="B5734" s="37">
        <v>45659</v>
      </c>
      <c r="C5734" s="36" t="s">
        <v>654</v>
      </c>
      <c r="D5734" s="36" t="s">
        <v>2576</v>
      </c>
      <c r="E5734" s="36" t="s">
        <v>76</v>
      </c>
      <c r="G5734" s="87">
        <v>20166620</v>
      </c>
      <c r="H5734" s="87">
        <v>2016662</v>
      </c>
      <c r="I5734" s="87">
        <v>22183282</v>
      </c>
      <c r="K5734" s="85">
        <v>2025</v>
      </c>
      <c r="L5734" s="85">
        <v>1</v>
      </c>
      <c r="N5734" s="1" t="s">
        <v>44</v>
      </c>
    </row>
    <row r="5735" spans="1:14">
      <c r="A5735" s="36" t="s">
        <v>32</v>
      </c>
      <c r="B5735" s="37">
        <v>45660</v>
      </c>
      <c r="C5735" s="36" t="s">
        <v>654</v>
      </c>
      <c r="D5735" s="36" t="s">
        <v>2577</v>
      </c>
      <c r="E5735" s="36" t="s">
        <v>76</v>
      </c>
      <c r="G5735" s="87">
        <v>8658000</v>
      </c>
      <c r="H5735" s="87">
        <v>865800</v>
      </c>
      <c r="I5735" s="87">
        <v>9523800</v>
      </c>
      <c r="K5735" s="85">
        <v>2025</v>
      </c>
      <c r="L5735" s="85">
        <v>1</v>
      </c>
      <c r="N5735" s="1" t="s">
        <v>44</v>
      </c>
    </row>
    <row r="5736" spans="1:14">
      <c r="A5736" s="36" t="s">
        <v>32</v>
      </c>
      <c r="B5736" s="37">
        <v>45663</v>
      </c>
      <c r="C5736" s="36" t="s">
        <v>188</v>
      </c>
      <c r="D5736" s="36" t="s">
        <v>2578</v>
      </c>
      <c r="E5736" s="36" t="s">
        <v>267</v>
      </c>
      <c r="G5736" s="87">
        <v>6500000</v>
      </c>
      <c r="H5736" s="87">
        <v>650000</v>
      </c>
      <c r="I5736" s="87">
        <v>7150000</v>
      </c>
      <c r="K5736" s="85">
        <v>2025</v>
      </c>
      <c r="L5736" s="85">
        <v>1</v>
      </c>
      <c r="N5736" s="1" t="s">
        <v>44</v>
      </c>
    </row>
    <row r="5737" spans="1:14">
      <c r="A5737" s="36" t="s">
        <v>32</v>
      </c>
      <c r="B5737" s="37">
        <v>45659</v>
      </c>
      <c r="C5737" s="36" t="s">
        <v>2279</v>
      </c>
      <c r="D5737" s="36" t="s">
        <v>2579</v>
      </c>
      <c r="E5737" s="36" t="s">
        <v>76</v>
      </c>
      <c r="G5737" s="87">
        <v>42280000</v>
      </c>
      <c r="H5737" s="87">
        <v>4228000</v>
      </c>
      <c r="I5737" s="87">
        <v>46508000</v>
      </c>
      <c r="K5737" s="85">
        <v>2025</v>
      </c>
      <c r="L5737" s="85">
        <v>1</v>
      </c>
      <c r="N5737" s="1" t="s">
        <v>44</v>
      </c>
    </row>
    <row r="5738" spans="1:14">
      <c r="A5738" s="36" t="s">
        <v>32</v>
      </c>
      <c r="B5738" s="37">
        <v>45665</v>
      </c>
      <c r="C5738" s="36" t="s">
        <v>2572</v>
      </c>
      <c r="D5738" s="36" t="s">
        <v>2580</v>
      </c>
      <c r="E5738" s="36" t="s">
        <v>1492</v>
      </c>
      <c r="G5738" s="87">
        <v>20000000</v>
      </c>
      <c r="H5738" s="87">
        <v>2000000</v>
      </c>
      <c r="I5738" s="87">
        <v>22000000</v>
      </c>
      <c r="K5738" s="85">
        <v>2025</v>
      </c>
      <c r="L5738" s="85">
        <v>1</v>
      </c>
      <c r="N5738" s="1" t="s">
        <v>44</v>
      </c>
    </row>
    <row r="5739" spans="1:14">
      <c r="A5739" s="36" t="s">
        <v>32</v>
      </c>
      <c r="B5739" s="37">
        <v>45659</v>
      </c>
      <c r="C5739" s="36" t="s">
        <v>2393</v>
      </c>
      <c r="D5739" s="36" t="s">
        <v>2561</v>
      </c>
      <c r="E5739" s="36" t="s">
        <v>267</v>
      </c>
      <c r="G5739" s="87">
        <v>2553360</v>
      </c>
      <c r="H5739" s="87">
        <v>255336</v>
      </c>
      <c r="I5739" s="87">
        <v>2808696</v>
      </c>
      <c r="K5739" s="85">
        <v>2025</v>
      </c>
      <c r="L5739" s="85">
        <v>1</v>
      </c>
      <c r="N5739" s="1" t="s">
        <v>44</v>
      </c>
    </row>
    <row r="5740" spans="1:14">
      <c r="A5740" s="36" t="s">
        <v>32</v>
      </c>
      <c r="B5740" s="37">
        <v>45659</v>
      </c>
      <c r="C5740" s="36" t="s">
        <v>2223</v>
      </c>
      <c r="D5740" s="36" t="s">
        <v>2581</v>
      </c>
      <c r="E5740" s="36" t="s">
        <v>1767</v>
      </c>
      <c r="G5740" s="87">
        <v>4500000</v>
      </c>
      <c r="H5740" s="87">
        <v>450000</v>
      </c>
      <c r="I5740" s="87">
        <v>4950000</v>
      </c>
      <c r="K5740" s="85">
        <v>2025</v>
      </c>
      <c r="L5740" s="85">
        <v>1</v>
      </c>
      <c r="N5740" s="1" t="s">
        <v>44</v>
      </c>
    </row>
    <row r="5741" spans="1:14">
      <c r="A5741" s="36" t="s">
        <v>32</v>
      </c>
      <c r="B5741" s="37">
        <v>45660</v>
      </c>
      <c r="C5741" s="36" t="s">
        <v>2476</v>
      </c>
      <c r="D5741" s="36" t="s">
        <v>2573</v>
      </c>
      <c r="E5741" s="36" t="s">
        <v>2583</v>
      </c>
      <c r="J5741" s="38">
        <v>11028600</v>
      </c>
      <c r="K5741" s="85">
        <v>2025</v>
      </c>
      <c r="L5741" s="85">
        <v>1</v>
      </c>
      <c r="N5741" s="1" t="s">
        <v>44</v>
      </c>
    </row>
    <row r="5742" spans="1:14">
      <c r="A5742" s="36" t="s">
        <v>32</v>
      </c>
      <c r="B5742" s="37">
        <v>45660</v>
      </c>
      <c r="C5742" s="36" t="s">
        <v>654</v>
      </c>
      <c r="D5742" s="36" t="s">
        <v>2574</v>
      </c>
      <c r="E5742" s="36" t="s">
        <v>2582</v>
      </c>
      <c r="J5742" s="38">
        <v>27963760</v>
      </c>
      <c r="K5742" s="85">
        <v>2025</v>
      </c>
      <c r="L5742" s="85">
        <v>1</v>
      </c>
      <c r="N5742" s="1" t="s">
        <v>44</v>
      </c>
    </row>
    <row r="5743" spans="1:14">
      <c r="A5743" s="36" t="s">
        <v>32</v>
      </c>
      <c r="B5743" s="37">
        <v>45660</v>
      </c>
      <c r="C5743" s="36" t="s">
        <v>654</v>
      </c>
      <c r="D5743" s="36" t="s">
        <v>2576</v>
      </c>
      <c r="E5743" s="36" t="s">
        <v>2584</v>
      </c>
      <c r="J5743" s="38">
        <v>22183282</v>
      </c>
      <c r="K5743" s="85">
        <v>2025</v>
      </c>
      <c r="L5743" s="85">
        <v>1</v>
      </c>
      <c r="N5743" s="1" t="s">
        <v>44</v>
      </c>
    </row>
    <row r="5744" spans="1:14">
      <c r="A5744" s="36" t="s">
        <v>33</v>
      </c>
      <c r="B5744" s="37">
        <v>45667</v>
      </c>
      <c r="C5744" s="36" t="s">
        <v>2587</v>
      </c>
      <c r="D5744" s="36" t="s">
        <v>2588</v>
      </c>
      <c r="E5744" s="36" t="s">
        <v>2115</v>
      </c>
      <c r="G5744" s="87">
        <v>356500</v>
      </c>
      <c r="H5744" s="87">
        <v>35650</v>
      </c>
      <c r="I5744" s="87">
        <v>392150</v>
      </c>
      <c r="K5744" s="85">
        <v>2025</v>
      </c>
      <c r="L5744" s="85">
        <v>1</v>
      </c>
      <c r="N5744" s="1" t="s">
        <v>44</v>
      </c>
    </row>
    <row r="5745" spans="1:14">
      <c r="A5745" s="36" t="s">
        <v>33</v>
      </c>
      <c r="B5745" s="37">
        <v>45672</v>
      </c>
      <c r="C5745" s="36" t="s">
        <v>838</v>
      </c>
      <c r="D5745" s="36" t="s">
        <v>2589</v>
      </c>
      <c r="E5745" s="36" t="s">
        <v>2590</v>
      </c>
      <c r="G5745" s="87">
        <v>2000000</v>
      </c>
      <c r="H5745" s="87">
        <v>200000</v>
      </c>
      <c r="I5745" s="87">
        <v>2200000</v>
      </c>
      <c r="K5745" s="85">
        <v>2025</v>
      </c>
      <c r="L5745" s="85">
        <v>1</v>
      </c>
      <c r="N5745" s="1" t="s">
        <v>44</v>
      </c>
    </row>
    <row r="5746" spans="1:14">
      <c r="A5746" s="36" t="s">
        <v>33</v>
      </c>
      <c r="B5746" s="37">
        <v>45677</v>
      </c>
      <c r="C5746" s="36" t="s">
        <v>1779</v>
      </c>
      <c r="D5746" s="36" t="s">
        <v>2541</v>
      </c>
      <c r="E5746" s="36" t="s">
        <v>1781</v>
      </c>
      <c r="G5746" s="87">
        <v>928000</v>
      </c>
      <c r="H5746" s="87">
        <v>92800</v>
      </c>
      <c r="I5746" s="87">
        <v>1020800</v>
      </c>
      <c r="K5746" s="85">
        <v>2025</v>
      </c>
      <c r="L5746" s="85">
        <v>1</v>
      </c>
      <c r="N5746" s="1" t="s">
        <v>44</v>
      </c>
    </row>
    <row r="5747" spans="1:14">
      <c r="A5747" s="36" t="s">
        <v>33</v>
      </c>
      <c r="B5747" s="37">
        <v>45677</v>
      </c>
      <c r="C5747" s="36" t="s">
        <v>1779</v>
      </c>
      <c r="D5747" s="36" t="s">
        <v>2541</v>
      </c>
      <c r="E5747" s="36" t="s">
        <v>77</v>
      </c>
      <c r="J5747" s="38">
        <v>1020800</v>
      </c>
      <c r="K5747" s="85">
        <v>2025</v>
      </c>
      <c r="L5747" s="85">
        <v>1</v>
      </c>
      <c r="N5747" s="1" t="s">
        <v>44</v>
      </c>
    </row>
    <row r="5748" spans="1:14">
      <c r="A5748" s="36" t="s">
        <v>32</v>
      </c>
      <c r="B5748" s="37">
        <v>45677</v>
      </c>
      <c r="C5748" s="36" t="s">
        <v>264</v>
      </c>
      <c r="D5748" s="36" t="s">
        <v>2555</v>
      </c>
      <c r="E5748" s="36" t="s">
        <v>2591</v>
      </c>
      <c r="J5748" s="87">
        <v>31900000</v>
      </c>
      <c r="K5748" s="85">
        <v>2024</v>
      </c>
      <c r="L5748" s="85">
        <v>12</v>
      </c>
      <c r="N5748" s="1" t="s">
        <v>44</v>
      </c>
    </row>
    <row r="5749" spans="1:14">
      <c r="A5749" s="36" t="s">
        <v>33</v>
      </c>
      <c r="B5749" s="37">
        <v>45678</v>
      </c>
      <c r="C5749" s="36" t="s">
        <v>2016</v>
      </c>
      <c r="D5749" s="36" t="s">
        <v>1492</v>
      </c>
      <c r="E5749" s="36" t="s">
        <v>2592</v>
      </c>
      <c r="J5749" s="87">
        <v>84000565</v>
      </c>
      <c r="K5749" s="85">
        <v>2024</v>
      </c>
      <c r="L5749" s="85">
        <v>12</v>
      </c>
      <c r="N5749" s="1" t="s">
        <v>44</v>
      </c>
    </row>
    <row r="5750" spans="1:14">
      <c r="A5750" s="36" t="s">
        <v>32</v>
      </c>
      <c r="B5750" s="37">
        <v>45659</v>
      </c>
      <c r="C5750" s="36" t="s">
        <v>654</v>
      </c>
      <c r="D5750" s="36" t="s">
        <v>2215</v>
      </c>
      <c r="E5750" s="36" t="s">
        <v>76</v>
      </c>
      <c r="G5750" s="87">
        <v>23793200</v>
      </c>
      <c r="H5750" s="87">
        <v>2379320</v>
      </c>
      <c r="I5750" s="87">
        <v>26172520</v>
      </c>
      <c r="K5750" s="85">
        <v>2025</v>
      </c>
      <c r="L5750" s="85">
        <v>1</v>
      </c>
      <c r="N5750" s="1" t="s">
        <v>44</v>
      </c>
    </row>
    <row r="5751" spans="1:14">
      <c r="A5751" s="36" t="s">
        <v>32</v>
      </c>
      <c r="B5751" s="37">
        <v>45677</v>
      </c>
      <c r="C5751" s="36" t="s">
        <v>654</v>
      </c>
      <c r="D5751" s="36" t="s">
        <v>2215</v>
      </c>
      <c r="E5751" s="36" t="s">
        <v>77</v>
      </c>
      <c r="J5751" s="38">
        <v>26172520</v>
      </c>
      <c r="K5751" s="85">
        <v>2025</v>
      </c>
      <c r="L5751" s="85">
        <v>1</v>
      </c>
      <c r="N5751" s="1" t="s">
        <v>44</v>
      </c>
    </row>
    <row r="5752" spans="1:14">
      <c r="A5752" s="36" t="s">
        <v>32</v>
      </c>
      <c r="B5752" s="37">
        <v>45681</v>
      </c>
      <c r="C5752" s="36" t="s">
        <v>1933</v>
      </c>
      <c r="D5752" s="36" t="s">
        <v>2162</v>
      </c>
      <c r="E5752" s="36" t="s">
        <v>2593</v>
      </c>
      <c r="J5752" s="38">
        <v>42609600</v>
      </c>
      <c r="K5752" s="85">
        <v>2024</v>
      </c>
      <c r="L5752" s="85">
        <v>6</v>
      </c>
      <c r="M5752" s="36" t="s">
        <v>2595</v>
      </c>
      <c r="N5752" s="1" t="s">
        <v>44</v>
      </c>
    </row>
    <row r="5753" spans="1:14">
      <c r="A5753" s="36" t="s">
        <v>32</v>
      </c>
      <c r="B5753" s="37">
        <v>45681</v>
      </c>
      <c r="C5753" s="36" t="s">
        <v>1933</v>
      </c>
      <c r="D5753" s="36" t="s">
        <v>2097</v>
      </c>
      <c r="E5753" s="36" t="s">
        <v>2594</v>
      </c>
      <c r="J5753" s="87">
        <v>39556000</v>
      </c>
      <c r="K5753" s="85">
        <v>2024</v>
      </c>
      <c r="L5753" s="85">
        <v>7</v>
      </c>
      <c r="M5753" s="36" t="s">
        <v>2595</v>
      </c>
      <c r="N5753" s="1" t="s">
        <v>44</v>
      </c>
    </row>
    <row r="5754" spans="1:14">
      <c r="A5754" s="36" t="s">
        <v>32</v>
      </c>
      <c r="B5754" s="37">
        <v>45681</v>
      </c>
      <c r="C5754" s="36" t="s">
        <v>1933</v>
      </c>
      <c r="D5754" s="36" t="s">
        <v>2098</v>
      </c>
      <c r="E5754" s="36" t="s">
        <v>2596</v>
      </c>
      <c r="J5754" s="38">
        <v>10000000</v>
      </c>
      <c r="K5754" s="85">
        <v>2024</v>
      </c>
      <c r="L5754" s="85">
        <v>5</v>
      </c>
      <c r="N5754" s="1" t="s">
        <v>44</v>
      </c>
    </row>
    <row r="5755" spans="1:14">
      <c r="A5755" s="36" t="s">
        <v>32</v>
      </c>
      <c r="B5755" s="37">
        <v>45681</v>
      </c>
      <c r="C5755" s="36" t="s">
        <v>188</v>
      </c>
      <c r="D5755" s="36" t="s">
        <v>2552</v>
      </c>
      <c r="E5755" s="36" t="s">
        <v>2597</v>
      </c>
      <c r="J5755" s="87">
        <v>3300000</v>
      </c>
      <c r="K5755" s="85">
        <v>2024</v>
      </c>
      <c r="L5755" s="85">
        <v>12</v>
      </c>
      <c r="N5755" s="1" t="s">
        <v>44</v>
      </c>
    </row>
    <row r="5756" spans="1:14">
      <c r="A5756" s="36" t="s">
        <v>32</v>
      </c>
      <c r="B5756" s="37">
        <v>45681</v>
      </c>
      <c r="C5756" s="36" t="s">
        <v>2474</v>
      </c>
      <c r="D5756" s="36" t="s">
        <v>2691</v>
      </c>
      <c r="E5756" s="36" t="s">
        <v>2598</v>
      </c>
      <c r="J5756" s="87">
        <v>891000</v>
      </c>
      <c r="K5756" s="85">
        <v>2024</v>
      </c>
      <c r="L5756" s="85">
        <v>11</v>
      </c>
      <c r="N5756" s="1" t="s">
        <v>44</v>
      </c>
    </row>
    <row r="5757" spans="1:14">
      <c r="A5757" s="36" t="s">
        <v>32</v>
      </c>
      <c r="B5757" s="37">
        <v>45681</v>
      </c>
      <c r="C5757" s="36" t="s">
        <v>2391</v>
      </c>
      <c r="D5757" s="36" t="s">
        <v>2401</v>
      </c>
      <c r="E5757" s="36" t="s">
        <v>2598</v>
      </c>
      <c r="J5757" s="87">
        <v>5390000</v>
      </c>
      <c r="K5757" s="85">
        <v>2024</v>
      </c>
      <c r="L5757" s="85">
        <v>10</v>
      </c>
      <c r="N5757" s="1" t="s">
        <v>44</v>
      </c>
    </row>
    <row r="5758" spans="1:14">
      <c r="A5758" s="36" t="s">
        <v>32</v>
      </c>
      <c r="B5758" s="37">
        <v>45681</v>
      </c>
      <c r="C5758" s="36" t="s">
        <v>1470</v>
      </c>
      <c r="D5758" s="36" t="s">
        <v>1487</v>
      </c>
      <c r="E5758" s="36" t="s">
        <v>2598</v>
      </c>
      <c r="J5758" s="87">
        <v>83084650</v>
      </c>
      <c r="K5758" s="85">
        <v>2024</v>
      </c>
      <c r="L5758" s="85">
        <v>12</v>
      </c>
      <c r="N5758" s="1" t="s">
        <v>44</v>
      </c>
    </row>
    <row r="5759" spans="1:14">
      <c r="A5759" s="36" t="s">
        <v>32</v>
      </c>
      <c r="B5759" s="37">
        <v>45681</v>
      </c>
      <c r="C5759" s="36" t="s">
        <v>664</v>
      </c>
      <c r="D5759" s="36" t="s">
        <v>2181</v>
      </c>
      <c r="E5759" s="36" t="s">
        <v>2598</v>
      </c>
      <c r="J5759" s="38">
        <v>16628370</v>
      </c>
      <c r="K5759" s="85">
        <v>2024</v>
      </c>
      <c r="L5759" s="85">
        <v>7</v>
      </c>
      <c r="N5759" s="1" t="s">
        <v>44</v>
      </c>
    </row>
    <row r="5760" spans="1:14">
      <c r="A5760" s="36" t="s">
        <v>32</v>
      </c>
      <c r="B5760" s="37">
        <v>45681</v>
      </c>
      <c r="C5760" s="36" t="s">
        <v>307</v>
      </c>
      <c r="D5760" s="36" t="s">
        <v>2219</v>
      </c>
      <c r="E5760" s="36" t="s">
        <v>2599</v>
      </c>
      <c r="J5760" s="87">
        <v>2002000</v>
      </c>
      <c r="K5760" s="85">
        <v>2024</v>
      </c>
      <c r="L5760" s="85">
        <v>7</v>
      </c>
      <c r="N5760" s="1" t="s">
        <v>44</v>
      </c>
    </row>
    <row r="5761" spans="1:14">
      <c r="A5761" s="36" t="s">
        <v>32</v>
      </c>
      <c r="B5761" s="37">
        <v>45681</v>
      </c>
      <c r="C5761" s="36" t="s">
        <v>2477</v>
      </c>
      <c r="D5761" s="36" t="s">
        <v>2485</v>
      </c>
      <c r="E5761" s="36" t="s">
        <v>2598</v>
      </c>
      <c r="J5761" s="87">
        <v>4948680</v>
      </c>
      <c r="K5761" s="85">
        <v>2024</v>
      </c>
      <c r="L5761" s="85">
        <v>12</v>
      </c>
      <c r="N5761" s="1" t="s">
        <v>44</v>
      </c>
    </row>
    <row r="5762" spans="1:14">
      <c r="A5762" s="36" t="s">
        <v>33</v>
      </c>
      <c r="B5762" s="37">
        <v>45681</v>
      </c>
      <c r="C5762" s="36" t="s">
        <v>2116</v>
      </c>
      <c r="D5762" s="36" t="s">
        <v>2117</v>
      </c>
      <c r="E5762" s="36" t="s">
        <v>2600</v>
      </c>
      <c r="J5762" s="87">
        <v>2333100</v>
      </c>
      <c r="K5762" s="85">
        <v>2024</v>
      </c>
      <c r="L5762" s="85">
        <v>12</v>
      </c>
      <c r="N5762" s="1" t="s">
        <v>44</v>
      </c>
    </row>
    <row r="5763" spans="1:14">
      <c r="A5763" s="36" t="s">
        <v>33</v>
      </c>
      <c r="B5763" s="37">
        <v>45681</v>
      </c>
      <c r="C5763" s="36" t="s">
        <v>96</v>
      </c>
      <c r="D5763" s="36" t="s">
        <v>97</v>
      </c>
      <c r="E5763" s="36" t="s">
        <v>2600</v>
      </c>
      <c r="J5763" s="87">
        <v>968000</v>
      </c>
      <c r="K5763" s="85">
        <v>2024</v>
      </c>
      <c r="L5763" s="85">
        <v>12</v>
      </c>
      <c r="N5763" s="1" t="s">
        <v>44</v>
      </c>
    </row>
    <row r="5764" spans="1:14">
      <c r="A5764" s="36" t="s">
        <v>33</v>
      </c>
      <c r="B5764" s="37">
        <v>45681</v>
      </c>
      <c r="C5764" s="36" t="s">
        <v>81</v>
      </c>
      <c r="D5764" s="36" t="s">
        <v>2466</v>
      </c>
      <c r="E5764" s="36" t="s">
        <v>2530</v>
      </c>
      <c r="J5764" s="87">
        <v>1710601.2</v>
      </c>
      <c r="K5764" s="85">
        <v>2024</v>
      </c>
      <c r="L5764" s="85">
        <v>12</v>
      </c>
      <c r="N5764" s="1" t="s">
        <v>44</v>
      </c>
    </row>
    <row r="5765" spans="1:14">
      <c r="A5765" s="36" t="s">
        <v>33</v>
      </c>
      <c r="B5765" s="37">
        <v>45681</v>
      </c>
      <c r="C5765" s="36" t="s">
        <v>81</v>
      </c>
      <c r="D5765" s="36" t="s">
        <v>2464</v>
      </c>
      <c r="E5765" s="36" t="s">
        <v>2529</v>
      </c>
      <c r="J5765" s="87">
        <v>2639340</v>
      </c>
      <c r="K5765" s="85">
        <v>2024</v>
      </c>
      <c r="L5765" s="85">
        <v>12</v>
      </c>
      <c r="N5765" s="1" t="s">
        <v>44</v>
      </c>
    </row>
    <row r="5766" spans="1:14">
      <c r="A5766" s="36" t="s">
        <v>33</v>
      </c>
      <c r="B5766" s="37">
        <v>45681</v>
      </c>
      <c r="C5766" s="36" t="s">
        <v>81</v>
      </c>
      <c r="D5766" s="36" t="s">
        <v>2271</v>
      </c>
      <c r="E5766" s="36" t="s">
        <v>2602</v>
      </c>
      <c r="J5766" s="87">
        <v>7477360</v>
      </c>
      <c r="K5766" s="85">
        <v>2024</v>
      </c>
      <c r="L5766" s="85">
        <v>12</v>
      </c>
      <c r="N5766" s="1" t="s">
        <v>44</v>
      </c>
    </row>
    <row r="5767" spans="1:14">
      <c r="A5767" s="36" t="s">
        <v>33</v>
      </c>
      <c r="B5767" s="37">
        <v>45681</v>
      </c>
      <c r="C5767" s="36" t="s">
        <v>2188</v>
      </c>
      <c r="D5767" s="36" t="s">
        <v>2324</v>
      </c>
      <c r="E5767" s="36" t="s">
        <v>2600</v>
      </c>
      <c r="J5767" s="87">
        <v>32736</v>
      </c>
      <c r="K5767" s="85">
        <v>2024</v>
      </c>
      <c r="L5767" s="85">
        <v>12</v>
      </c>
      <c r="N5767" s="1" t="s">
        <v>44</v>
      </c>
    </row>
    <row r="5768" spans="1:14">
      <c r="A5768" s="36" t="s">
        <v>33</v>
      </c>
      <c r="B5768" s="37">
        <v>45681</v>
      </c>
      <c r="C5768" s="36" t="s">
        <v>2536</v>
      </c>
      <c r="D5768" s="36" t="s">
        <v>2537</v>
      </c>
      <c r="E5768" s="36" t="s">
        <v>2600</v>
      </c>
      <c r="J5768" s="87">
        <v>277200</v>
      </c>
      <c r="K5768" s="85">
        <v>2024</v>
      </c>
      <c r="L5768" s="85">
        <v>12</v>
      </c>
      <c r="N5768" s="1" t="s">
        <v>44</v>
      </c>
    </row>
    <row r="5769" spans="1:14">
      <c r="A5769" s="36" t="s">
        <v>33</v>
      </c>
      <c r="B5769" s="37">
        <v>45681</v>
      </c>
      <c r="C5769" s="36" t="s">
        <v>2803</v>
      </c>
      <c r="D5769" s="36" t="s">
        <v>2271</v>
      </c>
      <c r="E5769" s="36" t="s">
        <v>2603</v>
      </c>
      <c r="J5769" s="87">
        <v>315700</v>
      </c>
      <c r="K5769" s="85">
        <v>2024</v>
      </c>
      <c r="L5769" s="85">
        <v>12</v>
      </c>
      <c r="N5769" s="1" t="s">
        <v>44</v>
      </c>
    </row>
    <row r="5770" spans="1:14">
      <c r="A5770" s="36" t="s">
        <v>33</v>
      </c>
      <c r="B5770" s="37">
        <v>45681</v>
      </c>
      <c r="C5770" s="36" t="s">
        <v>1569</v>
      </c>
      <c r="D5770" s="36" t="s">
        <v>1412</v>
      </c>
      <c r="E5770" s="36" t="s">
        <v>2604</v>
      </c>
      <c r="J5770" s="87">
        <v>4400000</v>
      </c>
      <c r="K5770" s="85">
        <v>2024</v>
      </c>
      <c r="L5770" s="85">
        <v>12</v>
      </c>
      <c r="N5770" s="1" t="s">
        <v>44</v>
      </c>
    </row>
    <row r="5771" spans="1:14">
      <c r="A5771" s="36" t="s">
        <v>33</v>
      </c>
      <c r="B5771" s="37">
        <v>45681</v>
      </c>
      <c r="C5771" s="36" t="s">
        <v>1569</v>
      </c>
      <c r="D5771" s="36" t="s">
        <v>1431</v>
      </c>
      <c r="E5771" s="36" t="s">
        <v>2605</v>
      </c>
      <c r="J5771" s="87">
        <v>5295840</v>
      </c>
      <c r="K5771" s="85">
        <v>2024</v>
      </c>
      <c r="L5771" s="85">
        <v>12</v>
      </c>
      <c r="N5771" s="1" t="s">
        <v>44</v>
      </c>
    </row>
    <row r="5772" spans="1:14">
      <c r="A5772" s="36" t="s">
        <v>33</v>
      </c>
      <c r="B5772" s="37">
        <v>45681</v>
      </c>
      <c r="C5772" s="36" t="s">
        <v>1569</v>
      </c>
      <c r="D5772" s="36" t="s">
        <v>1227</v>
      </c>
      <c r="E5772" s="36" t="s">
        <v>2606</v>
      </c>
      <c r="J5772" s="87">
        <v>1773640</v>
      </c>
      <c r="K5772" s="85">
        <v>2024</v>
      </c>
      <c r="L5772" s="85">
        <v>12</v>
      </c>
      <c r="N5772" s="1" t="s">
        <v>44</v>
      </c>
    </row>
    <row r="5773" spans="1:14">
      <c r="A5773" s="36" t="s">
        <v>33</v>
      </c>
      <c r="B5773" s="37">
        <v>45681</v>
      </c>
      <c r="C5773" s="36" t="s">
        <v>2368</v>
      </c>
      <c r="D5773" s="36" t="s">
        <v>2369</v>
      </c>
      <c r="E5773" s="36" t="s">
        <v>2600</v>
      </c>
      <c r="J5773" s="87">
        <v>3988600</v>
      </c>
      <c r="K5773" s="85">
        <v>2024</v>
      </c>
      <c r="L5773" s="85">
        <v>12</v>
      </c>
      <c r="N5773" s="1" t="s">
        <v>44</v>
      </c>
    </row>
    <row r="5774" spans="1:14">
      <c r="A5774" s="36" t="s">
        <v>33</v>
      </c>
      <c r="B5774" s="37">
        <v>45681</v>
      </c>
      <c r="C5774" s="36" t="s">
        <v>2122</v>
      </c>
      <c r="D5774" s="36" t="s">
        <v>1921</v>
      </c>
      <c r="E5774" s="36" t="s">
        <v>2603</v>
      </c>
      <c r="J5774" s="87">
        <v>500500</v>
      </c>
      <c r="K5774" s="85">
        <v>2024</v>
      </c>
      <c r="L5774" s="85">
        <v>12</v>
      </c>
      <c r="N5774" s="1" t="s">
        <v>44</v>
      </c>
    </row>
    <row r="5775" spans="1:14">
      <c r="A5775" s="36" t="s">
        <v>33</v>
      </c>
      <c r="B5775" s="37">
        <v>45681</v>
      </c>
      <c r="C5775" s="36" t="s">
        <v>2322</v>
      </c>
      <c r="D5775" s="36" t="s">
        <v>197</v>
      </c>
      <c r="E5775" s="36" t="s">
        <v>2600</v>
      </c>
      <c r="J5775" s="87">
        <v>808500</v>
      </c>
      <c r="K5775" s="85">
        <v>2024</v>
      </c>
      <c r="L5775" s="85">
        <v>12</v>
      </c>
      <c r="N5775" s="1" t="s">
        <v>44</v>
      </c>
    </row>
    <row r="5776" spans="1:14">
      <c r="A5776" s="36" t="s">
        <v>33</v>
      </c>
      <c r="B5776" s="37">
        <v>45681</v>
      </c>
      <c r="C5776" s="36" t="s">
        <v>1914</v>
      </c>
      <c r="D5776" s="36" t="s">
        <v>1915</v>
      </c>
      <c r="E5776" s="36" t="s">
        <v>2600</v>
      </c>
      <c r="J5776" s="87">
        <v>385000</v>
      </c>
      <c r="K5776" s="85">
        <v>2024</v>
      </c>
      <c r="L5776" s="85">
        <v>12</v>
      </c>
      <c r="N5776" s="1" t="s">
        <v>44</v>
      </c>
    </row>
    <row r="5777" spans="1:14">
      <c r="A5777" s="36" t="s">
        <v>33</v>
      </c>
      <c r="B5777" s="37">
        <v>45681</v>
      </c>
      <c r="C5777" s="36" t="s">
        <v>1391</v>
      </c>
      <c r="D5777" s="36" t="s">
        <v>197</v>
      </c>
      <c r="E5777" s="36" t="s">
        <v>2607</v>
      </c>
      <c r="J5777" s="87">
        <v>11318999</v>
      </c>
      <c r="K5777" s="85">
        <v>2024</v>
      </c>
      <c r="L5777" s="85">
        <v>11</v>
      </c>
      <c r="N5777" s="1" t="s">
        <v>44</v>
      </c>
    </row>
    <row r="5778" spans="1:14">
      <c r="A5778" s="36" t="s">
        <v>33</v>
      </c>
      <c r="B5778" s="37">
        <v>45681</v>
      </c>
      <c r="C5778" s="36" t="s">
        <v>2006</v>
      </c>
      <c r="D5778" s="36" t="s">
        <v>2160</v>
      </c>
      <c r="E5778" s="36" t="s">
        <v>2600</v>
      </c>
      <c r="J5778" s="87">
        <v>2750000</v>
      </c>
      <c r="K5778" s="85">
        <v>2024</v>
      </c>
      <c r="L5778" s="85">
        <v>10</v>
      </c>
      <c r="N5778" s="1" t="s">
        <v>44</v>
      </c>
    </row>
    <row r="5779" spans="1:14">
      <c r="A5779" s="36" t="s">
        <v>33</v>
      </c>
      <c r="B5779" s="37">
        <v>45681</v>
      </c>
      <c r="C5779" s="36" t="s">
        <v>1569</v>
      </c>
      <c r="D5779" s="36" t="s">
        <v>2210</v>
      </c>
      <c r="E5779" s="36" t="s">
        <v>2608</v>
      </c>
      <c r="J5779" s="87">
        <v>6548520</v>
      </c>
      <c r="K5779" s="85">
        <v>2024</v>
      </c>
      <c r="L5779" s="85">
        <v>7</v>
      </c>
      <c r="N5779" s="1" t="s">
        <v>44</v>
      </c>
    </row>
    <row r="5780" spans="1:14">
      <c r="A5780" s="36" t="s">
        <v>33</v>
      </c>
      <c r="B5780" s="37">
        <v>45681</v>
      </c>
      <c r="C5780" s="36" t="s">
        <v>838</v>
      </c>
      <c r="D5780" s="36" t="s">
        <v>2589</v>
      </c>
      <c r="E5780" s="36" t="s">
        <v>2609</v>
      </c>
      <c r="J5780" s="87">
        <v>2200000</v>
      </c>
      <c r="K5780" s="85">
        <v>2025</v>
      </c>
      <c r="L5780" s="85">
        <v>1</v>
      </c>
      <c r="N5780" s="1" t="s">
        <v>44</v>
      </c>
    </row>
    <row r="5781" spans="1:14">
      <c r="A5781" s="36" t="s">
        <v>33</v>
      </c>
      <c r="B5781" s="37">
        <v>45681</v>
      </c>
      <c r="C5781" s="36" t="s">
        <v>2587</v>
      </c>
      <c r="D5781" s="36" t="s">
        <v>2588</v>
      </c>
      <c r="E5781" s="36" t="s">
        <v>2600</v>
      </c>
      <c r="J5781" s="87">
        <v>392150</v>
      </c>
      <c r="K5781" s="85">
        <v>2025</v>
      </c>
      <c r="L5781" s="85">
        <v>1</v>
      </c>
      <c r="N5781" s="1" t="s">
        <v>44</v>
      </c>
    </row>
    <row r="5782" spans="1:14">
      <c r="A5782" s="36" t="s">
        <v>33</v>
      </c>
      <c r="B5782" s="37">
        <v>45681</v>
      </c>
      <c r="C5782" s="36" t="s">
        <v>2540</v>
      </c>
      <c r="D5782" s="36" t="s">
        <v>2541</v>
      </c>
      <c r="E5782" s="36" t="s">
        <v>2600</v>
      </c>
      <c r="J5782" s="87">
        <v>369600</v>
      </c>
      <c r="K5782" s="85">
        <v>2025</v>
      </c>
      <c r="L5782" s="85">
        <v>1</v>
      </c>
      <c r="N5782" s="1" t="s">
        <v>44</v>
      </c>
    </row>
    <row r="5783" spans="1:14">
      <c r="A5783" s="36" t="s">
        <v>32</v>
      </c>
      <c r="B5783" s="37">
        <v>45682</v>
      </c>
      <c r="C5783" s="36" t="s">
        <v>334</v>
      </c>
      <c r="D5783" s="36" t="s">
        <v>2486</v>
      </c>
      <c r="E5783" s="36" t="s">
        <v>2507</v>
      </c>
      <c r="J5783" s="87">
        <v>8074000</v>
      </c>
      <c r="K5783" s="85">
        <v>2024</v>
      </c>
      <c r="L5783" s="85">
        <v>11</v>
      </c>
      <c r="N5783" s="1" t="s">
        <v>44</v>
      </c>
    </row>
    <row r="5784" spans="1:14">
      <c r="A5784" s="36" t="s">
        <v>32</v>
      </c>
      <c r="B5784" s="37">
        <v>45688</v>
      </c>
      <c r="C5784" s="36" t="s">
        <v>2542</v>
      </c>
      <c r="D5784" s="36" t="s">
        <v>2548</v>
      </c>
      <c r="E5784" s="36" t="s">
        <v>2610</v>
      </c>
      <c r="J5784" s="87">
        <v>594000</v>
      </c>
      <c r="K5784" s="85">
        <v>2024</v>
      </c>
      <c r="L5784" s="85">
        <v>12</v>
      </c>
      <c r="N5784" s="1" t="s">
        <v>44</v>
      </c>
    </row>
    <row r="5785" spans="1:14">
      <c r="A5785" s="36" t="s">
        <v>32</v>
      </c>
      <c r="B5785" s="37">
        <v>45657</v>
      </c>
      <c r="C5785" s="36" t="s">
        <v>209</v>
      </c>
      <c r="D5785" s="36" t="s">
        <v>1638</v>
      </c>
      <c r="E5785" s="36" t="s">
        <v>2611</v>
      </c>
      <c r="J5785" s="87">
        <v>20914080</v>
      </c>
      <c r="K5785" s="85">
        <v>2024</v>
      </c>
      <c r="L5785" s="85">
        <v>12</v>
      </c>
      <c r="M5785" s="36" t="s">
        <v>2614</v>
      </c>
      <c r="N5785" s="1" t="s">
        <v>44</v>
      </c>
    </row>
    <row r="5786" spans="1:14">
      <c r="A5786" s="36" t="s">
        <v>32</v>
      </c>
      <c r="B5786" s="37">
        <v>45657</v>
      </c>
      <c r="C5786" s="36" t="s">
        <v>209</v>
      </c>
      <c r="D5786" s="36" t="s">
        <v>2550</v>
      </c>
      <c r="E5786" s="36" t="s">
        <v>2612</v>
      </c>
      <c r="J5786" s="87">
        <v>14596560</v>
      </c>
      <c r="K5786" s="85">
        <v>2024</v>
      </c>
      <c r="L5786" s="85">
        <v>12</v>
      </c>
      <c r="M5786" s="36" t="s">
        <v>2614</v>
      </c>
      <c r="N5786" s="1" t="s">
        <v>44</v>
      </c>
    </row>
    <row r="5787" spans="1:14">
      <c r="A5787" s="36" t="s">
        <v>32</v>
      </c>
      <c r="B5787" s="37">
        <v>45657</v>
      </c>
      <c r="C5787" s="36" t="s">
        <v>209</v>
      </c>
      <c r="D5787" s="36" t="s">
        <v>2551</v>
      </c>
      <c r="E5787" s="36" t="s">
        <v>2613</v>
      </c>
      <c r="J5787" s="87">
        <v>33413672</v>
      </c>
      <c r="K5787" s="85">
        <v>2024</v>
      </c>
      <c r="L5787" s="85">
        <v>12</v>
      </c>
      <c r="M5787" s="36" t="s">
        <v>2614</v>
      </c>
      <c r="N5787" s="1" t="s">
        <v>44</v>
      </c>
    </row>
    <row r="5788" spans="1:14">
      <c r="A5788" s="36" t="s">
        <v>32</v>
      </c>
      <c r="B5788" s="37">
        <v>45680</v>
      </c>
      <c r="C5788" s="36" t="s">
        <v>654</v>
      </c>
      <c r="D5788" s="36" t="s">
        <v>2577</v>
      </c>
      <c r="E5788" s="36" t="s">
        <v>2615</v>
      </c>
      <c r="J5788" s="87">
        <v>9523800</v>
      </c>
      <c r="K5788" s="85">
        <v>2025</v>
      </c>
      <c r="L5788" s="85">
        <v>1</v>
      </c>
      <c r="N5788" s="1" t="s">
        <v>44</v>
      </c>
    </row>
    <row r="5789" spans="1:14">
      <c r="A5789" s="36" t="s">
        <v>32</v>
      </c>
      <c r="B5789" s="37">
        <v>45681</v>
      </c>
      <c r="C5789" s="36" t="s">
        <v>2572</v>
      </c>
      <c r="D5789" s="36" t="s">
        <v>2580</v>
      </c>
      <c r="E5789" s="36" t="s">
        <v>2610</v>
      </c>
      <c r="J5789" s="87">
        <v>22000000</v>
      </c>
      <c r="K5789" s="85">
        <v>2025</v>
      </c>
      <c r="L5789" s="85">
        <v>1</v>
      </c>
      <c r="N5789" s="1" t="s">
        <v>44</v>
      </c>
    </row>
    <row r="5790" spans="1:14">
      <c r="A5790" s="36" t="s">
        <v>32</v>
      </c>
      <c r="B5790" s="37">
        <v>45677</v>
      </c>
      <c r="C5790" s="36" t="s">
        <v>2223</v>
      </c>
      <c r="D5790" s="36" t="s">
        <v>2581</v>
      </c>
      <c r="E5790" s="36" t="s">
        <v>2610</v>
      </c>
      <c r="J5790" s="87">
        <v>4950000</v>
      </c>
      <c r="K5790" s="85">
        <v>2025</v>
      </c>
      <c r="L5790" s="85">
        <v>1</v>
      </c>
      <c r="N5790" s="1" t="s">
        <v>44</v>
      </c>
    </row>
    <row r="5791" spans="1:14">
      <c r="A5791" s="36" t="s">
        <v>32</v>
      </c>
      <c r="B5791" s="37">
        <v>45677</v>
      </c>
      <c r="C5791" s="36" t="s">
        <v>2279</v>
      </c>
      <c r="D5791" s="36" t="s">
        <v>2579</v>
      </c>
      <c r="E5791" s="36" t="s">
        <v>2610</v>
      </c>
      <c r="J5791" s="87">
        <v>46508000</v>
      </c>
      <c r="K5791" s="85">
        <v>2025</v>
      </c>
      <c r="L5791" s="85">
        <v>1</v>
      </c>
      <c r="N5791" s="1" t="s">
        <v>44</v>
      </c>
    </row>
    <row r="5792" spans="1:14">
      <c r="A5792" s="36" t="s">
        <v>33</v>
      </c>
      <c r="B5792" s="37">
        <v>45688</v>
      </c>
      <c r="C5792" s="36" t="s">
        <v>2540</v>
      </c>
      <c r="D5792" s="36" t="s">
        <v>2541</v>
      </c>
      <c r="E5792" s="36" t="s">
        <v>469</v>
      </c>
      <c r="G5792" s="87">
        <v>391500</v>
      </c>
      <c r="H5792" s="87">
        <v>39150</v>
      </c>
      <c r="I5792" s="87">
        <v>430650</v>
      </c>
      <c r="K5792" s="85">
        <v>2025</v>
      </c>
      <c r="L5792" s="85">
        <v>1</v>
      </c>
      <c r="N5792" s="1" t="s">
        <v>44</v>
      </c>
    </row>
    <row r="5793" spans="1:14">
      <c r="A5793" s="36" t="s">
        <v>33</v>
      </c>
      <c r="B5793" s="37">
        <v>45688</v>
      </c>
      <c r="C5793" s="36" t="s">
        <v>2322</v>
      </c>
      <c r="D5793" s="36" t="s">
        <v>197</v>
      </c>
      <c r="E5793" s="36" t="s">
        <v>2119</v>
      </c>
      <c r="G5793" s="87">
        <v>667500</v>
      </c>
      <c r="H5793" s="87">
        <v>66750</v>
      </c>
      <c r="I5793" s="87">
        <v>734250</v>
      </c>
      <c r="K5793" s="85">
        <v>2025</v>
      </c>
      <c r="L5793" s="85">
        <v>1</v>
      </c>
      <c r="N5793" s="1" t="s">
        <v>44</v>
      </c>
    </row>
    <row r="5794" spans="1:14">
      <c r="A5794" s="36" t="s">
        <v>32</v>
      </c>
      <c r="B5794" s="37">
        <v>45693</v>
      </c>
      <c r="C5794" s="36" t="s">
        <v>334</v>
      </c>
      <c r="D5794" s="36" t="s">
        <v>2486</v>
      </c>
      <c r="E5794" s="36" t="s">
        <v>2507</v>
      </c>
      <c r="J5794" s="87">
        <v>5546200</v>
      </c>
      <c r="K5794" s="85">
        <v>2024</v>
      </c>
      <c r="L5794" s="85">
        <v>12</v>
      </c>
      <c r="N5794" s="1" t="s">
        <v>44</v>
      </c>
    </row>
    <row r="5795" spans="1:14">
      <c r="A5795" s="36" t="s">
        <v>33</v>
      </c>
      <c r="B5795" s="37">
        <v>45682</v>
      </c>
      <c r="C5795" s="36" t="s">
        <v>1569</v>
      </c>
      <c r="D5795" s="36" t="s">
        <v>2616</v>
      </c>
      <c r="E5795" s="36" t="s">
        <v>2617</v>
      </c>
      <c r="G5795" s="87">
        <v>6236000</v>
      </c>
      <c r="H5795" s="87">
        <v>623600</v>
      </c>
      <c r="I5795" s="87">
        <v>6859600</v>
      </c>
      <c r="K5795" s="85">
        <v>2025</v>
      </c>
      <c r="L5795" s="85">
        <v>1</v>
      </c>
      <c r="N5795" s="1" t="s">
        <v>44</v>
      </c>
    </row>
    <row r="5796" spans="1:14">
      <c r="A5796" s="36" t="s">
        <v>33</v>
      </c>
      <c r="B5796" s="37">
        <v>45682</v>
      </c>
      <c r="C5796" s="36" t="s">
        <v>1569</v>
      </c>
      <c r="D5796" s="36" t="s">
        <v>2618</v>
      </c>
      <c r="E5796" s="36" t="s">
        <v>2617</v>
      </c>
      <c r="G5796" s="87">
        <v>2000000</v>
      </c>
      <c r="H5796" s="87">
        <v>200000</v>
      </c>
      <c r="I5796" s="87">
        <v>2200000</v>
      </c>
      <c r="K5796" s="85">
        <v>2025</v>
      </c>
      <c r="L5796" s="85">
        <v>1</v>
      </c>
      <c r="N5796" s="1" t="s">
        <v>44</v>
      </c>
    </row>
    <row r="5797" spans="1:14">
      <c r="A5797" s="36" t="s">
        <v>33</v>
      </c>
      <c r="B5797" s="37">
        <v>45682</v>
      </c>
      <c r="C5797" s="36" t="s">
        <v>1569</v>
      </c>
      <c r="D5797" s="36" t="s">
        <v>2619</v>
      </c>
      <c r="E5797" s="36" t="s">
        <v>2617</v>
      </c>
      <c r="G5797" s="87">
        <v>1642270</v>
      </c>
      <c r="H5797" s="87">
        <v>164227</v>
      </c>
      <c r="I5797" s="87">
        <v>1806497</v>
      </c>
      <c r="K5797" s="85">
        <v>2025</v>
      </c>
      <c r="L5797" s="85">
        <v>1</v>
      </c>
      <c r="N5797" s="1" t="s">
        <v>44</v>
      </c>
    </row>
    <row r="5798" spans="1:14">
      <c r="A5798" s="36" t="s">
        <v>33</v>
      </c>
      <c r="B5798" s="37">
        <v>45688</v>
      </c>
      <c r="C5798" s="36" t="s">
        <v>2368</v>
      </c>
      <c r="D5798" s="36" t="s">
        <v>2369</v>
      </c>
      <c r="E5798" s="36" t="s">
        <v>2370</v>
      </c>
      <c r="G5798" s="87">
        <v>1568000</v>
      </c>
      <c r="H5798" s="87">
        <v>156800</v>
      </c>
      <c r="I5798" s="87">
        <v>1724800</v>
      </c>
      <c r="K5798" s="85">
        <v>2025</v>
      </c>
      <c r="L5798" s="85">
        <v>1</v>
      </c>
      <c r="N5798" s="1" t="s">
        <v>44</v>
      </c>
    </row>
    <row r="5799" spans="1:14">
      <c r="A5799" s="36" t="s">
        <v>33</v>
      </c>
      <c r="B5799" s="37">
        <v>45688</v>
      </c>
      <c r="C5799" s="36" t="s">
        <v>2587</v>
      </c>
      <c r="D5799" s="36" t="s">
        <v>2588</v>
      </c>
      <c r="E5799" s="36" t="s">
        <v>2115</v>
      </c>
      <c r="G5799" s="87">
        <v>706500</v>
      </c>
      <c r="H5799" s="87">
        <v>70650</v>
      </c>
      <c r="I5799" s="87">
        <v>777150</v>
      </c>
      <c r="K5799" s="85">
        <v>2025</v>
      </c>
      <c r="L5799" s="85">
        <v>1</v>
      </c>
      <c r="N5799" s="1" t="s">
        <v>44</v>
      </c>
    </row>
    <row r="5800" spans="1:14">
      <c r="A5800" s="36" t="s">
        <v>33</v>
      </c>
      <c r="B5800" s="37">
        <v>45688</v>
      </c>
      <c r="C5800" s="36" t="s">
        <v>2536</v>
      </c>
      <c r="D5800" s="36" t="s">
        <v>2537</v>
      </c>
      <c r="E5800" s="36" t="s">
        <v>2537</v>
      </c>
      <c r="G5800" s="87">
        <v>154000</v>
      </c>
      <c r="H5800" s="87">
        <v>15400</v>
      </c>
      <c r="I5800" s="87">
        <v>169400</v>
      </c>
      <c r="K5800" s="85">
        <v>2025</v>
      </c>
      <c r="L5800" s="85">
        <v>1</v>
      </c>
      <c r="N5800" s="1" t="s">
        <v>44</v>
      </c>
    </row>
    <row r="5801" spans="1:14">
      <c r="A5801" s="36" t="s">
        <v>33</v>
      </c>
      <c r="B5801" s="37">
        <v>45688</v>
      </c>
      <c r="C5801" s="36" t="s">
        <v>2188</v>
      </c>
      <c r="D5801" s="36" t="s">
        <v>2324</v>
      </c>
      <c r="E5801" s="36" t="s">
        <v>2620</v>
      </c>
      <c r="G5801" s="87">
        <v>29760</v>
      </c>
      <c r="H5801" s="87">
        <v>2976</v>
      </c>
      <c r="I5801" s="87">
        <v>32736</v>
      </c>
      <c r="K5801" s="85">
        <v>2025</v>
      </c>
      <c r="L5801" s="85">
        <v>1</v>
      </c>
      <c r="N5801" s="1" t="s">
        <v>44</v>
      </c>
    </row>
    <row r="5802" spans="1:14">
      <c r="A5802" s="36" t="s">
        <v>33</v>
      </c>
      <c r="B5802" s="37">
        <v>45688</v>
      </c>
      <c r="C5802" s="36" t="s">
        <v>2116</v>
      </c>
      <c r="D5802" s="36" t="s">
        <v>2117</v>
      </c>
      <c r="E5802" s="36" t="s">
        <v>2118</v>
      </c>
      <c r="G5802" s="87">
        <v>1533000</v>
      </c>
      <c r="H5802" s="87">
        <v>153300</v>
      </c>
      <c r="I5802" s="87">
        <v>1686300</v>
      </c>
      <c r="K5802" s="85">
        <v>2025</v>
      </c>
      <c r="L5802" s="85">
        <v>1</v>
      </c>
      <c r="N5802" s="1" t="s">
        <v>44</v>
      </c>
    </row>
    <row r="5803" spans="1:14">
      <c r="A5803" s="36" t="s">
        <v>33</v>
      </c>
      <c r="B5803" s="37">
        <v>45688</v>
      </c>
      <c r="C5803" s="36" t="s">
        <v>96</v>
      </c>
      <c r="D5803" s="36" t="s">
        <v>97</v>
      </c>
      <c r="E5803" s="36" t="s">
        <v>97</v>
      </c>
      <c r="G5803" s="87">
        <v>1180000</v>
      </c>
      <c r="H5803" s="87">
        <v>118000</v>
      </c>
      <c r="I5803" s="87">
        <v>1298000</v>
      </c>
      <c r="K5803" s="85">
        <v>2025</v>
      </c>
      <c r="L5803" s="85">
        <v>1</v>
      </c>
      <c r="N5803" s="1" t="s">
        <v>44</v>
      </c>
    </row>
    <row r="5804" spans="1:14">
      <c r="A5804" s="36" t="s">
        <v>33</v>
      </c>
      <c r="B5804" s="37">
        <v>45667</v>
      </c>
      <c r="C5804" s="36" t="s">
        <v>2623</v>
      </c>
      <c r="D5804" s="36" t="s">
        <v>2621</v>
      </c>
      <c r="E5804" s="36" t="s">
        <v>1492</v>
      </c>
      <c r="G5804" s="87">
        <v>140820000</v>
      </c>
      <c r="H5804" s="87">
        <v>14082000</v>
      </c>
      <c r="I5804" s="87">
        <v>154902000</v>
      </c>
      <c r="K5804" s="85">
        <v>2025</v>
      </c>
      <c r="L5804" s="85">
        <v>1</v>
      </c>
      <c r="N5804" s="208" t="s">
        <v>44</v>
      </c>
    </row>
    <row r="5805" spans="1:14">
      <c r="A5805" s="36" t="s">
        <v>33</v>
      </c>
      <c r="B5805" s="37">
        <v>45677</v>
      </c>
      <c r="C5805" s="36" t="s">
        <v>2623</v>
      </c>
      <c r="D5805" s="36" t="s">
        <v>2467</v>
      </c>
      <c r="E5805" s="36" t="s">
        <v>1492</v>
      </c>
      <c r="G5805" s="87">
        <v>157252500</v>
      </c>
      <c r="H5805" s="87">
        <v>15725250</v>
      </c>
      <c r="I5805" s="87">
        <v>172977750</v>
      </c>
      <c r="K5805" s="85">
        <v>2025</v>
      </c>
      <c r="L5805" s="85">
        <v>1</v>
      </c>
      <c r="N5805" s="208" t="s">
        <v>44</v>
      </c>
    </row>
    <row r="5806" spans="1:14">
      <c r="A5806" s="36" t="s">
        <v>33</v>
      </c>
      <c r="B5806" s="37">
        <v>45688</v>
      </c>
      <c r="C5806" s="36" t="s">
        <v>2623</v>
      </c>
      <c r="D5806" s="36" t="s">
        <v>2622</v>
      </c>
      <c r="E5806" s="36" t="s">
        <v>1492</v>
      </c>
      <c r="G5806" s="87">
        <v>116900000</v>
      </c>
      <c r="H5806" s="87">
        <v>11690000</v>
      </c>
      <c r="I5806" s="87">
        <v>128590000</v>
      </c>
      <c r="K5806" s="85">
        <v>2025</v>
      </c>
      <c r="L5806" s="85">
        <v>1</v>
      </c>
      <c r="N5806" s="208" t="s">
        <v>44</v>
      </c>
    </row>
    <row r="5807" spans="1:14">
      <c r="A5807" s="36" t="s">
        <v>33</v>
      </c>
      <c r="B5807" s="37">
        <v>45698</v>
      </c>
      <c r="C5807" s="36" t="s">
        <v>2623</v>
      </c>
      <c r="D5807" s="36" t="s">
        <v>2621</v>
      </c>
      <c r="E5807" s="36" t="s">
        <v>77</v>
      </c>
      <c r="J5807" s="38">
        <v>80000000</v>
      </c>
      <c r="K5807" s="85">
        <v>2025</v>
      </c>
      <c r="L5807" s="85">
        <v>1</v>
      </c>
      <c r="N5807" s="208" t="s">
        <v>44</v>
      </c>
    </row>
    <row r="5808" spans="1:14">
      <c r="A5808" s="36" t="s">
        <v>33</v>
      </c>
      <c r="B5808" s="37">
        <v>45688</v>
      </c>
      <c r="C5808" s="36" t="s">
        <v>2417</v>
      </c>
      <c r="D5808" s="36" t="s">
        <v>2369</v>
      </c>
      <c r="E5808" s="36" t="s">
        <v>2624</v>
      </c>
      <c r="G5808" s="87">
        <v>1190000</v>
      </c>
      <c r="H5808" s="87">
        <v>119000</v>
      </c>
      <c r="I5808" s="87">
        <v>1309000</v>
      </c>
      <c r="K5808" s="85">
        <v>2025</v>
      </c>
      <c r="L5808" s="85">
        <v>1</v>
      </c>
      <c r="N5808" s="1" t="s">
        <v>44</v>
      </c>
    </row>
    <row r="5809" spans="1:14">
      <c r="A5809" s="36" t="s">
        <v>33</v>
      </c>
      <c r="B5809" s="37">
        <v>45688</v>
      </c>
      <c r="C5809" s="36" t="s">
        <v>1391</v>
      </c>
      <c r="D5809" s="36" t="s">
        <v>197</v>
      </c>
      <c r="E5809" s="36" t="s">
        <v>1528</v>
      </c>
      <c r="G5809" s="87">
        <v>10486000</v>
      </c>
      <c r="H5809" s="87">
        <v>1048600</v>
      </c>
      <c r="I5809" s="87">
        <v>11534600</v>
      </c>
      <c r="K5809" s="85">
        <v>2025</v>
      </c>
      <c r="L5809" s="85">
        <v>1</v>
      </c>
      <c r="N5809" s="1" t="s">
        <v>44</v>
      </c>
    </row>
    <row r="5810" spans="1:14">
      <c r="A5810" s="36" t="s">
        <v>33</v>
      </c>
      <c r="B5810" s="37">
        <v>45688</v>
      </c>
      <c r="C5810" s="36" t="s">
        <v>81</v>
      </c>
      <c r="D5810" s="36" t="s">
        <v>2466</v>
      </c>
      <c r="E5810" s="36" t="s">
        <v>1232</v>
      </c>
      <c r="G5810" s="87">
        <v>2832430</v>
      </c>
      <c r="H5810" s="87">
        <v>283243</v>
      </c>
      <c r="I5810" s="87">
        <v>3115673</v>
      </c>
      <c r="K5810" s="85">
        <v>2025</v>
      </c>
      <c r="L5810" s="85">
        <v>1</v>
      </c>
      <c r="N5810" s="1" t="s">
        <v>44</v>
      </c>
    </row>
    <row r="5811" spans="1:14">
      <c r="A5811" s="36" t="s">
        <v>33</v>
      </c>
      <c r="B5811" s="37">
        <v>45688</v>
      </c>
      <c r="C5811" s="36" t="s">
        <v>81</v>
      </c>
      <c r="D5811" s="36" t="s">
        <v>2464</v>
      </c>
      <c r="E5811" s="36" t="s">
        <v>1232</v>
      </c>
      <c r="G5811" s="87">
        <v>2187600</v>
      </c>
      <c r="H5811" s="87">
        <v>218760</v>
      </c>
      <c r="I5811" s="87">
        <v>2406360</v>
      </c>
      <c r="K5811" s="85">
        <v>2025</v>
      </c>
      <c r="L5811" s="85">
        <v>1</v>
      </c>
      <c r="N5811" s="1" t="s">
        <v>44</v>
      </c>
    </row>
    <row r="5812" spans="1:14">
      <c r="A5812" s="36" t="s">
        <v>33</v>
      </c>
      <c r="B5812" s="37">
        <v>45681</v>
      </c>
      <c r="C5812" s="36" t="s">
        <v>2223</v>
      </c>
      <c r="D5812" t="s">
        <v>2625</v>
      </c>
      <c r="E5812" s="36" t="s">
        <v>1767</v>
      </c>
      <c r="G5812" s="87">
        <v>2772100</v>
      </c>
      <c r="H5812" s="87">
        <v>277210</v>
      </c>
      <c r="I5812" s="87">
        <v>3049310</v>
      </c>
      <c r="K5812" s="85">
        <v>2025</v>
      </c>
      <c r="L5812" s="85">
        <v>1</v>
      </c>
      <c r="N5812" s="1" t="s">
        <v>44</v>
      </c>
    </row>
    <row r="5813" spans="1:14">
      <c r="A5813" s="36" t="s">
        <v>33</v>
      </c>
      <c r="B5813" s="37">
        <v>45681</v>
      </c>
      <c r="C5813" s="36" t="s">
        <v>2223</v>
      </c>
      <c r="D5813" t="s">
        <v>2625</v>
      </c>
      <c r="E5813" s="36" t="s">
        <v>77</v>
      </c>
      <c r="J5813" s="38">
        <v>3049310</v>
      </c>
      <c r="K5813" s="85">
        <v>2025</v>
      </c>
      <c r="L5813" s="85">
        <v>1</v>
      </c>
      <c r="N5813" s="1" t="s">
        <v>44</v>
      </c>
    </row>
    <row r="5814" spans="1:14">
      <c r="A5814" s="36" t="s">
        <v>32</v>
      </c>
      <c r="B5814" s="37">
        <v>45659</v>
      </c>
      <c r="C5814" s="36" t="s">
        <v>2395</v>
      </c>
      <c r="D5814" s="36" t="s">
        <v>2369</v>
      </c>
      <c r="E5814" s="36" t="s">
        <v>267</v>
      </c>
      <c r="G5814" s="87">
        <v>51257850</v>
      </c>
      <c r="H5814" s="87">
        <v>5125785</v>
      </c>
      <c r="I5814" s="87">
        <v>56383635</v>
      </c>
      <c r="K5814" s="85">
        <v>2025</v>
      </c>
      <c r="L5814" s="85">
        <v>1</v>
      </c>
      <c r="N5814" s="1" t="s">
        <v>44</v>
      </c>
    </row>
    <row r="5815" spans="1:14">
      <c r="A5815" s="36" t="s">
        <v>32</v>
      </c>
      <c r="B5815" s="37">
        <v>45688</v>
      </c>
      <c r="C5815" s="36" t="s">
        <v>654</v>
      </c>
      <c r="D5815" s="36" t="s">
        <v>2630</v>
      </c>
      <c r="E5815" s="36" t="s">
        <v>76</v>
      </c>
      <c r="G5815" s="87">
        <v>7345680</v>
      </c>
      <c r="H5815" s="87">
        <v>734568</v>
      </c>
      <c r="I5815" s="87">
        <v>8080248</v>
      </c>
      <c r="K5815" s="85">
        <v>2025</v>
      </c>
      <c r="L5815" s="85">
        <v>1</v>
      </c>
      <c r="N5815" s="1" t="s">
        <v>44</v>
      </c>
    </row>
    <row r="5816" spans="1:14">
      <c r="A5816" s="36" t="s">
        <v>32</v>
      </c>
      <c r="B5816" s="37">
        <v>45688</v>
      </c>
      <c r="C5816" s="36" t="s">
        <v>654</v>
      </c>
      <c r="D5816" s="36" t="s">
        <v>2631</v>
      </c>
      <c r="E5816" s="36" t="s">
        <v>2648</v>
      </c>
      <c r="G5816" s="87">
        <v>7114000</v>
      </c>
      <c r="H5816" s="87">
        <v>711400</v>
      </c>
      <c r="I5816" s="87">
        <v>7825400</v>
      </c>
      <c r="K5816" s="85">
        <v>2025</v>
      </c>
      <c r="L5816" s="85">
        <v>1</v>
      </c>
      <c r="N5816" s="1" t="s">
        <v>44</v>
      </c>
    </row>
    <row r="5817" spans="1:14">
      <c r="A5817" s="36" t="s">
        <v>32</v>
      </c>
      <c r="B5817" s="37">
        <v>45688</v>
      </c>
      <c r="C5817" s="36" t="s">
        <v>654</v>
      </c>
      <c r="D5817" s="36" t="s">
        <v>2632</v>
      </c>
      <c r="E5817" s="36" t="s">
        <v>76</v>
      </c>
      <c r="G5817" s="87">
        <v>10092780</v>
      </c>
      <c r="H5817" s="87">
        <v>1009278</v>
      </c>
      <c r="I5817" s="87">
        <v>11102058</v>
      </c>
      <c r="K5817" s="85">
        <v>2025</v>
      </c>
      <c r="L5817" s="85">
        <v>1</v>
      </c>
      <c r="N5817" s="1" t="s">
        <v>44</v>
      </c>
    </row>
    <row r="5818" spans="1:14">
      <c r="A5818" s="36" t="s">
        <v>32</v>
      </c>
      <c r="B5818" s="37">
        <v>45688</v>
      </c>
      <c r="C5818" s="36" t="s">
        <v>654</v>
      </c>
      <c r="D5818" s="36" t="s">
        <v>2633</v>
      </c>
      <c r="E5818" s="36" t="s">
        <v>76</v>
      </c>
      <c r="G5818" s="87">
        <v>13521320</v>
      </c>
      <c r="H5818" s="87">
        <v>1352132</v>
      </c>
      <c r="I5818" s="87">
        <v>14873452</v>
      </c>
      <c r="K5818" s="85">
        <v>2025</v>
      </c>
      <c r="L5818" s="85">
        <v>1</v>
      </c>
      <c r="N5818" s="1" t="s">
        <v>44</v>
      </c>
    </row>
    <row r="5819" spans="1:14">
      <c r="A5819" s="36" t="s">
        <v>32</v>
      </c>
      <c r="B5819" s="37">
        <v>45688</v>
      </c>
      <c r="C5819" s="36" t="s">
        <v>654</v>
      </c>
      <c r="D5819" s="36" t="s">
        <v>2634</v>
      </c>
      <c r="E5819" s="36" t="s">
        <v>76</v>
      </c>
      <c r="G5819" s="87">
        <v>9744000</v>
      </c>
      <c r="H5819" s="87">
        <v>974400</v>
      </c>
      <c r="I5819" s="87">
        <v>10718400</v>
      </c>
      <c r="K5819" s="85">
        <v>2025</v>
      </c>
      <c r="L5819" s="85">
        <v>1</v>
      </c>
      <c r="N5819" s="1" t="s">
        <v>44</v>
      </c>
    </row>
    <row r="5820" spans="1:14">
      <c r="A5820" s="36" t="s">
        <v>32</v>
      </c>
      <c r="B5820" s="37">
        <v>45688</v>
      </c>
      <c r="C5820" s="36" t="s">
        <v>654</v>
      </c>
      <c r="D5820" s="36" t="s">
        <v>2635</v>
      </c>
      <c r="E5820" s="36" t="s">
        <v>2648</v>
      </c>
      <c r="G5820" s="87">
        <v>7215000</v>
      </c>
      <c r="H5820" s="87">
        <v>721500</v>
      </c>
      <c r="I5820" s="87">
        <v>7936500</v>
      </c>
      <c r="K5820" s="85">
        <v>2025</v>
      </c>
      <c r="L5820" s="85">
        <v>1</v>
      </c>
      <c r="N5820" s="1" t="s">
        <v>44</v>
      </c>
    </row>
    <row r="5821" spans="1:14">
      <c r="A5821" s="36" t="s">
        <v>32</v>
      </c>
      <c r="B5821" s="37">
        <v>45688</v>
      </c>
      <c r="C5821" s="36" t="s">
        <v>2626</v>
      </c>
      <c r="D5821" s="36" t="s">
        <v>2636</v>
      </c>
      <c r="E5821" s="36" t="s">
        <v>76</v>
      </c>
      <c r="G5821" s="87">
        <v>2608960</v>
      </c>
      <c r="H5821" s="87">
        <v>260896</v>
      </c>
      <c r="I5821" s="87">
        <v>2869856</v>
      </c>
      <c r="K5821" s="85">
        <v>2025</v>
      </c>
      <c r="L5821" s="85">
        <v>1</v>
      </c>
      <c r="N5821" s="1" t="s">
        <v>44</v>
      </c>
    </row>
    <row r="5822" spans="1:14">
      <c r="A5822" s="36" t="s">
        <v>32</v>
      </c>
      <c r="B5822" s="37">
        <v>45688</v>
      </c>
      <c r="C5822" s="36" t="s">
        <v>2627</v>
      </c>
      <c r="D5822" s="36" t="s">
        <v>2589</v>
      </c>
      <c r="E5822" s="36" t="s">
        <v>267</v>
      </c>
      <c r="G5822" s="87">
        <v>26540000</v>
      </c>
      <c r="H5822" s="87">
        <v>2654000</v>
      </c>
      <c r="I5822" s="87">
        <v>29194000</v>
      </c>
      <c r="K5822" s="85">
        <v>2025</v>
      </c>
      <c r="L5822" s="85">
        <v>1</v>
      </c>
      <c r="N5822" s="1" t="s">
        <v>44</v>
      </c>
    </row>
    <row r="5823" spans="1:14">
      <c r="A5823" s="36" t="s">
        <v>32</v>
      </c>
      <c r="B5823" s="37">
        <v>45688</v>
      </c>
      <c r="C5823" s="36" t="s">
        <v>209</v>
      </c>
      <c r="D5823" s="36" t="s">
        <v>2637</v>
      </c>
      <c r="E5823" s="36" t="s">
        <v>76</v>
      </c>
      <c r="G5823" s="87">
        <v>50816400</v>
      </c>
      <c r="H5823" s="87">
        <v>5081640</v>
      </c>
      <c r="I5823" s="87">
        <v>55898040</v>
      </c>
      <c r="K5823" s="85">
        <v>2025</v>
      </c>
      <c r="L5823" s="85">
        <v>1</v>
      </c>
      <c r="N5823" s="1" t="s">
        <v>44</v>
      </c>
    </row>
    <row r="5824" spans="1:14">
      <c r="A5824" s="36" t="s">
        <v>32</v>
      </c>
      <c r="B5824" s="37">
        <v>45688</v>
      </c>
      <c r="C5824" s="36" t="s">
        <v>209</v>
      </c>
      <c r="D5824" s="36" t="s">
        <v>2550</v>
      </c>
      <c r="E5824" s="36" t="s">
        <v>1492</v>
      </c>
      <c r="G5824" s="87">
        <v>10077600</v>
      </c>
      <c r="H5824" s="87">
        <v>1007760</v>
      </c>
      <c r="I5824" s="87">
        <v>11085360</v>
      </c>
      <c r="K5824" s="85">
        <v>2025</v>
      </c>
      <c r="L5824" s="85">
        <v>1</v>
      </c>
      <c r="N5824" s="1" t="s">
        <v>44</v>
      </c>
    </row>
    <row r="5825" spans="1:14">
      <c r="A5825" s="36" t="s">
        <v>32</v>
      </c>
      <c r="B5825" s="37">
        <v>45688</v>
      </c>
      <c r="C5825" s="36" t="s">
        <v>206</v>
      </c>
      <c r="D5825" s="36" t="s">
        <v>2638</v>
      </c>
      <c r="E5825" s="36" t="s">
        <v>76</v>
      </c>
      <c r="G5825" s="87">
        <v>2943000</v>
      </c>
      <c r="H5825" s="87">
        <v>294300</v>
      </c>
      <c r="I5825" s="87">
        <v>3237300</v>
      </c>
      <c r="K5825" s="85">
        <v>2025</v>
      </c>
      <c r="L5825" s="85">
        <v>1</v>
      </c>
      <c r="N5825" s="1" t="s">
        <v>44</v>
      </c>
    </row>
    <row r="5826" spans="1:14">
      <c r="A5826" s="36" t="s">
        <v>32</v>
      </c>
      <c r="B5826" s="37">
        <v>45688</v>
      </c>
      <c r="C5826" s="36" t="s">
        <v>2628</v>
      </c>
      <c r="D5826" s="36" t="s">
        <v>2639</v>
      </c>
      <c r="E5826" s="36" t="s">
        <v>76</v>
      </c>
      <c r="G5826" s="87">
        <v>15487200</v>
      </c>
      <c r="H5826" s="87">
        <v>1548720</v>
      </c>
      <c r="I5826" s="87">
        <v>17035920</v>
      </c>
      <c r="K5826" s="85">
        <v>2025</v>
      </c>
      <c r="L5826" s="85">
        <v>1</v>
      </c>
      <c r="N5826" s="1" t="s">
        <v>44</v>
      </c>
    </row>
    <row r="5827" spans="1:14">
      <c r="A5827" s="36" t="s">
        <v>32</v>
      </c>
      <c r="B5827" s="37">
        <v>45688</v>
      </c>
      <c r="C5827" s="36" t="s">
        <v>2395</v>
      </c>
      <c r="D5827" s="36" t="s">
        <v>2640</v>
      </c>
      <c r="E5827" s="36" t="s">
        <v>267</v>
      </c>
      <c r="G5827" s="87">
        <v>11904030</v>
      </c>
      <c r="H5827" s="87">
        <v>1190403</v>
      </c>
      <c r="I5827" s="87">
        <v>13094433</v>
      </c>
      <c r="K5827" s="85">
        <v>2025</v>
      </c>
      <c r="L5827" s="85">
        <v>1</v>
      </c>
      <c r="N5827" s="1" t="s">
        <v>44</v>
      </c>
    </row>
    <row r="5828" spans="1:14">
      <c r="A5828" s="36" t="s">
        <v>32</v>
      </c>
      <c r="B5828" s="37">
        <v>45688</v>
      </c>
      <c r="C5828" s="36" t="s">
        <v>334</v>
      </c>
      <c r="D5828" s="36" t="s">
        <v>2723</v>
      </c>
      <c r="E5828" s="36" t="s">
        <v>267</v>
      </c>
      <c r="G5828" s="87">
        <v>2000000</v>
      </c>
      <c r="H5828" s="87">
        <v>200000</v>
      </c>
      <c r="I5828" s="87">
        <v>2200000</v>
      </c>
      <c r="K5828" s="85">
        <v>2025</v>
      </c>
      <c r="L5828" s="85">
        <v>1</v>
      </c>
      <c r="N5828" s="1" t="s">
        <v>44</v>
      </c>
    </row>
    <row r="5829" spans="1:14">
      <c r="A5829" s="36" t="s">
        <v>32</v>
      </c>
      <c r="B5829" s="37">
        <v>45688</v>
      </c>
      <c r="C5829" s="36" t="s">
        <v>334</v>
      </c>
      <c r="D5829" s="36" t="s">
        <v>2722</v>
      </c>
      <c r="E5829" s="36" t="s">
        <v>267</v>
      </c>
      <c r="G5829" s="87">
        <v>4300000</v>
      </c>
      <c r="H5829" s="87">
        <v>430000</v>
      </c>
      <c r="I5829" s="87">
        <v>4730000</v>
      </c>
      <c r="K5829" s="85">
        <v>2025</v>
      </c>
      <c r="L5829" s="85">
        <v>1</v>
      </c>
      <c r="N5829" s="1" t="s">
        <v>44</v>
      </c>
    </row>
    <row r="5830" spans="1:14">
      <c r="A5830" s="36" t="s">
        <v>32</v>
      </c>
      <c r="B5830" s="37">
        <v>45688</v>
      </c>
      <c r="C5830" s="36" t="s">
        <v>1470</v>
      </c>
      <c r="D5830" s="36" t="s">
        <v>1487</v>
      </c>
      <c r="E5830" s="36" t="s">
        <v>76</v>
      </c>
      <c r="G5830" s="87">
        <v>57517900</v>
      </c>
      <c r="H5830" s="87">
        <v>5751790</v>
      </c>
      <c r="I5830" s="87">
        <v>63269690</v>
      </c>
      <c r="K5830" s="85">
        <v>2025</v>
      </c>
      <c r="L5830" s="85">
        <v>1</v>
      </c>
      <c r="N5830" s="1" t="s">
        <v>44</v>
      </c>
    </row>
    <row r="5831" spans="1:14">
      <c r="A5831" s="36" t="s">
        <v>32</v>
      </c>
      <c r="B5831" s="37">
        <v>45688</v>
      </c>
      <c r="C5831" s="36" t="s">
        <v>307</v>
      </c>
      <c r="D5831" s="36" t="s">
        <v>2641</v>
      </c>
      <c r="E5831" s="36" t="s">
        <v>76</v>
      </c>
      <c r="G5831" s="87">
        <v>2520000</v>
      </c>
      <c r="H5831" s="87">
        <v>252000</v>
      </c>
      <c r="I5831" s="87">
        <v>2772000</v>
      </c>
      <c r="K5831" s="85">
        <v>2025</v>
      </c>
      <c r="L5831" s="85">
        <v>1</v>
      </c>
      <c r="N5831" s="1" t="s">
        <v>44</v>
      </c>
    </row>
    <row r="5832" spans="1:14">
      <c r="A5832" s="36" t="s">
        <v>32</v>
      </c>
      <c r="B5832" s="37">
        <v>45688</v>
      </c>
      <c r="C5832" s="36" t="s">
        <v>2392</v>
      </c>
      <c r="D5832" s="36" t="s">
        <v>2483</v>
      </c>
      <c r="E5832" s="36" t="s">
        <v>267</v>
      </c>
      <c r="G5832" s="87">
        <v>2791800</v>
      </c>
      <c r="H5832" s="87">
        <v>279180</v>
      </c>
      <c r="I5832" s="87">
        <v>3070980</v>
      </c>
      <c r="K5832" s="85">
        <v>2025</v>
      </c>
      <c r="L5832" s="85">
        <v>1</v>
      </c>
      <c r="N5832" s="1" t="s">
        <v>44</v>
      </c>
    </row>
    <row r="5833" spans="1:14">
      <c r="A5833" s="36" t="s">
        <v>32</v>
      </c>
      <c r="B5833" s="37">
        <v>45688</v>
      </c>
      <c r="C5833" s="36" t="s">
        <v>2629</v>
      </c>
      <c r="D5833" s="36" t="s">
        <v>2642</v>
      </c>
      <c r="E5833" s="36" t="s">
        <v>267</v>
      </c>
      <c r="G5833" s="87">
        <v>2700000</v>
      </c>
      <c r="H5833" s="87">
        <v>270000</v>
      </c>
      <c r="I5833" s="87">
        <v>2970000</v>
      </c>
      <c r="K5833" s="85">
        <v>2025</v>
      </c>
      <c r="L5833" s="85">
        <v>1</v>
      </c>
      <c r="N5833" s="1" t="s">
        <v>44</v>
      </c>
    </row>
    <row r="5834" spans="1:14">
      <c r="A5834" s="36" t="s">
        <v>32</v>
      </c>
      <c r="B5834" s="37">
        <v>45688</v>
      </c>
      <c r="C5834" s="36" t="s">
        <v>2279</v>
      </c>
      <c r="D5834" s="36" t="s">
        <v>2579</v>
      </c>
      <c r="E5834" s="36" t="s">
        <v>76</v>
      </c>
      <c r="G5834" s="87">
        <v>4200000</v>
      </c>
      <c r="H5834" s="87">
        <v>420000</v>
      </c>
      <c r="I5834" s="87">
        <v>4620000</v>
      </c>
      <c r="K5834" s="85">
        <v>2025</v>
      </c>
      <c r="L5834" s="85">
        <v>1</v>
      </c>
      <c r="N5834" s="1" t="s">
        <v>44</v>
      </c>
    </row>
    <row r="5835" spans="1:14">
      <c r="A5835" s="36" t="s">
        <v>32</v>
      </c>
      <c r="B5835" s="37">
        <v>45688</v>
      </c>
      <c r="C5835" s="36" t="s">
        <v>2477</v>
      </c>
      <c r="D5835" s="36" t="s">
        <v>2485</v>
      </c>
      <c r="E5835" s="36" t="s">
        <v>267</v>
      </c>
      <c r="G5835" s="87">
        <v>9389520</v>
      </c>
      <c r="H5835" s="87">
        <v>938952</v>
      </c>
      <c r="I5835" s="87">
        <v>10328472</v>
      </c>
      <c r="K5835" s="85">
        <v>2025</v>
      </c>
      <c r="L5835" s="85">
        <v>1</v>
      </c>
      <c r="N5835" s="1" t="s">
        <v>44</v>
      </c>
    </row>
    <row r="5836" spans="1:14">
      <c r="A5836" s="36" t="s">
        <v>32</v>
      </c>
      <c r="B5836" s="37">
        <v>45688</v>
      </c>
      <c r="C5836" s="36" t="s">
        <v>291</v>
      </c>
      <c r="D5836" s="36" t="s">
        <v>2643</v>
      </c>
      <c r="E5836" s="36" t="s">
        <v>267</v>
      </c>
      <c r="G5836" s="87">
        <v>24138000</v>
      </c>
      <c r="H5836" s="87">
        <v>2413800</v>
      </c>
      <c r="I5836" s="87">
        <v>26551800</v>
      </c>
      <c r="K5836" s="85">
        <v>2025</v>
      </c>
      <c r="L5836" s="85">
        <v>1</v>
      </c>
      <c r="N5836" s="1" t="s">
        <v>44</v>
      </c>
    </row>
    <row r="5837" spans="1:14">
      <c r="A5837" s="36" t="s">
        <v>32</v>
      </c>
      <c r="B5837" s="37">
        <v>45688</v>
      </c>
      <c r="C5837" s="36" t="s">
        <v>2247</v>
      </c>
      <c r="D5837" s="36" t="s">
        <v>2644</v>
      </c>
      <c r="E5837" s="36" t="s">
        <v>267</v>
      </c>
      <c r="G5837" s="87">
        <v>6270000</v>
      </c>
      <c r="H5837" s="87">
        <v>627000</v>
      </c>
      <c r="I5837" s="87">
        <v>6897000</v>
      </c>
      <c r="K5837" s="85">
        <v>2025</v>
      </c>
      <c r="L5837" s="85">
        <v>1</v>
      </c>
      <c r="N5837" s="1" t="s">
        <v>44</v>
      </c>
    </row>
    <row r="5838" spans="1:14">
      <c r="A5838" s="36" t="s">
        <v>32</v>
      </c>
      <c r="B5838" s="37">
        <v>45688</v>
      </c>
      <c r="C5838" s="36" t="s">
        <v>264</v>
      </c>
      <c r="D5838" s="36" t="s">
        <v>2645</v>
      </c>
      <c r="E5838" s="36" t="s">
        <v>76</v>
      </c>
      <c r="G5838" s="87">
        <v>34400000</v>
      </c>
      <c r="H5838" s="87">
        <v>3440000</v>
      </c>
      <c r="I5838" s="87">
        <v>37840000</v>
      </c>
      <c r="K5838" s="85">
        <v>2025</v>
      </c>
      <c r="L5838" s="85">
        <v>1</v>
      </c>
      <c r="N5838" s="1" t="s">
        <v>44</v>
      </c>
    </row>
    <row r="5839" spans="1:14">
      <c r="A5839" s="36" t="s">
        <v>32</v>
      </c>
      <c r="B5839" s="37">
        <v>45688</v>
      </c>
      <c r="C5839" s="36" t="s">
        <v>2223</v>
      </c>
      <c r="D5839" s="36" t="s">
        <v>2646</v>
      </c>
      <c r="E5839" s="36" t="s">
        <v>2649</v>
      </c>
      <c r="G5839" s="87">
        <v>4531000</v>
      </c>
      <c r="H5839" s="87">
        <v>453100</v>
      </c>
      <c r="I5839" s="87">
        <v>4984100</v>
      </c>
      <c r="K5839" s="85">
        <v>2025</v>
      </c>
      <c r="L5839" s="85">
        <v>1</v>
      </c>
      <c r="N5839" s="1" t="s">
        <v>44</v>
      </c>
    </row>
    <row r="5840" spans="1:14">
      <c r="A5840" s="36" t="s">
        <v>32</v>
      </c>
      <c r="B5840" s="37">
        <v>45698</v>
      </c>
      <c r="C5840" s="36" t="s">
        <v>209</v>
      </c>
      <c r="D5840" s="36" t="s">
        <v>2637</v>
      </c>
      <c r="E5840" s="36" t="s">
        <v>2647</v>
      </c>
      <c r="J5840" s="38">
        <v>55898040</v>
      </c>
      <c r="K5840" s="85">
        <v>2025</v>
      </c>
      <c r="L5840" s="85">
        <v>1</v>
      </c>
      <c r="N5840" s="1" t="s">
        <v>44</v>
      </c>
    </row>
    <row r="5841" spans="1:14">
      <c r="A5841" s="36" t="s">
        <v>32</v>
      </c>
      <c r="B5841" s="37">
        <v>45689</v>
      </c>
      <c r="C5841" s="36" t="s">
        <v>654</v>
      </c>
      <c r="D5841" s="36" t="s">
        <v>2631</v>
      </c>
      <c r="E5841" s="36" t="s">
        <v>2650</v>
      </c>
      <c r="G5841" s="87">
        <v>-7114000</v>
      </c>
      <c r="H5841" s="87">
        <v>-711400</v>
      </c>
      <c r="I5841" s="87">
        <v>-7825400</v>
      </c>
      <c r="K5841" s="85">
        <v>2025</v>
      </c>
      <c r="L5841" s="85">
        <v>1</v>
      </c>
      <c r="N5841" s="1" t="s">
        <v>44</v>
      </c>
    </row>
    <row r="5842" spans="1:14">
      <c r="A5842" s="36" t="s">
        <v>32</v>
      </c>
      <c r="B5842" s="37">
        <v>45689</v>
      </c>
      <c r="C5842" s="36" t="s">
        <v>654</v>
      </c>
      <c r="D5842" s="36" t="s">
        <v>2635</v>
      </c>
      <c r="E5842" s="36" t="s">
        <v>2650</v>
      </c>
      <c r="G5842" s="87">
        <v>-7215000</v>
      </c>
      <c r="H5842" s="87">
        <v>-721500</v>
      </c>
      <c r="I5842" s="87">
        <v>-7936500</v>
      </c>
      <c r="K5842" s="85">
        <v>2025</v>
      </c>
      <c r="L5842" s="85">
        <v>1</v>
      </c>
      <c r="N5842" s="1" t="s">
        <v>44</v>
      </c>
    </row>
    <row r="5843" spans="1:14">
      <c r="A5843" s="36" t="s">
        <v>32</v>
      </c>
      <c r="B5843" s="37">
        <v>45705</v>
      </c>
      <c r="C5843" s="36" t="s">
        <v>2395</v>
      </c>
      <c r="D5843" s="36" t="s">
        <v>2369</v>
      </c>
      <c r="E5843" s="36" t="s">
        <v>148</v>
      </c>
      <c r="J5843" s="87">
        <v>56383635</v>
      </c>
      <c r="K5843" s="85">
        <v>2025</v>
      </c>
      <c r="L5843" s="85">
        <v>1</v>
      </c>
      <c r="M5843" s="254" t="s">
        <v>2651</v>
      </c>
      <c r="N5843" s="1" t="s">
        <v>44</v>
      </c>
    </row>
    <row r="5844" spans="1:14">
      <c r="A5844" s="36" t="s">
        <v>32</v>
      </c>
      <c r="B5844" s="37">
        <v>45705</v>
      </c>
      <c r="C5844" s="36" t="s">
        <v>2395</v>
      </c>
      <c r="D5844" s="36" t="s">
        <v>2640</v>
      </c>
      <c r="E5844" s="36" t="s">
        <v>148</v>
      </c>
      <c r="J5844" s="87">
        <v>13094433</v>
      </c>
      <c r="K5844" s="85">
        <v>2025</v>
      </c>
      <c r="L5844" s="85">
        <v>1</v>
      </c>
      <c r="M5844" s="254" t="s">
        <v>2651</v>
      </c>
      <c r="N5844" s="1" t="s">
        <v>44</v>
      </c>
    </row>
    <row r="5845" spans="1:14">
      <c r="A5845" s="36" t="s">
        <v>32</v>
      </c>
      <c r="B5845" s="37">
        <v>45705</v>
      </c>
      <c r="C5845" s="36" t="s">
        <v>2626</v>
      </c>
      <c r="D5845" s="36" t="s">
        <v>2636</v>
      </c>
      <c r="E5845" s="36" t="s">
        <v>148</v>
      </c>
      <c r="J5845" s="87">
        <v>2869856</v>
      </c>
      <c r="K5845" s="85">
        <v>2025</v>
      </c>
      <c r="L5845" s="85">
        <v>1</v>
      </c>
      <c r="N5845" s="1" t="s">
        <v>44</v>
      </c>
    </row>
    <row r="5846" spans="1:14">
      <c r="A5846" s="36" t="s">
        <v>32</v>
      </c>
      <c r="B5846" s="37">
        <v>45705</v>
      </c>
      <c r="C5846" s="36" t="s">
        <v>206</v>
      </c>
      <c r="D5846" s="36" t="s">
        <v>2553</v>
      </c>
      <c r="E5846" s="36" t="s">
        <v>2652</v>
      </c>
      <c r="J5846" s="87">
        <v>3385800</v>
      </c>
      <c r="K5846" s="85">
        <v>2024</v>
      </c>
      <c r="L5846" s="85">
        <v>12</v>
      </c>
      <c r="N5846" s="1" t="s">
        <v>44</v>
      </c>
    </row>
    <row r="5847" spans="1:14">
      <c r="A5847" s="36" t="s">
        <v>32</v>
      </c>
      <c r="B5847" s="37">
        <v>45709</v>
      </c>
      <c r="C5847" s="36" t="s">
        <v>2477</v>
      </c>
      <c r="D5847" s="36" t="s">
        <v>2485</v>
      </c>
      <c r="E5847" s="36" t="s">
        <v>148</v>
      </c>
      <c r="J5847" s="87">
        <v>10328472</v>
      </c>
      <c r="K5847" s="85">
        <v>2025</v>
      </c>
      <c r="L5847" s="85">
        <v>1</v>
      </c>
      <c r="M5847" s="36" t="s">
        <v>2653</v>
      </c>
      <c r="N5847" s="1" t="s">
        <v>44</v>
      </c>
    </row>
    <row r="5848" spans="1:14">
      <c r="A5848" s="36" t="s">
        <v>32</v>
      </c>
      <c r="B5848" s="37">
        <v>45708</v>
      </c>
      <c r="C5848" s="36" t="s">
        <v>1198</v>
      </c>
      <c r="D5848" s="36" t="s">
        <v>2560</v>
      </c>
      <c r="E5848" s="36" t="s">
        <v>2654</v>
      </c>
      <c r="J5848" s="87">
        <v>3564000</v>
      </c>
      <c r="K5848" s="85">
        <v>2024</v>
      </c>
      <c r="L5848" s="85">
        <v>12</v>
      </c>
      <c r="N5848" s="1" t="s">
        <v>44</v>
      </c>
    </row>
    <row r="5849" spans="1:14">
      <c r="A5849" s="36" t="s">
        <v>32</v>
      </c>
      <c r="B5849" s="37">
        <v>45712</v>
      </c>
      <c r="C5849" s="36" t="s">
        <v>2279</v>
      </c>
      <c r="D5849" s="36" t="s">
        <v>2579</v>
      </c>
      <c r="E5849" s="36" t="s">
        <v>148</v>
      </c>
      <c r="J5849" s="87">
        <v>4620000</v>
      </c>
      <c r="K5849" s="85">
        <v>2025</v>
      </c>
      <c r="L5849" s="85">
        <v>1</v>
      </c>
      <c r="N5849" s="1" t="s">
        <v>44</v>
      </c>
    </row>
    <row r="5850" spans="1:14">
      <c r="A5850" s="36" t="s">
        <v>33</v>
      </c>
      <c r="B5850" s="37">
        <v>45712</v>
      </c>
      <c r="C5850" s="36" t="s">
        <v>1779</v>
      </c>
      <c r="D5850" s="36" t="s">
        <v>2541</v>
      </c>
      <c r="E5850" s="36" t="s">
        <v>2125</v>
      </c>
      <c r="G5850" s="87">
        <v>1850000</v>
      </c>
      <c r="H5850" s="87">
        <v>185000</v>
      </c>
      <c r="I5850" s="87">
        <v>2035000</v>
      </c>
      <c r="K5850" s="85">
        <v>2025</v>
      </c>
      <c r="L5850" s="85">
        <v>2</v>
      </c>
      <c r="N5850" s="1" t="s">
        <v>44</v>
      </c>
    </row>
    <row r="5851" spans="1:14">
      <c r="A5851" s="36" t="s">
        <v>33</v>
      </c>
      <c r="B5851" s="37">
        <v>45713</v>
      </c>
      <c r="C5851" s="36" t="s">
        <v>1779</v>
      </c>
      <c r="D5851" s="36" t="s">
        <v>2541</v>
      </c>
      <c r="E5851" s="36" t="s">
        <v>77</v>
      </c>
      <c r="J5851" s="38">
        <v>2035000</v>
      </c>
      <c r="K5851" s="85">
        <v>2025</v>
      </c>
      <c r="L5851" s="85">
        <v>2</v>
      </c>
      <c r="N5851" s="1" t="s">
        <v>44</v>
      </c>
    </row>
    <row r="5852" spans="1:14">
      <c r="A5852" s="36" t="s">
        <v>32</v>
      </c>
      <c r="B5852" s="37">
        <v>45716</v>
      </c>
      <c r="C5852" s="36" t="s">
        <v>209</v>
      </c>
      <c r="D5852" s="36" t="s">
        <v>2550</v>
      </c>
      <c r="E5852" s="36" t="s">
        <v>2655</v>
      </c>
      <c r="J5852" s="87">
        <v>11085360</v>
      </c>
      <c r="K5852" s="85">
        <v>2025</v>
      </c>
      <c r="L5852" s="85">
        <v>1</v>
      </c>
      <c r="N5852" s="1" t="s">
        <v>44</v>
      </c>
    </row>
    <row r="5853" spans="1:14">
      <c r="A5853" s="36" t="s">
        <v>32</v>
      </c>
      <c r="B5853" s="37">
        <v>45715</v>
      </c>
      <c r="C5853" s="36" t="s">
        <v>2628</v>
      </c>
      <c r="D5853" s="36" t="s">
        <v>2639</v>
      </c>
      <c r="E5853" s="36" t="s">
        <v>148</v>
      </c>
      <c r="J5853" s="87">
        <v>17035920</v>
      </c>
      <c r="K5853" s="85">
        <v>2025</v>
      </c>
      <c r="L5853" s="85">
        <v>1</v>
      </c>
      <c r="N5853" s="1" t="s">
        <v>44</v>
      </c>
    </row>
    <row r="5854" spans="1:14">
      <c r="A5854" s="36" t="s">
        <v>32</v>
      </c>
      <c r="B5854" s="37">
        <v>45707</v>
      </c>
      <c r="C5854" s="36" t="s">
        <v>2627</v>
      </c>
      <c r="D5854" s="36" t="s">
        <v>2589</v>
      </c>
      <c r="E5854" s="36" t="s">
        <v>2609</v>
      </c>
      <c r="J5854" s="87">
        <v>29194000</v>
      </c>
      <c r="K5854" s="85">
        <v>2025</v>
      </c>
      <c r="L5854" s="85">
        <v>1</v>
      </c>
      <c r="N5854" s="1" t="s">
        <v>44</v>
      </c>
    </row>
    <row r="5855" spans="1:14">
      <c r="A5855" s="36" t="s">
        <v>32</v>
      </c>
      <c r="B5855" s="37">
        <v>45715</v>
      </c>
      <c r="C5855" s="36" t="s">
        <v>654</v>
      </c>
      <c r="D5855" s="36" t="s">
        <v>1672</v>
      </c>
      <c r="E5855" s="36" t="s">
        <v>148</v>
      </c>
      <c r="J5855" s="87">
        <v>1305480</v>
      </c>
      <c r="K5855" s="85">
        <v>2023</v>
      </c>
      <c r="L5855" s="85">
        <v>11</v>
      </c>
      <c r="M5855" s="36" t="s">
        <v>2660</v>
      </c>
      <c r="N5855" s="1" t="s">
        <v>44</v>
      </c>
    </row>
    <row r="5856" spans="1:14">
      <c r="A5856" s="36" t="s">
        <v>32</v>
      </c>
      <c r="B5856" s="37">
        <v>45715</v>
      </c>
      <c r="C5856" s="36" t="s">
        <v>654</v>
      </c>
      <c r="D5856" s="36" t="s">
        <v>1898</v>
      </c>
      <c r="E5856" s="36" t="s">
        <v>2449</v>
      </c>
      <c r="J5856" s="38">
        <v>9370314</v>
      </c>
      <c r="K5856" s="85">
        <v>2024</v>
      </c>
      <c r="L5856" s="85">
        <v>1</v>
      </c>
      <c r="M5856" s="36" t="s">
        <v>2660</v>
      </c>
      <c r="N5856" s="1" t="s">
        <v>44</v>
      </c>
    </row>
    <row r="5857" spans="1:14">
      <c r="A5857" s="36" t="s">
        <v>32</v>
      </c>
      <c r="B5857" s="37">
        <v>45715</v>
      </c>
      <c r="C5857" s="36" t="s">
        <v>654</v>
      </c>
      <c r="D5857" s="36" t="s">
        <v>1942</v>
      </c>
      <c r="E5857" s="36" t="s">
        <v>2663</v>
      </c>
      <c r="J5857" s="38">
        <v>5086106</v>
      </c>
      <c r="K5857" s="85">
        <v>2024</v>
      </c>
      <c r="L5857" s="85">
        <v>1</v>
      </c>
      <c r="M5857" s="36" t="s">
        <v>2660</v>
      </c>
      <c r="N5857" s="1" t="s">
        <v>44</v>
      </c>
    </row>
    <row r="5858" spans="1:14">
      <c r="A5858" s="36" t="s">
        <v>32</v>
      </c>
      <c r="B5858" s="37">
        <v>45715</v>
      </c>
      <c r="C5858" s="36" t="s">
        <v>654</v>
      </c>
      <c r="D5858" s="36" t="s">
        <v>2634</v>
      </c>
      <c r="E5858" s="36" t="s">
        <v>2661</v>
      </c>
      <c r="J5858" s="87">
        <v>10718400</v>
      </c>
      <c r="K5858" s="85">
        <v>2025</v>
      </c>
      <c r="L5858" s="85">
        <v>1</v>
      </c>
      <c r="M5858" s="36" t="s">
        <v>2660</v>
      </c>
      <c r="N5858" s="1" t="s">
        <v>44</v>
      </c>
    </row>
    <row r="5859" spans="1:14">
      <c r="A5859" s="36" t="s">
        <v>32</v>
      </c>
      <c r="B5859" s="37">
        <v>45715</v>
      </c>
      <c r="C5859" s="36" t="s">
        <v>654</v>
      </c>
      <c r="D5859" s="36" t="s">
        <v>2630</v>
      </c>
      <c r="E5859" s="36" t="s">
        <v>2662</v>
      </c>
      <c r="J5859" s="87">
        <v>8080248</v>
      </c>
      <c r="K5859" s="85">
        <v>2025</v>
      </c>
      <c r="L5859" s="85">
        <v>1</v>
      </c>
      <c r="M5859" s="36" t="s">
        <v>2660</v>
      </c>
      <c r="N5859" s="1" t="s">
        <v>44</v>
      </c>
    </row>
    <row r="5860" spans="1:14">
      <c r="A5860" s="36" t="s">
        <v>32</v>
      </c>
      <c r="B5860" s="37">
        <v>45716</v>
      </c>
      <c r="C5860" s="36" t="s">
        <v>1470</v>
      </c>
      <c r="D5860" s="36" t="s">
        <v>1487</v>
      </c>
      <c r="E5860" s="36" t="s">
        <v>148</v>
      </c>
      <c r="J5860" s="87">
        <v>63269690</v>
      </c>
      <c r="K5860" s="85">
        <v>2025</v>
      </c>
      <c r="L5860" s="85">
        <v>1</v>
      </c>
      <c r="N5860" s="1" t="s">
        <v>44</v>
      </c>
    </row>
    <row r="5861" spans="1:14">
      <c r="A5861" s="36" t="s">
        <v>32</v>
      </c>
      <c r="B5861" s="37">
        <v>45708</v>
      </c>
      <c r="C5861" s="36" t="s">
        <v>2623</v>
      </c>
      <c r="D5861" s="36" t="s">
        <v>2621</v>
      </c>
      <c r="E5861" s="36" t="s">
        <v>148</v>
      </c>
      <c r="J5861" s="38">
        <v>74902000</v>
      </c>
      <c r="K5861" s="85">
        <v>2025</v>
      </c>
      <c r="L5861" s="85">
        <v>1</v>
      </c>
      <c r="N5861" s="208" t="s">
        <v>44</v>
      </c>
    </row>
    <row r="5862" spans="1:14">
      <c r="A5862" s="36" t="s">
        <v>32</v>
      </c>
      <c r="B5862" s="37">
        <v>45716</v>
      </c>
      <c r="C5862" s="36" t="s">
        <v>2623</v>
      </c>
      <c r="D5862" s="36" t="s">
        <v>2467</v>
      </c>
      <c r="E5862" s="36" t="s">
        <v>148</v>
      </c>
      <c r="J5862" s="87">
        <v>172977750</v>
      </c>
      <c r="K5862" s="85">
        <v>2025</v>
      </c>
      <c r="L5862" s="85">
        <v>1</v>
      </c>
      <c r="N5862" s="208" t="s">
        <v>44</v>
      </c>
    </row>
    <row r="5863" spans="1:14">
      <c r="A5863" s="36" t="s">
        <v>33</v>
      </c>
      <c r="B5863" s="37">
        <v>45716</v>
      </c>
      <c r="C5863" s="36" t="s">
        <v>1391</v>
      </c>
      <c r="D5863" s="36" t="s">
        <v>197</v>
      </c>
      <c r="E5863" s="36" t="s">
        <v>2655</v>
      </c>
      <c r="J5863" s="87">
        <v>13107600</v>
      </c>
      <c r="K5863" s="85">
        <v>2024</v>
      </c>
      <c r="L5863" s="85">
        <v>12</v>
      </c>
      <c r="N5863" s="1" t="s">
        <v>44</v>
      </c>
    </row>
    <row r="5864" spans="1:14">
      <c r="A5864" s="36" t="s">
        <v>33</v>
      </c>
      <c r="B5864" s="37">
        <v>45716</v>
      </c>
      <c r="C5864" s="36" t="s">
        <v>2540</v>
      </c>
      <c r="D5864" s="36" t="s">
        <v>2541</v>
      </c>
      <c r="E5864" s="36" t="s">
        <v>148</v>
      </c>
      <c r="J5864" s="87">
        <v>430650</v>
      </c>
      <c r="K5864" s="85">
        <v>2025</v>
      </c>
      <c r="L5864" s="85">
        <v>1</v>
      </c>
      <c r="N5864" s="1" t="s">
        <v>44</v>
      </c>
    </row>
    <row r="5865" spans="1:14">
      <c r="A5865" s="36" t="s">
        <v>33</v>
      </c>
      <c r="B5865" s="37">
        <v>45716</v>
      </c>
      <c r="C5865" s="36" t="s">
        <v>2587</v>
      </c>
      <c r="D5865" s="36" t="s">
        <v>2588</v>
      </c>
      <c r="E5865" s="36" t="s">
        <v>148</v>
      </c>
      <c r="J5865" s="38">
        <v>777150</v>
      </c>
      <c r="K5865" s="85">
        <v>2025</v>
      </c>
      <c r="L5865" s="85">
        <v>1</v>
      </c>
      <c r="N5865" s="1" t="s">
        <v>44</v>
      </c>
    </row>
    <row r="5866" spans="1:14">
      <c r="A5866" s="36" t="s">
        <v>33</v>
      </c>
      <c r="B5866" s="37">
        <v>45716</v>
      </c>
      <c r="C5866" s="36" t="s">
        <v>2322</v>
      </c>
      <c r="D5866" s="36" t="s">
        <v>197</v>
      </c>
      <c r="E5866" s="36" t="s">
        <v>148</v>
      </c>
      <c r="J5866" s="87">
        <v>734250</v>
      </c>
      <c r="K5866" s="85">
        <v>2025</v>
      </c>
      <c r="L5866" s="85">
        <v>1</v>
      </c>
      <c r="N5866" s="1" t="s">
        <v>44</v>
      </c>
    </row>
    <row r="5867" spans="1:14">
      <c r="A5867" s="36" t="s">
        <v>33</v>
      </c>
      <c r="B5867" s="37">
        <v>45716</v>
      </c>
      <c r="C5867" s="36" t="s">
        <v>2116</v>
      </c>
      <c r="D5867" s="36" t="s">
        <v>2117</v>
      </c>
      <c r="E5867" s="36" t="s">
        <v>148</v>
      </c>
      <c r="J5867" s="87">
        <v>1686300</v>
      </c>
      <c r="K5867" s="85">
        <v>2025</v>
      </c>
      <c r="L5867" s="85">
        <v>1</v>
      </c>
      <c r="N5867" s="1" t="s">
        <v>44</v>
      </c>
    </row>
    <row r="5868" spans="1:14">
      <c r="A5868" s="36" t="s">
        <v>33</v>
      </c>
      <c r="B5868" s="37">
        <v>45716</v>
      </c>
      <c r="C5868" s="36" t="s">
        <v>96</v>
      </c>
      <c r="D5868" s="36" t="s">
        <v>97</v>
      </c>
      <c r="E5868" s="36" t="s">
        <v>148</v>
      </c>
      <c r="J5868" s="87">
        <v>1298000</v>
      </c>
      <c r="K5868" s="85">
        <v>2025</v>
      </c>
      <c r="L5868" s="85">
        <v>1</v>
      </c>
      <c r="N5868" s="1" t="s">
        <v>44</v>
      </c>
    </row>
    <row r="5869" spans="1:14">
      <c r="A5869" s="36" t="s">
        <v>33</v>
      </c>
      <c r="B5869" s="37">
        <v>45716</v>
      </c>
      <c r="C5869" s="36" t="s">
        <v>81</v>
      </c>
      <c r="D5869" s="36" t="s">
        <v>2466</v>
      </c>
      <c r="E5869" s="36" t="s">
        <v>2530</v>
      </c>
      <c r="J5869" s="87">
        <v>3115673</v>
      </c>
      <c r="K5869" s="85">
        <v>2025</v>
      </c>
      <c r="L5869" s="85">
        <v>1</v>
      </c>
      <c r="N5869" s="1" t="s">
        <v>44</v>
      </c>
    </row>
    <row r="5870" spans="1:14">
      <c r="A5870" s="36" t="s">
        <v>33</v>
      </c>
      <c r="B5870" s="37">
        <v>45716</v>
      </c>
      <c r="C5870" s="36" t="s">
        <v>81</v>
      </c>
      <c r="D5870" s="36" t="s">
        <v>2464</v>
      </c>
      <c r="E5870" s="36" t="s">
        <v>2529</v>
      </c>
      <c r="J5870" s="87">
        <v>2406360</v>
      </c>
      <c r="K5870" s="85">
        <v>2025</v>
      </c>
      <c r="L5870" s="85">
        <v>1</v>
      </c>
      <c r="N5870" s="1" t="s">
        <v>44</v>
      </c>
    </row>
    <row r="5871" spans="1:14">
      <c r="A5871" s="36" t="s">
        <v>33</v>
      </c>
      <c r="B5871" s="37">
        <v>45716</v>
      </c>
      <c r="C5871" s="36" t="s">
        <v>2623</v>
      </c>
      <c r="D5871" s="36" t="s">
        <v>2622</v>
      </c>
      <c r="E5871" s="36" t="s">
        <v>148</v>
      </c>
      <c r="J5871" s="87">
        <v>128590000</v>
      </c>
      <c r="K5871" s="85">
        <v>2025</v>
      </c>
      <c r="L5871" s="85">
        <v>1</v>
      </c>
      <c r="N5871" s="208" t="s">
        <v>44</v>
      </c>
    </row>
    <row r="5872" spans="1:14">
      <c r="A5872" s="36" t="s">
        <v>32</v>
      </c>
      <c r="B5872" s="37">
        <v>45716</v>
      </c>
      <c r="C5872" s="36" t="s">
        <v>2393</v>
      </c>
      <c r="D5872" s="36" t="s">
        <v>2484</v>
      </c>
      <c r="E5872" s="36" t="s">
        <v>2664</v>
      </c>
      <c r="J5872" s="87">
        <v>9432676</v>
      </c>
      <c r="K5872" s="85">
        <v>2024</v>
      </c>
      <c r="L5872" s="85">
        <v>12</v>
      </c>
      <c r="N5872" s="1" t="s">
        <v>44</v>
      </c>
    </row>
    <row r="5873" spans="1:14">
      <c r="A5873" s="36" t="s">
        <v>32</v>
      </c>
      <c r="B5873" s="37">
        <v>45716</v>
      </c>
      <c r="C5873" s="36" t="s">
        <v>2393</v>
      </c>
      <c r="D5873" s="36" t="s">
        <v>2561</v>
      </c>
      <c r="E5873" s="36" t="s">
        <v>2665</v>
      </c>
      <c r="J5873" s="87">
        <v>5500000</v>
      </c>
      <c r="K5873" s="85">
        <v>2024</v>
      </c>
      <c r="L5873" s="85">
        <v>12</v>
      </c>
      <c r="N5873" s="1" t="s">
        <v>44</v>
      </c>
    </row>
    <row r="5874" spans="1:14">
      <c r="A5874" s="36" t="s">
        <v>32</v>
      </c>
      <c r="B5874" s="37">
        <v>45716</v>
      </c>
      <c r="C5874" s="36" t="s">
        <v>2393</v>
      </c>
      <c r="D5874" s="36" t="s">
        <v>2561</v>
      </c>
      <c r="E5874" s="36" t="s">
        <v>2666</v>
      </c>
      <c r="J5874" s="87">
        <v>2808696</v>
      </c>
      <c r="K5874" s="85">
        <v>2025</v>
      </c>
      <c r="L5874" s="85">
        <v>1</v>
      </c>
      <c r="N5874" s="1" t="s">
        <v>44</v>
      </c>
    </row>
    <row r="5875" spans="1:14">
      <c r="A5875" s="36" t="s">
        <v>32</v>
      </c>
      <c r="B5875" s="37">
        <v>45716</v>
      </c>
      <c r="C5875" s="36" t="s">
        <v>206</v>
      </c>
      <c r="D5875" s="36" t="s">
        <v>2638</v>
      </c>
      <c r="E5875" s="36" t="s">
        <v>2667</v>
      </c>
      <c r="J5875" s="87">
        <v>3237300</v>
      </c>
      <c r="K5875" s="85">
        <v>2025</v>
      </c>
      <c r="L5875" s="85">
        <v>1</v>
      </c>
      <c r="N5875" s="1" t="s">
        <v>44</v>
      </c>
    </row>
    <row r="5876" spans="1:14">
      <c r="A5876" s="36" t="s">
        <v>32</v>
      </c>
      <c r="B5876" s="37">
        <v>45720</v>
      </c>
      <c r="C5876" s="36" t="s">
        <v>264</v>
      </c>
      <c r="D5876" s="36" t="s">
        <v>2645</v>
      </c>
      <c r="E5876" s="36" t="s">
        <v>148</v>
      </c>
      <c r="J5876" s="87">
        <v>37840000</v>
      </c>
      <c r="K5876" s="85">
        <v>2025</v>
      </c>
      <c r="L5876" s="85">
        <v>1</v>
      </c>
      <c r="N5876" s="1" t="s">
        <v>44</v>
      </c>
    </row>
    <row r="5877" spans="1:14">
      <c r="A5877" s="36" t="s">
        <v>33</v>
      </c>
      <c r="B5877" s="37">
        <v>45720</v>
      </c>
      <c r="C5877" s="36" t="s">
        <v>1779</v>
      </c>
      <c r="D5877" s="36" t="s">
        <v>2541</v>
      </c>
      <c r="E5877" s="36" t="s">
        <v>2668</v>
      </c>
      <c r="G5877" s="87">
        <v>1850000</v>
      </c>
      <c r="H5877" s="87">
        <v>185000</v>
      </c>
      <c r="I5877" s="87">
        <v>2035000</v>
      </c>
      <c r="K5877" s="85">
        <v>2025</v>
      </c>
      <c r="L5877" s="85">
        <v>3</v>
      </c>
      <c r="N5877" s="1" t="s">
        <v>44</v>
      </c>
    </row>
    <row r="5878" spans="1:14">
      <c r="A5878" s="36" t="s">
        <v>33</v>
      </c>
      <c r="B5878" s="37">
        <v>45720</v>
      </c>
      <c r="C5878" s="36" t="s">
        <v>1779</v>
      </c>
      <c r="D5878" s="36" t="s">
        <v>2541</v>
      </c>
      <c r="E5878" s="36" t="s">
        <v>77</v>
      </c>
      <c r="J5878" s="38">
        <v>2035000</v>
      </c>
      <c r="K5878" s="85">
        <v>2025</v>
      </c>
      <c r="L5878" s="85">
        <v>3</v>
      </c>
      <c r="N5878" s="1" t="s">
        <v>44</v>
      </c>
    </row>
    <row r="5879" spans="1:14">
      <c r="A5879" s="36" t="s">
        <v>33</v>
      </c>
      <c r="B5879" s="37">
        <v>45716</v>
      </c>
      <c r="C5879" s="36" t="s">
        <v>2368</v>
      </c>
      <c r="D5879" s="36" t="s">
        <v>2369</v>
      </c>
      <c r="E5879" s="36" t="s">
        <v>2370</v>
      </c>
      <c r="G5879" s="87">
        <v>1932000</v>
      </c>
      <c r="H5879" s="87">
        <v>193200</v>
      </c>
      <c r="I5879" s="87">
        <v>2125200</v>
      </c>
      <c r="K5879" s="85">
        <v>2025</v>
      </c>
      <c r="L5879" s="85">
        <v>2</v>
      </c>
      <c r="N5879" s="1" t="s">
        <v>44</v>
      </c>
    </row>
    <row r="5880" spans="1:14">
      <c r="A5880" s="36" t="s">
        <v>33</v>
      </c>
      <c r="B5880" s="37">
        <v>45716</v>
      </c>
      <c r="C5880" s="36" t="s">
        <v>2322</v>
      </c>
      <c r="D5880" s="36" t="s">
        <v>197</v>
      </c>
      <c r="E5880" s="36" t="s">
        <v>2119</v>
      </c>
      <c r="G5880" s="87">
        <v>330000</v>
      </c>
      <c r="H5880" s="87">
        <v>33000</v>
      </c>
      <c r="I5880" s="87">
        <v>363000</v>
      </c>
      <c r="K5880" s="85">
        <v>2025</v>
      </c>
      <c r="L5880" s="85">
        <v>2</v>
      </c>
      <c r="N5880" s="1" t="s">
        <v>44</v>
      </c>
    </row>
    <row r="5881" spans="1:14">
      <c r="A5881" s="36" t="s">
        <v>32</v>
      </c>
      <c r="B5881" s="37">
        <v>45721</v>
      </c>
      <c r="C5881" s="36" t="s">
        <v>2223</v>
      </c>
      <c r="D5881" s="36" t="s">
        <v>2646</v>
      </c>
      <c r="E5881" s="36" t="s">
        <v>148</v>
      </c>
      <c r="J5881" s="87">
        <v>4984100</v>
      </c>
      <c r="K5881" s="85">
        <v>2025</v>
      </c>
      <c r="L5881" s="85">
        <v>1</v>
      </c>
      <c r="N5881" s="1" t="s">
        <v>44</v>
      </c>
    </row>
    <row r="5882" spans="1:14">
      <c r="A5882" s="36" t="s">
        <v>32</v>
      </c>
      <c r="B5882" s="37">
        <v>45722</v>
      </c>
      <c r="C5882" s="36" t="s">
        <v>334</v>
      </c>
      <c r="D5882" s="36" t="s">
        <v>2723</v>
      </c>
      <c r="E5882" s="36" t="s">
        <v>2669</v>
      </c>
      <c r="J5882" s="87">
        <v>2200000</v>
      </c>
      <c r="K5882" s="85">
        <v>2025</v>
      </c>
      <c r="L5882" s="85">
        <v>1</v>
      </c>
      <c r="N5882" s="1" t="s">
        <v>44</v>
      </c>
    </row>
    <row r="5883" spans="1:14">
      <c r="A5883" s="36" t="s">
        <v>32</v>
      </c>
      <c r="B5883" s="37">
        <v>45700</v>
      </c>
      <c r="C5883" s="36" t="s">
        <v>2670</v>
      </c>
      <c r="D5883" s="36" t="s">
        <v>2675</v>
      </c>
      <c r="E5883" s="36" t="s">
        <v>2234</v>
      </c>
      <c r="G5883" s="87">
        <v>1220000</v>
      </c>
      <c r="H5883" s="87">
        <v>122000</v>
      </c>
      <c r="I5883" s="87">
        <v>1342000</v>
      </c>
      <c r="K5883" s="85">
        <v>2025</v>
      </c>
      <c r="L5883" s="85">
        <v>2</v>
      </c>
      <c r="N5883" s="1" t="s">
        <v>44</v>
      </c>
    </row>
    <row r="5884" spans="1:14">
      <c r="A5884" s="36" t="s">
        <v>32</v>
      </c>
      <c r="B5884" s="37">
        <v>45715</v>
      </c>
      <c r="C5884" s="36" t="s">
        <v>209</v>
      </c>
      <c r="D5884" s="36" t="s">
        <v>2637</v>
      </c>
      <c r="E5884" s="36" t="s">
        <v>76</v>
      </c>
      <c r="G5884" s="87">
        <v>37464000</v>
      </c>
      <c r="H5884" s="87">
        <v>3746400</v>
      </c>
      <c r="I5884" s="87">
        <v>41210400</v>
      </c>
      <c r="K5884" s="85">
        <v>2025</v>
      </c>
      <c r="L5884" s="85">
        <v>2</v>
      </c>
      <c r="N5884" s="1" t="s">
        <v>44</v>
      </c>
    </row>
    <row r="5885" spans="1:14">
      <c r="A5885" s="36" t="s">
        <v>32</v>
      </c>
      <c r="B5885" s="37">
        <v>45715</v>
      </c>
      <c r="C5885" s="36" t="s">
        <v>209</v>
      </c>
      <c r="D5885" s="36" t="s">
        <v>2550</v>
      </c>
      <c r="E5885" s="36" t="s">
        <v>2550</v>
      </c>
      <c r="G5885" s="87">
        <v>5836800</v>
      </c>
      <c r="H5885" s="87">
        <v>583680</v>
      </c>
      <c r="I5885" s="87">
        <v>6420480</v>
      </c>
      <c r="K5885" s="85">
        <v>2025</v>
      </c>
      <c r="L5885" s="85">
        <v>2</v>
      </c>
      <c r="N5885" s="1" t="s">
        <v>44</v>
      </c>
    </row>
    <row r="5886" spans="1:14">
      <c r="A5886" s="36" t="s">
        <v>32</v>
      </c>
      <c r="B5886" s="37">
        <v>45716</v>
      </c>
      <c r="C5886" s="36" t="s">
        <v>654</v>
      </c>
      <c r="D5886" s="36" t="s">
        <v>2676</v>
      </c>
      <c r="E5886" s="36" t="s">
        <v>76</v>
      </c>
      <c r="G5886" s="87">
        <v>1917720</v>
      </c>
      <c r="H5886" s="87">
        <v>191772</v>
      </c>
      <c r="I5886" s="87">
        <v>2109492</v>
      </c>
      <c r="K5886" s="85">
        <v>2025</v>
      </c>
      <c r="L5886" s="85">
        <v>2</v>
      </c>
      <c r="N5886" s="1" t="s">
        <v>44</v>
      </c>
    </row>
    <row r="5887" spans="1:14">
      <c r="A5887" s="36" t="s">
        <v>32</v>
      </c>
      <c r="B5887" s="37">
        <v>45716</v>
      </c>
      <c r="C5887" s="36" t="s">
        <v>654</v>
      </c>
      <c r="D5887" s="36" t="s">
        <v>2697</v>
      </c>
      <c r="E5887" s="36" t="s">
        <v>2694</v>
      </c>
      <c r="G5887" s="87">
        <v>2881000</v>
      </c>
      <c r="H5887" s="87">
        <v>288100</v>
      </c>
      <c r="I5887" s="87">
        <v>3169100</v>
      </c>
      <c r="K5887" s="85">
        <v>2025</v>
      </c>
      <c r="L5887" s="85">
        <v>2</v>
      </c>
      <c r="N5887" s="1" t="s">
        <v>44</v>
      </c>
    </row>
    <row r="5888" spans="1:14">
      <c r="A5888" s="36" t="s">
        <v>32</v>
      </c>
      <c r="B5888" s="37">
        <v>45716</v>
      </c>
      <c r="C5888" s="36" t="s">
        <v>654</v>
      </c>
      <c r="D5888" s="36" t="s">
        <v>2541</v>
      </c>
      <c r="E5888" s="36" t="s">
        <v>76</v>
      </c>
      <c r="G5888" s="87">
        <v>22185000</v>
      </c>
      <c r="H5888" s="87">
        <v>2218500</v>
      </c>
      <c r="I5888" s="87">
        <v>24403500</v>
      </c>
      <c r="K5888" s="85">
        <v>2025</v>
      </c>
      <c r="L5888" s="85">
        <v>2</v>
      </c>
      <c r="N5888" s="1" t="s">
        <v>44</v>
      </c>
    </row>
    <row r="5889" spans="1:14">
      <c r="A5889" s="36" t="s">
        <v>32</v>
      </c>
      <c r="B5889" s="37">
        <v>45716</v>
      </c>
      <c r="C5889" s="36" t="s">
        <v>654</v>
      </c>
      <c r="D5889" s="36" t="s">
        <v>1854</v>
      </c>
      <c r="E5889" s="36" t="s">
        <v>76</v>
      </c>
      <c r="G5889" s="87">
        <v>1207360</v>
      </c>
      <c r="H5889" s="87">
        <v>120736</v>
      </c>
      <c r="I5889" s="87">
        <v>1328096</v>
      </c>
      <c r="K5889" s="85">
        <v>2025</v>
      </c>
      <c r="L5889" s="85">
        <v>2</v>
      </c>
      <c r="N5889" s="1" t="s">
        <v>44</v>
      </c>
    </row>
    <row r="5890" spans="1:14">
      <c r="A5890" s="36" t="s">
        <v>32</v>
      </c>
      <c r="B5890" s="37">
        <v>45716</v>
      </c>
      <c r="C5890" s="36" t="s">
        <v>654</v>
      </c>
      <c r="D5890" s="36" t="s">
        <v>2397</v>
      </c>
      <c r="E5890" s="257" t="s">
        <v>2693</v>
      </c>
      <c r="G5890" s="87">
        <v>2000000</v>
      </c>
      <c r="H5890" s="87">
        <v>200000</v>
      </c>
      <c r="I5890" s="87">
        <v>2200000</v>
      </c>
      <c r="K5890" s="85">
        <v>2025</v>
      </c>
      <c r="L5890" s="85">
        <v>2</v>
      </c>
      <c r="N5890" s="1" t="s">
        <v>44</v>
      </c>
    </row>
    <row r="5891" spans="1:14">
      <c r="A5891" s="36" t="s">
        <v>32</v>
      </c>
      <c r="B5891" s="37">
        <v>45716</v>
      </c>
      <c r="C5891" s="36" t="s">
        <v>1396</v>
      </c>
      <c r="D5891" s="36" t="s">
        <v>2677</v>
      </c>
      <c r="E5891" s="36" t="s">
        <v>2234</v>
      </c>
      <c r="G5891" s="87">
        <v>14000000</v>
      </c>
      <c r="H5891" s="87">
        <v>1400000</v>
      </c>
      <c r="I5891" s="230">
        <v>15400000</v>
      </c>
      <c r="J5891" s="258"/>
      <c r="K5891" s="85">
        <v>2025</v>
      </c>
      <c r="L5891" s="85">
        <v>2</v>
      </c>
      <c r="N5891" s="1" t="s">
        <v>44</v>
      </c>
    </row>
    <row r="5892" spans="1:14">
      <c r="A5892" s="36" t="s">
        <v>32</v>
      </c>
      <c r="B5892" s="37">
        <v>45716</v>
      </c>
      <c r="C5892" s="36" t="s">
        <v>1396</v>
      </c>
      <c r="D5892" s="36" t="s">
        <v>2678</v>
      </c>
      <c r="E5892" s="36" t="s">
        <v>2234</v>
      </c>
      <c r="G5892" s="87">
        <v>12800000</v>
      </c>
      <c r="H5892" s="87">
        <v>1280000</v>
      </c>
      <c r="I5892" s="230">
        <v>14080000</v>
      </c>
      <c r="J5892" s="258"/>
      <c r="K5892" s="85">
        <v>2025</v>
      </c>
      <c r="L5892" s="85">
        <v>2</v>
      </c>
      <c r="N5892" s="1" t="s">
        <v>44</v>
      </c>
    </row>
    <row r="5893" spans="1:14">
      <c r="A5893" s="36" t="s">
        <v>32</v>
      </c>
      <c r="B5893" s="37">
        <v>45716</v>
      </c>
      <c r="C5893" s="36" t="s">
        <v>1396</v>
      </c>
      <c r="D5893" s="36" t="s">
        <v>2679</v>
      </c>
      <c r="E5893" s="36" t="s">
        <v>2234</v>
      </c>
      <c r="G5893" s="87">
        <v>9353900</v>
      </c>
      <c r="H5893" s="87">
        <v>935390</v>
      </c>
      <c r="I5893" s="230">
        <v>10289290</v>
      </c>
      <c r="J5893" s="258"/>
      <c r="K5893" s="85">
        <v>2025</v>
      </c>
      <c r="L5893" s="85">
        <v>2</v>
      </c>
      <c r="N5893" s="1" t="s">
        <v>44</v>
      </c>
    </row>
    <row r="5894" spans="1:14">
      <c r="A5894" s="36" t="s">
        <v>32</v>
      </c>
      <c r="B5894" s="37">
        <v>45716</v>
      </c>
      <c r="C5894" s="36" t="s">
        <v>1396</v>
      </c>
      <c r="D5894" s="36" t="s">
        <v>2680</v>
      </c>
      <c r="E5894" s="36" t="s">
        <v>2234</v>
      </c>
      <c r="G5894" s="87">
        <v>10596000</v>
      </c>
      <c r="H5894" s="87">
        <v>1059600</v>
      </c>
      <c r="I5894" s="230">
        <v>11655600</v>
      </c>
      <c r="J5894" s="258"/>
      <c r="K5894" s="85">
        <v>2025</v>
      </c>
      <c r="L5894" s="85">
        <v>2</v>
      </c>
      <c r="N5894" s="1" t="s">
        <v>44</v>
      </c>
    </row>
    <row r="5895" spans="1:14">
      <c r="A5895" s="36" t="s">
        <v>32</v>
      </c>
      <c r="B5895" s="37">
        <v>45716</v>
      </c>
      <c r="C5895" s="36" t="s">
        <v>1396</v>
      </c>
      <c r="D5895" s="36" t="s">
        <v>2681</v>
      </c>
      <c r="E5895" s="36" t="s">
        <v>2234</v>
      </c>
      <c r="G5895" s="87">
        <v>2000000</v>
      </c>
      <c r="H5895" s="87">
        <v>200000</v>
      </c>
      <c r="I5895" s="230">
        <v>2200000</v>
      </c>
      <c r="J5895" s="258"/>
      <c r="K5895" s="85">
        <v>2025</v>
      </c>
      <c r="L5895" s="85">
        <v>2</v>
      </c>
      <c r="N5895" s="1" t="s">
        <v>44</v>
      </c>
    </row>
    <row r="5896" spans="1:14">
      <c r="A5896" s="36" t="s">
        <v>32</v>
      </c>
      <c r="B5896" s="37">
        <v>45716</v>
      </c>
      <c r="C5896" s="36" t="s">
        <v>2543</v>
      </c>
      <c r="D5896" s="36" t="s">
        <v>2554</v>
      </c>
      <c r="E5896" s="36" t="s">
        <v>2234</v>
      </c>
      <c r="G5896" s="87">
        <v>5368000</v>
      </c>
      <c r="H5896" s="87">
        <v>536800</v>
      </c>
      <c r="I5896" s="87">
        <v>5904800</v>
      </c>
      <c r="K5896" s="85">
        <v>2025</v>
      </c>
      <c r="L5896" s="85">
        <v>2</v>
      </c>
      <c r="N5896" s="1" t="s">
        <v>44</v>
      </c>
    </row>
    <row r="5897" spans="1:14">
      <c r="A5897" s="36" t="s">
        <v>32</v>
      </c>
      <c r="B5897" s="37">
        <v>45716</v>
      </c>
      <c r="C5897" s="36" t="s">
        <v>334</v>
      </c>
      <c r="D5897" s="36" t="s">
        <v>2682</v>
      </c>
      <c r="E5897" s="36" t="s">
        <v>2234</v>
      </c>
      <c r="G5897" s="87">
        <v>1500000</v>
      </c>
      <c r="H5897" s="87">
        <v>150000</v>
      </c>
      <c r="I5897" s="87">
        <v>1650000</v>
      </c>
      <c r="K5897" s="85">
        <v>2025</v>
      </c>
      <c r="L5897" s="85">
        <v>2</v>
      </c>
      <c r="N5897" s="1" t="s">
        <v>44</v>
      </c>
    </row>
    <row r="5898" spans="1:14">
      <c r="A5898" s="36" t="s">
        <v>32</v>
      </c>
      <c r="B5898" s="37">
        <v>45716</v>
      </c>
      <c r="C5898" s="36" t="s">
        <v>2671</v>
      </c>
      <c r="D5898" s="36" t="s">
        <v>2683</v>
      </c>
      <c r="E5898" s="36" t="s">
        <v>345</v>
      </c>
      <c r="G5898" s="87">
        <v>1237005</v>
      </c>
      <c r="H5898" s="87">
        <v>123700.5</v>
      </c>
      <c r="I5898" s="87">
        <v>1360705.5</v>
      </c>
      <c r="K5898" s="85">
        <v>2025</v>
      </c>
      <c r="L5898" s="85">
        <v>2</v>
      </c>
      <c r="N5898" s="1" t="s">
        <v>44</v>
      </c>
    </row>
    <row r="5899" spans="1:14">
      <c r="A5899" s="36" t="s">
        <v>32</v>
      </c>
      <c r="B5899" s="37">
        <v>45716</v>
      </c>
      <c r="C5899" s="36" t="s">
        <v>2696</v>
      </c>
      <c r="D5899" s="36" t="s">
        <v>2684</v>
      </c>
      <c r="E5899" s="36" t="s">
        <v>2234</v>
      </c>
      <c r="G5899" s="87">
        <v>2080000</v>
      </c>
      <c r="H5899" s="87">
        <v>208000</v>
      </c>
      <c r="I5899" s="87">
        <v>2288000</v>
      </c>
      <c r="K5899" s="85">
        <v>2025</v>
      </c>
      <c r="L5899" s="85">
        <v>2</v>
      </c>
      <c r="N5899" s="1" t="s">
        <v>44</v>
      </c>
    </row>
    <row r="5900" spans="1:14">
      <c r="A5900" s="36" t="s">
        <v>32</v>
      </c>
      <c r="B5900" s="37">
        <v>45716</v>
      </c>
      <c r="C5900" s="36" t="s">
        <v>1462</v>
      </c>
      <c r="D5900" s="36" t="s">
        <v>2962</v>
      </c>
      <c r="E5900" s="36" t="s">
        <v>2234</v>
      </c>
      <c r="G5900" s="87">
        <v>3715929</v>
      </c>
      <c r="H5900" s="87">
        <v>371592.9</v>
      </c>
      <c r="I5900" s="87">
        <v>4087521.9</v>
      </c>
      <c r="K5900" s="85">
        <v>2025</v>
      </c>
      <c r="L5900" s="85">
        <v>2</v>
      </c>
      <c r="N5900" s="1" t="s">
        <v>44</v>
      </c>
    </row>
    <row r="5901" spans="1:14">
      <c r="A5901" s="36" t="s">
        <v>32</v>
      </c>
      <c r="B5901" s="37">
        <v>45716</v>
      </c>
      <c r="C5901" s="36" t="s">
        <v>2474</v>
      </c>
      <c r="D5901" s="36" t="s">
        <v>2691</v>
      </c>
      <c r="E5901" s="36" t="s">
        <v>2234</v>
      </c>
      <c r="G5901" s="87">
        <v>1350000</v>
      </c>
      <c r="H5901" s="87">
        <v>135000</v>
      </c>
      <c r="I5901" s="87">
        <v>1485000</v>
      </c>
      <c r="K5901" s="85">
        <v>2025</v>
      </c>
      <c r="L5901" s="85">
        <v>2</v>
      </c>
      <c r="N5901" s="1" t="s">
        <v>44</v>
      </c>
    </row>
    <row r="5902" spans="1:14">
      <c r="A5902" s="36" t="s">
        <v>32</v>
      </c>
      <c r="B5902" s="37">
        <v>45716</v>
      </c>
      <c r="C5902" s="36" t="s">
        <v>2672</v>
      </c>
      <c r="D5902" s="36" t="s">
        <v>2685</v>
      </c>
      <c r="E5902" s="36" t="s">
        <v>2234</v>
      </c>
      <c r="G5902" s="87">
        <v>1260000</v>
      </c>
      <c r="H5902" s="87">
        <v>126000</v>
      </c>
      <c r="I5902" s="87">
        <v>1386000</v>
      </c>
      <c r="K5902" s="85">
        <v>2025</v>
      </c>
      <c r="L5902" s="85">
        <v>2</v>
      </c>
      <c r="N5902" s="1" t="s">
        <v>44</v>
      </c>
    </row>
    <row r="5903" spans="1:14">
      <c r="A5903" s="36" t="s">
        <v>32</v>
      </c>
      <c r="B5903" s="37">
        <v>45716</v>
      </c>
      <c r="C5903" s="36" t="s">
        <v>2477</v>
      </c>
      <c r="D5903" s="36" t="s">
        <v>2485</v>
      </c>
      <c r="E5903" s="36" t="s">
        <v>76</v>
      </c>
      <c r="G5903" s="87">
        <v>21272100</v>
      </c>
      <c r="H5903" s="87">
        <v>2127210</v>
      </c>
      <c r="I5903" s="87">
        <v>23399310</v>
      </c>
      <c r="K5903" s="85">
        <v>2025</v>
      </c>
      <c r="L5903" s="85">
        <v>2</v>
      </c>
      <c r="N5903" s="1" t="s">
        <v>44</v>
      </c>
    </row>
    <row r="5904" spans="1:14">
      <c r="A5904" s="36" t="s">
        <v>32</v>
      </c>
      <c r="B5904" s="37">
        <v>45716</v>
      </c>
      <c r="C5904" s="36" t="s">
        <v>2627</v>
      </c>
      <c r="D5904" s="36" t="s">
        <v>2589</v>
      </c>
      <c r="E5904" s="36" t="s">
        <v>2234</v>
      </c>
      <c r="G5904" s="87">
        <v>3375000</v>
      </c>
      <c r="H5904" s="87">
        <v>337500</v>
      </c>
      <c r="I5904" s="87">
        <v>3712500</v>
      </c>
      <c r="K5904" s="85">
        <v>2025</v>
      </c>
      <c r="L5904" s="85">
        <v>2</v>
      </c>
      <c r="N5904" s="1" t="s">
        <v>44</v>
      </c>
    </row>
    <row r="5905" spans="1:14">
      <c r="A5905" s="36" t="s">
        <v>32</v>
      </c>
      <c r="B5905" s="37">
        <v>45716</v>
      </c>
      <c r="C5905" s="36" t="s">
        <v>2673</v>
      </c>
      <c r="D5905" s="36" t="s">
        <v>2686</v>
      </c>
      <c r="E5905" s="36" t="s">
        <v>76</v>
      </c>
      <c r="G5905" s="87">
        <v>4080000</v>
      </c>
      <c r="H5905" s="87">
        <v>408000</v>
      </c>
      <c r="I5905" s="87">
        <v>4488000</v>
      </c>
      <c r="K5905" s="85">
        <v>2025</v>
      </c>
      <c r="L5905" s="85">
        <v>2</v>
      </c>
      <c r="N5905" s="1" t="s">
        <v>44</v>
      </c>
    </row>
    <row r="5906" spans="1:14">
      <c r="A5906" s="36" t="s">
        <v>32</v>
      </c>
      <c r="B5906" s="37">
        <v>45716</v>
      </c>
      <c r="C5906" s="36" t="s">
        <v>2674</v>
      </c>
      <c r="D5906" s="36" t="s">
        <v>2687</v>
      </c>
      <c r="E5906" s="36" t="s">
        <v>76</v>
      </c>
      <c r="G5906" s="87">
        <v>15040000</v>
      </c>
      <c r="H5906" s="87">
        <v>1504000</v>
      </c>
      <c r="I5906" s="87">
        <v>16544000</v>
      </c>
      <c r="K5906" s="85">
        <v>2025</v>
      </c>
      <c r="L5906" s="85">
        <v>2</v>
      </c>
      <c r="N5906" s="1" t="s">
        <v>44</v>
      </c>
    </row>
    <row r="5907" spans="1:14">
      <c r="A5907" s="36" t="s">
        <v>32</v>
      </c>
      <c r="B5907" s="37">
        <v>45716</v>
      </c>
      <c r="C5907" s="36" t="s">
        <v>264</v>
      </c>
      <c r="D5907" s="36" t="s">
        <v>2688</v>
      </c>
      <c r="E5907" s="36" t="s">
        <v>76</v>
      </c>
      <c r="G5907" s="87">
        <v>16200000</v>
      </c>
      <c r="H5907" s="87">
        <v>1620000</v>
      </c>
      <c r="I5907" s="87">
        <v>17820000</v>
      </c>
      <c r="K5907" s="85">
        <v>2025</v>
      </c>
      <c r="L5907" s="85">
        <v>2</v>
      </c>
      <c r="N5907" s="1" t="s">
        <v>44</v>
      </c>
    </row>
    <row r="5908" spans="1:14">
      <c r="A5908" s="36" t="s">
        <v>32</v>
      </c>
      <c r="B5908" s="37">
        <v>45716</v>
      </c>
      <c r="C5908" s="36" t="s">
        <v>2005</v>
      </c>
      <c r="D5908" s="36" t="s">
        <v>2689</v>
      </c>
      <c r="E5908" s="36" t="s">
        <v>2234</v>
      </c>
      <c r="G5908" s="87">
        <v>33000000</v>
      </c>
      <c r="H5908" s="87">
        <v>3300000</v>
      </c>
      <c r="I5908" s="87">
        <v>36300000</v>
      </c>
      <c r="K5908" s="85">
        <v>2025</v>
      </c>
      <c r="L5908" s="85">
        <v>2</v>
      </c>
      <c r="N5908" s="1" t="s">
        <v>44</v>
      </c>
    </row>
    <row r="5909" spans="1:14">
      <c r="A5909" s="36" t="s">
        <v>32</v>
      </c>
      <c r="B5909" s="37">
        <v>45716</v>
      </c>
      <c r="C5909" s="36" t="s">
        <v>291</v>
      </c>
      <c r="D5909" s="36" t="s">
        <v>2690</v>
      </c>
      <c r="E5909" s="36" t="s">
        <v>2695</v>
      </c>
      <c r="G5909" s="87">
        <v>1000000</v>
      </c>
      <c r="H5909" s="87">
        <v>100000</v>
      </c>
      <c r="I5909" s="87">
        <v>1100000</v>
      </c>
      <c r="K5909" s="85">
        <v>2025</v>
      </c>
      <c r="L5909" s="85">
        <v>2</v>
      </c>
      <c r="N5909" s="1" t="s">
        <v>44</v>
      </c>
    </row>
    <row r="5910" spans="1:14">
      <c r="A5910" s="36" t="s">
        <v>32</v>
      </c>
      <c r="B5910" s="37">
        <v>45716</v>
      </c>
      <c r="C5910" s="36" t="s">
        <v>1470</v>
      </c>
      <c r="D5910" s="36" t="s">
        <v>1487</v>
      </c>
      <c r="E5910" s="36" t="s">
        <v>76</v>
      </c>
      <c r="G5910" s="87">
        <v>44243900</v>
      </c>
      <c r="H5910" s="87">
        <v>4424390</v>
      </c>
      <c r="I5910" s="87">
        <v>48668290</v>
      </c>
      <c r="K5910" s="85">
        <v>2025</v>
      </c>
      <c r="L5910" s="85">
        <v>2</v>
      </c>
      <c r="N5910" s="1" t="s">
        <v>44</v>
      </c>
    </row>
    <row r="5911" spans="1:14">
      <c r="A5911" s="36" t="s">
        <v>32</v>
      </c>
      <c r="B5911" s="37">
        <v>45716</v>
      </c>
      <c r="C5911" s="36" t="s">
        <v>1569</v>
      </c>
      <c r="D5911" s="36" t="s">
        <v>1492</v>
      </c>
      <c r="E5911" s="36" t="s">
        <v>1492</v>
      </c>
      <c r="G5911" s="87">
        <v>5729600</v>
      </c>
      <c r="H5911" s="87">
        <v>572960</v>
      </c>
      <c r="I5911" s="87">
        <v>6302560</v>
      </c>
      <c r="K5911" s="85">
        <v>2025</v>
      </c>
      <c r="L5911" s="85">
        <v>2</v>
      </c>
      <c r="N5911" s="1" t="s">
        <v>44</v>
      </c>
    </row>
    <row r="5912" spans="1:14">
      <c r="A5912" s="36" t="s">
        <v>32</v>
      </c>
      <c r="B5912" s="37">
        <v>45716</v>
      </c>
      <c r="C5912" s="36" t="s">
        <v>2395</v>
      </c>
      <c r="D5912" s="36" t="s">
        <v>2369</v>
      </c>
      <c r="E5912" s="36" t="s">
        <v>2234</v>
      </c>
      <c r="G5912" s="87">
        <v>72253300</v>
      </c>
      <c r="H5912" s="87">
        <v>7225330</v>
      </c>
      <c r="I5912" s="87">
        <v>79478630</v>
      </c>
      <c r="K5912" s="85">
        <v>2025</v>
      </c>
      <c r="L5912" s="85">
        <v>2</v>
      </c>
      <c r="N5912" s="1" t="s">
        <v>44</v>
      </c>
    </row>
    <row r="5913" spans="1:14">
      <c r="A5913" s="36" t="s">
        <v>32</v>
      </c>
      <c r="B5913" s="37">
        <v>45702</v>
      </c>
      <c r="C5913" s="36" t="s">
        <v>2670</v>
      </c>
      <c r="D5913" s="36" t="s">
        <v>2675</v>
      </c>
      <c r="E5913" s="36" t="s">
        <v>77</v>
      </c>
      <c r="J5913" s="38">
        <v>671000</v>
      </c>
      <c r="K5913" s="85">
        <v>2025</v>
      </c>
      <c r="L5913" s="85">
        <v>2</v>
      </c>
      <c r="N5913" s="1" t="s">
        <v>44</v>
      </c>
    </row>
    <row r="5914" spans="1:14">
      <c r="A5914" s="36" t="s">
        <v>32</v>
      </c>
      <c r="B5914" s="37">
        <v>45726</v>
      </c>
      <c r="C5914" s="36" t="s">
        <v>1396</v>
      </c>
      <c r="D5914" s="36" t="s">
        <v>2678</v>
      </c>
      <c r="E5914" s="36" t="s">
        <v>2692</v>
      </c>
      <c r="I5914" s="230"/>
      <c r="J5914" s="258">
        <v>14080000</v>
      </c>
      <c r="K5914" s="85">
        <v>2025</v>
      </c>
      <c r="L5914" s="85">
        <v>2</v>
      </c>
      <c r="N5914" s="1" t="s">
        <v>44</v>
      </c>
    </row>
    <row r="5915" spans="1:14">
      <c r="A5915" s="36" t="s">
        <v>33</v>
      </c>
      <c r="B5915" s="37">
        <v>45716</v>
      </c>
      <c r="C5915" s="36" t="s">
        <v>1850</v>
      </c>
      <c r="D5915" s="36" t="s">
        <v>97</v>
      </c>
      <c r="E5915" s="36" t="s">
        <v>97</v>
      </c>
      <c r="G5915" s="87">
        <v>940000</v>
      </c>
      <c r="H5915" s="87">
        <v>94000</v>
      </c>
      <c r="I5915" s="87">
        <v>1034000</v>
      </c>
      <c r="K5915" s="85">
        <v>2025</v>
      </c>
      <c r="L5915" s="85">
        <v>2</v>
      </c>
      <c r="N5915" s="1" t="s">
        <v>44</v>
      </c>
    </row>
    <row r="5916" spans="1:14">
      <c r="A5916" s="36" t="s">
        <v>33</v>
      </c>
      <c r="B5916" s="37">
        <v>45716</v>
      </c>
      <c r="C5916" s="36" t="s">
        <v>1391</v>
      </c>
      <c r="D5916" s="36" t="s">
        <v>197</v>
      </c>
      <c r="E5916" s="36" t="s">
        <v>1492</v>
      </c>
      <c r="G5916" s="87">
        <v>2080000</v>
      </c>
      <c r="H5916" s="87">
        <v>208000</v>
      </c>
      <c r="I5916" s="87">
        <v>2288000</v>
      </c>
      <c r="K5916" s="85">
        <v>2025</v>
      </c>
      <c r="L5916" s="85">
        <v>2</v>
      </c>
      <c r="N5916" s="1" t="s">
        <v>44</v>
      </c>
    </row>
    <row r="5917" spans="1:14">
      <c r="A5917" s="36" t="s">
        <v>33</v>
      </c>
      <c r="B5917" s="37">
        <v>45716</v>
      </c>
      <c r="C5917" s="36" t="s">
        <v>2540</v>
      </c>
      <c r="D5917" s="36" t="s">
        <v>2541</v>
      </c>
      <c r="E5917" s="36" t="s">
        <v>469</v>
      </c>
      <c r="G5917" s="87">
        <v>1636000</v>
      </c>
      <c r="H5917" s="87">
        <v>163600</v>
      </c>
      <c r="I5917" s="87">
        <v>1799600</v>
      </c>
      <c r="K5917" s="85">
        <v>2025</v>
      </c>
      <c r="L5917" s="85">
        <v>2</v>
      </c>
      <c r="N5917" s="1" t="s">
        <v>44</v>
      </c>
    </row>
    <row r="5918" spans="1:14">
      <c r="A5918" s="36" t="s">
        <v>33</v>
      </c>
      <c r="B5918" s="37">
        <v>45716</v>
      </c>
      <c r="C5918" s="36" t="s">
        <v>2116</v>
      </c>
      <c r="D5918" s="36" t="s">
        <v>2117</v>
      </c>
      <c r="E5918" s="36" t="s">
        <v>2118</v>
      </c>
      <c r="G5918" s="87">
        <v>1883000</v>
      </c>
      <c r="H5918" s="87">
        <v>188300</v>
      </c>
      <c r="I5918" s="87">
        <v>2071300</v>
      </c>
      <c r="K5918" s="85">
        <v>2025</v>
      </c>
      <c r="L5918" s="85">
        <v>2</v>
      </c>
      <c r="N5918" s="1" t="s">
        <v>44</v>
      </c>
    </row>
    <row r="5919" spans="1:14">
      <c r="A5919" s="36" t="s">
        <v>33</v>
      </c>
      <c r="B5919" s="37">
        <v>45716</v>
      </c>
      <c r="C5919" s="36" t="s">
        <v>2122</v>
      </c>
      <c r="D5919" s="36" t="s">
        <v>2207</v>
      </c>
      <c r="E5919" s="36" t="s">
        <v>143</v>
      </c>
      <c r="G5919" s="87">
        <v>140000</v>
      </c>
      <c r="H5919" s="87">
        <v>14000</v>
      </c>
      <c r="I5919" s="87">
        <v>154000</v>
      </c>
      <c r="K5919" s="85">
        <v>2025</v>
      </c>
      <c r="L5919" s="85">
        <v>2</v>
      </c>
      <c r="N5919" s="1" t="s">
        <v>44</v>
      </c>
    </row>
    <row r="5920" spans="1:14">
      <c r="A5920" s="36" t="s">
        <v>33</v>
      </c>
      <c r="B5920" s="37">
        <v>45716</v>
      </c>
      <c r="C5920" s="36" t="s">
        <v>2698</v>
      </c>
      <c r="D5920" s="36" t="s">
        <v>2537</v>
      </c>
      <c r="E5920" s="36" t="s">
        <v>2699</v>
      </c>
      <c r="G5920" s="87">
        <v>670000</v>
      </c>
      <c r="H5920" s="87">
        <v>67000</v>
      </c>
      <c r="I5920" s="87">
        <v>737000</v>
      </c>
      <c r="K5920" s="85">
        <v>2025</v>
      </c>
      <c r="L5920" s="85">
        <v>2</v>
      </c>
      <c r="N5920" s="1" t="s">
        <v>44</v>
      </c>
    </row>
    <row r="5921" spans="1:14">
      <c r="A5921" s="36" t="s">
        <v>33</v>
      </c>
      <c r="B5921" s="37">
        <v>45716</v>
      </c>
      <c r="C5921" s="36" t="s">
        <v>1569</v>
      </c>
      <c r="D5921" s="36" t="s">
        <v>2700</v>
      </c>
      <c r="E5921" s="36" t="s">
        <v>2701</v>
      </c>
      <c r="G5921" s="87">
        <v>1480800</v>
      </c>
      <c r="H5921" s="87">
        <v>148080</v>
      </c>
      <c r="I5921" s="87">
        <v>1628880</v>
      </c>
      <c r="K5921" s="85">
        <v>2025</v>
      </c>
      <c r="L5921" s="85">
        <v>2</v>
      </c>
      <c r="N5921" s="1" t="s">
        <v>44</v>
      </c>
    </row>
    <row r="5922" spans="1:14">
      <c r="A5922" s="36" t="s">
        <v>33</v>
      </c>
      <c r="B5922" s="37">
        <v>45716</v>
      </c>
      <c r="C5922" s="36" t="s">
        <v>1569</v>
      </c>
      <c r="D5922" s="36" t="s">
        <v>2702</v>
      </c>
      <c r="E5922" s="36" t="s">
        <v>1232</v>
      </c>
      <c r="G5922" s="87">
        <v>1528000</v>
      </c>
      <c r="H5922" s="87">
        <v>152800</v>
      </c>
      <c r="I5922" s="87">
        <v>1680800</v>
      </c>
      <c r="K5922" s="85">
        <v>2025</v>
      </c>
      <c r="L5922" s="85">
        <v>2</v>
      </c>
      <c r="N5922" s="1" t="s">
        <v>44</v>
      </c>
    </row>
    <row r="5923" spans="1:14">
      <c r="A5923" s="36" t="s">
        <v>33</v>
      </c>
      <c r="B5923" s="37">
        <v>45716</v>
      </c>
      <c r="C5923" s="36" t="s">
        <v>2188</v>
      </c>
      <c r="D5923" s="36" t="s">
        <v>2756</v>
      </c>
      <c r="E5923" s="36" t="s">
        <v>1232</v>
      </c>
      <c r="G5923" s="87">
        <v>1062000</v>
      </c>
      <c r="H5923" s="87">
        <v>106200</v>
      </c>
      <c r="I5923" s="87">
        <v>1168200</v>
      </c>
      <c r="K5923" s="85">
        <v>2025</v>
      </c>
      <c r="L5923" s="85">
        <v>2</v>
      </c>
      <c r="N5923" s="1" t="s">
        <v>44</v>
      </c>
    </row>
    <row r="5924" spans="1:14">
      <c r="A5924" s="36" t="s">
        <v>33</v>
      </c>
      <c r="B5924" s="37">
        <v>45716</v>
      </c>
      <c r="C5924" s="36" t="s">
        <v>2188</v>
      </c>
      <c r="D5924" s="36" t="s">
        <v>2758</v>
      </c>
      <c r="E5924" s="36" t="s">
        <v>2465</v>
      </c>
      <c r="G5924" s="87">
        <v>423000</v>
      </c>
      <c r="H5924" s="87">
        <v>42300</v>
      </c>
      <c r="I5924" s="87">
        <v>465300</v>
      </c>
      <c r="K5924" s="85">
        <v>2025</v>
      </c>
      <c r="L5924" s="85">
        <v>2</v>
      </c>
      <c r="N5924" s="1" t="s">
        <v>44</v>
      </c>
    </row>
    <row r="5925" spans="1:14">
      <c r="A5925" s="36" t="s">
        <v>33</v>
      </c>
      <c r="B5925" s="37">
        <v>45716</v>
      </c>
      <c r="C5925" s="36" t="s">
        <v>2188</v>
      </c>
      <c r="D5925" s="36" t="s">
        <v>2324</v>
      </c>
      <c r="E5925" s="36" t="s">
        <v>2703</v>
      </c>
      <c r="G5925" s="87">
        <v>741400</v>
      </c>
      <c r="H5925" s="87">
        <v>74140</v>
      </c>
      <c r="I5925" s="87">
        <v>815540</v>
      </c>
      <c r="K5925" s="85">
        <v>2025</v>
      </c>
      <c r="L5925" s="85">
        <v>2</v>
      </c>
      <c r="N5925" s="1" t="s">
        <v>44</v>
      </c>
    </row>
    <row r="5926" spans="1:14">
      <c r="A5926" s="36" t="s">
        <v>33</v>
      </c>
      <c r="B5926" s="37">
        <v>45716</v>
      </c>
      <c r="C5926" s="36" t="s">
        <v>2704</v>
      </c>
      <c r="D5926" s="36" t="s">
        <v>2749</v>
      </c>
      <c r="E5926" s="36" t="s">
        <v>143</v>
      </c>
      <c r="G5926" s="87">
        <v>2590000</v>
      </c>
      <c r="H5926" s="87">
        <v>259000</v>
      </c>
      <c r="I5926" s="87">
        <v>2849000</v>
      </c>
      <c r="K5926" s="85">
        <v>2025</v>
      </c>
      <c r="L5926" s="85">
        <v>2</v>
      </c>
      <c r="N5926" s="1" t="s">
        <v>44</v>
      </c>
    </row>
    <row r="5927" spans="1:14">
      <c r="A5927" s="36" t="s">
        <v>32</v>
      </c>
      <c r="B5927" s="37">
        <v>45727</v>
      </c>
      <c r="C5927" s="36" t="s">
        <v>1396</v>
      </c>
      <c r="D5927" s="36" t="s">
        <v>2677</v>
      </c>
      <c r="E5927" s="36" t="s">
        <v>2705</v>
      </c>
      <c r="I5927" s="230"/>
      <c r="J5927" s="230">
        <v>15400000</v>
      </c>
      <c r="K5927" s="85">
        <v>2025</v>
      </c>
      <c r="L5927" s="85">
        <v>2</v>
      </c>
      <c r="N5927" s="1" t="s">
        <v>44</v>
      </c>
    </row>
    <row r="5928" spans="1:14">
      <c r="A5928" s="36" t="s">
        <v>32</v>
      </c>
      <c r="B5928" s="37">
        <v>45727</v>
      </c>
      <c r="C5928" s="36" t="s">
        <v>1396</v>
      </c>
      <c r="D5928" s="36" t="s">
        <v>2679</v>
      </c>
      <c r="E5928" s="36" t="s">
        <v>2706</v>
      </c>
      <c r="I5928" s="230"/>
      <c r="J5928" s="230">
        <v>10289290</v>
      </c>
      <c r="K5928" s="85">
        <v>2025</v>
      </c>
      <c r="L5928" s="85">
        <v>2</v>
      </c>
      <c r="N5928" s="1" t="s">
        <v>44</v>
      </c>
    </row>
    <row r="5929" spans="1:14">
      <c r="A5929" s="36" t="s">
        <v>32</v>
      </c>
      <c r="B5929" s="37">
        <v>45727</v>
      </c>
      <c r="C5929" s="36" t="s">
        <v>1396</v>
      </c>
      <c r="D5929" s="36" t="s">
        <v>2680</v>
      </c>
      <c r="E5929" s="36" t="s">
        <v>2707</v>
      </c>
      <c r="I5929" s="230"/>
      <c r="J5929" s="230">
        <v>11655600</v>
      </c>
      <c r="K5929" s="85">
        <v>2025</v>
      </c>
      <c r="L5929" s="85">
        <v>2</v>
      </c>
      <c r="N5929" s="1" t="s">
        <v>44</v>
      </c>
    </row>
    <row r="5930" spans="1:14">
      <c r="A5930" s="36" t="s">
        <v>32</v>
      </c>
      <c r="B5930" s="37">
        <v>45727</v>
      </c>
      <c r="C5930" s="36" t="s">
        <v>209</v>
      </c>
      <c r="D5930" s="36" t="s">
        <v>2637</v>
      </c>
      <c r="E5930" s="36" t="s">
        <v>2708</v>
      </c>
      <c r="J5930" s="87">
        <v>41210400</v>
      </c>
      <c r="K5930" s="85">
        <v>2025</v>
      </c>
      <c r="L5930" s="85">
        <v>2</v>
      </c>
      <c r="N5930" s="1" t="s">
        <v>44</v>
      </c>
    </row>
    <row r="5931" spans="1:14">
      <c r="A5931" s="36" t="s">
        <v>33</v>
      </c>
      <c r="B5931" s="37">
        <v>45716</v>
      </c>
      <c r="C5931" s="36" t="s">
        <v>2587</v>
      </c>
      <c r="D5931" s="36" t="s">
        <v>2588</v>
      </c>
      <c r="E5931" s="36" t="s">
        <v>2115</v>
      </c>
      <c r="G5931" s="87">
        <v>448000</v>
      </c>
      <c r="H5931" s="87">
        <v>44800</v>
      </c>
      <c r="I5931" s="87">
        <v>492800</v>
      </c>
      <c r="K5931" s="85">
        <v>2025</v>
      </c>
      <c r="L5931" s="85">
        <v>2</v>
      </c>
      <c r="N5931" s="1" t="s">
        <v>44</v>
      </c>
    </row>
    <row r="5932" spans="1:14">
      <c r="A5932" s="36" t="s">
        <v>33</v>
      </c>
      <c r="B5932" s="37">
        <v>45689</v>
      </c>
      <c r="C5932" s="36" t="s">
        <v>2623</v>
      </c>
      <c r="D5932" s="36" t="s">
        <v>2709</v>
      </c>
      <c r="E5932" s="36" t="s">
        <v>2709</v>
      </c>
      <c r="G5932" s="87">
        <v>117315000</v>
      </c>
      <c r="H5932" s="87">
        <v>11731500</v>
      </c>
      <c r="I5932" s="87">
        <v>129046500</v>
      </c>
      <c r="K5932" s="85">
        <v>2025</v>
      </c>
      <c r="L5932" s="85">
        <v>2</v>
      </c>
      <c r="N5932" s="1" t="s">
        <v>44</v>
      </c>
    </row>
    <row r="5933" spans="1:14">
      <c r="A5933" s="36" t="s">
        <v>33</v>
      </c>
      <c r="B5933" s="37">
        <v>45703</v>
      </c>
      <c r="C5933" s="36" t="s">
        <v>2623</v>
      </c>
      <c r="D5933" s="36" t="s">
        <v>2710</v>
      </c>
      <c r="E5933" s="36" t="s">
        <v>2710</v>
      </c>
      <c r="G5933" s="87">
        <v>102761000</v>
      </c>
      <c r="H5933" s="87">
        <v>10276100</v>
      </c>
      <c r="I5933" s="87">
        <v>113037100</v>
      </c>
      <c r="K5933" s="85">
        <v>2025</v>
      </c>
      <c r="L5933" s="85">
        <v>2</v>
      </c>
      <c r="N5933" s="1" t="s">
        <v>44</v>
      </c>
    </row>
    <row r="5934" spans="1:14">
      <c r="A5934" s="36" t="s">
        <v>33</v>
      </c>
      <c r="B5934" s="37">
        <v>45716</v>
      </c>
      <c r="C5934" s="36" t="s">
        <v>2623</v>
      </c>
      <c r="D5934" s="36" t="s">
        <v>2711</v>
      </c>
      <c r="E5934" s="36" t="s">
        <v>2711</v>
      </c>
      <c r="G5934" s="87">
        <v>85532500</v>
      </c>
      <c r="H5934" s="87">
        <v>8553250</v>
      </c>
      <c r="I5934" s="87">
        <v>94085750</v>
      </c>
      <c r="K5934" s="85">
        <v>2025</v>
      </c>
      <c r="L5934" s="85">
        <v>2</v>
      </c>
      <c r="N5934" s="1" t="s">
        <v>44</v>
      </c>
    </row>
    <row r="5935" spans="1:14">
      <c r="A5935" s="36" t="s">
        <v>33</v>
      </c>
      <c r="B5935" s="37">
        <v>45726</v>
      </c>
      <c r="C5935" s="36" t="s">
        <v>2623</v>
      </c>
      <c r="D5935" s="36" t="s">
        <v>2709</v>
      </c>
      <c r="E5935" s="36" t="s">
        <v>2712</v>
      </c>
      <c r="J5935" s="38">
        <v>50000000</v>
      </c>
      <c r="K5935" s="85">
        <v>2025</v>
      </c>
      <c r="L5935" s="85">
        <v>2</v>
      </c>
      <c r="N5935" s="1" t="s">
        <v>44</v>
      </c>
    </row>
    <row r="5936" spans="1:14">
      <c r="A5936" s="36" t="s">
        <v>33</v>
      </c>
      <c r="B5936" s="37">
        <v>45728</v>
      </c>
      <c r="C5936" s="36" t="s">
        <v>2713</v>
      </c>
      <c r="D5936" s="36" t="s">
        <v>2725</v>
      </c>
      <c r="E5936" s="36" t="s">
        <v>2714</v>
      </c>
      <c r="G5936" s="87">
        <v>4346000</v>
      </c>
      <c r="H5936" s="87">
        <v>434600</v>
      </c>
      <c r="I5936" s="87">
        <v>4780600</v>
      </c>
      <c r="K5936" s="85">
        <v>2025</v>
      </c>
      <c r="L5936" s="85">
        <v>3</v>
      </c>
      <c r="N5936" s="1" t="s">
        <v>44</v>
      </c>
    </row>
    <row r="5937" spans="1:14">
      <c r="A5937" s="36" t="s">
        <v>33</v>
      </c>
      <c r="B5937" s="37">
        <v>45728</v>
      </c>
      <c r="C5937" s="36" t="s">
        <v>2713</v>
      </c>
      <c r="D5937" s="36" t="s">
        <v>2725</v>
      </c>
      <c r="E5937" s="36" t="s">
        <v>77</v>
      </c>
      <c r="J5937" s="38">
        <v>4780600</v>
      </c>
      <c r="K5937" s="85">
        <v>2025</v>
      </c>
      <c r="L5937" s="85">
        <v>3</v>
      </c>
      <c r="N5937" s="1" t="s">
        <v>44</v>
      </c>
    </row>
    <row r="5938" spans="1:14">
      <c r="A5938" s="36" t="s">
        <v>32</v>
      </c>
      <c r="B5938" s="37">
        <v>45415</v>
      </c>
      <c r="C5938" s="36" t="s">
        <v>209</v>
      </c>
      <c r="D5938" s="36" t="s">
        <v>1892</v>
      </c>
      <c r="E5938" s="36" t="s">
        <v>2732</v>
      </c>
      <c r="J5938" s="38">
        <v>1455352</v>
      </c>
      <c r="K5938" s="85">
        <v>2024</v>
      </c>
      <c r="L5938" s="85">
        <v>3</v>
      </c>
      <c r="N5938" s="1" t="s">
        <v>44</v>
      </c>
    </row>
    <row r="5939" spans="1:14">
      <c r="A5939" s="36" t="s">
        <v>33</v>
      </c>
      <c r="B5939" s="37">
        <v>45717</v>
      </c>
      <c r="C5939" s="36" t="s">
        <v>81</v>
      </c>
      <c r="D5939" s="36" t="s">
        <v>2765</v>
      </c>
      <c r="E5939" s="36" t="s">
        <v>267</v>
      </c>
      <c r="G5939" s="87">
        <v>5593619</v>
      </c>
      <c r="H5939" s="87">
        <v>559361.9</v>
      </c>
      <c r="I5939" s="87">
        <v>6152980.9000000004</v>
      </c>
      <c r="K5939" s="85">
        <v>2025</v>
      </c>
      <c r="L5939" s="85">
        <v>3</v>
      </c>
      <c r="M5939" s="36" t="s">
        <v>2716</v>
      </c>
      <c r="N5939" s="1" t="s">
        <v>44</v>
      </c>
    </row>
    <row r="5940" spans="1:14">
      <c r="A5940" s="36" t="s">
        <v>33</v>
      </c>
      <c r="B5940" s="37">
        <v>45733</v>
      </c>
      <c r="C5940" s="36" t="s">
        <v>2223</v>
      </c>
      <c r="D5940" s="36" t="s">
        <v>2616</v>
      </c>
      <c r="E5940" s="36" t="s">
        <v>1767</v>
      </c>
      <c r="G5940" s="87">
        <v>800000</v>
      </c>
      <c r="H5940" s="87">
        <v>80000</v>
      </c>
      <c r="I5940" s="87">
        <v>880000</v>
      </c>
      <c r="K5940" s="85">
        <v>2025</v>
      </c>
      <c r="L5940" s="85">
        <v>3</v>
      </c>
      <c r="N5940" s="1" t="s">
        <v>44</v>
      </c>
    </row>
    <row r="5941" spans="1:14">
      <c r="A5941" s="36" t="s">
        <v>33</v>
      </c>
      <c r="B5941" s="37">
        <v>45733</v>
      </c>
      <c r="C5941" s="36" t="s">
        <v>2223</v>
      </c>
      <c r="D5941" s="36" t="s">
        <v>2616</v>
      </c>
      <c r="E5941" s="36" t="s">
        <v>77</v>
      </c>
      <c r="J5941" s="38">
        <v>880000</v>
      </c>
      <c r="K5941" s="85">
        <v>2025</v>
      </c>
      <c r="L5941" s="85">
        <v>3</v>
      </c>
      <c r="N5941" s="1" t="s">
        <v>44</v>
      </c>
    </row>
    <row r="5942" spans="1:14">
      <c r="A5942" s="36" t="s">
        <v>33</v>
      </c>
      <c r="B5942" s="37">
        <v>45733</v>
      </c>
      <c r="C5942" s="36" t="s">
        <v>1569</v>
      </c>
      <c r="D5942" s="36" t="s">
        <v>2616</v>
      </c>
      <c r="E5942" s="36" t="s">
        <v>2717</v>
      </c>
      <c r="J5942" s="87">
        <v>6859600</v>
      </c>
      <c r="K5942" s="85">
        <v>2025</v>
      </c>
      <c r="L5942" s="85">
        <v>1</v>
      </c>
      <c r="N5942" s="1" t="s">
        <v>44</v>
      </c>
    </row>
    <row r="5943" spans="1:14">
      <c r="A5943" s="36" t="s">
        <v>33</v>
      </c>
      <c r="B5943" s="37">
        <v>45733</v>
      </c>
      <c r="C5943" s="36" t="s">
        <v>1569</v>
      </c>
      <c r="D5943" s="36" t="s">
        <v>2618</v>
      </c>
      <c r="E5943" s="36" t="s">
        <v>2718</v>
      </c>
      <c r="J5943" s="87">
        <v>2200000</v>
      </c>
      <c r="K5943" s="85">
        <v>2025</v>
      </c>
      <c r="L5943" s="85">
        <v>1</v>
      </c>
      <c r="N5943" s="1" t="s">
        <v>44</v>
      </c>
    </row>
    <row r="5944" spans="1:14">
      <c r="A5944" s="36" t="s">
        <v>32</v>
      </c>
      <c r="B5944" s="37">
        <v>45733</v>
      </c>
      <c r="C5944" s="36" t="s">
        <v>291</v>
      </c>
      <c r="D5944" s="36" t="s">
        <v>2643</v>
      </c>
      <c r="E5944" s="36" t="s">
        <v>148</v>
      </c>
      <c r="J5944" s="87">
        <v>26551800</v>
      </c>
      <c r="K5944" s="85">
        <v>2025</v>
      </c>
      <c r="L5944" s="85">
        <v>1</v>
      </c>
      <c r="N5944" s="1" t="s">
        <v>44</v>
      </c>
    </row>
    <row r="5945" spans="1:14">
      <c r="A5945" s="36" t="s">
        <v>33</v>
      </c>
      <c r="B5945" s="37">
        <v>45733</v>
      </c>
      <c r="C5945" s="36" t="s">
        <v>2223</v>
      </c>
      <c r="D5945" s="36" t="s">
        <v>2719</v>
      </c>
      <c r="E5945" s="36" t="s">
        <v>1278</v>
      </c>
      <c r="G5945" s="87">
        <v>2380000</v>
      </c>
      <c r="H5945" s="87">
        <v>238000</v>
      </c>
      <c r="I5945" s="87">
        <v>2618000</v>
      </c>
      <c r="K5945" s="85">
        <v>2025</v>
      </c>
      <c r="L5945" s="85">
        <v>3</v>
      </c>
      <c r="N5945" s="1" t="s">
        <v>44</v>
      </c>
    </row>
    <row r="5946" spans="1:14">
      <c r="A5946" s="36" t="s">
        <v>33</v>
      </c>
      <c r="B5946" s="37">
        <v>45733</v>
      </c>
      <c r="C5946" s="36" t="s">
        <v>2223</v>
      </c>
      <c r="D5946" s="36" t="s">
        <v>2720</v>
      </c>
      <c r="E5946" s="36" t="s">
        <v>1278</v>
      </c>
      <c r="G5946" s="87">
        <v>2468000</v>
      </c>
      <c r="H5946" s="87">
        <v>246800</v>
      </c>
      <c r="I5946" s="87">
        <v>2714800</v>
      </c>
      <c r="K5946" s="85">
        <v>2025</v>
      </c>
      <c r="L5946" s="85">
        <v>3</v>
      </c>
      <c r="N5946" s="1" t="s">
        <v>44</v>
      </c>
    </row>
    <row r="5947" spans="1:14">
      <c r="A5947" s="36" t="s">
        <v>32</v>
      </c>
      <c r="B5947" s="37">
        <v>45737</v>
      </c>
      <c r="C5947" s="36" t="s">
        <v>334</v>
      </c>
      <c r="D5947" s="36" t="s">
        <v>2722</v>
      </c>
      <c r="E5947" s="36" t="s">
        <v>2721</v>
      </c>
      <c r="J5947" s="87">
        <v>4730000</v>
      </c>
      <c r="K5947" s="85">
        <v>2025</v>
      </c>
      <c r="L5947" s="85">
        <v>1</v>
      </c>
      <c r="N5947" s="1" t="s">
        <v>44</v>
      </c>
    </row>
    <row r="5948" spans="1:14">
      <c r="A5948" s="36" t="s">
        <v>32</v>
      </c>
      <c r="B5948" s="37">
        <v>45737</v>
      </c>
      <c r="C5948" s="36" t="s">
        <v>2477</v>
      </c>
      <c r="D5948" s="36" t="s">
        <v>2485</v>
      </c>
      <c r="E5948" s="36" t="s">
        <v>148</v>
      </c>
      <c r="J5948" s="87">
        <v>23399310</v>
      </c>
      <c r="K5948" s="85">
        <v>2025</v>
      </c>
      <c r="L5948" s="85">
        <v>2</v>
      </c>
      <c r="M5948" s="36" t="s">
        <v>2653</v>
      </c>
      <c r="N5948" s="1" t="s">
        <v>44</v>
      </c>
    </row>
    <row r="5949" spans="1:14">
      <c r="A5949" s="36" t="s">
        <v>32</v>
      </c>
      <c r="B5949" s="37">
        <v>45737</v>
      </c>
      <c r="C5949" s="36" t="s">
        <v>2247</v>
      </c>
      <c r="D5949" s="36" t="s">
        <v>2644</v>
      </c>
      <c r="E5949" s="36" t="s">
        <v>2724</v>
      </c>
      <c r="J5949" s="87">
        <v>6897000</v>
      </c>
      <c r="K5949" s="85">
        <v>2025</v>
      </c>
      <c r="L5949" s="85">
        <v>1</v>
      </c>
      <c r="N5949" s="1" t="s">
        <v>44</v>
      </c>
    </row>
    <row r="5950" spans="1:14">
      <c r="A5950" s="36" t="s">
        <v>33</v>
      </c>
      <c r="B5950" s="37">
        <v>45741</v>
      </c>
      <c r="C5950" s="36" t="s">
        <v>2713</v>
      </c>
      <c r="D5950" s="36" t="s">
        <v>2679</v>
      </c>
      <c r="E5950" s="36" t="s">
        <v>2726</v>
      </c>
      <c r="G5950" s="87">
        <v>2385000</v>
      </c>
      <c r="H5950" s="87">
        <v>238500</v>
      </c>
      <c r="I5950" s="87">
        <v>2623500</v>
      </c>
      <c r="K5950" s="85">
        <v>2025</v>
      </c>
      <c r="L5950" s="85">
        <v>3</v>
      </c>
      <c r="N5950" s="1" t="s">
        <v>44</v>
      </c>
    </row>
    <row r="5951" spans="1:14">
      <c r="A5951" s="36" t="s">
        <v>33</v>
      </c>
      <c r="B5951" s="37">
        <v>45741</v>
      </c>
      <c r="C5951" s="36" t="s">
        <v>2713</v>
      </c>
      <c r="D5951" s="36" t="s">
        <v>2679</v>
      </c>
      <c r="E5951" s="36" t="s">
        <v>2727</v>
      </c>
      <c r="J5951" s="38">
        <v>2623500</v>
      </c>
      <c r="K5951" s="85">
        <v>2025</v>
      </c>
      <c r="L5951" s="85">
        <v>3</v>
      </c>
      <c r="N5951" s="1" t="s">
        <v>44</v>
      </c>
    </row>
    <row r="5952" spans="1:14">
      <c r="A5952" s="36" t="s">
        <v>33</v>
      </c>
      <c r="B5952" s="37">
        <v>45741</v>
      </c>
      <c r="C5952" s="36" t="s">
        <v>2728</v>
      </c>
      <c r="D5952" s="36" t="s">
        <v>2729</v>
      </c>
      <c r="E5952" s="36" t="s">
        <v>2730</v>
      </c>
      <c r="G5952" s="87">
        <v>2280000</v>
      </c>
      <c r="H5952" s="87">
        <v>228000</v>
      </c>
      <c r="I5952" s="87">
        <v>2508000</v>
      </c>
      <c r="K5952" s="85">
        <v>2025</v>
      </c>
      <c r="L5952" s="85">
        <v>3</v>
      </c>
      <c r="N5952" s="1" t="s">
        <v>44</v>
      </c>
    </row>
    <row r="5953" spans="1:14">
      <c r="A5953" s="36" t="s">
        <v>33</v>
      </c>
      <c r="B5953" s="37">
        <v>45741</v>
      </c>
      <c r="C5953" s="36" t="s">
        <v>2728</v>
      </c>
      <c r="D5953" s="36" t="s">
        <v>2729</v>
      </c>
      <c r="E5953" s="36" t="s">
        <v>2731</v>
      </c>
      <c r="J5953" s="38">
        <v>2508000</v>
      </c>
      <c r="K5953" s="85">
        <v>2025</v>
      </c>
      <c r="L5953" s="85">
        <v>3</v>
      </c>
      <c r="N5953" s="1" t="s">
        <v>44</v>
      </c>
    </row>
    <row r="5954" spans="1:14">
      <c r="A5954" s="36" t="s">
        <v>33</v>
      </c>
      <c r="B5954" s="37">
        <v>45741</v>
      </c>
      <c r="C5954" s="36" t="s">
        <v>2728</v>
      </c>
      <c r="D5954" s="36" t="s">
        <v>2679</v>
      </c>
      <c r="E5954" s="36" t="s">
        <v>2730</v>
      </c>
      <c r="G5954" s="87">
        <v>2050000</v>
      </c>
      <c r="H5954" s="87">
        <v>205000</v>
      </c>
      <c r="I5954" s="87">
        <v>2255000</v>
      </c>
      <c r="K5954" s="85">
        <v>2025</v>
      </c>
      <c r="L5954" s="85">
        <v>3</v>
      </c>
      <c r="N5954" s="1" t="s">
        <v>44</v>
      </c>
    </row>
    <row r="5955" spans="1:14">
      <c r="A5955" s="36" t="s">
        <v>33</v>
      </c>
      <c r="B5955" s="37">
        <v>45741</v>
      </c>
      <c r="C5955" s="36" t="s">
        <v>2728</v>
      </c>
      <c r="D5955" s="36" t="s">
        <v>2679</v>
      </c>
      <c r="E5955" s="36" t="s">
        <v>2727</v>
      </c>
      <c r="J5955" s="38">
        <v>2255000</v>
      </c>
      <c r="K5955" s="85">
        <v>2025</v>
      </c>
      <c r="L5955" s="85">
        <v>3</v>
      </c>
      <c r="N5955" s="1" t="s">
        <v>44</v>
      </c>
    </row>
    <row r="5956" spans="1:14">
      <c r="A5956" s="36" t="s">
        <v>32</v>
      </c>
      <c r="B5956" s="37">
        <v>45741</v>
      </c>
      <c r="C5956" s="36" t="s">
        <v>2627</v>
      </c>
      <c r="D5956" s="36" t="s">
        <v>2589</v>
      </c>
      <c r="E5956" s="36" t="s">
        <v>2609</v>
      </c>
      <c r="J5956" s="87">
        <v>3712500</v>
      </c>
      <c r="K5956" s="85">
        <v>2025</v>
      </c>
      <c r="L5956" s="85">
        <v>2</v>
      </c>
      <c r="N5956" s="1" t="s">
        <v>44</v>
      </c>
    </row>
    <row r="5957" spans="1:14">
      <c r="A5957" s="36" t="s">
        <v>32</v>
      </c>
      <c r="B5957" s="37">
        <v>45742</v>
      </c>
      <c r="C5957" s="36" t="s">
        <v>209</v>
      </c>
      <c r="D5957" s="36" t="s">
        <v>2550</v>
      </c>
      <c r="E5957" s="36" t="s">
        <v>2655</v>
      </c>
      <c r="J5957" s="87">
        <v>6420480</v>
      </c>
      <c r="K5957" s="85">
        <v>2025</v>
      </c>
      <c r="L5957" s="85">
        <v>2</v>
      </c>
      <c r="N5957" s="1" t="s">
        <v>44</v>
      </c>
    </row>
    <row r="5958" spans="1:14">
      <c r="A5958" s="36" t="s">
        <v>32</v>
      </c>
      <c r="B5958" s="37">
        <v>45744</v>
      </c>
      <c r="C5958" s="36" t="s">
        <v>654</v>
      </c>
      <c r="D5958" s="36" t="s">
        <v>2541</v>
      </c>
      <c r="E5958" s="36" t="s">
        <v>2733</v>
      </c>
      <c r="J5958" s="87">
        <v>24403500</v>
      </c>
      <c r="K5958" s="85">
        <v>2025</v>
      </c>
      <c r="L5958" s="85">
        <v>2</v>
      </c>
      <c r="N5958" s="1" t="s">
        <v>44</v>
      </c>
    </row>
    <row r="5959" spans="1:14">
      <c r="A5959" s="36" t="s">
        <v>32</v>
      </c>
      <c r="B5959" s="37">
        <v>45744</v>
      </c>
      <c r="C5959" s="36" t="s">
        <v>654</v>
      </c>
      <c r="D5959" s="36" t="s">
        <v>2676</v>
      </c>
      <c r="E5959" s="36" t="s">
        <v>2734</v>
      </c>
      <c r="J5959" s="87">
        <v>2109492</v>
      </c>
      <c r="K5959" s="85">
        <v>2025</v>
      </c>
      <c r="L5959" s="85">
        <v>2</v>
      </c>
      <c r="N5959" s="1" t="s">
        <v>44</v>
      </c>
    </row>
    <row r="5960" spans="1:14">
      <c r="A5960" s="36" t="s">
        <v>32</v>
      </c>
      <c r="B5960" s="37">
        <v>45744</v>
      </c>
      <c r="C5960" s="36" t="s">
        <v>2674</v>
      </c>
      <c r="D5960" s="36" t="s">
        <v>2687</v>
      </c>
      <c r="E5960" s="36" t="s">
        <v>148</v>
      </c>
      <c r="J5960" s="87">
        <v>16544000</v>
      </c>
      <c r="K5960" s="85">
        <v>2025</v>
      </c>
      <c r="L5960" s="85">
        <v>2</v>
      </c>
      <c r="N5960" s="1" t="s">
        <v>44</v>
      </c>
    </row>
    <row r="5961" spans="1:14">
      <c r="A5961" s="36" t="s">
        <v>32</v>
      </c>
      <c r="B5961" s="37">
        <v>45743</v>
      </c>
      <c r="C5961" s="36" t="s">
        <v>2392</v>
      </c>
      <c r="D5961" s="36" t="s">
        <v>2483</v>
      </c>
      <c r="E5961" s="36" t="s">
        <v>148</v>
      </c>
      <c r="J5961" s="87">
        <v>3070980</v>
      </c>
      <c r="K5961" s="85">
        <v>2025</v>
      </c>
      <c r="L5961" s="85">
        <v>1</v>
      </c>
      <c r="N5961" s="1" t="s">
        <v>44</v>
      </c>
    </row>
    <row r="5962" spans="1:14">
      <c r="A5962" s="36" t="s">
        <v>32</v>
      </c>
      <c r="B5962" s="37">
        <v>45744</v>
      </c>
      <c r="C5962" s="36" t="s">
        <v>654</v>
      </c>
      <c r="D5962" s="36" t="s">
        <v>1942</v>
      </c>
      <c r="E5962" s="36" t="s">
        <v>2663</v>
      </c>
      <c r="J5962" s="38">
        <v>3169100</v>
      </c>
      <c r="K5962" s="85">
        <v>2024</v>
      </c>
      <c r="L5962" s="85">
        <v>1</v>
      </c>
      <c r="M5962" s="36" t="s">
        <v>2735</v>
      </c>
      <c r="N5962" s="1" t="s">
        <v>44</v>
      </c>
    </row>
    <row r="5963" spans="1:14">
      <c r="A5963" s="36" t="s">
        <v>32</v>
      </c>
      <c r="B5963" s="37">
        <v>45744</v>
      </c>
      <c r="C5963" s="36" t="s">
        <v>654</v>
      </c>
      <c r="D5963" s="36" t="s">
        <v>2697</v>
      </c>
      <c r="E5963" s="36" t="s">
        <v>2736</v>
      </c>
      <c r="G5963" s="87">
        <v>-2881000</v>
      </c>
      <c r="H5963" s="87">
        <v>-288100</v>
      </c>
      <c r="I5963" s="87">
        <v>-3169100</v>
      </c>
      <c r="K5963" s="85">
        <v>2025</v>
      </c>
      <c r="L5963" s="85">
        <v>2</v>
      </c>
      <c r="N5963" s="1" t="s">
        <v>44</v>
      </c>
    </row>
    <row r="5964" spans="1:14">
      <c r="A5964" s="36" t="s">
        <v>33</v>
      </c>
      <c r="B5964" s="37">
        <v>45744</v>
      </c>
      <c r="C5964" s="36" t="s">
        <v>1850</v>
      </c>
      <c r="D5964" s="36" t="s">
        <v>97</v>
      </c>
      <c r="E5964" s="36" t="s">
        <v>148</v>
      </c>
      <c r="J5964" s="87">
        <v>1034000</v>
      </c>
      <c r="K5964" s="85">
        <v>2025</v>
      </c>
      <c r="L5964" s="85">
        <v>2</v>
      </c>
      <c r="N5964" s="1" t="s">
        <v>44</v>
      </c>
    </row>
    <row r="5965" spans="1:14">
      <c r="A5965" s="36" t="s">
        <v>33</v>
      </c>
      <c r="B5965" s="37">
        <v>45744</v>
      </c>
      <c r="C5965" s="36" t="s">
        <v>1569</v>
      </c>
      <c r="D5965" s="36" t="s">
        <v>2619</v>
      </c>
      <c r="E5965" s="36" t="s">
        <v>2737</v>
      </c>
      <c r="J5965" s="87">
        <v>1806497</v>
      </c>
      <c r="K5965" s="85">
        <v>2025</v>
      </c>
      <c r="L5965" s="85">
        <v>1</v>
      </c>
      <c r="N5965" s="1" t="s">
        <v>44</v>
      </c>
    </row>
    <row r="5966" spans="1:14">
      <c r="A5966" s="36" t="s">
        <v>33</v>
      </c>
      <c r="B5966" s="37">
        <v>45716</v>
      </c>
      <c r="C5966" s="36" t="s">
        <v>2322</v>
      </c>
      <c r="D5966" s="36" t="s">
        <v>197</v>
      </c>
      <c r="E5966" s="36" t="s">
        <v>148</v>
      </c>
      <c r="J5966" s="87">
        <v>363000</v>
      </c>
      <c r="K5966" s="85">
        <v>2025</v>
      </c>
      <c r="L5966" s="85">
        <v>2</v>
      </c>
      <c r="N5966" s="1" t="s">
        <v>44</v>
      </c>
    </row>
    <row r="5967" spans="1:14">
      <c r="A5967" s="36" t="s">
        <v>33</v>
      </c>
      <c r="B5967" s="37">
        <v>45744</v>
      </c>
      <c r="C5967" s="36" t="s">
        <v>2540</v>
      </c>
      <c r="D5967" s="36" t="s">
        <v>2541</v>
      </c>
      <c r="E5967" s="36" t="s">
        <v>148</v>
      </c>
      <c r="J5967" s="87">
        <v>1799600</v>
      </c>
      <c r="K5967" s="85">
        <v>2025</v>
      </c>
      <c r="L5967" s="85">
        <v>2</v>
      </c>
      <c r="N5967" s="1" t="s">
        <v>44</v>
      </c>
    </row>
    <row r="5968" spans="1:14">
      <c r="A5968" s="36" t="s">
        <v>33</v>
      </c>
      <c r="B5968" s="37">
        <v>45744</v>
      </c>
      <c r="C5968" s="36" t="s">
        <v>2116</v>
      </c>
      <c r="D5968" s="36" t="s">
        <v>2117</v>
      </c>
      <c r="E5968" s="36" t="s">
        <v>148</v>
      </c>
      <c r="J5968" s="87">
        <v>2071300</v>
      </c>
      <c r="K5968" s="85">
        <v>2025</v>
      </c>
      <c r="L5968" s="85">
        <v>2</v>
      </c>
      <c r="N5968" s="1" t="s">
        <v>44</v>
      </c>
    </row>
    <row r="5969" spans="1:14">
      <c r="A5969" s="36" t="s">
        <v>33</v>
      </c>
      <c r="B5969" s="37">
        <v>45744</v>
      </c>
      <c r="C5969" s="36" t="s">
        <v>2587</v>
      </c>
      <c r="D5969" s="36" t="s">
        <v>2588</v>
      </c>
      <c r="E5969" s="36" t="s">
        <v>148</v>
      </c>
      <c r="J5969" s="87">
        <v>492800</v>
      </c>
      <c r="K5969" s="85">
        <v>2025</v>
      </c>
      <c r="L5969" s="85">
        <v>2</v>
      </c>
      <c r="N5969" s="1" t="s">
        <v>44</v>
      </c>
    </row>
    <row r="5970" spans="1:14">
      <c r="A5970" s="36" t="s">
        <v>33</v>
      </c>
      <c r="B5970" s="37">
        <v>45735</v>
      </c>
      <c r="C5970" s="36" t="s">
        <v>2623</v>
      </c>
      <c r="D5970" s="36" t="s">
        <v>2709</v>
      </c>
      <c r="E5970" s="36" t="s">
        <v>2712</v>
      </c>
      <c r="J5970" s="38">
        <v>79046500</v>
      </c>
      <c r="K5970" s="85">
        <v>2025</v>
      </c>
      <c r="L5970" s="85">
        <v>2</v>
      </c>
      <c r="N5970" s="1" t="s">
        <v>44</v>
      </c>
    </row>
    <row r="5971" spans="1:14">
      <c r="A5971" s="36" t="s">
        <v>33</v>
      </c>
      <c r="B5971" s="37">
        <v>45747</v>
      </c>
      <c r="C5971" s="36" t="s">
        <v>2713</v>
      </c>
      <c r="D5971" s="36" t="s">
        <v>2729</v>
      </c>
      <c r="E5971" s="36" t="s">
        <v>2738</v>
      </c>
      <c r="G5971" s="87">
        <v>1839000</v>
      </c>
      <c r="H5971" s="87">
        <v>183900</v>
      </c>
      <c r="I5971" s="87">
        <v>2022900</v>
      </c>
      <c r="K5971" s="85">
        <v>2025</v>
      </c>
      <c r="L5971" s="85">
        <v>3</v>
      </c>
      <c r="N5971" s="1" t="s">
        <v>44</v>
      </c>
    </row>
    <row r="5972" spans="1:14">
      <c r="A5972" s="36" t="s">
        <v>33</v>
      </c>
      <c r="B5972" s="37">
        <v>45747</v>
      </c>
      <c r="C5972" s="36" t="s">
        <v>2713</v>
      </c>
      <c r="D5972" s="36" t="s">
        <v>2729</v>
      </c>
      <c r="E5972" s="36" t="s">
        <v>2738</v>
      </c>
      <c r="J5972" s="38">
        <v>2022900</v>
      </c>
      <c r="K5972" s="85">
        <v>2025</v>
      </c>
      <c r="L5972" s="85">
        <v>3</v>
      </c>
      <c r="N5972" s="1" t="s">
        <v>44</v>
      </c>
    </row>
    <row r="5973" spans="1:14">
      <c r="A5973" s="36" t="s">
        <v>32</v>
      </c>
      <c r="B5973" s="37">
        <v>45747</v>
      </c>
      <c r="C5973" s="36" t="s">
        <v>1470</v>
      </c>
      <c r="D5973" s="36" t="s">
        <v>1487</v>
      </c>
      <c r="E5973" s="36" t="s">
        <v>148</v>
      </c>
      <c r="J5973" s="87">
        <v>48668290</v>
      </c>
      <c r="K5973" s="85">
        <v>2025</v>
      </c>
      <c r="L5973" s="85">
        <v>2</v>
      </c>
      <c r="N5973" s="1" t="s">
        <v>44</v>
      </c>
    </row>
    <row r="5974" spans="1:14">
      <c r="A5974" s="36" t="s">
        <v>32</v>
      </c>
      <c r="B5974" s="37">
        <v>45747</v>
      </c>
      <c r="C5974" s="36" t="s">
        <v>1569</v>
      </c>
      <c r="D5974" s="36" t="s">
        <v>1492</v>
      </c>
      <c r="E5974" s="36" t="s">
        <v>148</v>
      </c>
      <c r="J5974" s="87">
        <v>6302560</v>
      </c>
      <c r="K5974" s="85">
        <v>2025</v>
      </c>
      <c r="L5974" s="85">
        <v>2</v>
      </c>
      <c r="N5974" s="1" t="s">
        <v>44</v>
      </c>
    </row>
    <row r="5975" spans="1:14">
      <c r="A5975" s="36" t="s">
        <v>33</v>
      </c>
      <c r="B5975" s="37">
        <v>45747</v>
      </c>
      <c r="C5975" s="36" t="s">
        <v>1391</v>
      </c>
      <c r="D5975" s="36" t="s">
        <v>197</v>
      </c>
      <c r="E5975" s="36" t="s">
        <v>2655</v>
      </c>
      <c r="J5975" s="87">
        <v>11534600</v>
      </c>
      <c r="K5975" s="85">
        <v>2025</v>
      </c>
      <c r="L5975" s="85">
        <v>1</v>
      </c>
      <c r="N5975" s="1" t="s">
        <v>44</v>
      </c>
    </row>
    <row r="5976" spans="1:14">
      <c r="A5976" s="36" t="s">
        <v>33</v>
      </c>
      <c r="B5976" s="37">
        <v>45747</v>
      </c>
      <c r="C5976" s="36" t="s">
        <v>2122</v>
      </c>
      <c r="D5976" s="36" t="s">
        <v>2207</v>
      </c>
      <c r="E5976" s="36" t="s">
        <v>148</v>
      </c>
      <c r="J5976" s="87">
        <v>154000</v>
      </c>
      <c r="K5976" s="85">
        <v>2025</v>
      </c>
      <c r="L5976" s="85">
        <v>2</v>
      </c>
      <c r="N5976" s="1" t="s">
        <v>44</v>
      </c>
    </row>
    <row r="5977" spans="1:14">
      <c r="A5977" s="36" t="s">
        <v>33</v>
      </c>
      <c r="B5977" s="37">
        <v>45747</v>
      </c>
      <c r="C5977" s="36" t="s">
        <v>1569</v>
      </c>
      <c r="D5977" s="36" t="s">
        <v>2700</v>
      </c>
      <c r="E5977" s="36" t="s">
        <v>2739</v>
      </c>
      <c r="J5977" s="87">
        <v>1628880</v>
      </c>
      <c r="K5977" s="85">
        <v>2025</v>
      </c>
      <c r="L5977" s="85">
        <v>2</v>
      </c>
      <c r="N5977" s="1" t="s">
        <v>44</v>
      </c>
    </row>
    <row r="5978" spans="1:14">
      <c r="A5978" s="36" t="s">
        <v>33</v>
      </c>
      <c r="B5978" s="37">
        <v>45747</v>
      </c>
      <c r="C5978" s="36" t="s">
        <v>1569</v>
      </c>
      <c r="D5978" s="36" t="s">
        <v>2702</v>
      </c>
      <c r="E5978" s="36" t="s">
        <v>2740</v>
      </c>
      <c r="J5978" s="87">
        <v>1680800</v>
      </c>
      <c r="K5978" s="85">
        <v>2025</v>
      </c>
      <c r="L5978" s="85">
        <v>2</v>
      </c>
      <c r="N5978" s="1" t="s">
        <v>44</v>
      </c>
    </row>
    <row r="5979" spans="1:14">
      <c r="A5979" s="36" t="s">
        <v>33</v>
      </c>
      <c r="B5979" s="37">
        <v>45747</v>
      </c>
      <c r="C5979" s="36" t="s">
        <v>2188</v>
      </c>
      <c r="D5979" s="36" t="s">
        <v>2756</v>
      </c>
      <c r="E5979" s="36" t="s">
        <v>2741</v>
      </c>
      <c r="J5979" s="87">
        <v>1168200</v>
      </c>
      <c r="K5979" s="85">
        <v>2025</v>
      </c>
      <c r="L5979" s="85">
        <v>2</v>
      </c>
      <c r="N5979" s="1" t="s">
        <v>44</v>
      </c>
    </row>
    <row r="5980" spans="1:14">
      <c r="A5980" s="36" t="s">
        <v>33</v>
      </c>
      <c r="B5980" s="37">
        <v>45747</v>
      </c>
      <c r="C5980" s="36" t="s">
        <v>2188</v>
      </c>
      <c r="D5980" s="36" t="s">
        <v>2758</v>
      </c>
      <c r="E5980" s="36" t="s">
        <v>2742</v>
      </c>
      <c r="J5980" s="87">
        <v>465300</v>
      </c>
      <c r="K5980" s="85">
        <v>2025</v>
      </c>
      <c r="L5980" s="85">
        <v>2</v>
      </c>
      <c r="N5980" s="1" t="s">
        <v>44</v>
      </c>
    </row>
    <row r="5981" spans="1:14">
      <c r="A5981" s="36" t="s">
        <v>33</v>
      </c>
      <c r="B5981" s="37">
        <v>45747</v>
      </c>
      <c r="C5981" s="36" t="s">
        <v>81</v>
      </c>
      <c r="D5981" s="36" t="s">
        <v>2765</v>
      </c>
      <c r="E5981" s="36" t="s">
        <v>2530</v>
      </c>
      <c r="J5981" s="87">
        <v>6152980.9000000004</v>
      </c>
      <c r="K5981" s="85">
        <v>2025</v>
      </c>
      <c r="L5981" s="85">
        <v>3</v>
      </c>
      <c r="M5981" s="36" t="s">
        <v>2716</v>
      </c>
      <c r="N5981" s="1" t="s">
        <v>44</v>
      </c>
    </row>
    <row r="5982" spans="1:14">
      <c r="A5982" s="36" t="s">
        <v>33</v>
      </c>
      <c r="B5982" s="37">
        <v>45747</v>
      </c>
      <c r="C5982" s="36" t="s">
        <v>2623</v>
      </c>
      <c r="D5982" s="36" t="s">
        <v>2710</v>
      </c>
      <c r="E5982" s="36" t="s">
        <v>2743</v>
      </c>
      <c r="J5982" s="87">
        <v>113037100</v>
      </c>
      <c r="K5982" s="85">
        <v>2025</v>
      </c>
      <c r="L5982" s="85">
        <v>2</v>
      </c>
      <c r="N5982" s="1" t="s">
        <v>44</v>
      </c>
    </row>
    <row r="5983" spans="1:14">
      <c r="A5983" s="36" t="s">
        <v>33</v>
      </c>
      <c r="B5983" s="37">
        <v>45747</v>
      </c>
      <c r="C5983" s="36" t="s">
        <v>2623</v>
      </c>
      <c r="D5983" s="36" t="s">
        <v>2711</v>
      </c>
      <c r="E5983" s="36" t="s">
        <v>2744</v>
      </c>
      <c r="J5983" s="87">
        <v>94085750</v>
      </c>
      <c r="K5983" s="85">
        <v>2025</v>
      </c>
      <c r="L5983" s="85">
        <v>2</v>
      </c>
      <c r="N5983" s="1" t="s">
        <v>44</v>
      </c>
    </row>
    <row r="5984" spans="1:14">
      <c r="A5984" s="36" t="s">
        <v>32</v>
      </c>
      <c r="B5984" s="37">
        <v>45747</v>
      </c>
      <c r="C5984" s="36" t="s">
        <v>2696</v>
      </c>
      <c r="D5984" s="36" t="s">
        <v>2684</v>
      </c>
      <c r="E5984" s="36" t="s">
        <v>148</v>
      </c>
      <c r="J5984" s="87">
        <v>2288000</v>
      </c>
      <c r="K5984" s="85">
        <v>2025</v>
      </c>
      <c r="L5984" s="85">
        <v>2</v>
      </c>
      <c r="N5984" s="1" t="s">
        <v>44</v>
      </c>
    </row>
    <row r="5985" spans="1:14">
      <c r="A5985" s="36" t="s">
        <v>32</v>
      </c>
      <c r="B5985" s="37">
        <v>45747</v>
      </c>
      <c r="C5985" s="36" t="s">
        <v>264</v>
      </c>
      <c r="D5985" s="36" t="s">
        <v>2688</v>
      </c>
      <c r="E5985" s="36" t="s">
        <v>148</v>
      </c>
      <c r="J5985" s="87">
        <v>17820000</v>
      </c>
      <c r="K5985" s="85">
        <v>2025</v>
      </c>
      <c r="L5985" s="85">
        <v>2</v>
      </c>
      <c r="N5985" s="1" t="s">
        <v>44</v>
      </c>
    </row>
    <row r="5986" spans="1:14">
      <c r="A5986" s="36" t="s">
        <v>32</v>
      </c>
      <c r="B5986" s="37">
        <v>45716</v>
      </c>
      <c r="C5986" s="36" t="s">
        <v>2395</v>
      </c>
      <c r="D5986" s="36" t="s">
        <v>2369</v>
      </c>
      <c r="E5986" s="36" t="s">
        <v>148</v>
      </c>
      <c r="J5986" s="87">
        <v>79478630</v>
      </c>
      <c r="K5986" s="85">
        <v>2025</v>
      </c>
      <c r="L5986" s="85">
        <v>2</v>
      </c>
      <c r="N5986" s="1" t="s">
        <v>44</v>
      </c>
    </row>
    <row r="5987" spans="1:14">
      <c r="A5987" s="36" t="s">
        <v>33</v>
      </c>
      <c r="B5987" s="37">
        <v>45748</v>
      </c>
      <c r="C5987" s="36" t="s">
        <v>2368</v>
      </c>
      <c r="D5987" s="36" t="s">
        <v>2369</v>
      </c>
      <c r="E5987" s="36" t="s">
        <v>148</v>
      </c>
      <c r="J5987" s="87">
        <v>1724800</v>
      </c>
      <c r="K5987" s="85">
        <v>2025</v>
      </c>
      <c r="L5987" s="85">
        <v>1</v>
      </c>
      <c r="N5987" s="1" t="s">
        <v>44</v>
      </c>
    </row>
    <row r="5988" spans="1:14">
      <c r="A5988" s="36" t="s">
        <v>33</v>
      </c>
      <c r="B5988" s="37">
        <v>45748</v>
      </c>
      <c r="C5988" s="36" t="s">
        <v>2368</v>
      </c>
      <c r="D5988" s="36" t="s">
        <v>2369</v>
      </c>
      <c r="E5988" s="36" t="s">
        <v>148</v>
      </c>
      <c r="J5988" s="87">
        <v>2125200</v>
      </c>
      <c r="K5988" s="85">
        <v>2025</v>
      </c>
      <c r="L5988" s="85">
        <v>2</v>
      </c>
      <c r="N5988" s="1" t="s">
        <v>44</v>
      </c>
    </row>
    <row r="5989" spans="1:14">
      <c r="A5989" s="36" t="s">
        <v>33</v>
      </c>
      <c r="B5989" s="37">
        <v>45748</v>
      </c>
      <c r="C5989" s="36" t="s">
        <v>2536</v>
      </c>
      <c r="D5989" s="36" t="s">
        <v>2537</v>
      </c>
      <c r="E5989" s="36" t="s">
        <v>148</v>
      </c>
      <c r="J5989" s="87">
        <v>169400</v>
      </c>
      <c r="K5989" s="85">
        <v>2025</v>
      </c>
      <c r="L5989" s="85">
        <v>1</v>
      </c>
      <c r="N5989" s="1" t="s">
        <v>44</v>
      </c>
    </row>
    <row r="5990" spans="1:14">
      <c r="A5990" s="36" t="s">
        <v>33</v>
      </c>
      <c r="B5990" s="37">
        <v>45748</v>
      </c>
      <c r="C5990" s="36" t="s">
        <v>2698</v>
      </c>
      <c r="D5990" s="36" t="s">
        <v>2537</v>
      </c>
      <c r="E5990" s="36" t="s">
        <v>148</v>
      </c>
      <c r="J5990" s="87">
        <v>737000</v>
      </c>
      <c r="K5990" s="85">
        <v>2025</v>
      </c>
      <c r="L5990" s="85">
        <v>2</v>
      </c>
      <c r="N5990" s="1" t="s">
        <v>44</v>
      </c>
    </row>
    <row r="5991" spans="1:14">
      <c r="A5991" s="36" t="s">
        <v>33</v>
      </c>
      <c r="B5991" s="37">
        <v>45748</v>
      </c>
      <c r="C5991" s="36" t="s">
        <v>2188</v>
      </c>
      <c r="D5991" s="36" t="s">
        <v>2324</v>
      </c>
      <c r="E5991" s="36" t="s">
        <v>148</v>
      </c>
      <c r="J5991" s="87">
        <v>32736</v>
      </c>
      <c r="K5991" s="85">
        <v>2025</v>
      </c>
      <c r="L5991" s="85">
        <v>1</v>
      </c>
      <c r="N5991" s="1" t="s">
        <v>44</v>
      </c>
    </row>
    <row r="5992" spans="1:14">
      <c r="A5992" s="36" t="s">
        <v>33</v>
      </c>
      <c r="B5992" s="37">
        <v>45748</v>
      </c>
      <c r="C5992" s="36" t="s">
        <v>2188</v>
      </c>
      <c r="D5992" s="36" t="s">
        <v>2324</v>
      </c>
      <c r="E5992" s="36" t="s">
        <v>148</v>
      </c>
      <c r="J5992" s="87">
        <v>815540</v>
      </c>
      <c r="K5992" s="85">
        <v>2025</v>
      </c>
      <c r="L5992" s="85">
        <v>2</v>
      </c>
      <c r="N5992" s="1" t="s">
        <v>44</v>
      </c>
    </row>
    <row r="5993" spans="1:14">
      <c r="A5993" s="36" t="s">
        <v>33</v>
      </c>
      <c r="B5993" s="37">
        <v>45744</v>
      </c>
      <c r="C5993" s="36" t="s">
        <v>2745</v>
      </c>
      <c r="D5993" s="36" t="s">
        <v>2746</v>
      </c>
      <c r="E5993" s="36" t="s">
        <v>2747</v>
      </c>
      <c r="G5993" s="87">
        <v>1850200</v>
      </c>
      <c r="H5993" s="87">
        <v>185020</v>
      </c>
      <c r="I5993" s="87">
        <v>2035220</v>
      </c>
      <c r="K5993" s="85">
        <v>2025</v>
      </c>
      <c r="L5993" s="85">
        <v>3</v>
      </c>
      <c r="N5993" s="1" t="s">
        <v>44</v>
      </c>
    </row>
    <row r="5994" spans="1:14">
      <c r="A5994" s="36" t="s">
        <v>33</v>
      </c>
      <c r="B5994" s="37">
        <v>45747</v>
      </c>
      <c r="C5994" s="36" t="s">
        <v>2122</v>
      </c>
      <c r="D5994" s="36" t="s">
        <v>2207</v>
      </c>
      <c r="E5994" s="36" t="s">
        <v>157</v>
      </c>
      <c r="G5994" s="87">
        <v>140000</v>
      </c>
      <c r="H5994" s="87">
        <v>14000</v>
      </c>
      <c r="I5994" s="87">
        <v>154000</v>
      </c>
      <c r="K5994" s="85">
        <v>2025</v>
      </c>
      <c r="L5994" s="85">
        <v>3</v>
      </c>
      <c r="N5994" s="1" t="s">
        <v>44</v>
      </c>
    </row>
    <row r="5995" spans="1:14">
      <c r="A5995" s="36" t="s">
        <v>32</v>
      </c>
      <c r="B5995" s="37">
        <v>45748</v>
      </c>
      <c r="C5995" s="36" t="s">
        <v>334</v>
      </c>
      <c r="D5995" s="36" t="s">
        <v>2682</v>
      </c>
      <c r="E5995" s="36" t="s">
        <v>2748</v>
      </c>
      <c r="J5995" s="87">
        <v>1650000</v>
      </c>
      <c r="K5995" s="85">
        <v>2025</v>
      </c>
      <c r="L5995" s="85">
        <v>2</v>
      </c>
      <c r="N5995" s="1" t="s">
        <v>44</v>
      </c>
    </row>
    <row r="5996" spans="1:14">
      <c r="A5996" s="36" t="s">
        <v>33</v>
      </c>
      <c r="B5996" s="37">
        <v>45688</v>
      </c>
      <c r="C5996" s="36" t="s">
        <v>2417</v>
      </c>
      <c r="D5996" s="36" t="s">
        <v>2369</v>
      </c>
      <c r="E5996" s="36" t="s">
        <v>157</v>
      </c>
      <c r="G5996" s="87">
        <v>-1190000</v>
      </c>
      <c r="H5996" s="87">
        <v>-119000</v>
      </c>
      <c r="I5996" s="87">
        <v>-1309000</v>
      </c>
      <c r="K5996" s="85">
        <v>2025</v>
      </c>
      <c r="L5996" s="85">
        <v>1</v>
      </c>
      <c r="N5996" s="1" t="s">
        <v>44</v>
      </c>
    </row>
    <row r="5997" spans="1:14">
      <c r="A5997" s="36" t="s">
        <v>33</v>
      </c>
      <c r="B5997" s="37">
        <v>45748</v>
      </c>
      <c r="C5997" s="36" t="s">
        <v>2704</v>
      </c>
      <c r="D5997" s="36" t="s">
        <v>2749</v>
      </c>
      <c r="E5997" s="36" t="s">
        <v>148</v>
      </c>
      <c r="J5997" s="87">
        <v>2849000</v>
      </c>
      <c r="K5997" s="85">
        <v>2025</v>
      </c>
      <c r="L5997" s="85">
        <v>2</v>
      </c>
      <c r="N5997" s="1" t="s">
        <v>44</v>
      </c>
    </row>
    <row r="5998" spans="1:14">
      <c r="A5998" s="36" t="s">
        <v>33</v>
      </c>
      <c r="B5998" s="37">
        <v>45747</v>
      </c>
      <c r="C5998" s="36" t="s">
        <v>2750</v>
      </c>
      <c r="D5998" s="36" t="s">
        <v>2464</v>
      </c>
      <c r="E5998" s="36" t="s">
        <v>2751</v>
      </c>
      <c r="G5998" s="87">
        <v>920000</v>
      </c>
      <c r="H5998" s="87">
        <v>92000</v>
      </c>
      <c r="I5998" s="87">
        <v>1012000</v>
      </c>
      <c r="K5998" s="85">
        <v>2025</v>
      </c>
      <c r="L5998" s="85">
        <v>3</v>
      </c>
      <c r="N5998" s="1" t="s">
        <v>44</v>
      </c>
    </row>
    <row r="5999" spans="1:14">
      <c r="A5999" s="36" t="s">
        <v>33</v>
      </c>
      <c r="B5999" s="37">
        <v>45747</v>
      </c>
      <c r="C5999" s="36" t="s">
        <v>2322</v>
      </c>
      <c r="D5999" s="36" t="s">
        <v>197</v>
      </c>
      <c r="E5999" s="36" t="s">
        <v>2119</v>
      </c>
      <c r="G5999" s="87">
        <v>285000</v>
      </c>
      <c r="H5999" s="87">
        <v>28500</v>
      </c>
      <c r="I5999" s="87">
        <v>313500</v>
      </c>
      <c r="K5999" s="85">
        <v>2025</v>
      </c>
      <c r="L5999" s="85">
        <v>3</v>
      </c>
      <c r="N5999" s="1" t="s">
        <v>44</v>
      </c>
    </row>
    <row r="6000" spans="1:14">
      <c r="A6000" s="36" t="s">
        <v>33</v>
      </c>
      <c r="B6000" s="37">
        <v>45747</v>
      </c>
      <c r="C6000" s="36" t="s">
        <v>2540</v>
      </c>
      <c r="D6000" s="36" t="s">
        <v>2541</v>
      </c>
      <c r="E6000" s="36" t="s">
        <v>469</v>
      </c>
      <c r="G6000" s="87">
        <v>3077500</v>
      </c>
      <c r="H6000" s="87">
        <v>307750</v>
      </c>
      <c r="I6000" s="87">
        <v>3385250</v>
      </c>
      <c r="K6000" s="85">
        <v>2025</v>
      </c>
      <c r="L6000" s="85">
        <v>3</v>
      </c>
      <c r="N6000" s="1" t="s">
        <v>44</v>
      </c>
    </row>
    <row r="6001" spans="1:14">
      <c r="A6001" s="36" t="s">
        <v>33</v>
      </c>
      <c r="B6001" s="37">
        <v>45747</v>
      </c>
      <c r="C6001" s="36" t="s">
        <v>2803</v>
      </c>
      <c r="D6001" s="36" t="s">
        <v>2271</v>
      </c>
      <c r="E6001" s="36" t="s">
        <v>2458</v>
      </c>
      <c r="G6001" s="87">
        <v>749000</v>
      </c>
      <c r="H6001" s="87">
        <v>74900</v>
      </c>
      <c r="I6001" s="87">
        <v>823900</v>
      </c>
      <c r="K6001" s="85">
        <v>2025</v>
      </c>
      <c r="L6001" s="85">
        <v>3</v>
      </c>
      <c r="N6001" s="1" t="s">
        <v>44</v>
      </c>
    </row>
    <row r="6002" spans="1:14">
      <c r="A6002" s="36" t="s">
        <v>32</v>
      </c>
      <c r="B6002" s="37">
        <v>45749</v>
      </c>
      <c r="C6002" s="36" t="s">
        <v>2671</v>
      </c>
      <c r="D6002" s="36" t="s">
        <v>2683</v>
      </c>
      <c r="E6002" s="36" t="s">
        <v>148</v>
      </c>
      <c r="J6002" s="87">
        <v>1360705.5</v>
      </c>
      <c r="K6002" s="85">
        <v>2025</v>
      </c>
      <c r="L6002" s="85">
        <v>2</v>
      </c>
      <c r="N6002" s="1" t="s">
        <v>44</v>
      </c>
    </row>
    <row r="6003" spans="1:14">
      <c r="A6003" s="36" t="s">
        <v>32</v>
      </c>
      <c r="B6003" s="37">
        <v>45750</v>
      </c>
      <c r="C6003" s="36" t="s">
        <v>1587</v>
      </c>
      <c r="D6003" s="36" t="s">
        <v>2271</v>
      </c>
      <c r="E6003" s="36" t="s">
        <v>2602</v>
      </c>
      <c r="J6003" s="87">
        <v>6926920</v>
      </c>
      <c r="K6003" s="85">
        <v>2024</v>
      </c>
      <c r="L6003" s="85">
        <v>12</v>
      </c>
      <c r="N6003" s="1" t="s">
        <v>44</v>
      </c>
    </row>
    <row r="6004" spans="1:14">
      <c r="A6004" s="36" t="s">
        <v>32</v>
      </c>
      <c r="B6004" s="37">
        <v>45716</v>
      </c>
      <c r="C6004" s="36" t="s">
        <v>2543</v>
      </c>
      <c r="D6004" s="36" t="s">
        <v>2554</v>
      </c>
      <c r="E6004" s="36" t="s">
        <v>2234</v>
      </c>
      <c r="G6004" s="87">
        <v>-5368000</v>
      </c>
      <c r="H6004" s="87">
        <v>-536800</v>
      </c>
      <c r="I6004" s="87">
        <v>-5904800</v>
      </c>
      <c r="K6004" s="85">
        <v>2025</v>
      </c>
      <c r="L6004" s="85">
        <v>2</v>
      </c>
      <c r="N6004" s="1" t="s">
        <v>44</v>
      </c>
    </row>
    <row r="6005" spans="1:14">
      <c r="A6005" s="36" t="s">
        <v>33</v>
      </c>
      <c r="B6005" s="37">
        <v>45747</v>
      </c>
      <c r="C6005" s="36" t="s">
        <v>1503</v>
      </c>
      <c r="D6005" s="36" t="s">
        <v>2905</v>
      </c>
      <c r="E6005" s="36" t="s">
        <v>2752</v>
      </c>
      <c r="G6005" s="87">
        <v>1600000</v>
      </c>
      <c r="H6005" s="87">
        <v>160000</v>
      </c>
      <c r="I6005" s="87">
        <v>1760000</v>
      </c>
      <c r="K6005" s="85">
        <v>2025</v>
      </c>
      <c r="L6005" s="85">
        <v>3</v>
      </c>
      <c r="N6005" s="1" t="s">
        <v>44</v>
      </c>
    </row>
    <row r="6006" spans="1:14">
      <c r="A6006" s="36" t="s">
        <v>33</v>
      </c>
      <c r="B6006" s="37">
        <v>45747</v>
      </c>
      <c r="C6006" s="36" t="s">
        <v>2587</v>
      </c>
      <c r="D6006" s="36" t="s">
        <v>2588</v>
      </c>
      <c r="E6006" s="36" t="s">
        <v>2115</v>
      </c>
      <c r="G6006" s="87">
        <v>1722500</v>
      </c>
      <c r="H6006" s="87">
        <v>172250</v>
      </c>
      <c r="I6006" s="87">
        <v>1894750</v>
      </c>
      <c r="K6006" s="85">
        <v>2025</v>
      </c>
      <c r="L6006" s="85">
        <v>3</v>
      </c>
      <c r="N6006" s="1" t="s">
        <v>44</v>
      </c>
    </row>
    <row r="6007" spans="1:14">
      <c r="A6007" s="36" t="s">
        <v>32</v>
      </c>
      <c r="B6007" s="37">
        <v>45717</v>
      </c>
      <c r="C6007" s="36" t="s">
        <v>2278</v>
      </c>
      <c r="D6007" s="36" t="s">
        <v>2280</v>
      </c>
      <c r="E6007" s="36" t="s">
        <v>2260</v>
      </c>
      <c r="G6007" s="87">
        <v>-2000000</v>
      </c>
      <c r="H6007" s="87">
        <v>-200000</v>
      </c>
      <c r="I6007" s="87">
        <v>-2200000</v>
      </c>
      <c r="K6007" s="85">
        <v>2024</v>
      </c>
      <c r="L6007" s="85">
        <v>8</v>
      </c>
      <c r="N6007" s="1" t="s">
        <v>44</v>
      </c>
    </row>
    <row r="6008" spans="1:14">
      <c r="A6008" s="36" t="s">
        <v>33</v>
      </c>
      <c r="B6008" s="37">
        <v>45747</v>
      </c>
      <c r="C6008" s="36" t="s">
        <v>2704</v>
      </c>
      <c r="D6008" s="36" t="s">
        <v>2369</v>
      </c>
      <c r="E6008" s="36" t="s">
        <v>2753</v>
      </c>
      <c r="G6008" s="87">
        <v>3920000</v>
      </c>
      <c r="H6008" s="87">
        <v>392000</v>
      </c>
      <c r="I6008" s="87">
        <v>4312000</v>
      </c>
      <c r="K6008" s="85">
        <v>2025</v>
      </c>
      <c r="L6008" s="85">
        <v>3</v>
      </c>
      <c r="N6008" s="1" t="s">
        <v>44</v>
      </c>
    </row>
    <row r="6009" spans="1:14">
      <c r="A6009" s="36" t="s">
        <v>33</v>
      </c>
      <c r="B6009" s="37">
        <v>45747</v>
      </c>
      <c r="C6009" s="36" t="s">
        <v>2368</v>
      </c>
      <c r="D6009" s="36" t="s">
        <v>2369</v>
      </c>
      <c r="E6009" s="36" t="s">
        <v>2370</v>
      </c>
      <c r="G6009" s="87">
        <v>4053000</v>
      </c>
      <c r="H6009" s="87">
        <v>405300</v>
      </c>
      <c r="I6009" s="87">
        <v>4458300</v>
      </c>
      <c r="K6009" s="85">
        <v>2025</v>
      </c>
      <c r="L6009" s="85">
        <v>3</v>
      </c>
      <c r="N6009" s="1" t="s">
        <v>44</v>
      </c>
    </row>
    <row r="6010" spans="1:14">
      <c r="A6010" s="36" t="s">
        <v>33</v>
      </c>
      <c r="B6010" s="37">
        <v>45751</v>
      </c>
      <c r="C6010" s="36" t="s">
        <v>2211</v>
      </c>
      <c r="D6010" s="36" t="s">
        <v>2266</v>
      </c>
      <c r="E6010" s="36" t="s">
        <v>2754</v>
      </c>
      <c r="J6010" s="87">
        <v>792000</v>
      </c>
      <c r="K6010" s="85">
        <v>2024</v>
      </c>
      <c r="L6010" s="85">
        <v>8</v>
      </c>
      <c r="N6010" s="1" t="s">
        <v>44</v>
      </c>
    </row>
    <row r="6011" spans="1:14">
      <c r="A6011" s="36" t="s">
        <v>32</v>
      </c>
      <c r="B6011" s="37">
        <v>45754</v>
      </c>
      <c r="C6011" s="36" t="s">
        <v>2670</v>
      </c>
      <c r="D6011" s="36" t="s">
        <v>2675</v>
      </c>
      <c r="E6011" s="36" t="s">
        <v>77</v>
      </c>
      <c r="J6011" s="38">
        <v>671000</v>
      </c>
      <c r="K6011" s="85">
        <v>2025</v>
      </c>
      <c r="L6011" s="85">
        <v>2</v>
      </c>
      <c r="N6011" s="1" t="s">
        <v>44</v>
      </c>
    </row>
    <row r="6012" spans="1:14">
      <c r="A6012" s="36" t="s">
        <v>33</v>
      </c>
      <c r="B6012" s="37">
        <v>45747</v>
      </c>
      <c r="C6012" s="36" t="s">
        <v>81</v>
      </c>
      <c r="D6012" s="36" t="s">
        <v>2271</v>
      </c>
      <c r="E6012" s="36" t="s">
        <v>2759</v>
      </c>
      <c r="G6012" s="87">
        <v>17973288</v>
      </c>
      <c r="H6012" s="87">
        <v>1797328</v>
      </c>
      <c r="I6012" s="87">
        <v>19770616</v>
      </c>
      <c r="K6012" s="85">
        <v>2025</v>
      </c>
      <c r="L6012" s="85">
        <v>3</v>
      </c>
      <c r="N6012" s="1" t="s">
        <v>44</v>
      </c>
    </row>
    <row r="6013" spans="1:14">
      <c r="A6013" s="36" t="s">
        <v>33</v>
      </c>
      <c r="B6013" s="37">
        <v>45747</v>
      </c>
      <c r="C6013" s="36" t="s">
        <v>81</v>
      </c>
      <c r="D6013" s="36" t="s">
        <v>2762</v>
      </c>
      <c r="E6013" s="36" t="s">
        <v>2760</v>
      </c>
      <c r="G6013" s="87">
        <v>4445000</v>
      </c>
      <c r="H6013" s="87">
        <v>444500</v>
      </c>
      <c r="I6013" s="87">
        <v>4889500</v>
      </c>
      <c r="K6013" s="85">
        <v>2025</v>
      </c>
      <c r="L6013" s="85">
        <v>3</v>
      </c>
      <c r="N6013" s="1" t="s">
        <v>44</v>
      </c>
    </row>
    <row r="6014" spans="1:14">
      <c r="A6014" s="36" t="s">
        <v>33</v>
      </c>
      <c r="B6014" s="37">
        <v>45741</v>
      </c>
      <c r="C6014" s="36" t="s">
        <v>1569</v>
      </c>
      <c r="D6014" s="36" t="s">
        <v>1431</v>
      </c>
      <c r="E6014" s="36" t="s">
        <v>2761</v>
      </c>
      <c r="G6014" s="87">
        <v>1905200</v>
      </c>
      <c r="H6014" s="87">
        <v>190520</v>
      </c>
      <c r="I6014" s="87">
        <v>2095720</v>
      </c>
      <c r="K6014" s="85">
        <v>2025</v>
      </c>
      <c r="L6014" s="85">
        <v>3</v>
      </c>
      <c r="N6014" s="1" t="s">
        <v>44</v>
      </c>
    </row>
    <row r="6015" spans="1:14">
      <c r="A6015" s="36" t="s">
        <v>33</v>
      </c>
      <c r="B6015" s="37">
        <v>45741</v>
      </c>
      <c r="C6015" s="36" t="s">
        <v>1569</v>
      </c>
      <c r="D6015" s="36" t="s">
        <v>2719</v>
      </c>
      <c r="E6015" s="36" t="s">
        <v>2761</v>
      </c>
      <c r="G6015" s="87">
        <v>1428000</v>
      </c>
      <c r="H6015" s="87">
        <v>142800</v>
      </c>
      <c r="I6015" s="87">
        <v>1570800</v>
      </c>
      <c r="K6015" s="85">
        <v>2025</v>
      </c>
      <c r="L6015" s="85">
        <v>3</v>
      </c>
      <c r="N6015" s="1" t="s">
        <v>44</v>
      </c>
    </row>
    <row r="6016" spans="1:14">
      <c r="A6016" s="36" t="s">
        <v>33</v>
      </c>
      <c r="B6016" s="37">
        <v>45741</v>
      </c>
      <c r="C6016" s="36" t="s">
        <v>1569</v>
      </c>
      <c r="D6016" s="36" t="s">
        <v>2700</v>
      </c>
      <c r="E6016" s="36" t="s">
        <v>2761</v>
      </c>
      <c r="G6016" s="87">
        <v>1480800</v>
      </c>
      <c r="H6016" s="87">
        <v>148080</v>
      </c>
      <c r="I6016" s="87">
        <v>1628880</v>
      </c>
      <c r="K6016" s="85">
        <v>2025</v>
      </c>
      <c r="L6016" s="85">
        <v>3</v>
      </c>
      <c r="N6016" s="1" t="s">
        <v>44</v>
      </c>
    </row>
    <row r="6017" spans="1:14">
      <c r="A6017" s="36" t="s">
        <v>33</v>
      </c>
      <c r="B6017" s="37">
        <v>45747</v>
      </c>
      <c r="C6017" s="36" t="s">
        <v>2188</v>
      </c>
      <c r="D6017" s="36" t="s">
        <v>2755</v>
      </c>
      <c r="E6017" s="36" t="s">
        <v>1560</v>
      </c>
      <c r="G6017" s="87">
        <v>532800</v>
      </c>
      <c r="H6017" s="87">
        <v>53280</v>
      </c>
      <c r="I6017" s="87">
        <v>586080</v>
      </c>
      <c r="K6017" s="85">
        <v>2025</v>
      </c>
      <c r="L6017" s="85">
        <v>3</v>
      </c>
      <c r="N6017" s="1" t="s">
        <v>44</v>
      </c>
    </row>
    <row r="6018" spans="1:14">
      <c r="A6018" s="36" t="s">
        <v>33</v>
      </c>
      <c r="B6018" s="37">
        <v>45747</v>
      </c>
      <c r="C6018" s="36" t="s">
        <v>2188</v>
      </c>
      <c r="D6018" s="36" t="s">
        <v>2757</v>
      </c>
      <c r="E6018" s="36" t="s">
        <v>2465</v>
      </c>
      <c r="G6018" s="87">
        <v>2544200</v>
      </c>
      <c r="H6018" s="87">
        <v>254420</v>
      </c>
      <c r="I6018" s="87">
        <v>2798620</v>
      </c>
      <c r="K6018" s="85">
        <v>2025</v>
      </c>
      <c r="L6018" s="85">
        <v>3</v>
      </c>
      <c r="N6018" s="1" t="s">
        <v>44</v>
      </c>
    </row>
    <row r="6019" spans="1:14">
      <c r="A6019" s="36" t="s">
        <v>33</v>
      </c>
      <c r="B6019" s="37">
        <v>45747</v>
      </c>
      <c r="C6019" s="36" t="s">
        <v>2536</v>
      </c>
      <c r="D6019" s="36" t="s">
        <v>2369</v>
      </c>
      <c r="E6019" s="36" t="s">
        <v>2537</v>
      </c>
      <c r="G6019" s="87">
        <v>895000</v>
      </c>
      <c r="H6019" s="87">
        <v>89500</v>
      </c>
      <c r="I6019" s="87">
        <v>984500</v>
      </c>
      <c r="K6019" s="85">
        <v>2025</v>
      </c>
      <c r="L6019" s="85">
        <v>3</v>
      </c>
      <c r="N6019" s="1" t="s">
        <v>44</v>
      </c>
    </row>
    <row r="6020" spans="1:14">
      <c r="A6020" s="36" t="s">
        <v>33</v>
      </c>
      <c r="B6020" s="37">
        <v>45755</v>
      </c>
      <c r="C6020" s="36" t="s">
        <v>2808</v>
      </c>
      <c r="D6020" s="36" t="s">
        <v>2763</v>
      </c>
      <c r="E6020" s="36" t="s">
        <v>2764</v>
      </c>
      <c r="G6020" s="87">
        <v>160000</v>
      </c>
      <c r="H6020" s="87">
        <v>16000</v>
      </c>
      <c r="I6020" s="87">
        <v>176000</v>
      </c>
      <c r="K6020" s="85">
        <v>2025</v>
      </c>
      <c r="L6020" s="85">
        <v>3</v>
      </c>
      <c r="N6020" s="1" t="s">
        <v>44</v>
      </c>
    </row>
    <row r="6021" spans="1:14">
      <c r="A6021" s="36" t="s">
        <v>33</v>
      </c>
      <c r="B6021" s="37">
        <v>45747</v>
      </c>
      <c r="C6021" s="36" t="s">
        <v>1391</v>
      </c>
      <c r="D6021" s="36" t="s">
        <v>197</v>
      </c>
      <c r="E6021" s="36" t="s">
        <v>1528</v>
      </c>
      <c r="G6021" s="87">
        <v>1442000</v>
      </c>
      <c r="H6021" s="87">
        <v>144200</v>
      </c>
      <c r="I6021" s="87">
        <v>1586200</v>
      </c>
      <c r="K6021" s="85">
        <v>2025</v>
      </c>
      <c r="L6021" s="85">
        <v>3</v>
      </c>
      <c r="N6021" s="1" t="s">
        <v>44</v>
      </c>
    </row>
    <row r="6022" spans="1:14">
      <c r="A6022" s="36" t="s">
        <v>33</v>
      </c>
      <c r="B6022" s="37">
        <v>45747</v>
      </c>
      <c r="C6022" s="36" t="s">
        <v>81</v>
      </c>
      <c r="D6022" s="36" t="s">
        <v>2466</v>
      </c>
      <c r="E6022" s="36" t="s">
        <v>1232</v>
      </c>
      <c r="G6022" s="87">
        <v>6364915</v>
      </c>
      <c r="H6022" s="87">
        <v>636491</v>
      </c>
      <c r="I6022" s="87">
        <v>7001406</v>
      </c>
      <c r="K6022" s="85">
        <v>2025</v>
      </c>
      <c r="L6022" s="85">
        <v>3</v>
      </c>
      <c r="N6022" s="1" t="s">
        <v>44</v>
      </c>
    </row>
    <row r="6023" spans="1:14">
      <c r="A6023" s="36" t="s">
        <v>33</v>
      </c>
      <c r="B6023" s="37">
        <v>45747</v>
      </c>
      <c r="C6023" s="36" t="s">
        <v>96</v>
      </c>
      <c r="D6023" s="36" t="s">
        <v>97</v>
      </c>
      <c r="E6023" s="36" t="s">
        <v>97</v>
      </c>
      <c r="G6023" s="87">
        <v>410000</v>
      </c>
      <c r="H6023" s="87">
        <v>41000</v>
      </c>
      <c r="I6023" s="87">
        <v>451000</v>
      </c>
      <c r="K6023" s="85">
        <v>2025</v>
      </c>
      <c r="L6023" s="85">
        <v>3</v>
      </c>
      <c r="N6023" s="1" t="s">
        <v>44</v>
      </c>
    </row>
    <row r="6024" spans="1:14">
      <c r="A6024" s="36" t="s">
        <v>33</v>
      </c>
      <c r="B6024" s="37">
        <v>45747</v>
      </c>
      <c r="C6024" s="36" t="s">
        <v>2116</v>
      </c>
      <c r="D6024" s="36" t="s">
        <v>2117</v>
      </c>
      <c r="E6024" s="36" t="s">
        <v>2118</v>
      </c>
      <c r="G6024" s="87">
        <v>1827000</v>
      </c>
      <c r="H6024" s="87">
        <v>182700</v>
      </c>
      <c r="I6024" s="87">
        <v>2009700</v>
      </c>
      <c r="K6024" s="85">
        <v>2025</v>
      </c>
      <c r="L6024" s="85">
        <v>3</v>
      </c>
      <c r="N6024" s="1" t="s">
        <v>44</v>
      </c>
    </row>
    <row r="6025" spans="1:14">
      <c r="A6025" s="36" t="s">
        <v>33</v>
      </c>
      <c r="B6025" s="37">
        <v>45747</v>
      </c>
      <c r="C6025" s="36" t="s">
        <v>2016</v>
      </c>
      <c r="D6025" s="36" t="s">
        <v>2621</v>
      </c>
      <c r="E6025" s="36" t="s">
        <v>1492</v>
      </c>
      <c r="G6025" s="87">
        <v>98411000</v>
      </c>
      <c r="H6025" s="87">
        <v>9841100</v>
      </c>
      <c r="I6025" s="87">
        <v>108252100</v>
      </c>
      <c r="K6025" s="85">
        <v>2025</v>
      </c>
      <c r="L6025" s="85">
        <v>3</v>
      </c>
      <c r="N6025" s="1" t="s">
        <v>44</v>
      </c>
    </row>
    <row r="6026" spans="1:14">
      <c r="A6026" s="36" t="s">
        <v>33</v>
      </c>
      <c r="B6026" s="37">
        <v>45747</v>
      </c>
      <c r="C6026" s="36" t="s">
        <v>2016</v>
      </c>
      <c r="D6026" s="36" t="s">
        <v>2467</v>
      </c>
      <c r="E6026" s="36" t="s">
        <v>1492</v>
      </c>
      <c r="G6026" s="87">
        <v>85060000</v>
      </c>
      <c r="H6026" s="87">
        <v>8506000</v>
      </c>
      <c r="I6026" s="87">
        <v>93566000</v>
      </c>
      <c r="K6026" s="85">
        <v>2025</v>
      </c>
      <c r="L6026" s="85">
        <v>3</v>
      </c>
      <c r="N6026" s="1" t="s">
        <v>44</v>
      </c>
    </row>
    <row r="6027" spans="1:14">
      <c r="A6027" s="36" t="s">
        <v>33</v>
      </c>
      <c r="B6027" s="37">
        <v>45747</v>
      </c>
      <c r="C6027" s="36" t="s">
        <v>2016</v>
      </c>
      <c r="D6027" s="36" t="s">
        <v>2468</v>
      </c>
      <c r="E6027" s="36" t="s">
        <v>1492</v>
      </c>
      <c r="G6027" s="87">
        <v>73581300</v>
      </c>
      <c r="H6027" s="87">
        <v>7358130</v>
      </c>
      <c r="I6027" s="87">
        <v>80939430</v>
      </c>
      <c r="K6027" s="85">
        <v>2025</v>
      </c>
      <c r="L6027" s="85">
        <v>3</v>
      </c>
      <c r="N6027" s="1" t="s">
        <v>44</v>
      </c>
    </row>
    <row r="6028" spans="1:14">
      <c r="A6028" s="36" t="s">
        <v>32</v>
      </c>
      <c r="B6028" s="37">
        <v>45717</v>
      </c>
      <c r="C6028" s="36" t="s">
        <v>2279</v>
      </c>
      <c r="D6028" s="36" t="s">
        <v>2579</v>
      </c>
      <c r="E6028" s="36" t="s">
        <v>78</v>
      </c>
      <c r="G6028" s="87">
        <v>3220000</v>
      </c>
      <c r="H6028" s="87">
        <v>322000</v>
      </c>
      <c r="I6028" s="87">
        <v>3542000</v>
      </c>
      <c r="K6028" s="85">
        <v>2025</v>
      </c>
      <c r="L6028" s="85">
        <v>3</v>
      </c>
      <c r="N6028" s="1" t="s">
        <v>44</v>
      </c>
    </row>
    <row r="6029" spans="1:14">
      <c r="A6029" s="36" t="s">
        <v>32</v>
      </c>
      <c r="B6029" s="37">
        <v>45735</v>
      </c>
      <c r="C6029" s="36" t="s">
        <v>209</v>
      </c>
      <c r="D6029" s="36" t="s">
        <v>2494</v>
      </c>
      <c r="E6029" s="36" t="s">
        <v>1492</v>
      </c>
      <c r="G6029" s="87">
        <v>1905200</v>
      </c>
      <c r="H6029" s="87">
        <v>190520</v>
      </c>
      <c r="I6029" s="87">
        <v>2095720</v>
      </c>
      <c r="K6029" s="85">
        <v>2025</v>
      </c>
      <c r="L6029" s="85">
        <v>3</v>
      </c>
      <c r="N6029" s="1" t="s">
        <v>44</v>
      </c>
    </row>
    <row r="6030" spans="1:14">
      <c r="A6030" s="36" t="s">
        <v>32</v>
      </c>
      <c r="B6030" s="37">
        <v>45735</v>
      </c>
      <c r="C6030" s="36" t="s">
        <v>209</v>
      </c>
      <c r="D6030" s="36" t="s">
        <v>2551</v>
      </c>
      <c r="E6030" s="36" t="s">
        <v>76</v>
      </c>
      <c r="G6030" s="87">
        <v>5752800</v>
      </c>
      <c r="H6030" s="87">
        <v>575280</v>
      </c>
      <c r="I6030" s="87">
        <v>6328080</v>
      </c>
      <c r="K6030" s="85">
        <v>2025</v>
      </c>
      <c r="L6030" s="85">
        <v>3</v>
      </c>
      <c r="N6030" s="1" t="s">
        <v>44</v>
      </c>
    </row>
    <row r="6031" spans="1:14">
      <c r="A6031" s="36" t="s">
        <v>32</v>
      </c>
      <c r="B6031" s="37">
        <v>45747</v>
      </c>
      <c r="C6031" s="36" t="s">
        <v>209</v>
      </c>
      <c r="D6031" s="36" t="s">
        <v>2637</v>
      </c>
      <c r="E6031" s="36" t="s">
        <v>76</v>
      </c>
      <c r="G6031" s="87">
        <v>43230400</v>
      </c>
      <c r="H6031" s="87">
        <v>4323040</v>
      </c>
      <c r="I6031" s="87">
        <v>47553440</v>
      </c>
      <c r="K6031" s="85">
        <v>2025</v>
      </c>
      <c r="L6031" s="85">
        <v>3</v>
      </c>
      <c r="N6031" s="1" t="s">
        <v>44</v>
      </c>
    </row>
    <row r="6032" spans="1:14">
      <c r="A6032" s="36" t="s">
        <v>32</v>
      </c>
      <c r="B6032" s="37">
        <v>45747</v>
      </c>
      <c r="C6032" s="36" t="s">
        <v>209</v>
      </c>
      <c r="D6032" s="36" t="s">
        <v>2550</v>
      </c>
      <c r="E6032" s="36" t="s">
        <v>1492</v>
      </c>
      <c r="G6032" s="87">
        <v>3708800</v>
      </c>
      <c r="H6032" s="87">
        <v>370880</v>
      </c>
      <c r="I6032" s="87">
        <v>4079680</v>
      </c>
      <c r="K6032" s="85">
        <v>2025</v>
      </c>
      <c r="L6032" s="85">
        <v>3</v>
      </c>
      <c r="N6032" s="1" t="s">
        <v>44</v>
      </c>
    </row>
    <row r="6033" spans="1:14">
      <c r="A6033" s="36" t="s">
        <v>32</v>
      </c>
      <c r="B6033" s="37">
        <v>45735</v>
      </c>
      <c r="C6033" s="36" t="s">
        <v>2474</v>
      </c>
      <c r="D6033" s="36" t="s">
        <v>2691</v>
      </c>
      <c r="E6033" s="36" t="s">
        <v>78</v>
      </c>
      <c r="G6033" s="87">
        <v>1620000</v>
      </c>
      <c r="H6033" s="87">
        <v>162000</v>
      </c>
      <c r="I6033" s="87">
        <v>1782000</v>
      </c>
      <c r="K6033" s="85">
        <v>2025</v>
      </c>
      <c r="L6033" s="85">
        <v>3</v>
      </c>
      <c r="N6033" s="1" t="s">
        <v>44</v>
      </c>
    </row>
    <row r="6034" spans="1:14">
      <c r="A6034" s="36" t="s">
        <v>32</v>
      </c>
      <c r="B6034" s="37">
        <v>45737</v>
      </c>
      <c r="C6034" s="36" t="s">
        <v>2766</v>
      </c>
      <c r="D6034" s="36" t="s">
        <v>2681</v>
      </c>
      <c r="E6034" s="36" t="s">
        <v>78</v>
      </c>
      <c r="G6034" s="87">
        <v>25586000</v>
      </c>
      <c r="H6034" s="87">
        <v>2558600</v>
      </c>
      <c r="I6034" s="87">
        <v>28144600</v>
      </c>
      <c r="K6034" s="85">
        <v>2025</v>
      </c>
      <c r="L6034" s="85">
        <v>3</v>
      </c>
      <c r="N6034" s="1" t="s">
        <v>44</v>
      </c>
    </row>
    <row r="6035" spans="1:14">
      <c r="A6035" s="36" t="s">
        <v>32</v>
      </c>
      <c r="B6035" s="37">
        <v>45747</v>
      </c>
      <c r="C6035" s="36" t="s">
        <v>2767</v>
      </c>
      <c r="D6035" s="36" t="s">
        <v>2769</v>
      </c>
      <c r="E6035" s="36" t="s">
        <v>76</v>
      </c>
      <c r="G6035" s="87">
        <v>4800000</v>
      </c>
      <c r="H6035" s="87">
        <v>480000</v>
      </c>
      <c r="I6035" s="87">
        <v>5280000</v>
      </c>
      <c r="K6035" s="85">
        <v>2025</v>
      </c>
      <c r="L6035" s="85">
        <v>3</v>
      </c>
      <c r="N6035" s="1" t="s">
        <v>44</v>
      </c>
    </row>
    <row r="6036" spans="1:14">
      <c r="A6036" s="36" t="s">
        <v>32</v>
      </c>
      <c r="B6036" s="37">
        <v>45747</v>
      </c>
      <c r="C6036" s="36" t="s">
        <v>2768</v>
      </c>
      <c r="D6036" s="36" t="s">
        <v>2689</v>
      </c>
      <c r="E6036" s="36" t="s">
        <v>78</v>
      </c>
      <c r="G6036" s="87">
        <v>1200000</v>
      </c>
      <c r="H6036" s="87">
        <v>120000</v>
      </c>
      <c r="I6036" s="87">
        <v>1320000</v>
      </c>
      <c r="K6036" s="85">
        <v>2025</v>
      </c>
      <c r="L6036" s="85">
        <v>3</v>
      </c>
      <c r="N6036" s="1" t="s">
        <v>44</v>
      </c>
    </row>
    <row r="6037" spans="1:14">
      <c r="A6037" s="36" t="s">
        <v>32</v>
      </c>
      <c r="B6037" s="37">
        <v>45747</v>
      </c>
      <c r="C6037" s="36" t="s">
        <v>654</v>
      </c>
      <c r="D6037" s="36" t="s">
        <v>3045</v>
      </c>
      <c r="E6037" s="36" t="s">
        <v>76</v>
      </c>
      <c r="G6037" s="87">
        <v>3202440</v>
      </c>
      <c r="H6037" s="87">
        <v>320244</v>
      </c>
      <c r="I6037" s="87">
        <v>3522684</v>
      </c>
      <c r="K6037" s="85">
        <v>2025</v>
      </c>
      <c r="L6037" s="85">
        <v>3</v>
      </c>
      <c r="N6037" s="1" t="s">
        <v>44</v>
      </c>
    </row>
    <row r="6038" spans="1:14">
      <c r="A6038" s="36" t="s">
        <v>32</v>
      </c>
      <c r="B6038" s="37">
        <v>45747</v>
      </c>
      <c r="C6038" s="36" t="s">
        <v>654</v>
      </c>
      <c r="D6038" s="36" t="s">
        <v>2770</v>
      </c>
      <c r="E6038" s="36" t="s">
        <v>76</v>
      </c>
      <c r="G6038" s="87">
        <v>18153960</v>
      </c>
      <c r="H6038" s="87">
        <v>1815396</v>
      </c>
      <c r="I6038" s="87">
        <v>19969356</v>
      </c>
      <c r="K6038" s="85">
        <v>2025</v>
      </c>
      <c r="L6038" s="85">
        <v>3</v>
      </c>
      <c r="N6038" s="1" t="s">
        <v>44</v>
      </c>
    </row>
    <row r="6039" spans="1:14">
      <c r="A6039" s="36" t="s">
        <v>32</v>
      </c>
      <c r="B6039" s="37">
        <v>45747</v>
      </c>
      <c r="C6039" s="36" t="s">
        <v>654</v>
      </c>
      <c r="D6039" s="36" t="s">
        <v>2771</v>
      </c>
      <c r="E6039" s="36" t="s">
        <v>76</v>
      </c>
      <c r="G6039" s="87">
        <v>65325400</v>
      </c>
      <c r="H6039" s="87">
        <v>6532540</v>
      </c>
      <c r="I6039" s="87">
        <v>71857940</v>
      </c>
      <c r="K6039" s="85">
        <v>2025</v>
      </c>
      <c r="L6039" s="85">
        <v>3</v>
      </c>
      <c r="N6039" s="1" t="s">
        <v>44</v>
      </c>
    </row>
    <row r="6040" spans="1:14">
      <c r="A6040" s="36" t="s">
        <v>32</v>
      </c>
      <c r="B6040" s="37">
        <v>45747</v>
      </c>
      <c r="C6040" s="36" t="s">
        <v>2674</v>
      </c>
      <c r="D6040" s="36" t="s">
        <v>2687</v>
      </c>
      <c r="E6040" s="36" t="s">
        <v>76</v>
      </c>
      <c r="G6040" s="87">
        <v>20772000</v>
      </c>
      <c r="H6040" s="87">
        <v>2077200</v>
      </c>
      <c r="I6040" s="87">
        <v>22849200</v>
      </c>
      <c r="K6040" s="85">
        <v>2025</v>
      </c>
      <c r="L6040" s="85">
        <v>3</v>
      </c>
      <c r="N6040" s="1" t="s">
        <v>44</v>
      </c>
    </row>
    <row r="6041" spans="1:14">
      <c r="A6041" s="36" t="s">
        <v>32</v>
      </c>
      <c r="B6041" s="37">
        <v>45747</v>
      </c>
      <c r="C6041" s="36" t="s">
        <v>206</v>
      </c>
      <c r="D6041" s="36" t="s">
        <v>2776</v>
      </c>
      <c r="E6041" s="36" t="s">
        <v>76</v>
      </c>
      <c r="G6041" s="87">
        <v>9133000</v>
      </c>
      <c r="H6041" s="87">
        <v>913300</v>
      </c>
      <c r="I6041" s="87">
        <v>10046300</v>
      </c>
      <c r="K6041" s="85">
        <v>2025</v>
      </c>
      <c r="L6041" s="85">
        <v>3</v>
      </c>
      <c r="N6041" s="1" t="s">
        <v>44</v>
      </c>
    </row>
    <row r="6042" spans="1:14">
      <c r="A6042" s="36" t="s">
        <v>32</v>
      </c>
      <c r="B6042" s="37">
        <v>45747</v>
      </c>
      <c r="C6042" s="36" t="s">
        <v>2391</v>
      </c>
      <c r="D6042" s="36" t="s">
        <v>2401</v>
      </c>
      <c r="E6042" s="36" t="s">
        <v>2409</v>
      </c>
      <c r="G6042" s="87">
        <v>1200000</v>
      </c>
      <c r="H6042" s="87">
        <v>120000</v>
      </c>
      <c r="I6042" s="87">
        <v>1320000</v>
      </c>
      <c r="K6042" s="85">
        <v>2025</v>
      </c>
      <c r="L6042" s="85">
        <v>3</v>
      </c>
      <c r="N6042" s="1" t="s">
        <v>44</v>
      </c>
    </row>
    <row r="6043" spans="1:14">
      <c r="A6043" s="36" t="s">
        <v>32</v>
      </c>
      <c r="B6043" s="37">
        <v>45747</v>
      </c>
      <c r="C6043" s="36" t="s">
        <v>2772</v>
      </c>
      <c r="D6043" s="36" t="s">
        <v>2777</v>
      </c>
      <c r="E6043" s="36" t="s">
        <v>78</v>
      </c>
      <c r="G6043" s="87">
        <v>5368000</v>
      </c>
      <c r="H6043" s="87">
        <v>536800</v>
      </c>
      <c r="I6043" s="87">
        <v>5904800</v>
      </c>
      <c r="K6043" s="85">
        <v>2025</v>
      </c>
      <c r="L6043" s="85">
        <v>3</v>
      </c>
      <c r="N6043" s="1" t="s">
        <v>44</v>
      </c>
    </row>
    <row r="6044" spans="1:14">
      <c r="A6044" s="36" t="s">
        <v>32</v>
      </c>
      <c r="B6044" s="37">
        <v>45747</v>
      </c>
      <c r="C6044" s="36" t="s">
        <v>2772</v>
      </c>
      <c r="D6044" s="36" t="s">
        <v>2778</v>
      </c>
      <c r="E6044" s="36" t="s">
        <v>78</v>
      </c>
      <c r="G6044" s="87">
        <v>1980000</v>
      </c>
      <c r="H6044" s="87">
        <v>198000</v>
      </c>
      <c r="I6044" s="87">
        <v>2178000</v>
      </c>
      <c r="K6044" s="85">
        <v>2025</v>
      </c>
      <c r="L6044" s="85">
        <v>3</v>
      </c>
      <c r="N6044" s="1" t="s">
        <v>44</v>
      </c>
    </row>
    <row r="6045" spans="1:14">
      <c r="A6045" s="36" t="s">
        <v>32</v>
      </c>
      <c r="B6045" s="37">
        <v>45747</v>
      </c>
      <c r="C6045" s="36" t="s">
        <v>1587</v>
      </c>
      <c r="D6045" s="36" t="s">
        <v>2779</v>
      </c>
      <c r="E6045" s="36" t="s">
        <v>78</v>
      </c>
      <c r="G6045" s="87">
        <v>8230000</v>
      </c>
      <c r="H6045" s="87">
        <v>823000</v>
      </c>
      <c r="I6045" s="87">
        <v>9053000</v>
      </c>
      <c r="K6045" s="85">
        <v>2025</v>
      </c>
      <c r="L6045" s="85">
        <v>3</v>
      </c>
      <c r="N6045" s="1" t="s">
        <v>44</v>
      </c>
    </row>
    <row r="6046" spans="1:14">
      <c r="A6046" s="36" t="s">
        <v>32</v>
      </c>
      <c r="B6046" s="37">
        <v>45747</v>
      </c>
      <c r="C6046" s="36" t="s">
        <v>1587</v>
      </c>
      <c r="D6046" s="36" t="s">
        <v>2780</v>
      </c>
      <c r="E6046" s="36" t="s">
        <v>78</v>
      </c>
      <c r="G6046" s="87">
        <v>6948000</v>
      </c>
      <c r="H6046" s="87">
        <v>694800</v>
      </c>
      <c r="I6046" s="87">
        <v>7642800</v>
      </c>
      <c r="K6046" s="85">
        <v>2025</v>
      </c>
      <c r="L6046" s="85">
        <v>3</v>
      </c>
      <c r="N6046" s="1" t="s">
        <v>44</v>
      </c>
    </row>
    <row r="6047" spans="1:14">
      <c r="A6047" s="36" t="s">
        <v>32</v>
      </c>
      <c r="B6047" s="37">
        <v>45747</v>
      </c>
      <c r="C6047" s="36" t="s">
        <v>2626</v>
      </c>
      <c r="D6047" s="36" t="s">
        <v>2636</v>
      </c>
      <c r="E6047" s="36" t="s">
        <v>76</v>
      </c>
      <c r="G6047" s="87">
        <v>2977953</v>
      </c>
      <c r="H6047" s="87">
        <v>297795.3</v>
      </c>
      <c r="I6047" s="87">
        <v>3275748.3</v>
      </c>
      <c r="K6047" s="85">
        <v>2025</v>
      </c>
      <c r="L6047" s="85">
        <v>3</v>
      </c>
      <c r="N6047" s="1" t="s">
        <v>44</v>
      </c>
    </row>
    <row r="6048" spans="1:14">
      <c r="A6048" s="36" t="s">
        <v>32</v>
      </c>
      <c r="B6048" s="37">
        <v>45747</v>
      </c>
      <c r="C6048" s="36" t="s">
        <v>661</v>
      </c>
      <c r="D6048" s="36" t="s">
        <v>2783</v>
      </c>
      <c r="E6048" s="36" t="s">
        <v>1492</v>
      </c>
      <c r="G6048" s="87">
        <v>9570000</v>
      </c>
      <c r="H6048" s="87">
        <v>957000</v>
      </c>
      <c r="I6048" s="87">
        <v>10527000</v>
      </c>
      <c r="K6048" s="85">
        <v>2025</v>
      </c>
      <c r="L6048" s="85">
        <v>3</v>
      </c>
      <c r="N6048" s="1" t="s">
        <v>44</v>
      </c>
    </row>
    <row r="6049" spans="1:14">
      <c r="A6049" s="36" t="s">
        <v>32</v>
      </c>
      <c r="B6049" s="37">
        <v>45747</v>
      </c>
      <c r="C6049" s="36" t="s">
        <v>2671</v>
      </c>
      <c r="D6049" s="36" t="s">
        <v>2683</v>
      </c>
      <c r="E6049" s="36" t="s">
        <v>76</v>
      </c>
      <c r="G6049" s="87">
        <v>7904005</v>
      </c>
      <c r="H6049" s="87">
        <v>790400.5</v>
      </c>
      <c r="I6049" s="87">
        <v>8694405.5</v>
      </c>
      <c r="K6049" s="85">
        <v>2025</v>
      </c>
      <c r="L6049" s="85">
        <v>3</v>
      </c>
      <c r="N6049" s="1" t="s">
        <v>44</v>
      </c>
    </row>
    <row r="6050" spans="1:14">
      <c r="A6050" s="36" t="s">
        <v>32</v>
      </c>
      <c r="B6050" s="37">
        <v>45747</v>
      </c>
      <c r="C6050" s="36" t="s">
        <v>2773</v>
      </c>
      <c r="D6050" s="36" t="s">
        <v>2689</v>
      </c>
      <c r="E6050" s="36" t="s">
        <v>269</v>
      </c>
      <c r="G6050" s="87">
        <v>10000000</v>
      </c>
      <c r="H6050" s="87">
        <v>1000000</v>
      </c>
      <c r="I6050" s="87">
        <v>11000000</v>
      </c>
      <c r="K6050" s="85">
        <v>2025</v>
      </c>
      <c r="L6050" s="85">
        <v>3</v>
      </c>
      <c r="N6050" s="1" t="s">
        <v>44</v>
      </c>
    </row>
    <row r="6051" spans="1:14">
      <c r="A6051" s="36" t="s">
        <v>32</v>
      </c>
      <c r="B6051" s="37">
        <v>45747</v>
      </c>
      <c r="C6051" s="36" t="s">
        <v>2774</v>
      </c>
      <c r="D6051" s="36" t="s">
        <v>2784</v>
      </c>
      <c r="E6051" s="36" t="s">
        <v>76</v>
      </c>
      <c r="G6051" s="87">
        <v>8462200</v>
      </c>
      <c r="H6051" s="87">
        <v>846220</v>
      </c>
      <c r="I6051" s="87">
        <v>9308420</v>
      </c>
      <c r="K6051" s="85">
        <v>2025</v>
      </c>
      <c r="L6051" s="85">
        <v>3</v>
      </c>
      <c r="N6051" s="1" t="s">
        <v>44</v>
      </c>
    </row>
    <row r="6052" spans="1:14">
      <c r="A6052" s="36" t="s">
        <v>32</v>
      </c>
      <c r="B6052" s="37">
        <v>45747</v>
      </c>
      <c r="C6052" s="36" t="s">
        <v>2775</v>
      </c>
      <c r="D6052" s="36" t="s">
        <v>2781</v>
      </c>
      <c r="E6052" s="36" t="s">
        <v>76</v>
      </c>
      <c r="G6052" s="87">
        <v>2635000</v>
      </c>
      <c r="H6052" s="87">
        <v>263500</v>
      </c>
      <c r="I6052" s="87">
        <v>2898500</v>
      </c>
      <c r="K6052" s="85">
        <v>2025</v>
      </c>
      <c r="L6052" s="85">
        <v>3</v>
      </c>
      <c r="N6052" s="1" t="s">
        <v>44</v>
      </c>
    </row>
    <row r="6053" spans="1:14">
      <c r="A6053" s="36" t="s">
        <v>32</v>
      </c>
      <c r="B6053" s="37">
        <v>45747</v>
      </c>
      <c r="C6053" s="36" t="s">
        <v>1462</v>
      </c>
      <c r="D6053" s="36" t="s">
        <v>2962</v>
      </c>
      <c r="E6053" s="36" t="s">
        <v>78</v>
      </c>
      <c r="G6053" s="87">
        <v>6213200</v>
      </c>
      <c r="H6053" s="87">
        <v>621320</v>
      </c>
      <c r="I6053" s="87">
        <v>6834520</v>
      </c>
      <c r="K6053" s="85">
        <v>2025</v>
      </c>
      <c r="L6053" s="85">
        <v>3</v>
      </c>
      <c r="N6053" s="1" t="s">
        <v>44</v>
      </c>
    </row>
    <row r="6054" spans="1:14">
      <c r="A6054" s="36" t="s">
        <v>32</v>
      </c>
      <c r="B6054" s="37">
        <v>45747</v>
      </c>
      <c r="C6054" s="36" t="s">
        <v>2477</v>
      </c>
      <c r="D6054" s="36" t="s">
        <v>2485</v>
      </c>
      <c r="E6054" s="36" t="s">
        <v>76</v>
      </c>
      <c r="G6054" s="87">
        <v>4694400</v>
      </c>
      <c r="H6054" s="87">
        <v>469440</v>
      </c>
      <c r="I6054" s="87">
        <v>5163840</v>
      </c>
      <c r="K6054" s="85">
        <v>2025</v>
      </c>
      <c r="L6054" s="85">
        <v>3</v>
      </c>
      <c r="N6054" s="1" t="s">
        <v>44</v>
      </c>
    </row>
    <row r="6055" spans="1:14">
      <c r="A6055" s="36" t="s">
        <v>32</v>
      </c>
      <c r="B6055" s="37">
        <v>45747</v>
      </c>
      <c r="C6055" s="36" t="s">
        <v>2478</v>
      </c>
      <c r="D6055" s="36" t="s">
        <v>2487</v>
      </c>
      <c r="E6055" s="36" t="s">
        <v>78</v>
      </c>
      <c r="G6055" s="87">
        <v>12750000</v>
      </c>
      <c r="H6055" s="87">
        <v>1275000</v>
      </c>
      <c r="I6055" s="87">
        <v>14025000</v>
      </c>
      <c r="K6055" s="85">
        <v>2025</v>
      </c>
      <c r="L6055" s="85">
        <v>3</v>
      </c>
      <c r="N6055" s="1" t="s">
        <v>44</v>
      </c>
    </row>
    <row r="6056" spans="1:14">
      <c r="A6056" s="36" t="s">
        <v>32</v>
      </c>
      <c r="B6056" s="37">
        <v>45747</v>
      </c>
      <c r="C6056" s="36" t="s">
        <v>2628</v>
      </c>
      <c r="D6056" s="36" t="s">
        <v>2639</v>
      </c>
      <c r="E6056" s="36" t="s">
        <v>76</v>
      </c>
      <c r="G6056" s="87">
        <v>10824800</v>
      </c>
      <c r="H6056" s="87">
        <v>1082480</v>
      </c>
      <c r="I6056" s="87">
        <v>11907280</v>
      </c>
      <c r="K6056" s="85">
        <v>2025</v>
      </c>
      <c r="L6056" s="85">
        <v>3</v>
      </c>
      <c r="N6056" s="1" t="s">
        <v>44</v>
      </c>
    </row>
    <row r="6057" spans="1:14">
      <c r="A6057" s="36" t="s">
        <v>32</v>
      </c>
      <c r="B6057" s="37">
        <v>45747</v>
      </c>
      <c r="C6057" s="36" t="s">
        <v>264</v>
      </c>
      <c r="D6057" s="36" t="s">
        <v>2782</v>
      </c>
      <c r="E6057" s="36" t="s">
        <v>76</v>
      </c>
      <c r="G6057" s="87">
        <v>50400000</v>
      </c>
      <c r="H6057" s="87">
        <v>5040000</v>
      </c>
      <c r="I6057" s="87">
        <v>55440000</v>
      </c>
      <c r="K6057" s="85">
        <v>2025</v>
      </c>
      <c r="L6057" s="85">
        <v>3</v>
      </c>
      <c r="N6057" s="1" t="s">
        <v>44</v>
      </c>
    </row>
    <row r="6058" spans="1:14">
      <c r="A6058" s="36" t="s">
        <v>32</v>
      </c>
      <c r="B6058" s="37">
        <v>45747</v>
      </c>
      <c r="C6058" s="36" t="s">
        <v>1470</v>
      </c>
      <c r="D6058" s="36" t="s">
        <v>1487</v>
      </c>
      <c r="E6058" s="36" t="s">
        <v>76</v>
      </c>
      <c r="G6058" s="87">
        <v>39980100</v>
      </c>
      <c r="H6058" s="87">
        <v>3998010</v>
      </c>
      <c r="I6058" s="87">
        <v>43978110</v>
      </c>
      <c r="K6058" s="85">
        <v>2025</v>
      </c>
      <c r="L6058" s="85">
        <v>3</v>
      </c>
      <c r="N6058" s="1" t="s">
        <v>44</v>
      </c>
    </row>
    <row r="6059" spans="1:14">
      <c r="A6059" s="36" t="s">
        <v>32</v>
      </c>
      <c r="B6059" s="37">
        <v>45747</v>
      </c>
      <c r="C6059" s="36" t="s">
        <v>1396</v>
      </c>
      <c r="D6059" s="36" t="s">
        <v>2679</v>
      </c>
      <c r="E6059" s="36" t="s">
        <v>76</v>
      </c>
      <c r="G6059" s="87">
        <v>3881700</v>
      </c>
      <c r="H6059" s="87">
        <v>388170</v>
      </c>
      <c r="I6059" s="87">
        <v>4269870</v>
      </c>
      <c r="K6059" s="85">
        <v>2025</v>
      </c>
      <c r="L6059" s="85">
        <v>3</v>
      </c>
      <c r="N6059" s="1" t="s">
        <v>44</v>
      </c>
    </row>
    <row r="6060" spans="1:14">
      <c r="A6060" s="36" t="s">
        <v>32</v>
      </c>
      <c r="B6060" s="37">
        <v>45747</v>
      </c>
      <c r="C6060" s="36" t="s">
        <v>1396</v>
      </c>
      <c r="D6060" s="36" t="s">
        <v>2677</v>
      </c>
      <c r="E6060" s="36" t="s">
        <v>76</v>
      </c>
      <c r="G6060" s="87">
        <v>1851000</v>
      </c>
      <c r="H6060" s="87">
        <v>185100</v>
      </c>
      <c r="I6060" s="87">
        <v>2036100</v>
      </c>
      <c r="K6060" s="85">
        <v>2025</v>
      </c>
      <c r="L6060" s="85">
        <v>3</v>
      </c>
      <c r="N6060" s="1" t="s">
        <v>44</v>
      </c>
    </row>
    <row r="6061" spans="1:14">
      <c r="A6061" s="36" t="s">
        <v>32</v>
      </c>
      <c r="B6061" s="37">
        <v>45747</v>
      </c>
      <c r="C6061" s="36" t="s">
        <v>1396</v>
      </c>
      <c r="D6061" s="36" t="s">
        <v>2680</v>
      </c>
      <c r="E6061" s="36" t="s">
        <v>76</v>
      </c>
      <c r="G6061" s="87">
        <v>4178400</v>
      </c>
      <c r="H6061" s="87">
        <v>417840</v>
      </c>
      <c r="I6061" s="87">
        <v>4596240</v>
      </c>
      <c r="K6061" s="85">
        <v>2025</v>
      </c>
      <c r="L6061" s="85">
        <v>3</v>
      </c>
      <c r="N6061" s="1" t="s">
        <v>44</v>
      </c>
    </row>
    <row r="6062" spans="1:14">
      <c r="A6062" s="36" t="s">
        <v>32</v>
      </c>
      <c r="B6062" s="37">
        <v>45747</v>
      </c>
      <c r="C6062" s="36" t="s">
        <v>1396</v>
      </c>
      <c r="D6062" s="36" t="s">
        <v>2678</v>
      </c>
      <c r="E6062" s="36" t="s">
        <v>76</v>
      </c>
      <c r="G6062" s="87">
        <v>1785000</v>
      </c>
      <c r="H6062" s="87">
        <v>178500</v>
      </c>
      <c r="I6062" s="87">
        <v>1963500</v>
      </c>
      <c r="K6062" s="85">
        <v>2025</v>
      </c>
      <c r="L6062" s="85">
        <v>3</v>
      </c>
      <c r="N6062" s="1" t="s">
        <v>44</v>
      </c>
    </row>
    <row r="6063" spans="1:14">
      <c r="A6063" s="36" t="s">
        <v>32</v>
      </c>
      <c r="B6063" s="37">
        <v>45747</v>
      </c>
      <c r="C6063" s="36" t="s">
        <v>2673</v>
      </c>
      <c r="D6063" s="36" t="s">
        <v>2686</v>
      </c>
      <c r="E6063" s="36" t="s">
        <v>76</v>
      </c>
      <c r="G6063" s="87">
        <v>3970620</v>
      </c>
      <c r="H6063" s="87">
        <v>397062</v>
      </c>
      <c r="I6063" s="87">
        <v>4367682</v>
      </c>
      <c r="K6063" s="85">
        <v>2025</v>
      </c>
      <c r="L6063" s="85">
        <v>3</v>
      </c>
      <c r="N6063" s="1" t="s">
        <v>44</v>
      </c>
    </row>
    <row r="6064" spans="1:14">
      <c r="A6064" s="36" t="s">
        <v>32</v>
      </c>
      <c r="B6064" s="37">
        <v>45759</v>
      </c>
      <c r="C6064" s="36" t="s">
        <v>1396</v>
      </c>
      <c r="D6064" s="36" t="s">
        <v>2677</v>
      </c>
      <c r="E6064" s="36" t="s">
        <v>2705</v>
      </c>
      <c r="J6064" s="87">
        <v>2036100</v>
      </c>
      <c r="K6064" s="85">
        <v>2025</v>
      </c>
      <c r="L6064" s="85">
        <v>3</v>
      </c>
      <c r="N6064" s="1" t="s">
        <v>44</v>
      </c>
    </row>
    <row r="6065" spans="1:14">
      <c r="A6065" s="36" t="s">
        <v>32</v>
      </c>
      <c r="B6065" s="37">
        <v>45759</v>
      </c>
      <c r="C6065" s="36" t="s">
        <v>1396</v>
      </c>
      <c r="D6065" s="36" t="s">
        <v>2680</v>
      </c>
      <c r="E6065" s="36" t="s">
        <v>2707</v>
      </c>
      <c r="J6065" s="87">
        <v>4596240</v>
      </c>
      <c r="K6065" s="85">
        <v>2025</v>
      </c>
      <c r="L6065" s="85">
        <v>3</v>
      </c>
      <c r="N6065" s="1" t="s">
        <v>44</v>
      </c>
    </row>
    <row r="6066" spans="1:14">
      <c r="A6066" s="36" t="s">
        <v>32</v>
      </c>
      <c r="B6066" s="37">
        <v>45759</v>
      </c>
      <c r="C6066" s="36" t="s">
        <v>1396</v>
      </c>
      <c r="D6066" s="36" t="s">
        <v>2678</v>
      </c>
      <c r="E6066" s="36" t="s">
        <v>2785</v>
      </c>
      <c r="J6066" s="87">
        <v>1963500</v>
      </c>
      <c r="K6066" s="85">
        <v>2025</v>
      </c>
      <c r="L6066" s="85">
        <v>3</v>
      </c>
      <c r="N6066" s="1" t="s">
        <v>44</v>
      </c>
    </row>
    <row r="6067" spans="1:14">
      <c r="A6067" s="36" t="s">
        <v>32</v>
      </c>
      <c r="B6067" s="37">
        <v>45758</v>
      </c>
      <c r="C6067" s="36" t="s">
        <v>209</v>
      </c>
      <c r="D6067" s="36" t="s">
        <v>2637</v>
      </c>
      <c r="E6067" s="36" t="s">
        <v>2786</v>
      </c>
      <c r="J6067" s="87">
        <v>47553440</v>
      </c>
      <c r="K6067" s="85">
        <v>2025</v>
      </c>
      <c r="L6067" s="85">
        <v>3</v>
      </c>
      <c r="N6067" s="1" t="s">
        <v>44</v>
      </c>
    </row>
    <row r="6068" spans="1:14">
      <c r="A6068" s="36" t="s">
        <v>32</v>
      </c>
      <c r="B6068" s="37">
        <v>45740</v>
      </c>
      <c r="C6068" s="36" t="s">
        <v>2279</v>
      </c>
      <c r="D6068" s="36" t="s">
        <v>2579</v>
      </c>
      <c r="E6068" s="36" t="s">
        <v>148</v>
      </c>
      <c r="J6068" s="87">
        <v>3542000</v>
      </c>
      <c r="K6068" s="85">
        <v>2025</v>
      </c>
      <c r="L6068" s="85">
        <v>3</v>
      </c>
      <c r="N6068" s="1" t="s">
        <v>44</v>
      </c>
    </row>
    <row r="6069" spans="1:14">
      <c r="A6069" s="36" t="s">
        <v>32</v>
      </c>
      <c r="B6069" s="37">
        <v>45741</v>
      </c>
      <c r="C6069" s="36" t="s">
        <v>2766</v>
      </c>
      <c r="D6069" s="36" t="s">
        <v>2681</v>
      </c>
      <c r="E6069" s="36" t="s">
        <v>148</v>
      </c>
      <c r="J6069" s="87">
        <v>28144600</v>
      </c>
      <c r="K6069" s="85">
        <v>2025</v>
      </c>
      <c r="L6069" s="85">
        <v>3</v>
      </c>
      <c r="N6069" s="1" t="s">
        <v>44</v>
      </c>
    </row>
    <row r="6070" spans="1:14">
      <c r="A6070" s="36" t="s">
        <v>32</v>
      </c>
      <c r="B6070" s="37">
        <v>45751</v>
      </c>
      <c r="C6070" s="36" t="s">
        <v>1587</v>
      </c>
      <c r="D6070" s="36" t="s">
        <v>2779</v>
      </c>
      <c r="E6070" s="36" t="s">
        <v>2787</v>
      </c>
      <c r="J6070" s="87">
        <v>9053000</v>
      </c>
      <c r="K6070" s="85">
        <v>2025</v>
      </c>
      <c r="L6070" s="85">
        <v>3</v>
      </c>
      <c r="N6070" s="1" t="s">
        <v>44</v>
      </c>
    </row>
    <row r="6071" spans="1:14">
      <c r="A6071" s="36" t="s">
        <v>32</v>
      </c>
      <c r="B6071" s="37">
        <v>45751</v>
      </c>
      <c r="C6071" s="36" t="s">
        <v>1587</v>
      </c>
      <c r="D6071" s="36" t="s">
        <v>2780</v>
      </c>
      <c r="E6071" s="36" t="s">
        <v>2788</v>
      </c>
      <c r="J6071" s="87">
        <v>7642800</v>
      </c>
      <c r="K6071" s="85">
        <v>2025</v>
      </c>
      <c r="L6071" s="85">
        <v>3</v>
      </c>
      <c r="N6071" s="1" t="s">
        <v>44</v>
      </c>
    </row>
    <row r="6072" spans="1:14">
      <c r="A6072" s="36" t="s">
        <v>32</v>
      </c>
      <c r="B6072" s="37">
        <v>45751</v>
      </c>
      <c r="C6072" s="36" t="s">
        <v>2773</v>
      </c>
      <c r="D6072" s="36" t="s">
        <v>2689</v>
      </c>
      <c r="E6072" s="36" t="s">
        <v>148</v>
      </c>
      <c r="J6072" s="87">
        <v>11000000</v>
      </c>
      <c r="K6072" s="85">
        <v>2025</v>
      </c>
      <c r="L6072" s="85">
        <v>3</v>
      </c>
      <c r="N6072" s="1" t="s">
        <v>44</v>
      </c>
    </row>
    <row r="6073" spans="1:14">
      <c r="A6073" s="36" t="s">
        <v>32</v>
      </c>
      <c r="B6073" s="37">
        <v>45751</v>
      </c>
      <c r="C6073" s="36" t="s">
        <v>654</v>
      </c>
      <c r="D6073" s="36" t="s">
        <v>2632</v>
      </c>
      <c r="E6073" s="36" t="s">
        <v>2789</v>
      </c>
      <c r="F6073" s="281"/>
      <c r="G6073" s="230"/>
      <c r="H6073" s="230"/>
      <c r="I6073" s="230"/>
      <c r="J6073" s="258">
        <v>4180850</v>
      </c>
      <c r="K6073" s="85">
        <v>2025</v>
      </c>
      <c r="L6073" s="85">
        <v>1</v>
      </c>
      <c r="N6073" s="1" t="s">
        <v>44</v>
      </c>
    </row>
    <row r="6074" spans="1:14">
      <c r="A6074" s="36" t="s">
        <v>32</v>
      </c>
      <c r="B6074" s="37">
        <v>45731</v>
      </c>
      <c r="C6074" s="36" t="s">
        <v>1396</v>
      </c>
      <c r="D6074" s="36" t="s">
        <v>2681</v>
      </c>
      <c r="E6074" s="36" t="s">
        <v>2790</v>
      </c>
      <c r="J6074" s="230">
        <v>2200000</v>
      </c>
      <c r="K6074" s="85">
        <v>2025</v>
      </c>
      <c r="L6074" s="85">
        <v>2</v>
      </c>
      <c r="N6074" s="1" t="s">
        <v>44</v>
      </c>
    </row>
    <row r="6075" spans="1:14">
      <c r="A6075" s="36" t="s">
        <v>32</v>
      </c>
      <c r="B6075" s="37">
        <v>45762</v>
      </c>
      <c r="C6075" s="36" t="s">
        <v>291</v>
      </c>
      <c r="D6075" s="36" t="s">
        <v>2690</v>
      </c>
      <c r="E6075" s="36" t="s">
        <v>148</v>
      </c>
      <c r="J6075" s="87">
        <v>1100000</v>
      </c>
      <c r="K6075" s="85">
        <v>2025</v>
      </c>
      <c r="L6075" s="85">
        <v>2</v>
      </c>
      <c r="N6075" s="1" t="s">
        <v>44</v>
      </c>
    </row>
    <row r="6076" spans="1:14">
      <c r="A6076" s="36" t="s">
        <v>32</v>
      </c>
      <c r="B6076" s="37">
        <v>45763</v>
      </c>
      <c r="C6076" s="36" t="s">
        <v>2772</v>
      </c>
      <c r="D6076" s="36" t="s">
        <v>2777</v>
      </c>
      <c r="E6076" s="36" t="s">
        <v>2791</v>
      </c>
      <c r="J6076" s="87">
        <v>5904800</v>
      </c>
      <c r="K6076" s="85">
        <v>2025</v>
      </c>
      <c r="L6076" s="85">
        <v>3</v>
      </c>
      <c r="N6076" s="1" t="s">
        <v>44</v>
      </c>
    </row>
    <row r="6077" spans="1:14">
      <c r="A6077" s="36" t="s">
        <v>32</v>
      </c>
      <c r="B6077" s="37">
        <v>45763</v>
      </c>
      <c r="C6077" s="36" t="s">
        <v>2772</v>
      </c>
      <c r="D6077" s="36" t="s">
        <v>2778</v>
      </c>
      <c r="E6077" s="36" t="s">
        <v>2792</v>
      </c>
      <c r="J6077" s="87">
        <v>2178000</v>
      </c>
      <c r="K6077" s="85">
        <v>2025</v>
      </c>
      <c r="L6077" s="85">
        <v>3</v>
      </c>
      <c r="N6077" s="1" t="s">
        <v>44</v>
      </c>
    </row>
    <row r="6078" spans="1:14">
      <c r="A6078" s="36" t="s">
        <v>32</v>
      </c>
      <c r="B6078" s="37">
        <v>45716</v>
      </c>
      <c r="C6078" s="36" t="s">
        <v>2672</v>
      </c>
      <c r="D6078" s="36" t="s">
        <v>2685</v>
      </c>
      <c r="E6078" s="36" t="s">
        <v>148</v>
      </c>
      <c r="J6078" s="87">
        <v>1386000</v>
      </c>
      <c r="K6078" s="85">
        <v>2025</v>
      </c>
      <c r="L6078" s="85">
        <v>2</v>
      </c>
      <c r="N6078" s="1" t="s">
        <v>44</v>
      </c>
    </row>
    <row r="6079" spans="1:14">
      <c r="A6079" s="36" t="s">
        <v>33</v>
      </c>
      <c r="B6079" s="37">
        <v>45768</v>
      </c>
      <c r="C6079" s="36" t="s">
        <v>2016</v>
      </c>
      <c r="D6079" s="36" t="s">
        <v>2467</v>
      </c>
      <c r="E6079" s="36" t="s">
        <v>148</v>
      </c>
      <c r="J6079" s="87">
        <v>93566000</v>
      </c>
      <c r="K6079" s="85">
        <v>2025</v>
      </c>
      <c r="L6079" s="85">
        <v>3</v>
      </c>
      <c r="N6079" s="1" t="s">
        <v>44</v>
      </c>
    </row>
    <row r="6080" spans="1:14">
      <c r="A6080" s="36" t="s">
        <v>33</v>
      </c>
      <c r="B6080" s="37">
        <v>45765</v>
      </c>
      <c r="C6080" s="36" t="s">
        <v>2793</v>
      </c>
      <c r="D6080" s="36" t="s">
        <v>2763</v>
      </c>
      <c r="E6080" s="36" t="s">
        <v>447</v>
      </c>
      <c r="G6080" s="87">
        <v>160000</v>
      </c>
      <c r="H6080" s="87">
        <v>16000</v>
      </c>
      <c r="I6080" s="87">
        <v>176000</v>
      </c>
      <c r="K6080" s="85">
        <v>2025</v>
      </c>
      <c r="L6080" s="85">
        <v>4</v>
      </c>
      <c r="N6080" s="1" t="s">
        <v>44</v>
      </c>
    </row>
    <row r="6081" spans="1:14">
      <c r="A6081" s="36" t="s">
        <v>33</v>
      </c>
      <c r="B6081" s="37">
        <v>45765</v>
      </c>
      <c r="C6081" s="36" t="s">
        <v>2794</v>
      </c>
      <c r="D6081" s="36" t="s">
        <v>2763</v>
      </c>
      <c r="E6081" s="36" t="s">
        <v>447</v>
      </c>
      <c r="G6081" s="87">
        <v>210000</v>
      </c>
      <c r="H6081" s="87">
        <v>21000</v>
      </c>
      <c r="I6081" s="87">
        <v>231000</v>
      </c>
      <c r="K6081" s="85">
        <v>2025</v>
      </c>
      <c r="L6081" s="85">
        <v>4</v>
      </c>
      <c r="N6081" s="1" t="s">
        <v>44</v>
      </c>
    </row>
    <row r="6082" spans="1:14">
      <c r="A6082" s="36" t="s">
        <v>32</v>
      </c>
      <c r="B6082" s="37">
        <v>45770</v>
      </c>
      <c r="C6082" s="36" t="s">
        <v>654</v>
      </c>
      <c r="D6082" s="36" t="s">
        <v>2771</v>
      </c>
      <c r="E6082" s="36" t="s">
        <v>2795</v>
      </c>
      <c r="J6082" s="87">
        <v>71857940</v>
      </c>
      <c r="K6082" s="85">
        <v>2025</v>
      </c>
      <c r="L6082" s="85">
        <v>3</v>
      </c>
      <c r="M6082" s="36" t="s">
        <v>2796</v>
      </c>
      <c r="N6082" s="1" t="s">
        <v>44</v>
      </c>
    </row>
    <row r="6083" spans="1:14">
      <c r="A6083" s="36" t="s">
        <v>32</v>
      </c>
      <c r="B6083" s="37">
        <v>45770</v>
      </c>
      <c r="C6083" s="36" t="s">
        <v>654</v>
      </c>
      <c r="D6083" s="36" t="s">
        <v>1942</v>
      </c>
      <c r="E6083" s="36" t="s">
        <v>2663</v>
      </c>
      <c r="J6083" s="38">
        <v>11000000</v>
      </c>
      <c r="K6083" s="85">
        <v>2024</v>
      </c>
      <c r="L6083" s="85">
        <v>1</v>
      </c>
      <c r="M6083" s="36" t="s">
        <v>2735</v>
      </c>
      <c r="N6083" s="1" t="s">
        <v>44</v>
      </c>
    </row>
    <row r="6084" spans="1:14">
      <c r="A6084" s="36" t="s">
        <v>33</v>
      </c>
      <c r="B6084" s="37">
        <v>45771</v>
      </c>
      <c r="C6084" s="36" t="s">
        <v>2016</v>
      </c>
      <c r="D6084" s="36" t="s">
        <v>2468</v>
      </c>
      <c r="E6084" s="36" t="s">
        <v>148</v>
      </c>
      <c r="J6084" s="87">
        <v>80939430</v>
      </c>
      <c r="K6084" s="85">
        <v>2025</v>
      </c>
      <c r="L6084" s="85">
        <v>3</v>
      </c>
      <c r="N6084" s="1" t="s">
        <v>44</v>
      </c>
    </row>
    <row r="6085" spans="1:14">
      <c r="A6085" s="36" t="s">
        <v>32</v>
      </c>
      <c r="B6085" s="37">
        <v>45772</v>
      </c>
      <c r="C6085" s="36" t="s">
        <v>1396</v>
      </c>
      <c r="D6085" s="36" t="s">
        <v>2679</v>
      </c>
      <c r="E6085" s="36" t="s">
        <v>2706</v>
      </c>
      <c r="J6085" s="87">
        <v>4269870</v>
      </c>
      <c r="K6085" s="85">
        <v>2025</v>
      </c>
      <c r="L6085" s="85">
        <v>3</v>
      </c>
      <c r="N6085" s="1" t="s">
        <v>44</v>
      </c>
    </row>
    <row r="6086" spans="1:14">
      <c r="A6086" s="36" t="s">
        <v>32</v>
      </c>
      <c r="B6086" s="37">
        <v>45772</v>
      </c>
      <c r="C6086" s="36" t="s">
        <v>2673</v>
      </c>
      <c r="D6086" s="36" t="s">
        <v>2686</v>
      </c>
      <c r="E6086" s="36" t="s">
        <v>148</v>
      </c>
      <c r="J6086" s="87">
        <v>4488000</v>
      </c>
      <c r="K6086" s="85">
        <v>2025</v>
      </c>
      <c r="L6086" s="85">
        <v>2</v>
      </c>
      <c r="N6086" s="1" t="s">
        <v>44</v>
      </c>
    </row>
    <row r="6087" spans="1:14">
      <c r="A6087" s="36" t="s">
        <v>32</v>
      </c>
      <c r="B6087" s="37">
        <v>45772</v>
      </c>
      <c r="C6087" s="36" t="s">
        <v>2674</v>
      </c>
      <c r="D6087" s="36" t="s">
        <v>2687</v>
      </c>
      <c r="E6087" s="36" t="s">
        <v>148</v>
      </c>
      <c r="J6087" s="87">
        <v>22849200</v>
      </c>
      <c r="K6087" s="85">
        <v>2025</v>
      </c>
      <c r="L6087" s="85">
        <v>3</v>
      </c>
      <c r="N6087" s="1" t="s">
        <v>44</v>
      </c>
    </row>
    <row r="6088" spans="1:14">
      <c r="A6088" s="36" t="s">
        <v>33</v>
      </c>
      <c r="B6088" s="37">
        <v>45775</v>
      </c>
      <c r="C6088" s="36" t="s">
        <v>2713</v>
      </c>
      <c r="D6088" s="36" t="s">
        <v>2726</v>
      </c>
      <c r="E6088" s="36" t="s">
        <v>2726</v>
      </c>
      <c r="G6088" s="87">
        <v>2617000</v>
      </c>
      <c r="H6088" s="87">
        <v>261700</v>
      </c>
      <c r="I6088" s="87">
        <v>2878700</v>
      </c>
      <c r="K6088" s="85">
        <v>2025</v>
      </c>
      <c r="L6088" s="85">
        <v>4</v>
      </c>
      <c r="N6088" s="1" t="s">
        <v>44</v>
      </c>
    </row>
    <row r="6089" spans="1:14">
      <c r="A6089" s="36" t="s">
        <v>33</v>
      </c>
      <c r="B6089" s="37">
        <v>45775</v>
      </c>
      <c r="C6089" s="36" t="s">
        <v>2713</v>
      </c>
      <c r="D6089" s="36" t="s">
        <v>2726</v>
      </c>
      <c r="E6089" s="36" t="s">
        <v>77</v>
      </c>
      <c r="J6089" s="38">
        <v>2878700</v>
      </c>
      <c r="K6089" s="85">
        <v>2025</v>
      </c>
      <c r="L6089" s="85">
        <v>4</v>
      </c>
      <c r="N6089" s="1" t="s">
        <v>44</v>
      </c>
    </row>
    <row r="6090" spans="1:14">
      <c r="A6090" s="36" t="s">
        <v>32</v>
      </c>
      <c r="B6090" s="37">
        <v>45776</v>
      </c>
      <c r="C6090" s="36" t="s">
        <v>2628</v>
      </c>
      <c r="D6090" s="36" t="s">
        <v>2639</v>
      </c>
      <c r="E6090" s="36" t="s">
        <v>148</v>
      </c>
      <c r="J6090" s="87">
        <v>11907280</v>
      </c>
      <c r="K6090" s="85">
        <v>2025</v>
      </c>
      <c r="L6090" s="85">
        <v>3</v>
      </c>
      <c r="N6090" s="1" t="s">
        <v>44</v>
      </c>
    </row>
    <row r="6091" spans="1:14">
      <c r="A6091" s="36" t="s">
        <v>32</v>
      </c>
      <c r="B6091" s="37">
        <v>45775</v>
      </c>
      <c r="C6091" s="36" t="s">
        <v>209</v>
      </c>
      <c r="D6091" s="36" t="s">
        <v>2551</v>
      </c>
      <c r="E6091" s="36" t="s">
        <v>2797</v>
      </c>
      <c r="J6091" s="87">
        <v>6328080</v>
      </c>
      <c r="K6091" s="85">
        <v>2025</v>
      </c>
      <c r="L6091" s="85">
        <v>3</v>
      </c>
      <c r="N6091" s="1" t="s">
        <v>44</v>
      </c>
    </row>
    <row r="6092" spans="1:14">
      <c r="A6092" s="36" t="s">
        <v>32</v>
      </c>
      <c r="B6092" s="37">
        <v>45772</v>
      </c>
      <c r="C6092" s="36" t="s">
        <v>2477</v>
      </c>
      <c r="D6092" s="36" t="s">
        <v>2485</v>
      </c>
      <c r="E6092" s="36" t="s">
        <v>148</v>
      </c>
      <c r="J6092" s="87">
        <v>5163840</v>
      </c>
      <c r="K6092" s="85">
        <v>2025</v>
      </c>
      <c r="L6092" s="85">
        <v>3</v>
      </c>
      <c r="M6092" s="36" t="s">
        <v>2653</v>
      </c>
      <c r="N6092" s="1" t="s">
        <v>44</v>
      </c>
    </row>
    <row r="6093" spans="1:14">
      <c r="A6093" s="36" t="s">
        <v>32</v>
      </c>
      <c r="B6093" s="37">
        <v>45762</v>
      </c>
      <c r="C6093" s="36" t="s">
        <v>2626</v>
      </c>
      <c r="D6093" s="36" t="s">
        <v>2636</v>
      </c>
      <c r="E6093" s="36" t="s">
        <v>148</v>
      </c>
      <c r="J6093" s="87">
        <v>3275748.3</v>
      </c>
      <c r="K6093" s="85">
        <v>2025</v>
      </c>
      <c r="L6093" s="85">
        <v>3</v>
      </c>
      <c r="N6093" s="1" t="s">
        <v>44</v>
      </c>
    </row>
    <row r="6094" spans="1:14">
      <c r="A6094" s="36" t="s">
        <v>32</v>
      </c>
      <c r="B6094" s="37">
        <v>45776</v>
      </c>
      <c r="C6094" s="36" t="s">
        <v>2474</v>
      </c>
      <c r="D6094" s="36" t="s">
        <v>2691</v>
      </c>
      <c r="E6094" s="36" t="s">
        <v>148</v>
      </c>
      <c r="J6094" s="87">
        <v>1485000</v>
      </c>
      <c r="K6094" s="85">
        <v>2025</v>
      </c>
      <c r="L6094" s="85">
        <v>2</v>
      </c>
      <c r="N6094" s="1" t="s">
        <v>44</v>
      </c>
    </row>
    <row r="6095" spans="1:14">
      <c r="A6095" s="36" t="s">
        <v>32</v>
      </c>
      <c r="B6095" s="37">
        <v>45776</v>
      </c>
      <c r="C6095" s="36" t="s">
        <v>2768</v>
      </c>
      <c r="D6095" s="36" t="s">
        <v>2689</v>
      </c>
      <c r="E6095" s="36" t="s">
        <v>148</v>
      </c>
      <c r="J6095" s="87">
        <v>1320000</v>
      </c>
      <c r="K6095" s="85">
        <v>2025</v>
      </c>
      <c r="L6095" s="85">
        <v>3</v>
      </c>
      <c r="N6095" s="1" t="s">
        <v>44</v>
      </c>
    </row>
    <row r="6096" spans="1:14">
      <c r="A6096" s="36" t="s">
        <v>32</v>
      </c>
      <c r="B6096" s="37">
        <v>45777</v>
      </c>
      <c r="C6096" s="36" t="s">
        <v>654</v>
      </c>
      <c r="D6096" s="36" t="s">
        <v>2770</v>
      </c>
      <c r="E6096" s="36" t="s">
        <v>2798</v>
      </c>
      <c r="J6096" s="283">
        <v>19969356</v>
      </c>
      <c r="K6096" s="85">
        <v>2025</v>
      </c>
      <c r="L6096" s="85">
        <v>3</v>
      </c>
      <c r="M6096" s="36" t="s">
        <v>2841</v>
      </c>
      <c r="N6096" s="1" t="s">
        <v>44</v>
      </c>
    </row>
    <row r="6097" spans="1:14">
      <c r="A6097" s="36" t="s">
        <v>32</v>
      </c>
      <c r="B6097" s="37">
        <v>45777</v>
      </c>
      <c r="C6097" s="36" t="s">
        <v>654</v>
      </c>
      <c r="D6097" s="36" t="s">
        <v>1942</v>
      </c>
      <c r="E6097" s="36" t="s">
        <v>2663</v>
      </c>
      <c r="J6097" s="284">
        <v>6152664</v>
      </c>
      <c r="K6097" s="85">
        <v>2024</v>
      </c>
      <c r="L6097" s="85">
        <v>1</v>
      </c>
      <c r="M6097" s="36" t="s">
        <v>2841</v>
      </c>
      <c r="N6097" s="1" t="s">
        <v>44</v>
      </c>
    </row>
    <row r="6098" spans="1:14">
      <c r="A6098" s="36" t="s">
        <v>32</v>
      </c>
      <c r="B6098" s="37">
        <v>45777</v>
      </c>
      <c r="C6098" s="36" t="s">
        <v>654</v>
      </c>
      <c r="D6098" s="36" t="s">
        <v>1943</v>
      </c>
      <c r="E6098" s="36" t="s">
        <v>2799</v>
      </c>
      <c r="J6098" s="284">
        <v>4476636</v>
      </c>
      <c r="K6098" s="85">
        <v>2024</v>
      </c>
      <c r="L6098" s="85">
        <v>1</v>
      </c>
      <c r="M6098" s="36" t="s">
        <v>2841</v>
      </c>
      <c r="N6098" s="1" t="s">
        <v>44</v>
      </c>
    </row>
    <row r="6099" spans="1:14">
      <c r="A6099" s="36" t="s">
        <v>32</v>
      </c>
      <c r="B6099" s="37">
        <v>45777</v>
      </c>
      <c r="C6099" s="36" t="s">
        <v>2478</v>
      </c>
      <c r="D6099" s="36" t="s">
        <v>2487</v>
      </c>
      <c r="E6099" s="36" t="s">
        <v>148</v>
      </c>
      <c r="J6099" s="87">
        <v>14025000</v>
      </c>
      <c r="K6099" s="85">
        <v>2025</v>
      </c>
      <c r="L6099" s="85">
        <v>3</v>
      </c>
      <c r="N6099" s="1" t="s">
        <v>44</v>
      </c>
    </row>
    <row r="6100" spans="1:14">
      <c r="A6100" s="36" t="s">
        <v>32</v>
      </c>
      <c r="B6100" s="37">
        <v>45777</v>
      </c>
      <c r="C6100" s="36" t="s">
        <v>1470</v>
      </c>
      <c r="D6100" s="36" t="s">
        <v>1487</v>
      </c>
      <c r="E6100" s="36" t="s">
        <v>148</v>
      </c>
      <c r="J6100" s="87">
        <v>43978110</v>
      </c>
      <c r="K6100" s="85">
        <v>2025</v>
      </c>
      <c r="L6100" s="85">
        <v>3</v>
      </c>
      <c r="N6100" s="1" t="s">
        <v>44</v>
      </c>
    </row>
    <row r="6101" spans="1:14">
      <c r="A6101" s="36" t="s">
        <v>32</v>
      </c>
      <c r="B6101" s="37">
        <v>45777</v>
      </c>
      <c r="C6101" s="36" t="s">
        <v>654</v>
      </c>
      <c r="D6101" s="36" t="s">
        <v>2575</v>
      </c>
      <c r="E6101" s="36" t="s">
        <v>2800</v>
      </c>
      <c r="J6101" s="87">
        <v>37108236</v>
      </c>
      <c r="K6101" s="85">
        <v>2025</v>
      </c>
      <c r="L6101" s="85">
        <v>1</v>
      </c>
      <c r="N6101" s="1" t="s">
        <v>44</v>
      </c>
    </row>
    <row r="6102" spans="1:14">
      <c r="A6102" s="36" t="s">
        <v>32</v>
      </c>
      <c r="B6102" s="37">
        <v>45777</v>
      </c>
      <c r="C6102" s="36" t="s">
        <v>2775</v>
      </c>
      <c r="D6102" s="36" t="s">
        <v>2781</v>
      </c>
      <c r="E6102" s="36" t="s">
        <v>148</v>
      </c>
      <c r="J6102" s="87">
        <v>2898500</v>
      </c>
      <c r="K6102" s="85">
        <v>2025</v>
      </c>
      <c r="L6102" s="85">
        <v>3</v>
      </c>
      <c r="N6102" s="1" t="s">
        <v>44</v>
      </c>
    </row>
    <row r="6103" spans="1:14">
      <c r="A6103" s="36" t="s">
        <v>32</v>
      </c>
      <c r="B6103" s="37">
        <v>45777</v>
      </c>
      <c r="C6103" s="36" t="s">
        <v>2767</v>
      </c>
      <c r="D6103" s="36" t="s">
        <v>2769</v>
      </c>
      <c r="E6103" s="36" t="s">
        <v>148</v>
      </c>
      <c r="J6103" s="87">
        <v>5280000</v>
      </c>
      <c r="K6103" s="85">
        <v>2025</v>
      </c>
      <c r="L6103" s="85">
        <v>3</v>
      </c>
      <c r="N6103" s="1" t="s">
        <v>44</v>
      </c>
    </row>
    <row r="6104" spans="1:14">
      <c r="A6104" s="36" t="s">
        <v>32</v>
      </c>
      <c r="B6104" s="37">
        <v>45777</v>
      </c>
      <c r="C6104" s="36" t="s">
        <v>264</v>
      </c>
      <c r="D6104" s="36" t="s">
        <v>2782</v>
      </c>
      <c r="E6104" s="36" t="s">
        <v>148</v>
      </c>
      <c r="J6104" s="87">
        <v>55440000</v>
      </c>
      <c r="K6104" s="85">
        <v>2025</v>
      </c>
      <c r="L6104" s="85">
        <v>3</v>
      </c>
      <c r="N6104" s="1" t="s">
        <v>44</v>
      </c>
    </row>
    <row r="6105" spans="1:14">
      <c r="A6105" s="36" t="s">
        <v>32</v>
      </c>
      <c r="B6105" s="37">
        <v>45777</v>
      </c>
      <c r="C6105" s="36" t="s">
        <v>654</v>
      </c>
      <c r="D6105" s="36" t="s">
        <v>2632</v>
      </c>
      <c r="E6105" s="36" t="s">
        <v>2789</v>
      </c>
      <c r="F6105" s="281"/>
      <c r="G6105" s="230"/>
      <c r="H6105" s="230"/>
      <c r="I6105" s="230"/>
      <c r="J6105" s="258">
        <v>6921208</v>
      </c>
      <c r="K6105" s="85">
        <v>2025</v>
      </c>
      <c r="L6105" s="85">
        <v>1</v>
      </c>
      <c r="N6105" s="1" t="s">
        <v>44</v>
      </c>
    </row>
    <row r="6106" spans="1:14">
      <c r="A6106" s="36" t="s">
        <v>32</v>
      </c>
      <c r="B6106" s="37">
        <v>45779</v>
      </c>
      <c r="C6106" s="36" t="s">
        <v>209</v>
      </c>
      <c r="D6106" s="36" t="s">
        <v>2494</v>
      </c>
      <c r="E6106" s="36" t="s">
        <v>2801</v>
      </c>
      <c r="J6106" s="87">
        <v>2095720</v>
      </c>
      <c r="K6106" s="85">
        <v>2025</v>
      </c>
      <c r="L6106" s="85">
        <v>3</v>
      </c>
      <c r="N6106" s="1" t="s">
        <v>44</v>
      </c>
    </row>
    <row r="6107" spans="1:14">
      <c r="A6107" s="36" t="s">
        <v>32</v>
      </c>
      <c r="B6107" s="37">
        <v>45779</v>
      </c>
      <c r="C6107" s="36" t="s">
        <v>209</v>
      </c>
      <c r="D6107" s="36" t="s">
        <v>2550</v>
      </c>
      <c r="E6107" s="36" t="s">
        <v>2655</v>
      </c>
      <c r="J6107" s="87">
        <v>4079680</v>
      </c>
      <c r="K6107" s="85">
        <v>2025</v>
      </c>
      <c r="L6107" s="85">
        <v>3</v>
      </c>
      <c r="M6107" s="36" t="s">
        <v>2802</v>
      </c>
      <c r="N6107" s="1" t="s">
        <v>44</v>
      </c>
    </row>
    <row r="6108" spans="1:14">
      <c r="A6108" s="36" t="s">
        <v>33</v>
      </c>
      <c r="B6108" s="37">
        <v>45777</v>
      </c>
      <c r="C6108" s="36" t="s">
        <v>2794</v>
      </c>
      <c r="D6108" s="36" t="s">
        <v>2763</v>
      </c>
      <c r="E6108" s="36" t="s">
        <v>148</v>
      </c>
      <c r="J6108" s="87">
        <v>231000</v>
      </c>
      <c r="K6108" s="85">
        <v>2025</v>
      </c>
      <c r="L6108" s="85">
        <v>4</v>
      </c>
      <c r="N6108" s="1" t="s">
        <v>44</v>
      </c>
    </row>
    <row r="6109" spans="1:14">
      <c r="A6109" s="36" t="s">
        <v>33</v>
      </c>
      <c r="B6109" s="37">
        <v>45777</v>
      </c>
      <c r="C6109" s="36" t="s">
        <v>2793</v>
      </c>
      <c r="D6109" s="36" t="s">
        <v>2763</v>
      </c>
      <c r="E6109" s="36" t="s">
        <v>148</v>
      </c>
      <c r="J6109" s="87">
        <v>176000</v>
      </c>
      <c r="K6109" s="85">
        <v>2025</v>
      </c>
      <c r="L6109" s="85">
        <v>4</v>
      </c>
      <c r="N6109" s="1" t="s">
        <v>44</v>
      </c>
    </row>
    <row r="6110" spans="1:14">
      <c r="A6110" s="36" t="s">
        <v>33</v>
      </c>
      <c r="B6110" s="37">
        <v>45777</v>
      </c>
      <c r="C6110" s="36" t="s">
        <v>96</v>
      </c>
      <c r="D6110" s="36" t="s">
        <v>97</v>
      </c>
      <c r="E6110" s="36" t="s">
        <v>148</v>
      </c>
      <c r="J6110" s="87">
        <v>451000</v>
      </c>
      <c r="K6110" s="85">
        <v>2025</v>
      </c>
      <c r="L6110" s="85">
        <v>3</v>
      </c>
      <c r="N6110" s="1" t="s">
        <v>44</v>
      </c>
    </row>
    <row r="6111" spans="1:14">
      <c r="A6111" s="36" t="s">
        <v>33</v>
      </c>
      <c r="B6111" s="37">
        <v>45777</v>
      </c>
      <c r="C6111" s="36" t="s">
        <v>2116</v>
      </c>
      <c r="D6111" s="36" t="s">
        <v>2117</v>
      </c>
      <c r="E6111" s="36" t="s">
        <v>148</v>
      </c>
      <c r="J6111" s="87">
        <v>2009700</v>
      </c>
      <c r="K6111" s="85">
        <v>2025</v>
      </c>
      <c r="L6111" s="85">
        <v>3</v>
      </c>
      <c r="N6111" s="1" t="s">
        <v>44</v>
      </c>
    </row>
    <row r="6112" spans="1:14">
      <c r="A6112" s="36" t="s">
        <v>33</v>
      </c>
      <c r="B6112" s="37">
        <v>45777</v>
      </c>
      <c r="C6112" s="36" t="s">
        <v>2587</v>
      </c>
      <c r="D6112" s="36" t="s">
        <v>2588</v>
      </c>
      <c r="E6112" s="36" t="s">
        <v>148</v>
      </c>
      <c r="J6112" s="87">
        <v>1894750</v>
      </c>
      <c r="K6112" s="85">
        <v>2025</v>
      </c>
      <c r="L6112" s="85">
        <v>3</v>
      </c>
      <c r="N6112" s="1" t="s">
        <v>44</v>
      </c>
    </row>
    <row r="6113" spans="1:14">
      <c r="A6113" s="36" t="s">
        <v>33</v>
      </c>
      <c r="B6113" s="37">
        <v>45777</v>
      </c>
      <c r="C6113" s="36" t="s">
        <v>2803</v>
      </c>
      <c r="D6113" s="36" t="s">
        <v>2271</v>
      </c>
      <c r="E6113" s="36" t="s">
        <v>2804</v>
      </c>
      <c r="J6113" s="87">
        <v>823900</v>
      </c>
      <c r="K6113" s="85">
        <v>2025</v>
      </c>
      <c r="L6113" s="85">
        <v>3</v>
      </c>
      <c r="N6113" s="1" t="s">
        <v>44</v>
      </c>
    </row>
    <row r="6114" spans="1:14">
      <c r="A6114" s="36" t="s">
        <v>33</v>
      </c>
      <c r="B6114" s="37">
        <v>45777</v>
      </c>
      <c r="C6114" s="36" t="s">
        <v>2540</v>
      </c>
      <c r="D6114" s="36" t="s">
        <v>2541</v>
      </c>
      <c r="E6114" s="36" t="s">
        <v>148</v>
      </c>
      <c r="J6114" s="87">
        <v>3385250</v>
      </c>
      <c r="K6114" s="85">
        <v>2025</v>
      </c>
      <c r="L6114" s="85">
        <v>3</v>
      </c>
      <c r="N6114" s="1" t="s">
        <v>44</v>
      </c>
    </row>
    <row r="6115" spans="1:14">
      <c r="A6115" s="36" t="s">
        <v>33</v>
      </c>
      <c r="B6115" s="37">
        <v>45777</v>
      </c>
      <c r="C6115" s="36" t="s">
        <v>2322</v>
      </c>
      <c r="D6115" s="36" t="s">
        <v>197</v>
      </c>
      <c r="E6115" s="36" t="s">
        <v>148</v>
      </c>
      <c r="J6115" s="87">
        <v>313500</v>
      </c>
      <c r="K6115" s="85">
        <v>2025</v>
      </c>
      <c r="L6115" s="85">
        <v>3</v>
      </c>
      <c r="N6115" s="1" t="s">
        <v>44</v>
      </c>
    </row>
    <row r="6116" spans="1:14">
      <c r="A6116" s="36" t="s">
        <v>33</v>
      </c>
      <c r="B6116" s="37">
        <v>45777</v>
      </c>
      <c r="C6116" s="36" t="s">
        <v>2750</v>
      </c>
      <c r="D6116" s="36" t="s">
        <v>2464</v>
      </c>
      <c r="E6116" s="36" t="s">
        <v>148</v>
      </c>
      <c r="J6116" s="87">
        <v>1012000</v>
      </c>
      <c r="K6116" s="85">
        <v>2025</v>
      </c>
      <c r="L6116" s="85">
        <v>3</v>
      </c>
      <c r="N6116" s="1" t="s">
        <v>44</v>
      </c>
    </row>
    <row r="6117" spans="1:14">
      <c r="A6117" s="36" t="s">
        <v>33</v>
      </c>
      <c r="B6117" s="37">
        <v>45777</v>
      </c>
      <c r="C6117" s="36" t="s">
        <v>2122</v>
      </c>
      <c r="D6117" s="36" t="s">
        <v>2207</v>
      </c>
      <c r="E6117" s="36" t="s">
        <v>148</v>
      </c>
      <c r="J6117" s="87">
        <v>154000</v>
      </c>
      <c r="K6117" s="85">
        <v>2025</v>
      </c>
      <c r="L6117" s="85">
        <v>3</v>
      </c>
      <c r="N6117" s="1" t="s">
        <v>44</v>
      </c>
    </row>
    <row r="6118" spans="1:14">
      <c r="A6118" s="36" t="s">
        <v>33</v>
      </c>
      <c r="B6118" s="37">
        <v>45777</v>
      </c>
      <c r="C6118" s="36" t="s">
        <v>2223</v>
      </c>
      <c r="D6118" s="36" t="s">
        <v>2719</v>
      </c>
      <c r="E6118" s="36" t="s">
        <v>148</v>
      </c>
      <c r="J6118" s="87">
        <v>2618000</v>
      </c>
      <c r="K6118" s="85">
        <v>2025</v>
      </c>
      <c r="L6118" s="85">
        <v>3</v>
      </c>
      <c r="N6118" s="1" t="s">
        <v>44</v>
      </c>
    </row>
    <row r="6119" spans="1:14">
      <c r="A6119" s="36" t="s">
        <v>33</v>
      </c>
      <c r="B6119" s="37">
        <v>45777</v>
      </c>
      <c r="C6119" s="36" t="s">
        <v>2223</v>
      </c>
      <c r="D6119" s="36" t="s">
        <v>2720</v>
      </c>
      <c r="E6119" s="36" t="s">
        <v>148</v>
      </c>
      <c r="J6119" s="87">
        <v>2714800</v>
      </c>
      <c r="K6119" s="85">
        <v>2025</v>
      </c>
      <c r="L6119" s="85">
        <v>3</v>
      </c>
      <c r="N6119" s="1" t="s">
        <v>44</v>
      </c>
    </row>
    <row r="6120" spans="1:14">
      <c r="A6120" s="36" t="s">
        <v>33</v>
      </c>
      <c r="B6120" s="37">
        <v>45777</v>
      </c>
      <c r="C6120" s="36" t="s">
        <v>1391</v>
      </c>
      <c r="D6120" s="36" t="s">
        <v>197</v>
      </c>
      <c r="E6120" s="36" t="s">
        <v>2805</v>
      </c>
      <c r="J6120" s="87">
        <v>2288000</v>
      </c>
      <c r="K6120" s="85">
        <v>2025</v>
      </c>
      <c r="L6120" s="85">
        <v>2</v>
      </c>
      <c r="N6120" s="1" t="s">
        <v>44</v>
      </c>
    </row>
    <row r="6121" spans="1:14">
      <c r="A6121" s="36" t="s">
        <v>33</v>
      </c>
      <c r="B6121" s="37">
        <v>45777</v>
      </c>
      <c r="C6121" s="36" t="s">
        <v>81</v>
      </c>
      <c r="D6121" s="36" t="s">
        <v>2271</v>
      </c>
      <c r="E6121" s="36" t="s">
        <v>2806</v>
      </c>
      <c r="J6121" s="87">
        <v>19770616</v>
      </c>
      <c r="K6121" s="85">
        <v>2025</v>
      </c>
      <c r="L6121" s="85">
        <v>3</v>
      </c>
      <c r="N6121" s="1" t="s">
        <v>44</v>
      </c>
    </row>
    <row r="6122" spans="1:14">
      <c r="A6122" s="36" t="s">
        <v>33</v>
      </c>
      <c r="B6122" s="37">
        <v>45777</v>
      </c>
      <c r="C6122" s="36" t="s">
        <v>81</v>
      </c>
      <c r="D6122" s="36" t="s">
        <v>2466</v>
      </c>
      <c r="E6122" s="36" t="s">
        <v>2530</v>
      </c>
      <c r="J6122" s="87">
        <v>7001406</v>
      </c>
      <c r="K6122" s="85">
        <v>2025</v>
      </c>
      <c r="L6122" s="85">
        <v>3</v>
      </c>
      <c r="N6122" s="1" t="s">
        <v>44</v>
      </c>
    </row>
    <row r="6123" spans="1:14">
      <c r="A6123" s="36" t="s">
        <v>33</v>
      </c>
      <c r="B6123" s="37">
        <v>45777</v>
      </c>
      <c r="C6123" s="36" t="s">
        <v>81</v>
      </c>
      <c r="D6123" s="36" t="s">
        <v>2762</v>
      </c>
      <c r="E6123" s="36" t="s">
        <v>2807</v>
      </c>
      <c r="J6123" s="87">
        <v>4889500</v>
      </c>
      <c r="K6123" s="85">
        <v>2025</v>
      </c>
      <c r="L6123" s="85">
        <v>3</v>
      </c>
      <c r="N6123" s="1" t="s">
        <v>44</v>
      </c>
    </row>
    <row r="6124" spans="1:14">
      <c r="A6124" s="36" t="s">
        <v>33</v>
      </c>
      <c r="B6124" s="37">
        <v>45777</v>
      </c>
      <c r="C6124" s="36" t="s">
        <v>2188</v>
      </c>
      <c r="D6124" s="36" t="s">
        <v>2755</v>
      </c>
      <c r="E6124" s="36" t="s">
        <v>148</v>
      </c>
      <c r="J6124" s="87">
        <v>586080</v>
      </c>
      <c r="K6124" s="85">
        <v>2025</v>
      </c>
      <c r="L6124" s="85">
        <v>3</v>
      </c>
      <c r="N6124" s="1" t="s">
        <v>44</v>
      </c>
    </row>
    <row r="6125" spans="1:14">
      <c r="A6125" s="36" t="s">
        <v>33</v>
      </c>
      <c r="B6125" s="37">
        <v>45777</v>
      </c>
      <c r="C6125" s="36" t="s">
        <v>2188</v>
      </c>
      <c r="D6125" s="36" t="s">
        <v>2757</v>
      </c>
      <c r="E6125" s="36" t="s">
        <v>148</v>
      </c>
      <c r="J6125" s="87">
        <v>2798620</v>
      </c>
      <c r="K6125" s="85">
        <v>2025</v>
      </c>
      <c r="L6125" s="85">
        <v>3</v>
      </c>
      <c r="N6125" s="1" t="s">
        <v>44</v>
      </c>
    </row>
    <row r="6126" spans="1:14">
      <c r="A6126" s="36" t="s">
        <v>33</v>
      </c>
      <c r="B6126" s="37">
        <v>45777</v>
      </c>
      <c r="C6126" s="36" t="s">
        <v>2808</v>
      </c>
      <c r="D6126" s="36" t="s">
        <v>2763</v>
      </c>
      <c r="E6126" s="36" t="s">
        <v>148</v>
      </c>
      <c r="J6126" s="87">
        <v>176000</v>
      </c>
      <c r="K6126" s="85">
        <v>2025</v>
      </c>
      <c r="L6126" s="85">
        <v>3</v>
      </c>
      <c r="N6126" s="1" t="s">
        <v>44</v>
      </c>
    </row>
    <row r="6127" spans="1:14">
      <c r="A6127" s="36" t="s">
        <v>33</v>
      </c>
      <c r="B6127" s="37">
        <v>45777</v>
      </c>
      <c r="C6127" s="36" t="s">
        <v>1569</v>
      </c>
      <c r="D6127" s="36" t="s">
        <v>1431</v>
      </c>
      <c r="E6127" s="36" t="s">
        <v>2605</v>
      </c>
      <c r="J6127" s="87">
        <v>2095720</v>
      </c>
      <c r="K6127" s="85">
        <v>2025</v>
      </c>
      <c r="L6127" s="85">
        <v>3</v>
      </c>
      <c r="N6127" s="1" t="s">
        <v>44</v>
      </c>
    </row>
    <row r="6128" spans="1:14">
      <c r="A6128" s="36" t="s">
        <v>33</v>
      </c>
      <c r="B6128" s="37">
        <v>45777</v>
      </c>
      <c r="C6128" s="36" t="s">
        <v>1569</v>
      </c>
      <c r="D6128" s="36" t="s">
        <v>2719</v>
      </c>
      <c r="E6128" s="36" t="s">
        <v>2809</v>
      </c>
      <c r="J6128" s="87">
        <v>1570800</v>
      </c>
      <c r="K6128" s="85">
        <v>2025</v>
      </c>
      <c r="L6128" s="85">
        <v>3</v>
      </c>
      <c r="N6128" s="1" t="s">
        <v>44</v>
      </c>
    </row>
    <row r="6129" spans="1:14">
      <c r="A6129" s="36" t="s">
        <v>33</v>
      </c>
      <c r="B6129" s="37">
        <v>45777</v>
      </c>
      <c r="C6129" s="36" t="s">
        <v>1569</v>
      </c>
      <c r="D6129" s="36" t="s">
        <v>2700</v>
      </c>
      <c r="E6129" s="36" t="s">
        <v>2810</v>
      </c>
      <c r="J6129" s="87">
        <v>1628880</v>
      </c>
      <c r="K6129" s="85">
        <v>2025</v>
      </c>
      <c r="L6129" s="85">
        <v>3</v>
      </c>
      <c r="N6129" s="1" t="s">
        <v>44</v>
      </c>
    </row>
    <row r="6130" spans="1:14">
      <c r="A6130" s="36" t="s">
        <v>33</v>
      </c>
      <c r="B6130" s="37">
        <v>45777</v>
      </c>
      <c r="C6130" s="36" t="s">
        <v>2016</v>
      </c>
      <c r="D6130" s="36" t="s">
        <v>2621</v>
      </c>
      <c r="E6130" s="36" t="s">
        <v>148</v>
      </c>
      <c r="J6130" s="87">
        <v>108252100</v>
      </c>
      <c r="K6130" s="85">
        <v>2025</v>
      </c>
      <c r="L6130" s="85">
        <v>3</v>
      </c>
      <c r="N6130" s="1" t="s">
        <v>44</v>
      </c>
    </row>
    <row r="6131" spans="1:14">
      <c r="A6131" s="36" t="s">
        <v>33</v>
      </c>
      <c r="B6131" s="37">
        <v>45777</v>
      </c>
      <c r="C6131" s="36" t="s">
        <v>2811</v>
      </c>
      <c r="D6131" s="36" t="s">
        <v>2763</v>
      </c>
      <c r="E6131" s="36" t="s">
        <v>2115</v>
      </c>
      <c r="G6131" s="87">
        <v>576000</v>
      </c>
      <c r="H6131" s="87">
        <v>57600</v>
      </c>
      <c r="I6131" s="87">
        <v>633600</v>
      </c>
      <c r="K6131" s="85">
        <v>2025</v>
      </c>
      <c r="L6131" s="85">
        <v>4</v>
      </c>
      <c r="N6131" s="1" t="s">
        <v>44</v>
      </c>
    </row>
    <row r="6132" spans="1:14">
      <c r="A6132" s="36" t="s">
        <v>33</v>
      </c>
      <c r="B6132" s="37">
        <v>45777</v>
      </c>
      <c r="C6132" s="36" t="s">
        <v>2368</v>
      </c>
      <c r="D6132" s="36" t="s">
        <v>2369</v>
      </c>
      <c r="E6132" s="36" t="s">
        <v>2370</v>
      </c>
      <c r="G6132" s="87">
        <v>2548000</v>
      </c>
      <c r="H6132" s="87">
        <v>254800</v>
      </c>
      <c r="I6132" s="87">
        <v>2802800</v>
      </c>
      <c r="K6132" s="85">
        <v>2025</v>
      </c>
      <c r="L6132" s="85">
        <v>4</v>
      </c>
      <c r="N6132" s="1" t="s">
        <v>44</v>
      </c>
    </row>
    <row r="6133" spans="1:14">
      <c r="A6133" s="36" t="s">
        <v>33</v>
      </c>
      <c r="B6133" s="37">
        <v>45777</v>
      </c>
      <c r="C6133" s="36" t="s">
        <v>2540</v>
      </c>
      <c r="D6133" s="36" t="s">
        <v>2541</v>
      </c>
      <c r="E6133" s="36" t="s">
        <v>469</v>
      </c>
      <c r="G6133" s="87">
        <v>3162500</v>
      </c>
      <c r="H6133" s="87">
        <v>316250</v>
      </c>
      <c r="I6133" s="87">
        <v>3478750</v>
      </c>
      <c r="K6133" s="85">
        <v>2025</v>
      </c>
      <c r="L6133" s="85">
        <v>4</v>
      </c>
      <c r="N6133" s="1" t="s">
        <v>44</v>
      </c>
    </row>
    <row r="6134" spans="1:14">
      <c r="A6134" s="36" t="s">
        <v>32</v>
      </c>
      <c r="B6134" s="37">
        <v>45784</v>
      </c>
      <c r="C6134" s="36" t="s">
        <v>2005</v>
      </c>
      <c r="D6134" s="36" t="s">
        <v>2689</v>
      </c>
      <c r="E6134" s="36" t="s">
        <v>148</v>
      </c>
      <c r="J6134" s="87">
        <v>33000000</v>
      </c>
      <c r="K6134" s="85">
        <v>2025</v>
      </c>
      <c r="L6134" s="85">
        <v>2</v>
      </c>
      <c r="N6134" s="1" t="s">
        <v>44</v>
      </c>
    </row>
    <row r="6135" spans="1:14">
      <c r="A6135" s="36" t="s">
        <v>32</v>
      </c>
      <c r="B6135" s="37">
        <v>45777</v>
      </c>
      <c r="C6135" s="36" t="s">
        <v>188</v>
      </c>
      <c r="D6135" s="36" t="s">
        <v>981</v>
      </c>
      <c r="E6135" s="36" t="s">
        <v>2812</v>
      </c>
      <c r="J6135" s="87">
        <v>2702304</v>
      </c>
      <c r="K6135" s="85">
        <v>2022</v>
      </c>
      <c r="L6135" s="85">
        <v>11</v>
      </c>
      <c r="N6135" s="1" t="s">
        <v>44</v>
      </c>
    </row>
    <row r="6136" spans="1:14">
      <c r="A6136" s="36" t="s">
        <v>32</v>
      </c>
      <c r="B6136" s="37">
        <v>45777</v>
      </c>
      <c r="C6136" s="36" t="s">
        <v>1462</v>
      </c>
      <c r="D6136" s="36" t="s">
        <v>2962</v>
      </c>
      <c r="E6136" s="36" t="s">
        <v>148</v>
      </c>
      <c r="J6136" s="87">
        <v>4087521.9</v>
      </c>
      <c r="K6136" s="85">
        <v>2025</v>
      </c>
      <c r="L6136" s="85">
        <v>2</v>
      </c>
      <c r="M6136" s="36" t="s">
        <v>2852</v>
      </c>
      <c r="N6136" s="1" t="s">
        <v>44</v>
      </c>
    </row>
    <row r="6137" spans="1:14">
      <c r="A6137" s="36" t="s">
        <v>32</v>
      </c>
      <c r="B6137" s="37">
        <v>45777</v>
      </c>
      <c r="C6137" s="36" t="s">
        <v>1880</v>
      </c>
      <c r="D6137" s="36" t="s">
        <v>2078</v>
      </c>
      <c r="E6137" s="36" t="s">
        <v>148</v>
      </c>
      <c r="J6137" s="38">
        <v>15400000</v>
      </c>
      <c r="K6137" s="85">
        <v>2024</v>
      </c>
      <c r="L6137" s="85">
        <v>7</v>
      </c>
      <c r="M6137" s="36" t="s">
        <v>2813</v>
      </c>
      <c r="N6137" s="1" t="s">
        <v>44</v>
      </c>
    </row>
    <row r="6138" spans="1:14">
      <c r="A6138" s="36" t="s">
        <v>33</v>
      </c>
      <c r="B6138" s="37">
        <v>45772</v>
      </c>
      <c r="C6138" s="36" t="s">
        <v>1569</v>
      </c>
      <c r="D6138" s="36" t="s">
        <v>2719</v>
      </c>
      <c r="E6138" s="36" t="s">
        <v>2814</v>
      </c>
      <c r="G6138" s="87">
        <v>1428000</v>
      </c>
      <c r="H6138" s="87">
        <v>142800</v>
      </c>
      <c r="I6138" s="87">
        <v>1570800</v>
      </c>
      <c r="K6138" s="85">
        <v>2025</v>
      </c>
      <c r="L6138" s="85">
        <v>4</v>
      </c>
      <c r="N6138" s="1" t="s">
        <v>44</v>
      </c>
    </row>
    <row r="6139" spans="1:14">
      <c r="A6139" s="36" t="s">
        <v>33</v>
      </c>
      <c r="B6139" s="37">
        <v>45772</v>
      </c>
      <c r="C6139" s="36" t="s">
        <v>1569</v>
      </c>
      <c r="D6139" s="36" t="s">
        <v>2720</v>
      </c>
      <c r="E6139" s="36" t="s">
        <v>2814</v>
      </c>
      <c r="G6139" s="87">
        <v>1480800</v>
      </c>
      <c r="H6139" s="87">
        <v>148080</v>
      </c>
      <c r="I6139" s="87">
        <v>1628880</v>
      </c>
      <c r="K6139" s="85">
        <v>2025</v>
      </c>
      <c r="L6139" s="85">
        <v>4</v>
      </c>
      <c r="N6139" s="1" t="s">
        <v>44</v>
      </c>
    </row>
    <row r="6140" spans="1:14">
      <c r="A6140" s="36" t="s">
        <v>33</v>
      </c>
      <c r="B6140" s="37">
        <v>45772</v>
      </c>
      <c r="C6140" s="36" t="s">
        <v>1569</v>
      </c>
      <c r="D6140" s="36" t="s">
        <v>1431</v>
      </c>
      <c r="E6140" s="36" t="s">
        <v>2814</v>
      </c>
      <c r="G6140" s="87">
        <v>2113800</v>
      </c>
      <c r="H6140" s="87">
        <v>211380</v>
      </c>
      <c r="I6140" s="87">
        <v>2325180</v>
      </c>
      <c r="K6140" s="85">
        <v>2025</v>
      </c>
      <c r="L6140" s="85">
        <v>4</v>
      </c>
      <c r="N6140" s="1" t="s">
        <v>44</v>
      </c>
    </row>
    <row r="6141" spans="1:14">
      <c r="A6141" s="36" t="s">
        <v>33</v>
      </c>
      <c r="B6141" s="37">
        <v>45777</v>
      </c>
      <c r="C6141" s="36" t="s">
        <v>2587</v>
      </c>
      <c r="D6141" s="36" t="s">
        <v>2588</v>
      </c>
      <c r="E6141" s="36" t="s">
        <v>2115</v>
      </c>
      <c r="G6141" s="87">
        <v>2232500</v>
      </c>
      <c r="H6141" s="87">
        <v>223250</v>
      </c>
      <c r="I6141" s="87">
        <v>2455750</v>
      </c>
      <c r="K6141" s="85">
        <v>2025</v>
      </c>
      <c r="L6141" s="85">
        <v>4</v>
      </c>
      <c r="N6141" s="1" t="s">
        <v>44</v>
      </c>
    </row>
    <row r="6142" spans="1:14">
      <c r="A6142" s="36" t="s">
        <v>32</v>
      </c>
      <c r="B6142" s="37">
        <v>45785</v>
      </c>
      <c r="C6142" s="36" t="s">
        <v>2774</v>
      </c>
      <c r="D6142" s="36" t="s">
        <v>2784</v>
      </c>
      <c r="E6142" s="36" t="s">
        <v>148</v>
      </c>
      <c r="J6142" s="87">
        <v>9308420</v>
      </c>
      <c r="K6142" s="85">
        <v>2025</v>
      </c>
      <c r="L6142" s="85">
        <v>3</v>
      </c>
      <c r="N6142" s="1" t="s">
        <v>44</v>
      </c>
    </row>
    <row r="6143" spans="1:14">
      <c r="A6143" s="36" t="s">
        <v>33</v>
      </c>
      <c r="B6143" s="37">
        <v>45786</v>
      </c>
      <c r="C6143" s="36" t="s">
        <v>2811</v>
      </c>
      <c r="D6143" s="36" t="s">
        <v>2763</v>
      </c>
      <c r="E6143" s="36" t="s">
        <v>148</v>
      </c>
      <c r="J6143" s="87">
        <v>633600</v>
      </c>
      <c r="K6143" s="85">
        <v>2025</v>
      </c>
      <c r="L6143" s="85">
        <v>4</v>
      </c>
      <c r="N6143" s="1" t="s">
        <v>44</v>
      </c>
    </row>
    <row r="6144" spans="1:14">
      <c r="A6144" s="36" t="s">
        <v>33</v>
      </c>
      <c r="B6144" s="37">
        <v>45785</v>
      </c>
      <c r="C6144" s="36" t="s">
        <v>1779</v>
      </c>
      <c r="D6144" s="36" t="s">
        <v>2588</v>
      </c>
      <c r="E6144" s="36" t="s">
        <v>2094</v>
      </c>
      <c r="G6144" s="87">
        <v>935000</v>
      </c>
      <c r="H6144" s="87">
        <v>93500</v>
      </c>
      <c r="I6144" s="87">
        <v>1028500</v>
      </c>
      <c r="K6144" s="85">
        <v>2025</v>
      </c>
      <c r="L6144" s="85">
        <v>5</v>
      </c>
      <c r="N6144" s="1" t="s">
        <v>44</v>
      </c>
    </row>
    <row r="6145" spans="1:14">
      <c r="A6145" s="36" t="s">
        <v>33</v>
      </c>
      <c r="B6145" s="37">
        <v>45786</v>
      </c>
      <c r="C6145" s="36" t="s">
        <v>1779</v>
      </c>
      <c r="D6145" s="36" t="s">
        <v>2588</v>
      </c>
      <c r="E6145" s="36" t="s">
        <v>77</v>
      </c>
      <c r="J6145" s="38">
        <v>1028500</v>
      </c>
      <c r="K6145" s="85">
        <v>2025</v>
      </c>
      <c r="L6145" s="85">
        <v>5</v>
      </c>
      <c r="N6145" s="1" t="s">
        <v>44</v>
      </c>
    </row>
    <row r="6146" spans="1:14">
      <c r="A6146" s="36" t="s">
        <v>33</v>
      </c>
      <c r="B6146" s="37">
        <v>45777</v>
      </c>
      <c r="C6146" s="36" t="s">
        <v>2188</v>
      </c>
      <c r="D6146" s="36" t="s">
        <v>2755</v>
      </c>
      <c r="E6146" s="36" t="s">
        <v>267</v>
      </c>
      <c r="G6146" s="87">
        <v>3619000</v>
      </c>
      <c r="H6146" s="87">
        <v>361900</v>
      </c>
      <c r="I6146" s="87">
        <v>3980900</v>
      </c>
      <c r="K6146" s="85">
        <v>2025</v>
      </c>
      <c r="L6146" s="85">
        <v>4</v>
      </c>
      <c r="N6146" s="1" t="s">
        <v>44</v>
      </c>
    </row>
    <row r="6147" spans="1:14">
      <c r="A6147" s="36" t="s">
        <v>33</v>
      </c>
      <c r="B6147" s="37">
        <v>45777</v>
      </c>
      <c r="C6147" s="36" t="s">
        <v>2188</v>
      </c>
      <c r="D6147" s="36" t="s">
        <v>3111</v>
      </c>
      <c r="E6147" s="36" t="s">
        <v>267</v>
      </c>
      <c r="G6147" s="87">
        <v>1157000</v>
      </c>
      <c r="H6147" s="87">
        <v>115700</v>
      </c>
      <c r="I6147" s="87">
        <v>1272700</v>
      </c>
      <c r="K6147" s="85">
        <v>2025</v>
      </c>
      <c r="L6147" s="85">
        <v>4</v>
      </c>
      <c r="N6147" s="1" t="s">
        <v>44</v>
      </c>
    </row>
    <row r="6148" spans="1:14">
      <c r="A6148" s="36" t="s">
        <v>33</v>
      </c>
      <c r="B6148" s="37">
        <v>45777</v>
      </c>
      <c r="C6148" s="36" t="s">
        <v>81</v>
      </c>
      <c r="D6148" s="36" t="s">
        <v>2271</v>
      </c>
      <c r="E6148" s="36" t="s">
        <v>2815</v>
      </c>
      <c r="G6148" s="87">
        <v>17020344</v>
      </c>
      <c r="H6148" s="87">
        <v>1702034.4000000001</v>
      </c>
      <c r="I6148" s="87">
        <v>18722378.399999999</v>
      </c>
      <c r="K6148" s="85">
        <v>2025</v>
      </c>
      <c r="L6148" s="85">
        <v>4</v>
      </c>
      <c r="N6148" s="1" t="s">
        <v>44</v>
      </c>
    </row>
    <row r="6149" spans="1:14">
      <c r="A6149" s="36" t="s">
        <v>33</v>
      </c>
      <c r="B6149" s="37">
        <v>45777</v>
      </c>
      <c r="C6149" s="36" t="s">
        <v>96</v>
      </c>
      <c r="D6149" s="36" t="s">
        <v>97</v>
      </c>
      <c r="E6149" s="36" t="s">
        <v>97</v>
      </c>
      <c r="G6149" s="87">
        <v>180000</v>
      </c>
      <c r="H6149" s="87">
        <v>18000</v>
      </c>
      <c r="I6149" s="87">
        <v>198000</v>
      </c>
      <c r="K6149" s="85">
        <v>2025</v>
      </c>
      <c r="L6149" s="85">
        <v>4</v>
      </c>
      <c r="N6149" s="1" t="s">
        <v>44</v>
      </c>
    </row>
    <row r="6150" spans="1:14">
      <c r="A6150" s="36" t="s">
        <v>33</v>
      </c>
      <c r="B6150" s="37">
        <v>45777</v>
      </c>
      <c r="C6150" s="36" t="s">
        <v>2704</v>
      </c>
      <c r="D6150" s="36" t="s">
        <v>2816</v>
      </c>
      <c r="E6150" s="36" t="s">
        <v>2817</v>
      </c>
      <c r="G6150" s="87">
        <v>5460000</v>
      </c>
      <c r="H6150" s="87">
        <v>546000</v>
      </c>
      <c r="I6150" s="87">
        <v>6006000</v>
      </c>
      <c r="K6150" s="85">
        <v>2025</v>
      </c>
      <c r="L6150" s="85">
        <v>4</v>
      </c>
      <c r="N6150" s="1" t="s">
        <v>44</v>
      </c>
    </row>
    <row r="6151" spans="1:14">
      <c r="A6151" s="36" t="s">
        <v>33</v>
      </c>
      <c r="B6151" s="37">
        <v>45777</v>
      </c>
      <c r="C6151" s="36" t="s">
        <v>2818</v>
      </c>
      <c r="D6151" s="36" t="s">
        <v>2271</v>
      </c>
      <c r="E6151" s="36" t="s">
        <v>2458</v>
      </c>
      <c r="G6151" s="87">
        <v>553000</v>
      </c>
      <c r="H6151" s="87">
        <v>55300</v>
      </c>
      <c r="I6151" s="87">
        <v>608300</v>
      </c>
      <c r="K6151" s="85">
        <v>2025</v>
      </c>
      <c r="L6151" s="85">
        <v>4</v>
      </c>
      <c r="N6151" s="1" t="s">
        <v>44</v>
      </c>
    </row>
    <row r="6152" spans="1:14">
      <c r="A6152" s="36" t="s">
        <v>33</v>
      </c>
      <c r="B6152" s="37">
        <v>45777</v>
      </c>
      <c r="C6152" s="36" t="s">
        <v>2116</v>
      </c>
      <c r="D6152" s="36" t="s">
        <v>2117</v>
      </c>
      <c r="E6152" s="36" t="s">
        <v>2118</v>
      </c>
      <c r="G6152" s="87">
        <v>1358000</v>
      </c>
      <c r="H6152" s="87">
        <v>135800</v>
      </c>
      <c r="I6152" s="87">
        <v>1493800</v>
      </c>
      <c r="K6152" s="85">
        <v>2025</v>
      </c>
      <c r="L6152" s="85">
        <v>4</v>
      </c>
      <c r="N6152" s="1" t="s">
        <v>44</v>
      </c>
    </row>
    <row r="6153" spans="1:14">
      <c r="A6153" s="36" t="s">
        <v>33</v>
      </c>
      <c r="B6153" s="37">
        <v>45786</v>
      </c>
      <c r="C6153" s="36" t="s">
        <v>838</v>
      </c>
      <c r="D6153" s="36" t="s">
        <v>2589</v>
      </c>
      <c r="E6153" s="36" t="s">
        <v>2819</v>
      </c>
      <c r="G6153" s="87">
        <v>1600000</v>
      </c>
      <c r="H6153" s="87">
        <v>160000</v>
      </c>
      <c r="I6153" s="87">
        <v>1760000</v>
      </c>
      <c r="K6153" s="85">
        <v>2025</v>
      </c>
      <c r="L6153" s="85">
        <v>5</v>
      </c>
      <c r="N6153" s="1" t="s">
        <v>44</v>
      </c>
    </row>
    <row r="6154" spans="1:14">
      <c r="A6154" s="36" t="s">
        <v>32</v>
      </c>
      <c r="B6154" s="37">
        <v>45789</v>
      </c>
      <c r="C6154" s="36" t="s">
        <v>206</v>
      </c>
      <c r="D6154" s="36" t="s">
        <v>2776</v>
      </c>
      <c r="E6154" s="36" t="s">
        <v>148</v>
      </c>
      <c r="J6154" s="87">
        <v>10046300</v>
      </c>
      <c r="K6154" s="85">
        <v>2025</v>
      </c>
      <c r="L6154" s="85">
        <v>3</v>
      </c>
      <c r="N6154" s="1" t="s">
        <v>44</v>
      </c>
    </row>
    <row r="6155" spans="1:14">
      <c r="A6155" s="36" t="s">
        <v>33</v>
      </c>
      <c r="B6155" s="37">
        <v>45777</v>
      </c>
      <c r="C6155" s="36" t="s">
        <v>1218</v>
      </c>
      <c r="D6155" s="36" t="s">
        <v>1921</v>
      </c>
      <c r="E6155" s="36" t="s">
        <v>1232</v>
      </c>
      <c r="G6155" s="87">
        <v>5000000</v>
      </c>
      <c r="H6155" s="87">
        <v>500000</v>
      </c>
      <c r="I6155" s="87">
        <v>5500000</v>
      </c>
      <c r="K6155" s="85">
        <v>2025</v>
      </c>
      <c r="L6155" s="85">
        <v>4</v>
      </c>
      <c r="N6155" s="208" t="s">
        <v>44</v>
      </c>
    </row>
    <row r="6156" spans="1:14">
      <c r="A6156" s="36" t="s">
        <v>33</v>
      </c>
      <c r="B6156" s="37">
        <v>45777</v>
      </c>
      <c r="C6156" s="36" t="s">
        <v>1391</v>
      </c>
      <c r="D6156" s="36" t="s">
        <v>197</v>
      </c>
      <c r="E6156" s="36" t="s">
        <v>102</v>
      </c>
      <c r="G6156" s="87">
        <v>1042000</v>
      </c>
      <c r="H6156" s="87">
        <v>104200</v>
      </c>
      <c r="I6156" s="87">
        <v>1146200</v>
      </c>
      <c r="K6156" s="85">
        <v>2025</v>
      </c>
      <c r="L6156" s="85">
        <v>4</v>
      </c>
      <c r="N6156" s="208" t="s">
        <v>44</v>
      </c>
    </row>
    <row r="6157" spans="1:14">
      <c r="A6157" s="36" t="s">
        <v>33</v>
      </c>
      <c r="B6157" s="37">
        <v>45748</v>
      </c>
      <c r="C6157" s="36" t="s">
        <v>2016</v>
      </c>
      <c r="D6157" s="36" t="s">
        <v>2820</v>
      </c>
      <c r="E6157" s="36" t="s">
        <v>1492</v>
      </c>
      <c r="G6157" s="87">
        <v>48872500</v>
      </c>
      <c r="H6157" s="87">
        <v>4887250</v>
      </c>
      <c r="I6157" s="87">
        <v>53759750</v>
      </c>
      <c r="K6157" s="85">
        <v>2025</v>
      </c>
      <c r="L6157" s="85">
        <v>4</v>
      </c>
      <c r="N6157" s="1" t="s">
        <v>44</v>
      </c>
    </row>
    <row r="6158" spans="1:14">
      <c r="A6158" s="36" t="s">
        <v>33</v>
      </c>
      <c r="B6158" s="37">
        <v>45757</v>
      </c>
      <c r="C6158" s="36" t="s">
        <v>2016</v>
      </c>
      <c r="D6158" s="36" t="s">
        <v>2621</v>
      </c>
      <c r="E6158" s="36" t="s">
        <v>1492</v>
      </c>
      <c r="G6158" s="87">
        <v>42140660</v>
      </c>
      <c r="H6158" s="87">
        <v>4214066</v>
      </c>
      <c r="I6158" s="87">
        <v>46354726</v>
      </c>
      <c r="K6158" s="85">
        <v>2025</v>
      </c>
      <c r="L6158" s="85">
        <v>4</v>
      </c>
      <c r="N6158" s="1" t="s">
        <v>44</v>
      </c>
    </row>
    <row r="6159" spans="1:14">
      <c r="A6159" s="36" t="s">
        <v>33</v>
      </c>
      <c r="B6159" s="37">
        <v>45768</v>
      </c>
      <c r="C6159" s="36" t="s">
        <v>2016</v>
      </c>
      <c r="D6159" s="36" t="s">
        <v>2821</v>
      </c>
      <c r="E6159" s="36" t="s">
        <v>1492</v>
      </c>
      <c r="G6159" s="87">
        <v>60159000</v>
      </c>
      <c r="H6159" s="87">
        <v>6015900</v>
      </c>
      <c r="I6159" s="87">
        <v>66174900</v>
      </c>
      <c r="K6159" s="85">
        <v>2025</v>
      </c>
      <c r="L6159" s="85">
        <v>4</v>
      </c>
      <c r="N6159" s="1" t="s">
        <v>44</v>
      </c>
    </row>
    <row r="6160" spans="1:14">
      <c r="A6160" s="36" t="s">
        <v>33</v>
      </c>
      <c r="B6160" s="37">
        <v>45777</v>
      </c>
      <c r="C6160" s="36" t="s">
        <v>2016</v>
      </c>
      <c r="D6160" s="36" t="s">
        <v>2468</v>
      </c>
      <c r="E6160" s="36" t="s">
        <v>1492</v>
      </c>
      <c r="G6160" s="87">
        <v>72552000</v>
      </c>
      <c r="H6160" s="87">
        <v>7255200</v>
      </c>
      <c r="I6160" s="87">
        <v>79807200</v>
      </c>
      <c r="K6160" s="85">
        <v>2025</v>
      </c>
      <c r="L6160" s="85">
        <v>4</v>
      </c>
      <c r="N6160" s="1" t="s">
        <v>44</v>
      </c>
    </row>
    <row r="6161" spans="1:14">
      <c r="A6161" s="36" t="s">
        <v>33</v>
      </c>
      <c r="B6161" s="37">
        <v>45789</v>
      </c>
      <c r="C6161" s="36" t="s">
        <v>2016</v>
      </c>
      <c r="D6161" s="36" t="s">
        <v>2820</v>
      </c>
      <c r="E6161" s="36" t="s">
        <v>77</v>
      </c>
      <c r="J6161" s="38">
        <v>53759750</v>
      </c>
      <c r="K6161" s="85">
        <v>2025</v>
      </c>
      <c r="L6161" s="85">
        <v>4</v>
      </c>
      <c r="N6161" s="1" t="s">
        <v>44</v>
      </c>
    </row>
    <row r="6162" spans="1:14">
      <c r="A6162" s="36" t="s">
        <v>32</v>
      </c>
      <c r="B6162" s="37">
        <v>45752</v>
      </c>
      <c r="C6162" s="36" t="s">
        <v>1880</v>
      </c>
      <c r="D6162" s="36" t="s">
        <v>2396</v>
      </c>
      <c r="E6162" s="36" t="s">
        <v>76</v>
      </c>
      <c r="G6162" s="87">
        <v>6000000</v>
      </c>
      <c r="H6162" s="87">
        <v>600000</v>
      </c>
      <c r="I6162" s="87">
        <v>6600000</v>
      </c>
      <c r="K6162" s="85">
        <v>2025</v>
      </c>
      <c r="L6162" s="85">
        <v>4</v>
      </c>
      <c r="N6162" s="1" t="s">
        <v>44</v>
      </c>
    </row>
    <row r="6163" spans="1:14">
      <c r="A6163" s="36" t="s">
        <v>32</v>
      </c>
      <c r="B6163" s="37">
        <v>45775</v>
      </c>
      <c r="C6163" s="36" t="s">
        <v>209</v>
      </c>
      <c r="D6163" s="36" t="s">
        <v>2494</v>
      </c>
      <c r="E6163" s="36" t="s">
        <v>1492</v>
      </c>
      <c r="G6163" s="87">
        <v>2113800</v>
      </c>
      <c r="H6163" s="87">
        <v>211380</v>
      </c>
      <c r="I6163" s="87">
        <v>2325180</v>
      </c>
      <c r="K6163" s="85">
        <v>2025</v>
      </c>
      <c r="L6163" s="85">
        <v>4</v>
      </c>
      <c r="N6163" s="1" t="s">
        <v>44</v>
      </c>
    </row>
    <row r="6164" spans="1:14">
      <c r="A6164" s="36" t="s">
        <v>32</v>
      </c>
      <c r="B6164" s="37">
        <v>45775</v>
      </c>
      <c r="C6164" s="36" t="s">
        <v>209</v>
      </c>
      <c r="D6164" s="36" t="s">
        <v>2551</v>
      </c>
      <c r="E6164" s="36" t="s">
        <v>76</v>
      </c>
      <c r="G6164" s="87">
        <v>4455000</v>
      </c>
      <c r="H6164" s="87">
        <v>445500</v>
      </c>
      <c r="I6164" s="87">
        <v>4900500</v>
      </c>
      <c r="K6164" s="85">
        <v>2025</v>
      </c>
      <c r="L6164" s="85">
        <v>4</v>
      </c>
      <c r="N6164" s="1" t="s">
        <v>44</v>
      </c>
    </row>
    <row r="6165" spans="1:14">
      <c r="A6165" s="36" t="s">
        <v>32</v>
      </c>
      <c r="B6165" s="37">
        <v>45777</v>
      </c>
      <c r="C6165" s="36" t="s">
        <v>654</v>
      </c>
      <c r="D6165" s="36" t="s">
        <v>2588</v>
      </c>
      <c r="E6165" s="36" t="s">
        <v>76</v>
      </c>
      <c r="G6165" s="87">
        <v>30185900</v>
      </c>
      <c r="H6165" s="87">
        <v>3018590</v>
      </c>
      <c r="I6165" s="87">
        <v>33204490</v>
      </c>
      <c r="K6165" s="85">
        <v>2025</v>
      </c>
      <c r="L6165" s="85">
        <v>4</v>
      </c>
      <c r="N6165" s="1" t="s">
        <v>44</v>
      </c>
    </row>
    <row r="6166" spans="1:14">
      <c r="A6166" s="36" t="s">
        <v>32</v>
      </c>
      <c r="B6166" s="37">
        <v>45777</v>
      </c>
      <c r="C6166" s="36" t="s">
        <v>654</v>
      </c>
      <c r="D6166" s="36" t="s">
        <v>2588</v>
      </c>
      <c r="E6166" s="36" t="s">
        <v>2838</v>
      </c>
      <c r="G6166" s="87">
        <v>12821000</v>
      </c>
      <c r="H6166" s="87">
        <v>1282100</v>
      </c>
      <c r="I6166" s="87">
        <v>14103100</v>
      </c>
      <c r="K6166" s="85">
        <v>2025</v>
      </c>
      <c r="L6166" s="85">
        <v>4</v>
      </c>
      <c r="N6166" s="1" t="s">
        <v>44</v>
      </c>
    </row>
    <row r="6167" spans="1:14">
      <c r="A6167" s="36" t="s">
        <v>32</v>
      </c>
      <c r="B6167" s="37">
        <v>45777</v>
      </c>
      <c r="C6167" s="36" t="s">
        <v>654</v>
      </c>
      <c r="D6167" s="36" t="s">
        <v>1854</v>
      </c>
      <c r="E6167" s="36" t="s">
        <v>76</v>
      </c>
      <c r="G6167" s="87">
        <v>5339800</v>
      </c>
      <c r="H6167" s="87">
        <v>533980</v>
      </c>
      <c r="I6167" s="87">
        <v>5873780</v>
      </c>
      <c r="K6167" s="85">
        <v>2025</v>
      </c>
      <c r="L6167" s="85">
        <v>4</v>
      </c>
      <c r="N6167" s="1" t="s">
        <v>44</v>
      </c>
    </row>
    <row r="6168" spans="1:14">
      <c r="A6168" s="36" t="s">
        <v>32</v>
      </c>
      <c r="B6168" s="37">
        <v>45777</v>
      </c>
      <c r="C6168" s="36" t="s">
        <v>654</v>
      </c>
      <c r="D6168" s="36" t="s">
        <v>3047</v>
      </c>
      <c r="E6168" s="36" t="s">
        <v>76</v>
      </c>
      <c r="G6168" s="87">
        <v>11376640</v>
      </c>
      <c r="H6168" s="87">
        <v>1137664</v>
      </c>
      <c r="I6168" s="87">
        <v>12514304</v>
      </c>
      <c r="K6168" s="85">
        <v>2025</v>
      </c>
      <c r="L6168" s="85">
        <v>4</v>
      </c>
      <c r="N6168" s="1" t="s">
        <v>44</v>
      </c>
    </row>
    <row r="6169" spans="1:14">
      <c r="A6169" s="36" t="s">
        <v>32</v>
      </c>
      <c r="B6169" s="37">
        <v>45777</v>
      </c>
      <c r="C6169" s="36" t="s">
        <v>654</v>
      </c>
      <c r="D6169" s="36" t="s">
        <v>2826</v>
      </c>
      <c r="E6169" s="36" t="s">
        <v>76</v>
      </c>
      <c r="G6169" s="87">
        <v>48167000</v>
      </c>
      <c r="H6169" s="87">
        <v>4816700</v>
      </c>
      <c r="I6169" s="87">
        <v>52983700</v>
      </c>
      <c r="K6169" s="85">
        <v>2025</v>
      </c>
      <c r="L6169" s="85">
        <v>4</v>
      </c>
      <c r="N6169" s="1" t="s">
        <v>44</v>
      </c>
    </row>
    <row r="6170" spans="1:14">
      <c r="A6170" s="36" t="s">
        <v>32</v>
      </c>
      <c r="B6170" s="37">
        <v>45777</v>
      </c>
      <c r="C6170" s="36" t="s">
        <v>654</v>
      </c>
      <c r="D6170" s="36" t="s">
        <v>2635</v>
      </c>
      <c r="E6170" s="36" t="s">
        <v>2838</v>
      </c>
      <c r="G6170" s="87">
        <v>15000000</v>
      </c>
      <c r="H6170" s="87">
        <v>1500000</v>
      </c>
      <c r="I6170" s="87">
        <v>16500000</v>
      </c>
      <c r="K6170" s="85">
        <v>2025</v>
      </c>
      <c r="L6170" s="85">
        <v>4</v>
      </c>
      <c r="N6170" s="1" t="s">
        <v>44</v>
      </c>
    </row>
    <row r="6171" spans="1:14">
      <c r="A6171" s="36" t="s">
        <v>32</v>
      </c>
      <c r="B6171" s="37">
        <v>45777</v>
      </c>
      <c r="C6171" s="36" t="s">
        <v>1396</v>
      </c>
      <c r="D6171" s="36" t="s">
        <v>2677</v>
      </c>
      <c r="E6171" s="36" t="s">
        <v>76</v>
      </c>
      <c r="G6171" s="87">
        <v>1800000</v>
      </c>
      <c r="H6171" s="87">
        <v>180000</v>
      </c>
      <c r="I6171" s="87">
        <v>1980000</v>
      </c>
      <c r="K6171" s="85">
        <v>2025</v>
      </c>
      <c r="L6171" s="85">
        <v>4</v>
      </c>
      <c r="N6171" s="1" t="s">
        <v>44</v>
      </c>
    </row>
    <row r="6172" spans="1:14">
      <c r="A6172" s="36" t="s">
        <v>32</v>
      </c>
      <c r="B6172" s="37">
        <v>45777</v>
      </c>
      <c r="C6172" s="36" t="s">
        <v>1396</v>
      </c>
      <c r="D6172" s="36" t="s">
        <v>2678</v>
      </c>
      <c r="E6172" s="36" t="s">
        <v>76</v>
      </c>
      <c r="G6172" s="87">
        <v>1700000</v>
      </c>
      <c r="H6172" s="87">
        <v>170000</v>
      </c>
      <c r="I6172" s="87">
        <v>1870000</v>
      </c>
      <c r="K6172" s="85">
        <v>2025</v>
      </c>
      <c r="L6172" s="85">
        <v>4</v>
      </c>
      <c r="N6172" s="1" t="s">
        <v>44</v>
      </c>
    </row>
    <row r="6173" spans="1:14">
      <c r="A6173" s="36" t="s">
        <v>32</v>
      </c>
      <c r="B6173" s="37">
        <v>45777</v>
      </c>
      <c r="C6173" s="36" t="s">
        <v>1396</v>
      </c>
      <c r="D6173" s="36" t="s">
        <v>2954</v>
      </c>
      <c r="E6173" s="36" t="s">
        <v>76</v>
      </c>
      <c r="G6173" s="87">
        <v>11300000</v>
      </c>
      <c r="H6173" s="87">
        <v>1130000</v>
      </c>
      <c r="I6173" s="87">
        <v>12430000</v>
      </c>
      <c r="K6173" s="85">
        <v>2025</v>
      </c>
      <c r="L6173" s="85">
        <v>4</v>
      </c>
      <c r="N6173" s="1" t="s">
        <v>44</v>
      </c>
    </row>
    <row r="6174" spans="1:14">
      <c r="A6174" s="36" t="s">
        <v>32</v>
      </c>
      <c r="B6174" s="37">
        <v>45777</v>
      </c>
      <c r="C6174" s="36" t="s">
        <v>1396</v>
      </c>
      <c r="D6174" s="36" t="s">
        <v>2679</v>
      </c>
      <c r="E6174" s="36" t="s">
        <v>76</v>
      </c>
      <c r="G6174" s="87">
        <v>1570000</v>
      </c>
      <c r="H6174" s="87">
        <v>157000</v>
      </c>
      <c r="I6174" s="87">
        <v>1727000</v>
      </c>
      <c r="K6174" s="85">
        <v>2025</v>
      </c>
      <c r="L6174" s="85">
        <v>4</v>
      </c>
      <c r="N6174" s="1" t="s">
        <v>44</v>
      </c>
    </row>
    <row r="6175" spans="1:14">
      <c r="A6175" s="36" t="s">
        <v>32</v>
      </c>
      <c r="B6175" s="37">
        <v>45777</v>
      </c>
      <c r="C6175" s="36" t="s">
        <v>1396</v>
      </c>
      <c r="D6175" s="36" t="s">
        <v>2680</v>
      </c>
      <c r="E6175" s="36" t="s">
        <v>76</v>
      </c>
      <c r="G6175" s="87">
        <v>1700000</v>
      </c>
      <c r="H6175" s="87">
        <v>170000</v>
      </c>
      <c r="I6175" s="87">
        <v>1870000</v>
      </c>
      <c r="K6175" s="85">
        <v>2025</v>
      </c>
      <c r="L6175" s="85">
        <v>4</v>
      </c>
      <c r="N6175" s="1" t="s">
        <v>44</v>
      </c>
    </row>
    <row r="6176" spans="1:14">
      <c r="A6176" s="36" t="s">
        <v>32</v>
      </c>
      <c r="B6176" s="37">
        <v>45777</v>
      </c>
      <c r="C6176" s="36" t="s">
        <v>2774</v>
      </c>
      <c r="D6176" s="36" t="s">
        <v>2834</v>
      </c>
      <c r="E6176" s="36" t="s">
        <v>76</v>
      </c>
      <c r="G6176" s="87">
        <v>7000000</v>
      </c>
      <c r="H6176" s="87">
        <v>700000</v>
      </c>
      <c r="I6176" s="87">
        <v>7700000</v>
      </c>
      <c r="K6176" s="85">
        <v>2025</v>
      </c>
      <c r="L6176" s="85">
        <v>4</v>
      </c>
      <c r="N6176" s="1" t="s">
        <v>44</v>
      </c>
    </row>
    <row r="6177" spans="1:14">
      <c r="A6177" s="36" t="s">
        <v>32</v>
      </c>
      <c r="B6177" s="37">
        <v>45777</v>
      </c>
      <c r="C6177" s="36" t="s">
        <v>2774</v>
      </c>
      <c r="D6177" s="36" t="s">
        <v>2835</v>
      </c>
      <c r="E6177" s="36" t="s">
        <v>76</v>
      </c>
      <c r="G6177" s="87">
        <v>2112000</v>
      </c>
      <c r="H6177" s="87">
        <v>211200</v>
      </c>
      <c r="I6177" s="87">
        <v>2323200</v>
      </c>
      <c r="K6177" s="85">
        <v>2025</v>
      </c>
      <c r="L6177" s="85">
        <v>4</v>
      </c>
      <c r="N6177" s="1" t="s">
        <v>44</v>
      </c>
    </row>
    <row r="6178" spans="1:14">
      <c r="A6178" s="36" t="s">
        <v>32</v>
      </c>
      <c r="B6178" s="37">
        <v>45777</v>
      </c>
      <c r="C6178" s="36" t="s">
        <v>1470</v>
      </c>
      <c r="D6178" s="36" t="s">
        <v>1487</v>
      </c>
      <c r="E6178" s="36" t="s">
        <v>76</v>
      </c>
      <c r="G6178" s="87">
        <v>29121600</v>
      </c>
      <c r="H6178" s="87">
        <v>2912160</v>
      </c>
      <c r="I6178" s="87">
        <v>32033760</v>
      </c>
      <c r="K6178" s="85">
        <v>2025</v>
      </c>
      <c r="L6178" s="85">
        <v>4</v>
      </c>
      <c r="N6178" s="1" t="s">
        <v>44</v>
      </c>
    </row>
    <row r="6179" spans="1:14">
      <c r="A6179" s="36" t="s">
        <v>32</v>
      </c>
      <c r="B6179" s="37">
        <v>45777</v>
      </c>
      <c r="C6179" s="36" t="s">
        <v>2626</v>
      </c>
      <c r="D6179" s="36" t="s">
        <v>2636</v>
      </c>
      <c r="E6179" s="36" t="s">
        <v>76</v>
      </c>
      <c r="G6179" s="87">
        <v>7338750</v>
      </c>
      <c r="H6179" s="87">
        <v>733875</v>
      </c>
      <c r="I6179" s="87">
        <v>8072625</v>
      </c>
      <c r="K6179" s="85">
        <v>2025</v>
      </c>
      <c r="L6179" s="85">
        <v>4</v>
      </c>
      <c r="N6179" s="1" t="s">
        <v>44</v>
      </c>
    </row>
    <row r="6180" spans="1:14">
      <c r="A6180" s="36" t="s">
        <v>32</v>
      </c>
      <c r="B6180" s="37">
        <v>45777</v>
      </c>
      <c r="C6180" s="36" t="s">
        <v>188</v>
      </c>
      <c r="D6180" s="36" t="s">
        <v>2827</v>
      </c>
      <c r="E6180" s="36" t="s">
        <v>267</v>
      </c>
      <c r="G6180" s="87">
        <v>3580000</v>
      </c>
      <c r="H6180" s="87">
        <v>358000</v>
      </c>
      <c r="I6180" s="87">
        <v>3938000</v>
      </c>
      <c r="K6180" s="85">
        <v>2025</v>
      </c>
      <c r="L6180" s="85">
        <v>4</v>
      </c>
      <c r="N6180" s="1" t="s">
        <v>44</v>
      </c>
    </row>
    <row r="6181" spans="1:14">
      <c r="A6181" s="36" t="s">
        <v>32</v>
      </c>
      <c r="B6181" s="37">
        <v>45777</v>
      </c>
      <c r="C6181" s="36" t="s">
        <v>2822</v>
      </c>
      <c r="D6181" s="36" t="s">
        <v>2828</v>
      </c>
      <c r="E6181" s="36" t="s">
        <v>267</v>
      </c>
      <c r="G6181" s="87">
        <v>1080000</v>
      </c>
      <c r="H6181" s="87">
        <v>108000</v>
      </c>
      <c r="I6181" s="87">
        <v>1188000</v>
      </c>
      <c r="K6181" s="85">
        <v>2025</v>
      </c>
      <c r="L6181" s="85">
        <v>4</v>
      </c>
      <c r="N6181" s="1" t="s">
        <v>44</v>
      </c>
    </row>
    <row r="6182" spans="1:14">
      <c r="A6182" s="36" t="s">
        <v>32</v>
      </c>
      <c r="B6182" s="37">
        <v>45777</v>
      </c>
      <c r="C6182" s="36" t="s">
        <v>1569</v>
      </c>
      <c r="D6182" s="36" t="s">
        <v>2829</v>
      </c>
      <c r="E6182" s="36" t="s">
        <v>1492</v>
      </c>
      <c r="G6182" s="87">
        <v>7368000</v>
      </c>
      <c r="H6182" s="87">
        <v>736800</v>
      </c>
      <c r="I6182" s="87">
        <v>8104800</v>
      </c>
      <c r="K6182" s="85">
        <v>2025</v>
      </c>
      <c r="L6182" s="85">
        <v>4</v>
      </c>
      <c r="N6182" s="1" t="s">
        <v>44</v>
      </c>
    </row>
    <row r="6183" spans="1:14">
      <c r="A6183" s="36" t="s">
        <v>32</v>
      </c>
      <c r="B6183" s="37">
        <v>45777</v>
      </c>
      <c r="C6183" s="36" t="s">
        <v>2166</v>
      </c>
      <c r="D6183" s="36" t="s">
        <v>2836</v>
      </c>
      <c r="E6183" s="36" t="s">
        <v>76</v>
      </c>
      <c r="G6183" s="87">
        <v>12119680</v>
      </c>
      <c r="H6183" s="87">
        <v>1211968</v>
      </c>
      <c r="I6183" s="87">
        <v>13331648</v>
      </c>
      <c r="K6183" s="85">
        <v>2025</v>
      </c>
      <c r="L6183" s="85">
        <v>4</v>
      </c>
      <c r="N6183" s="1" t="s">
        <v>44</v>
      </c>
    </row>
    <row r="6184" spans="1:14">
      <c r="A6184" s="36" t="s">
        <v>32</v>
      </c>
      <c r="B6184" s="37">
        <v>45777</v>
      </c>
      <c r="C6184" s="36" t="s">
        <v>2477</v>
      </c>
      <c r="D6184" s="36" t="s">
        <v>2485</v>
      </c>
      <c r="E6184" s="36" t="s">
        <v>76</v>
      </c>
      <c r="G6184" s="87">
        <v>7042320</v>
      </c>
      <c r="H6184" s="87">
        <v>704232</v>
      </c>
      <c r="I6184" s="87">
        <v>7746552</v>
      </c>
      <c r="K6184" s="85">
        <v>2025</v>
      </c>
      <c r="L6184" s="85">
        <v>4</v>
      </c>
      <c r="N6184" s="1" t="s">
        <v>44</v>
      </c>
    </row>
    <row r="6185" spans="1:14">
      <c r="A6185" s="36" t="s">
        <v>32</v>
      </c>
      <c r="B6185" s="37">
        <v>45777</v>
      </c>
      <c r="C6185" s="36" t="s">
        <v>2478</v>
      </c>
      <c r="D6185" s="36" t="s">
        <v>2487</v>
      </c>
      <c r="E6185" s="36" t="s">
        <v>78</v>
      </c>
      <c r="G6185" s="87">
        <v>9000000</v>
      </c>
      <c r="H6185" s="87">
        <v>900000</v>
      </c>
      <c r="I6185" s="87">
        <v>9900000</v>
      </c>
      <c r="K6185" s="85">
        <v>2025</v>
      </c>
      <c r="L6185" s="85">
        <v>4</v>
      </c>
      <c r="N6185" s="1" t="s">
        <v>44</v>
      </c>
    </row>
    <row r="6186" spans="1:14">
      <c r="A6186" s="36" t="s">
        <v>32</v>
      </c>
      <c r="B6186" s="37">
        <v>45777</v>
      </c>
      <c r="C6186" s="36" t="s">
        <v>2823</v>
      </c>
      <c r="D6186" s="36" t="s">
        <v>2830</v>
      </c>
      <c r="E6186" s="36" t="s">
        <v>1417</v>
      </c>
      <c r="G6186" s="87">
        <v>1600000</v>
      </c>
      <c r="H6186" s="87">
        <v>160000</v>
      </c>
      <c r="I6186" s="87">
        <v>1760000</v>
      </c>
      <c r="K6186" s="85">
        <v>2025</v>
      </c>
      <c r="L6186" s="85">
        <v>4</v>
      </c>
      <c r="N6186" s="1" t="s">
        <v>44</v>
      </c>
    </row>
    <row r="6187" spans="1:14">
      <c r="A6187" s="36" t="s">
        <v>32</v>
      </c>
      <c r="B6187" s="37">
        <v>45777</v>
      </c>
      <c r="C6187" s="36" t="s">
        <v>2627</v>
      </c>
      <c r="D6187" s="36" t="s">
        <v>2831</v>
      </c>
      <c r="E6187" s="36" t="s">
        <v>78</v>
      </c>
      <c r="G6187" s="87">
        <v>17698920</v>
      </c>
      <c r="H6187" s="87">
        <v>1769892</v>
      </c>
      <c r="I6187" s="87">
        <v>19468812</v>
      </c>
      <c r="K6187" s="85">
        <v>2025</v>
      </c>
      <c r="L6187" s="85">
        <v>4</v>
      </c>
      <c r="N6187" s="1" t="s">
        <v>44</v>
      </c>
    </row>
    <row r="6188" spans="1:14">
      <c r="A6188" s="36" t="s">
        <v>32</v>
      </c>
      <c r="B6188" s="37">
        <v>45777</v>
      </c>
      <c r="C6188" s="36" t="s">
        <v>1587</v>
      </c>
      <c r="D6188" s="36" t="s">
        <v>2285</v>
      </c>
      <c r="E6188" s="36" t="s">
        <v>1492</v>
      </c>
      <c r="G6188" s="87">
        <v>30924000</v>
      </c>
      <c r="H6188" s="87">
        <v>3092400</v>
      </c>
      <c r="I6188" s="87">
        <v>34016400</v>
      </c>
      <c r="K6188" s="85">
        <v>2025</v>
      </c>
      <c r="L6188" s="85">
        <v>4</v>
      </c>
      <c r="N6188" s="1" t="s">
        <v>44</v>
      </c>
    </row>
    <row r="6189" spans="1:14">
      <c r="A6189" s="36" t="s">
        <v>32</v>
      </c>
      <c r="B6189" s="37">
        <v>45777</v>
      </c>
      <c r="C6189" s="36" t="s">
        <v>2824</v>
      </c>
      <c r="D6189" s="36" t="s">
        <v>2832</v>
      </c>
      <c r="E6189" s="36" t="s">
        <v>76</v>
      </c>
      <c r="G6189" s="87">
        <v>6409000</v>
      </c>
      <c r="H6189" s="87">
        <v>640900</v>
      </c>
      <c r="I6189" s="87">
        <v>7049900</v>
      </c>
      <c r="K6189" s="85">
        <v>2025</v>
      </c>
      <c r="L6189" s="85">
        <v>4</v>
      </c>
      <c r="N6189" s="1" t="s">
        <v>44</v>
      </c>
    </row>
    <row r="6190" spans="1:14">
      <c r="A6190" s="36" t="s">
        <v>32</v>
      </c>
      <c r="B6190" s="37">
        <v>45777</v>
      </c>
      <c r="C6190" s="36" t="s">
        <v>1462</v>
      </c>
      <c r="D6190" s="36" t="s">
        <v>2962</v>
      </c>
      <c r="E6190" s="36" t="s">
        <v>76</v>
      </c>
      <c r="G6190" s="87">
        <v>18185671</v>
      </c>
      <c r="H6190" s="87">
        <v>1818567.1</v>
      </c>
      <c r="I6190" s="87">
        <v>20004238.100000001</v>
      </c>
      <c r="K6190" s="85">
        <v>2025</v>
      </c>
      <c r="L6190" s="85">
        <v>4</v>
      </c>
      <c r="N6190" s="1" t="s">
        <v>44</v>
      </c>
    </row>
    <row r="6191" spans="1:14">
      <c r="A6191" s="36" t="s">
        <v>32</v>
      </c>
      <c r="B6191" s="37">
        <v>45777</v>
      </c>
      <c r="C6191" s="36" t="s">
        <v>2825</v>
      </c>
      <c r="D6191" s="36" t="s">
        <v>2833</v>
      </c>
      <c r="E6191" s="36" t="s">
        <v>267</v>
      </c>
      <c r="G6191" s="87">
        <v>5709000</v>
      </c>
      <c r="H6191" s="87">
        <v>570900</v>
      </c>
      <c r="I6191" s="87">
        <v>6279900</v>
      </c>
      <c r="K6191" s="85">
        <v>2025</v>
      </c>
      <c r="L6191" s="85">
        <v>4</v>
      </c>
      <c r="N6191" s="1" t="s">
        <v>44</v>
      </c>
    </row>
    <row r="6192" spans="1:14">
      <c r="A6192" s="36" t="s">
        <v>32</v>
      </c>
      <c r="B6192" s="37">
        <v>45777</v>
      </c>
      <c r="C6192" s="36" t="s">
        <v>264</v>
      </c>
      <c r="D6192" s="36" t="s">
        <v>2837</v>
      </c>
      <c r="E6192" s="36" t="s">
        <v>76</v>
      </c>
      <c r="G6192" s="87">
        <v>32600000</v>
      </c>
      <c r="H6192" s="87">
        <v>3260000</v>
      </c>
      <c r="I6192" s="87">
        <v>35860000</v>
      </c>
      <c r="K6192" s="85">
        <v>2025</v>
      </c>
      <c r="L6192" s="85">
        <v>4</v>
      </c>
      <c r="N6192" s="1" t="s">
        <v>44</v>
      </c>
    </row>
    <row r="6193" spans="1:14">
      <c r="A6193" s="36" t="s">
        <v>32</v>
      </c>
      <c r="B6193" s="37">
        <v>45777</v>
      </c>
      <c r="C6193" s="36" t="s">
        <v>2628</v>
      </c>
      <c r="D6193" s="36" t="s">
        <v>2639</v>
      </c>
      <c r="E6193" s="36" t="s">
        <v>76</v>
      </c>
      <c r="G6193" s="87">
        <v>12826900</v>
      </c>
      <c r="H6193" s="87">
        <v>1282690</v>
      </c>
      <c r="I6193" s="87">
        <v>14109590</v>
      </c>
      <c r="K6193" s="85">
        <v>2025</v>
      </c>
      <c r="L6193" s="85">
        <v>4</v>
      </c>
      <c r="N6193" s="1" t="s">
        <v>44</v>
      </c>
    </row>
    <row r="6194" spans="1:14">
      <c r="A6194" s="36" t="s">
        <v>32</v>
      </c>
      <c r="B6194" s="37">
        <v>45777</v>
      </c>
      <c r="C6194" s="36" t="s">
        <v>654</v>
      </c>
      <c r="D6194" s="36" t="s">
        <v>2588</v>
      </c>
      <c r="E6194" s="36" t="s">
        <v>2838</v>
      </c>
      <c r="G6194" s="87">
        <v>-12821000</v>
      </c>
      <c r="H6194" s="87">
        <v>-1282100</v>
      </c>
      <c r="I6194" s="87">
        <v>-14103100</v>
      </c>
      <c r="K6194" s="85">
        <v>2025</v>
      </c>
      <c r="L6194" s="85">
        <v>4</v>
      </c>
      <c r="N6194" s="1" t="s">
        <v>44</v>
      </c>
    </row>
    <row r="6195" spans="1:14">
      <c r="A6195" s="36" t="s">
        <v>32</v>
      </c>
      <c r="B6195" s="37">
        <v>45777</v>
      </c>
      <c r="C6195" s="36" t="s">
        <v>654</v>
      </c>
      <c r="D6195" s="36" t="s">
        <v>2635</v>
      </c>
      <c r="E6195" s="36" t="s">
        <v>2838</v>
      </c>
      <c r="G6195" s="87">
        <v>-15000000</v>
      </c>
      <c r="H6195" s="87">
        <v>-1500000</v>
      </c>
      <c r="I6195" s="87">
        <v>-16500000</v>
      </c>
      <c r="K6195" s="85">
        <v>2025</v>
      </c>
      <c r="L6195" s="85">
        <v>4</v>
      </c>
      <c r="N6195" s="1" t="s">
        <v>44</v>
      </c>
    </row>
    <row r="6196" spans="1:14">
      <c r="A6196" s="36" t="s">
        <v>32</v>
      </c>
      <c r="B6196" s="37">
        <v>45777</v>
      </c>
      <c r="C6196" s="36" t="s">
        <v>1880</v>
      </c>
      <c r="D6196" s="36" t="s">
        <v>2396</v>
      </c>
      <c r="E6196" s="36" t="s">
        <v>148</v>
      </c>
      <c r="J6196" s="87">
        <v>6600000</v>
      </c>
      <c r="K6196" s="85">
        <v>2025</v>
      </c>
      <c r="L6196" s="85">
        <v>4</v>
      </c>
      <c r="M6196" s="282" t="s">
        <v>2839</v>
      </c>
      <c r="N6196" s="1" t="s">
        <v>44</v>
      </c>
    </row>
    <row r="6197" spans="1:14">
      <c r="A6197" s="36" t="s">
        <v>32</v>
      </c>
      <c r="B6197" s="37">
        <v>45785</v>
      </c>
      <c r="C6197" s="36" t="s">
        <v>1569</v>
      </c>
      <c r="D6197" s="36" t="s">
        <v>2829</v>
      </c>
      <c r="E6197" s="36" t="s">
        <v>148</v>
      </c>
      <c r="J6197" s="87">
        <v>8104800</v>
      </c>
      <c r="K6197" s="85">
        <v>2025</v>
      </c>
      <c r="L6197" s="85">
        <v>4</v>
      </c>
      <c r="N6197" s="1" t="s">
        <v>44</v>
      </c>
    </row>
    <row r="6198" spans="1:14">
      <c r="A6198" s="36" t="s">
        <v>32</v>
      </c>
      <c r="B6198" s="37">
        <v>45789</v>
      </c>
      <c r="C6198" s="36" t="s">
        <v>1587</v>
      </c>
      <c r="D6198" s="36" t="s">
        <v>2285</v>
      </c>
      <c r="E6198" s="36" t="s">
        <v>148</v>
      </c>
      <c r="J6198" s="87">
        <v>34016400</v>
      </c>
      <c r="K6198" s="85">
        <v>2025</v>
      </c>
      <c r="L6198" s="85">
        <v>4</v>
      </c>
      <c r="N6198" s="1" t="s">
        <v>44</v>
      </c>
    </row>
    <row r="6199" spans="1:14">
      <c r="A6199" s="36" t="s">
        <v>32</v>
      </c>
      <c r="B6199" s="37">
        <v>45790</v>
      </c>
      <c r="C6199" s="36" t="s">
        <v>1396</v>
      </c>
      <c r="D6199" s="36" t="s">
        <v>2678</v>
      </c>
      <c r="E6199" s="36" t="s">
        <v>2785</v>
      </c>
      <c r="J6199" s="87">
        <v>1870000</v>
      </c>
      <c r="K6199" s="85">
        <v>2025</v>
      </c>
      <c r="L6199" s="85">
        <v>4</v>
      </c>
      <c r="N6199" s="1" t="s">
        <v>44</v>
      </c>
    </row>
    <row r="6200" spans="1:14">
      <c r="A6200" s="36" t="s">
        <v>32</v>
      </c>
      <c r="B6200" s="37">
        <v>45790</v>
      </c>
      <c r="C6200" s="36" t="s">
        <v>1396</v>
      </c>
      <c r="D6200" s="36" t="s">
        <v>2954</v>
      </c>
      <c r="E6200" s="36" t="s">
        <v>2840</v>
      </c>
      <c r="J6200" s="87">
        <v>12430000</v>
      </c>
      <c r="K6200" s="85">
        <v>2025</v>
      </c>
      <c r="L6200" s="85">
        <v>4</v>
      </c>
      <c r="N6200" s="1" t="s">
        <v>44</v>
      </c>
    </row>
    <row r="6201" spans="1:14">
      <c r="A6201" s="36" t="s">
        <v>32</v>
      </c>
      <c r="B6201" s="37">
        <v>45790</v>
      </c>
      <c r="C6201" s="36" t="s">
        <v>1396</v>
      </c>
      <c r="D6201" s="36" t="s">
        <v>2679</v>
      </c>
      <c r="E6201" s="36" t="s">
        <v>2706</v>
      </c>
      <c r="J6201" s="87">
        <v>1727000</v>
      </c>
      <c r="K6201" s="85">
        <v>2025</v>
      </c>
      <c r="L6201" s="85">
        <v>4</v>
      </c>
      <c r="N6201" s="1" t="s">
        <v>44</v>
      </c>
    </row>
    <row r="6202" spans="1:14">
      <c r="A6202" s="36" t="s">
        <v>32</v>
      </c>
      <c r="B6202" s="37">
        <v>45790</v>
      </c>
      <c r="C6202" s="36" t="s">
        <v>1396</v>
      </c>
      <c r="D6202" s="36" t="s">
        <v>2680</v>
      </c>
      <c r="E6202" s="36" t="s">
        <v>2707</v>
      </c>
      <c r="J6202" s="87">
        <v>1870000</v>
      </c>
      <c r="K6202" s="85">
        <v>2025</v>
      </c>
      <c r="L6202" s="85">
        <v>4</v>
      </c>
      <c r="N6202" s="1" t="s">
        <v>44</v>
      </c>
    </row>
    <row r="6203" spans="1:14">
      <c r="A6203" s="36" t="s">
        <v>32</v>
      </c>
      <c r="B6203" s="37">
        <v>45792</v>
      </c>
      <c r="C6203" s="36" t="s">
        <v>2626</v>
      </c>
      <c r="D6203" s="36" t="s">
        <v>2636</v>
      </c>
      <c r="E6203" s="36" t="s">
        <v>148</v>
      </c>
      <c r="J6203" s="87">
        <v>8072625</v>
      </c>
      <c r="K6203" s="85">
        <v>2025</v>
      </c>
      <c r="L6203" s="85">
        <v>4</v>
      </c>
      <c r="N6203" s="1" t="s">
        <v>44</v>
      </c>
    </row>
    <row r="6204" spans="1:14">
      <c r="A6204" s="36" t="s">
        <v>32</v>
      </c>
      <c r="B6204" s="37">
        <v>45793</v>
      </c>
      <c r="C6204" s="36" t="s">
        <v>661</v>
      </c>
      <c r="D6204" s="36" t="s">
        <v>2783</v>
      </c>
      <c r="E6204" s="36" t="s">
        <v>148</v>
      </c>
      <c r="J6204" s="87">
        <v>10527000</v>
      </c>
      <c r="K6204" s="85">
        <v>2025</v>
      </c>
      <c r="L6204" s="85">
        <v>3</v>
      </c>
      <c r="N6204" s="1" t="s">
        <v>44</v>
      </c>
    </row>
    <row r="6205" spans="1:14">
      <c r="A6205" s="36" t="s">
        <v>33</v>
      </c>
      <c r="B6205" s="37">
        <v>45796</v>
      </c>
      <c r="C6205" s="36" t="s">
        <v>81</v>
      </c>
      <c r="D6205" s="36" t="s">
        <v>2466</v>
      </c>
      <c r="E6205" s="36" t="s">
        <v>2842</v>
      </c>
      <c r="G6205" s="87">
        <v>4331057</v>
      </c>
      <c r="H6205" s="87">
        <v>433105.7</v>
      </c>
      <c r="I6205" s="87">
        <v>4764162.7</v>
      </c>
      <c r="K6205" s="85">
        <v>2025</v>
      </c>
      <c r="L6205" s="85">
        <v>4</v>
      </c>
      <c r="N6205" s="1" t="s">
        <v>44</v>
      </c>
    </row>
    <row r="6206" spans="1:14">
      <c r="A6206" s="36" t="s">
        <v>32</v>
      </c>
      <c r="B6206" s="37">
        <v>45796</v>
      </c>
      <c r="C6206" s="36" t="s">
        <v>2391</v>
      </c>
      <c r="D6206" s="36" t="s">
        <v>2401</v>
      </c>
      <c r="E6206" s="36" t="s">
        <v>148</v>
      </c>
      <c r="J6206" s="87">
        <v>1320000</v>
      </c>
      <c r="K6206" s="85">
        <v>2025</v>
      </c>
      <c r="L6206" s="85">
        <v>3</v>
      </c>
      <c r="N6206" s="1" t="s">
        <v>44</v>
      </c>
    </row>
    <row r="6207" spans="1:14">
      <c r="A6207" s="36" t="s">
        <v>32</v>
      </c>
      <c r="B6207" s="37">
        <v>45796</v>
      </c>
      <c r="C6207" s="36" t="s">
        <v>2627</v>
      </c>
      <c r="D6207" s="36" t="s">
        <v>2831</v>
      </c>
      <c r="E6207" s="36" t="s">
        <v>148</v>
      </c>
      <c r="J6207" s="87">
        <v>19468812</v>
      </c>
      <c r="K6207" s="85">
        <v>2025</v>
      </c>
      <c r="L6207" s="85">
        <v>4</v>
      </c>
      <c r="N6207" s="1" t="s">
        <v>44</v>
      </c>
    </row>
    <row r="6208" spans="1:14">
      <c r="A6208" s="36" t="s">
        <v>19</v>
      </c>
      <c r="B6208" s="37">
        <v>45799</v>
      </c>
      <c r="C6208" s="36" t="s">
        <v>2704</v>
      </c>
      <c r="D6208" s="36" t="s">
        <v>2369</v>
      </c>
      <c r="E6208" s="36" t="s">
        <v>148</v>
      </c>
      <c r="J6208" s="38">
        <v>4312000</v>
      </c>
      <c r="K6208" s="85">
        <v>2025</v>
      </c>
      <c r="L6208" s="85">
        <v>3</v>
      </c>
      <c r="N6208" s="1" t="s">
        <v>44</v>
      </c>
    </row>
    <row r="6209" spans="1:14">
      <c r="A6209" s="36" t="s">
        <v>19</v>
      </c>
      <c r="B6209" s="37">
        <v>45799</v>
      </c>
      <c r="C6209" s="36" t="s">
        <v>2368</v>
      </c>
      <c r="D6209" s="36" t="s">
        <v>2369</v>
      </c>
      <c r="E6209" s="36" t="s">
        <v>148</v>
      </c>
      <c r="J6209" s="38">
        <v>4458300</v>
      </c>
      <c r="K6209" s="85">
        <v>2025</v>
      </c>
      <c r="L6209" s="85">
        <v>3</v>
      </c>
      <c r="N6209" s="1" t="s">
        <v>44</v>
      </c>
    </row>
    <row r="6210" spans="1:14">
      <c r="A6210" s="36" t="s">
        <v>19</v>
      </c>
      <c r="B6210" s="37">
        <v>45799</v>
      </c>
      <c r="C6210" s="36" t="s">
        <v>2536</v>
      </c>
      <c r="D6210" s="36" t="s">
        <v>2369</v>
      </c>
      <c r="E6210" s="36" t="s">
        <v>148</v>
      </c>
      <c r="J6210" s="38">
        <v>984500</v>
      </c>
      <c r="K6210" s="85">
        <v>2025</v>
      </c>
      <c r="L6210" s="85">
        <v>3</v>
      </c>
      <c r="N6210" s="1" t="s">
        <v>44</v>
      </c>
    </row>
    <row r="6211" spans="1:14">
      <c r="A6211" s="36" t="s">
        <v>19</v>
      </c>
      <c r="B6211" s="37">
        <v>45799</v>
      </c>
      <c r="C6211" s="36" t="s">
        <v>2818</v>
      </c>
      <c r="D6211" s="36" t="s">
        <v>2271</v>
      </c>
      <c r="E6211" s="36" t="s">
        <v>148</v>
      </c>
      <c r="J6211" s="38">
        <v>608300</v>
      </c>
      <c r="K6211" s="85">
        <v>2025</v>
      </c>
      <c r="L6211" s="85">
        <v>4</v>
      </c>
      <c r="N6211" s="1" t="s">
        <v>44</v>
      </c>
    </row>
    <row r="6212" spans="1:14">
      <c r="A6212" s="36" t="s">
        <v>19</v>
      </c>
      <c r="B6212" s="37">
        <v>45799</v>
      </c>
      <c r="C6212" s="36" t="s">
        <v>2116</v>
      </c>
      <c r="D6212" s="36" t="s">
        <v>2117</v>
      </c>
      <c r="E6212" s="36" t="s">
        <v>148</v>
      </c>
      <c r="J6212" s="38">
        <v>1493800</v>
      </c>
      <c r="K6212" s="85">
        <v>2025</v>
      </c>
      <c r="L6212" s="85">
        <v>4</v>
      </c>
      <c r="N6212" s="1" t="s">
        <v>44</v>
      </c>
    </row>
    <row r="6213" spans="1:14">
      <c r="A6213" s="36" t="s">
        <v>19</v>
      </c>
      <c r="B6213" s="37">
        <v>45799</v>
      </c>
      <c r="C6213" s="36" t="s">
        <v>1218</v>
      </c>
      <c r="D6213" s="36" t="s">
        <v>1921</v>
      </c>
      <c r="E6213" s="36" t="s">
        <v>148</v>
      </c>
      <c r="J6213" s="38">
        <v>5500000</v>
      </c>
      <c r="K6213" s="85">
        <v>2025</v>
      </c>
      <c r="L6213" s="85">
        <v>4</v>
      </c>
      <c r="N6213" s="1" t="s">
        <v>44</v>
      </c>
    </row>
    <row r="6214" spans="1:14">
      <c r="A6214" s="36" t="s">
        <v>19</v>
      </c>
      <c r="B6214" s="37">
        <v>45799</v>
      </c>
      <c r="C6214" s="36" t="s">
        <v>2016</v>
      </c>
      <c r="D6214" s="36" t="s">
        <v>2621</v>
      </c>
      <c r="E6214" s="36" t="s">
        <v>148</v>
      </c>
      <c r="J6214" s="38">
        <v>46354726</v>
      </c>
      <c r="K6214" s="85">
        <v>2025</v>
      </c>
      <c r="L6214" s="85">
        <v>4</v>
      </c>
      <c r="N6214" s="1" t="s">
        <v>44</v>
      </c>
    </row>
    <row r="6215" spans="1:14">
      <c r="A6215" s="36" t="s">
        <v>33</v>
      </c>
      <c r="B6215" s="37">
        <v>45799</v>
      </c>
      <c r="C6215" s="36" t="s">
        <v>1779</v>
      </c>
      <c r="D6215" s="36" t="s">
        <v>1781</v>
      </c>
      <c r="E6215" s="36" t="s">
        <v>1781</v>
      </c>
      <c r="G6215" s="87">
        <v>561000</v>
      </c>
      <c r="H6215" s="87">
        <v>56100</v>
      </c>
      <c r="I6215" s="87">
        <v>617100</v>
      </c>
      <c r="K6215" s="85">
        <v>2025</v>
      </c>
      <c r="L6215" s="85">
        <v>5</v>
      </c>
      <c r="N6215" s="1" t="s">
        <v>44</v>
      </c>
    </row>
    <row r="6216" spans="1:14">
      <c r="A6216" s="36" t="s">
        <v>33</v>
      </c>
      <c r="B6216" s="37">
        <v>45800</v>
      </c>
      <c r="C6216" s="36" t="s">
        <v>1779</v>
      </c>
      <c r="D6216" s="36" t="s">
        <v>1781</v>
      </c>
      <c r="E6216" s="36" t="s">
        <v>77</v>
      </c>
      <c r="J6216" s="38">
        <v>617100</v>
      </c>
      <c r="K6216" s="85">
        <v>2025</v>
      </c>
      <c r="L6216" s="85">
        <v>5</v>
      </c>
      <c r="N6216" s="1" t="s">
        <v>44</v>
      </c>
    </row>
    <row r="6217" spans="1:14">
      <c r="A6217" s="36" t="s">
        <v>32</v>
      </c>
      <c r="B6217" s="37">
        <v>45803</v>
      </c>
      <c r="C6217" s="36" t="s">
        <v>2477</v>
      </c>
      <c r="D6217" s="36" t="s">
        <v>2485</v>
      </c>
      <c r="E6217" s="36" t="s">
        <v>148</v>
      </c>
      <c r="J6217" s="87">
        <v>7746552</v>
      </c>
      <c r="K6217" s="85">
        <v>2025</v>
      </c>
      <c r="L6217" s="85">
        <v>4</v>
      </c>
      <c r="M6217" s="36" t="s">
        <v>2653</v>
      </c>
      <c r="N6217" s="1" t="s">
        <v>44</v>
      </c>
    </row>
    <row r="6218" spans="1:14">
      <c r="A6218" s="36" t="s">
        <v>32</v>
      </c>
      <c r="B6218" s="37">
        <v>45806</v>
      </c>
      <c r="C6218" s="36" t="s">
        <v>654</v>
      </c>
      <c r="D6218" s="36" t="s">
        <v>1943</v>
      </c>
      <c r="E6218" s="36" t="s">
        <v>2799</v>
      </c>
      <c r="J6218" s="284">
        <v>14103100</v>
      </c>
      <c r="K6218" s="85">
        <v>2024</v>
      </c>
      <c r="L6218" s="85">
        <v>1</v>
      </c>
      <c r="M6218" s="295" t="s">
        <v>2843</v>
      </c>
      <c r="N6218" s="1" t="s">
        <v>44</v>
      </c>
    </row>
    <row r="6219" spans="1:14">
      <c r="A6219" s="36" t="s">
        <v>32</v>
      </c>
      <c r="B6219" s="37">
        <v>45806</v>
      </c>
      <c r="C6219" s="36" t="s">
        <v>654</v>
      </c>
      <c r="D6219" s="36" t="s">
        <v>2588</v>
      </c>
      <c r="E6219" s="36" t="s">
        <v>2844</v>
      </c>
      <c r="J6219" s="283">
        <v>33204490</v>
      </c>
      <c r="K6219" s="85">
        <v>2025</v>
      </c>
      <c r="L6219" s="85">
        <v>4</v>
      </c>
      <c r="M6219" s="295" t="s">
        <v>2843</v>
      </c>
      <c r="N6219" s="1" t="s">
        <v>44</v>
      </c>
    </row>
    <row r="6220" spans="1:14">
      <c r="A6220" s="36" t="s">
        <v>32</v>
      </c>
      <c r="B6220" s="37">
        <v>45807</v>
      </c>
      <c r="C6220" s="36" t="s">
        <v>654</v>
      </c>
      <c r="D6220" s="36" t="s">
        <v>2216</v>
      </c>
      <c r="E6220" s="36" t="s">
        <v>2845</v>
      </c>
      <c r="J6220" s="87">
        <v>16500000</v>
      </c>
      <c r="K6220" s="85">
        <v>2024</v>
      </c>
      <c r="L6220" s="85">
        <v>9</v>
      </c>
      <c r="N6220" s="1" t="s">
        <v>44</v>
      </c>
    </row>
    <row r="6221" spans="1:14">
      <c r="A6221" s="36" t="s">
        <v>32</v>
      </c>
      <c r="B6221" s="37">
        <v>45807</v>
      </c>
      <c r="C6221" s="36" t="s">
        <v>654</v>
      </c>
      <c r="D6221" s="36" t="s">
        <v>2826</v>
      </c>
      <c r="E6221" s="36" t="s">
        <v>2846</v>
      </c>
      <c r="J6221" s="87">
        <v>42983700</v>
      </c>
      <c r="K6221" s="85">
        <v>2025</v>
      </c>
      <c r="L6221" s="85">
        <v>4</v>
      </c>
      <c r="N6221" s="1" t="s">
        <v>44</v>
      </c>
    </row>
    <row r="6222" spans="1:14">
      <c r="A6222" s="36" t="s">
        <v>32</v>
      </c>
      <c r="B6222" s="37">
        <v>45807</v>
      </c>
      <c r="C6222" s="36" t="s">
        <v>2628</v>
      </c>
      <c r="D6222" s="36" t="s">
        <v>2639</v>
      </c>
      <c r="E6222" s="36" t="s">
        <v>148</v>
      </c>
      <c r="J6222" s="87">
        <v>14109590</v>
      </c>
      <c r="K6222" s="85">
        <v>2025</v>
      </c>
      <c r="L6222" s="85">
        <v>4</v>
      </c>
      <c r="N6222" s="1" t="s">
        <v>44</v>
      </c>
    </row>
    <row r="6223" spans="1:14">
      <c r="A6223" s="36" t="s">
        <v>19</v>
      </c>
      <c r="B6223" s="37">
        <v>45807</v>
      </c>
      <c r="C6223" s="36" t="s">
        <v>1391</v>
      </c>
      <c r="D6223" s="36" t="s">
        <v>197</v>
      </c>
      <c r="E6223" s="36" t="s">
        <v>2847</v>
      </c>
      <c r="J6223" s="38">
        <v>1586200</v>
      </c>
      <c r="K6223" s="85">
        <v>2025</v>
      </c>
      <c r="L6223" s="85">
        <v>3</v>
      </c>
      <c r="N6223" s="1" t="s">
        <v>44</v>
      </c>
    </row>
    <row r="6224" spans="1:14">
      <c r="A6224" s="36" t="s">
        <v>19</v>
      </c>
      <c r="B6224" s="37">
        <v>45807</v>
      </c>
      <c r="C6224" s="36" t="s">
        <v>2540</v>
      </c>
      <c r="D6224" s="36" t="s">
        <v>2541</v>
      </c>
      <c r="E6224" s="36" t="s">
        <v>2733</v>
      </c>
      <c r="J6224" s="38">
        <v>3478750</v>
      </c>
      <c r="K6224" s="85">
        <v>2025</v>
      </c>
      <c r="L6224" s="85">
        <v>4</v>
      </c>
      <c r="N6224" s="1" t="s">
        <v>44</v>
      </c>
    </row>
    <row r="6225" spans="1:14">
      <c r="A6225" s="36" t="s">
        <v>19</v>
      </c>
      <c r="B6225" s="37">
        <v>45807</v>
      </c>
      <c r="C6225" s="36" t="s">
        <v>1569</v>
      </c>
      <c r="D6225" s="36" t="s">
        <v>2719</v>
      </c>
      <c r="E6225" s="36" t="s">
        <v>2809</v>
      </c>
      <c r="J6225" s="38">
        <v>1570800</v>
      </c>
      <c r="K6225" s="85">
        <v>2025</v>
      </c>
      <c r="L6225" s="85">
        <v>4</v>
      </c>
      <c r="N6225" s="1" t="s">
        <v>44</v>
      </c>
    </row>
    <row r="6226" spans="1:14">
      <c r="A6226" s="36" t="s">
        <v>19</v>
      </c>
      <c r="B6226" s="37">
        <v>45807</v>
      </c>
      <c r="C6226" s="36" t="s">
        <v>1569</v>
      </c>
      <c r="D6226" s="36" t="s">
        <v>2720</v>
      </c>
      <c r="E6226" s="36" t="s">
        <v>2848</v>
      </c>
      <c r="J6226" s="38">
        <v>1628880</v>
      </c>
      <c r="K6226" s="85">
        <v>2025</v>
      </c>
      <c r="L6226" s="85">
        <v>4</v>
      </c>
      <c r="N6226" s="1" t="s">
        <v>44</v>
      </c>
    </row>
    <row r="6227" spans="1:14">
      <c r="A6227" s="36" t="s">
        <v>19</v>
      </c>
      <c r="B6227" s="37">
        <v>45807</v>
      </c>
      <c r="C6227" s="36" t="s">
        <v>2587</v>
      </c>
      <c r="D6227" s="36" t="s">
        <v>2588</v>
      </c>
      <c r="E6227" s="36" t="s">
        <v>2844</v>
      </c>
      <c r="J6227" s="38">
        <v>2455750</v>
      </c>
      <c r="K6227" s="85">
        <v>2025</v>
      </c>
      <c r="L6227" s="85">
        <v>4</v>
      </c>
      <c r="N6227" s="1" t="s">
        <v>44</v>
      </c>
    </row>
    <row r="6228" spans="1:14">
      <c r="A6228" s="36" t="s">
        <v>19</v>
      </c>
      <c r="B6228" s="37">
        <v>45807</v>
      </c>
      <c r="C6228" s="36" t="s">
        <v>96</v>
      </c>
      <c r="D6228" s="36" t="s">
        <v>97</v>
      </c>
      <c r="E6228" s="36" t="s">
        <v>2849</v>
      </c>
      <c r="J6228" s="38">
        <v>198000</v>
      </c>
      <c r="K6228" s="85">
        <v>2025</v>
      </c>
      <c r="L6228" s="85">
        <v>4</v>
      </c>
      <c r="N6228" s="1" t="s">
        <v>44</v>
      </c>
    </row>
    <row r="6229" spans="1:14">
      <c r="A6229" s="36" t="s">
        <v>19</v>
      </c>
      <c r="B6229" s="37">
        <v>45807</v>
      </c>
      <c r="C6229" s="36" t="s">
        <v>838</v>
      </c>
      <c r="D6229" s="36" t="s">
        <v>2589</v>
      </c>
      <c r="E6229" s="36" t="s">
        <v>2609</v>
      </c>
      <c r="J6229" s="38">
        <v>1760000</v>
      </c>
      <c r="K6229" s="85">
        <v>2025</v>
      </c>
      <c r="L6229" s="85">
        <v>5</v>
      </c>
      <c r="N6229" s="1" t="s">
        <v>44</v>
      </c>
    </row>
    <row r="6230" spans="1:14">
      <c r="A6230" s="36" t="s">
        <v>19</v>
      </c>
      <c r="B6230" s="37">
        <v>45807</v>
      </c>
      <c r="C6230" s="36" t="s">
        <v>2016</v>
      </c>
      <c r="D6230" s="36" t="s">
        <v>2821</v>
      </c>
      <c r="E6230" s="36" t="s">
        <v>2850</v>
      </c>
      <c r="J6230" s="38">
        <v>66174900</v>
      </c>
      <c r="K6230" s="85">
        <v>2025</v>
      </c>
      <c r="L6230" s="85">
        <v>4</v>
      </c>
      <c r="N6230" s="1" t="s">
        <v>44</v>
      </c>
    </row>
    <row r="6231" spans="1:14">
      <c r="A6231" s="36" t="s">
        <v>19</v>
      </c>
      <c r="B6231" s="37">
        <v>45807</v>
      </c>
      <c r="C6231" s="36" t="s">
        <v>2016</v>
      </c>
      <c r="D6231" s="36" t="s">
        <v>2468</v>
      </c>
      <c r="E6231" s="36" t="s">
        <v>2851</v>
      </c>
      <c r="J6231" s="38">
        <v>79807200</v>
      </c>
      <c r="K6231" s="85">
        <v>2025</v>
      </c>
      <c r="L6231" s="85">
        <v>4</v>
      </c>
      <c r="N6231" s="1" t="s">
        <v>44</v>
      </c>
    </row>
    <row r="6232" spans="1:14">
      <c r="A6232" s="36" t="s">
        <v>32</v>
      </c>
      <c r="B6232" s="37">
        <v>45807</v>
      </c>
      <c r="C6232" s="36" t="s">
        <v>1470</v>
      </c>
      <c r="D6232" s="36" t="s">
        <v>1487</v>
      </c>
      <c r="E6232" s="36" t="s">
        <v>148</v>
      </c>
      <c r="J6232" s="87">
        <v>32033760</v>
      </c>
      <c r="K6232" s="85">
        <v>2025</v>
      </c>
      <c r="L6232" s="85">
        <v>4</v>
      </c>
      <c r="N6232" s="1" t="s">
        <v>44</v>
      </c>
    </row>
    <row r="6233" spans="1:14">
      <c r="A6233" s="36" t="s">
        <v>32</v>
      </c>
      <c r="B6233" s="37">
        <v>45807</v>
      </c>
      <c r="C6233" s="36" t="s">
        <v>2822</v>
      </c>
      <c r="D6233" s="36" t="s">
        <v>2828</v>
      </c>
      <c r="E6233" s="36" t="s">
        <v>148</v>
      </c>
      <c r="J6233" s="87">
        <v>1188000</v>
      </c>
      <c r="K6233" s="85">
        <v>2025</v>
      </c>
      <c r="L6233" s="85">
        <v>4</v>
      </c>
      <c r="N6233" s="1" t="s">
        <v>44</v>
      </c>
    </row>
    <row r="6234" spans="1:14">
      <c r="A6234" s="36" t="s">
        <v>32</v>
      </c>
      <c r="B6234" s="37">
        <v>45777</v>
      </c>
      <c r="C6234" s="36" t="s">
        <v>1462</v>
      </c>
      <c r="D6234" s="36" t="s">
        <v>2962</v>
      </c>
      <c r="E6234" s="36" t="s">
        <v>148</v>
      </c>
      <c r="J6234" s="38">
        <v>912478</v>
      </c>
      <c r="K6234" s="85">
        <v>2025</v>
      </c>
      <c r="L6234" s="85">
        <v>3</v>
      </c>
      <c r="M6234" s="36" t="s">
        <v>2852</v>
      </c>
      <c r="N6234" s="1" t="s">
        <v>44</v>
      </c>
    </row>
    <row r="6235" spans="1:14">
      <c r="A6235" s="36" t="s">
        <v>32</v>
      </c>
      <c r="B6235" s="37">
        <v>45807</v>
      </c>
      <c r="C6235" s="36" t="s">
        <v>2774</v>
      </c>
      <c r="D6235" s="36" t="s">
        <v>2835</v>
      </c>
      <c r="E6235" s="36" t="s">
        <v>148</v>
      </c>
      <c r="J6235" s="87">
        <v>2323200</v>
      </c>
      <c r="K6235" s="85">
        <v>2025</v>
      </c>
      <c r="L6235" s="85">
        <v>4</v>
      </c>
      <c r="N6235" s="1" t="s">
        <v>44</v>
      </c>
    </row>
    <row r="6236" spans="1:14">
      <c r="A6236" s="36" t="s">
        <v>32</v>
      </c>
      <c r="B6236" s="37">
        <v>45807</v>
      </c>
      <c r="C6236" s="36" t="s">
        <v>2824</v>
      </c>
      <c r="D6236" s="36" t="s">
        <v>2832</v>
      </c>
      <c r="J6236" s="87">
        <v>7049900</v>
      </c>
      <c r="K6236" s="85">
        <v>2025</v>
      </c>
      <c r="L6236" s="85">
        <v>4</v>
      </c>
      <c r="N6236" s="1" t="s">
        <v>44</v>
      </c>
    </row>
    <row r="6237" spans="1:14">
      <c r="A6237" s="36" t="s">
        <v>33</v>
      </c>
      <c r="B6237" s="37">
        <v>45807</v>
      </c>
      <c r="C6237" s="36" t="s">
        <v>81</v>
      </c>
      <c r="D6237" s="36" t="s">
        <v>2271</v>
      </c>
      <c r="E6237" s="36" t="s">
        <v>2806</v>
      </c>
      <c r="J6237" s="87">
        <v>18722378.399999999</v>
      </c>
      <c r="K6237" s="85">
        <v>2025</v>
      </c>
      <c r="L6237" s="85">
        <v>4</v>
      </c>
      <c r="N6237" s="1" t="s">
        <v>44</v>
      </c>
    </row>
    <row r="6238" spans="1:14">
      <c r="A6238" s="36" t="s">
        <v>33</v>
      </c>
      <c r="B6238" s="37">
        <v>45807</v>
      </c>
      <c r="C6238" s="36" t="s">
        <v>81</v>
      </c>
      <c r="D6238" s="36" t="s">
        <v>2466</v>
      </c>
      <c r="E6238" s="36" t="s">
        <v>2530</v>
      </c>
      <c r="J6238" s="87">
        <v>4764162.7</v>
      </c>
      <c r="K6238" s="85">
        <v>2025</v>
      </c>
      <c r="L6238" s="85">
        <v>4</v>
      </c>
      <c r="N6238" s="1" t="s">
        <v>44</v>
      </c>
    </row>
    <row r="6239" spans="1:14">
      <c r="A6239" s="36" t="s">
        <v>33</v>
      </c>
      <c r="B6239" s="37">
        <v>45807</v>
      </c>
      <c r="C6239" s="36" t="s">
        <v>2188</v>
      </c>
      <c r="D6239" s="36" t="s">
        <v>3111</v>
      </c>
      <c r="E6239" s="36" t="s">
        <v>2853</v>
      </c>
      <c r="J6239" s="87">
        <v>1272700</v>
      </c>
      <c r="K6239" s="85">
        <v>2025</v>
      </c>
      <c r="L6239" s="85">
        <v>4</v>
      </c>
      <c r="N6239" s="1" t="s">
        <v>44</v>
      </c>
    </row>
    <row r="6240" spans="1:14">
      <c r="A6240" s="36" t="s">
        <v>32</v>
      </c>
      <c r="B6240" s="37">
        <v>45807</v>
      </c>
      <c r="C6240" s="36" t="s">
        <v>188</v>
      </c>
      <c r="D6240" s="36" t="s">
        <v>649</v>
      </c>
      <c r="E6240" s="36" t="s">
        <v>148</v>
      </c>
      <c r="J6240" s="38">
        <v>5040772</v>
      </c>
      <c r="K6240" s="85">
        <v>2022</v>
      </c>
      <c r="L6240" s="85">
        <v>10</v>
      </c>
      <c r="N6240" s="1" t="s">
        <v>44</v>
      </c>
    </row>
    <row r="6241" spans="1:14">
      <c r="A6241" s="36" t="s">
        <v>32</v>
      </c>
      <c r="B6241" s="37">
        <v>45807</v>
      </c>
      <c r="C6241" s="36" t="s">
        <v>264</v>
      </c>
      <c r="D6241" s="36" t="s">
        <v>2837</v>
      </c>
      <c r="E6241" s="36" t="s">
        <v>148</v>
      </c>
      <c r="J6241" s="87">
        <v>35860000</v>
      </c>
      <c r="K6241" s="85">
        <v>2025</v>
      </c>
      <c r="L6241" s="85">
        <v>4</v>
      </c>
      <c r="N6241" s="1" t="s">
        <v>44</v>
      </c>
    </row>
    <row r="6242" spans="1:14">
      <c r="A6242" s="36" t="s">
        <v>32</v>
      </c>
      <c r="B6242" s="37">
        <v>45810</v>
      </c>
      <c r="C6242" s="36" t="s">
        <v>2825</v>
      </c>
      <c r="D6242" s="36" t="s">
        <v>2833</v>
      </c>
      <c r="E6242" s="36" t="s">
        <v>148</v>
      </c>
      <c r="J6242" s="87">
        <v>6279900</v>
      </c>
      <c r="K6242" s="85">
        <v>2025</v>
      </c>
      <c r="L6242" s="85">
        <v>4</v>
      </c>
      <c r="N6242" s="1" t="s">
        <v>44</v>
      </c>
    </row>
    <row r="6243" spans="1:14">
      <c r="A6243" s="36" t="s">
        <v>32</v>
      </c>
      <c r="B6243" s="37">
        <v>45810</v>
      </c>
      <c r="C6243" s="36" t="s">
        <v>209</v>
      </c>
      <c r="D6243" s="36" t="s">
        <v>2494</v>
      </c>
      <c r="E6243" s="36" t="s">
        <v>2801</v>
      </c>
      <c r="J6243" s="87">
        <v>2325180</v>
      </c>
      <c r="K6243" s="85">
        <v>2025</v>
      </c>
      <c r="L6243" s="85">
        <v>4</v>
      </c>
      <c r="N6243" s="1" t="s">
        <v>44</v>
      </c>
    </row>
    <row r="6244" spans="1:14">
      <c r="A6244" s="36" t="s">
        <v>33</v>
      </c>
      <c r="B6244" s="37">
        <v>45808</v>
      </c>
      <c r="C6244" s="36" t="s">
        <v>2938</v>
      </c>
      <c r="D6244" s="36" t="s">
        <v>2854</v>
      </c>
      <c r="E6244" s="36" t="s">
        <v>2855</v>
      </c>
      <c r="G6244" s="87">
        <v>1440000</v>
      </c>
      <c r="H6244" s="87">
        <v>144000</v>
      </c>
      <c r="I6244" s="87">
        <v>1584000</v>
      </c>
      <c r="K6244" s="85">
        <v>2025</v>
      </c>
      <c r="L6244" s="85">
        <v>5</v>
      </c>
      <c r="N6244" s="1" t="s">
        <v>44</v>
      </c>
    </row>
    <row r="6245" spans="1:14">
      <c r="A6245" s="36" t="s">
        <v>33</v>
      </c>
      <c r="B6245" s="37">
        <v>45808</v>
      </c>
      <c r="C6245" s="36" t="s">
        <v>2856</v>
      </c>
      <c r="D6245" s="36" t="s">
        <v>1412</v>
      </c>
      <c r="E6245" s="36" t="s">
        <v>2857</v>
      </c>
      <c r="G6245" s="87">
        <v>5219400</v>
      </c>
      <c r="H6245" s="87">
        <v>521940</v>
      </c>
      <c r="I6245" s="87">
        <v>5741340</v>
      </c>
      <c r="K6245" s="85">
        <v>2025</v>
      </c>
      <c r="L6245" s="85">
        <v>5</v>
      </c>
      <c r="N6245" s="1" t="s">
        <v>44</v>
      </c>
    </row>
    <row r="6246" spans="1:14">
      <c r="A6246" s="36" t="s">
        <v>33</v>
      </c>
      <c r="B6246" s="37">
        <v>45808</v>
      </c>
      <c r="C6246" s="36" t="s">
        <v>2858</v>
      </c>
      <c r="D6246" s="36" t="s">
        <v>97</v>
      </c>
      <c r="E6246" s="36" t="s">
        <v>97</v>
      </c>
      <c r="G6246" s="87">
        <v>850000</v>
      </c>
      <c r="H6246" s="87">
        <v>85000</v>
      </c>
      <c r="I6246" s="87">
        <v>935000</v>
      </c>
      <c r="K6246" s="85">
        <v>2025</v>
      </c>
      <c r="L6246" s="85">
        <v>5</v>
      </c>
      <c r="N6246" s="1" t="s">
        <v>44</v>
      </c>
    </row>
    <row r="6247" spans="1:14">
      <c r="A6247" s="36" t="s">
        <v>33</v>
      </c>
      <c r="B6247" s="37">
        <v>45808</v>
      </c>
      <c r="C6247" s="36" t="s">
        <v>2818</v>
      </c>
      <c r="D6247" s="36" t="s">
        <v>2859</v>
      </c>
      <c r="E6247" s="36" t="s">
        <v>2458</v>
      </c>
      <c r="G6247" s="87">
        <v>588000</v>
      </c>
      <c r="H6247" s="87">
        <v>58800</v>
      </c>
      <c r="I6247" s="87">
        <v>646800</v>
      </c>
      <c r="K6247" s="85">
        <v>2025</v>
      </c>
      <c r="L6247" s="85">
        <v>5</v>
      </c>
      <c r="N6247" s="1" t="s">
        <v>44</v>
      </c>
    </row>
    <row r="6248" spans="1:14">
      <c r="A6248" s="36" t="s">
        <v>33</v>
      </c>
      <c r="B6248" s="37">
        <v>45808</v>
      </c>
      <c r="C6248" s="36" t="s">
        <v>2587</v>
      </c>
      <c r="D6248" s="36" t="s">
        <v>2588</v>
      </c>
      <c r="E6248" s="36" t="s">
        <v>2115</v>
      </c>
      <c r="G6248" s="87">
        <v>2865500</v>
      </c>
      <c r="H6248" s="87">
        <v>286550</v>
      </c>
      <c r="I6248" s="87">
        <v>3152050</v>
      </c>
      <c r="K6248" s="85">
        <v>2025</v>
      </c>
      <c r="L6248" s="85">
        <v>5</v>
      </c>
      <c r="N6248" s="1" t="s">
        <v>44</v>
      </c>
    </row>
    <row r="6249" spans="1:14">
      <c r="A6249" s="36" t="s">
        <v>33</v>
      </c>
      <c r="B6249" s="37">
        <v>45808</v>
      </c>
      <c r="C6249" s="36" t="s">
        <v>2540</v>
      </c>
      <c r="D6249" s="36" t="s">
        <v>2541</v>
      </c>
      <c r="E6249" s="36" t="s">
        <v>469</v>
      </c>
      <c r="G6249" s="87">
        <v>1406500</v>
      </c>
      <c r="H6249" s="87">
        <v>140650</v>
      </c>
      <c r="I6249" s="87">
        <v>1547150</v>
      </c>
      <c r="K6249" s="85">
        <v>2025</v>
      </c>
      <c r="L6249" s="85">
        <v>5</v>
      </c>
      <c r="N6249" s="1" t="s">
        <v>44</v>
      </c>
    </row>
    <row r="6250" spans="1:14">
      <c r="A6250" s="36" t="s">
        <v>33</v>
      </c>
      <c r="B6250" s="37">
        <v>45808</v>
      </c>
      <c r="C6250" s="36" t="s">
        <v>81</v>
      </c>
      <c r="D6250" s="36" t="s">
        <v>2860</v>
      </c>
      <c r="E6250" s="36" t="s">
        <v>2760</v>
      </c>
      <c r="G6250" s="87">
        <v>506400</v>
      </c>
      <c r="H6250" s="87">
        <v>50640</v>
      </c>
      <c r="I6250" s="87">
        <v>557040</v>
      </c>
      <c r="K6250" s="85">
        <v>2025</v>
      </c>
      <c r="L6250" s="85">
        <v>5</v>
      </c>
      <c r="N6250" s="1" t="s">
        <v>44</v>
      </c>
    </row>
    <row r="6251" spans="1:14">
      <c r="A6251" s="36" t="s">
        <v>33</v>
      </c>
      <c r="B6251" s="37">
        <v>45808</v>
      </c>
      <c r="C6251" s="36" t="s">
        <v>81</v>
      </c>
      <c r="D6251" s="36" t="s">
        <v>2271</v>
      </c>
      <c r="E6251" s="36" t="s">
        <v>2861</v>
      </c>
      <c r="G6251" s="87">
        <v>6468000</v>
      </c>
      <c r="H6251" s="87">
        <v>646799</v>
      </c>
      <c r="I6251" s="87">
        <v>7114799</v>
      </c>
      <c r="K6251" s="85">
        <v>2025</v>
      </c>
      <c r="L6251" s="85">
        <v>5</v>
      </c>
      <c r="N6251" s="1" t="s">
        <v>44</v>
      </c>
    </row>
    <row r="6252" spans="1:14">
      <c r="A6252" s="36" t="s">
        <v>33</v>
      </c>
      <c r="B6252" s="37">
        <v>45802</v>
      </c>
      <c r="C6252" s="36" t="s">
        <v>1569</v>
      </c>
      <c r="D6252" s="36" t="s">
        <v>2681</v>
      </c>
      <c r="E6252" s="36" t="s">
        <v>2862</v>
      </c>
      <c r="G6252" s="87">
        <v>730000</v>
      </c>
      <c r="H6252" s="87">
        <v>73000</v>
      </c>
      <c r="I6252" s="87">
        <v>803000</v>
      </c>
      <c r="K6252" s="85">
        <v>2025</v>
      </c>
      <c r="L6252" s="85">
        <v>5</v>
      </c>
      <c r="N6252" s="1" t="s">
        <v>44</v>
      </c>
    </row>
    <row r="6253" spans="1:14">
      <c r="A6253" s="36" t="s">
        <v>33</v>
      </c>
      <c r="B6253" s="37">
        <v>45802</v>
      </c>
      <c r="C6253" s="36" t="s">
        <v>1569</v>
      </c>
      <c r="D6253" s="36" t="s">
        <v>1431</v>
      </c>
      <c r="E6253" s="36" t="s">
        <v>2862</v>
      </c>
      <c r="G6253" s="87">
        <v>1759800</v>
      </c>
      <c r="H6253" s="87">
        <v>175980</v>
      </c>
      <c r="I6253" s="87">
        <v>1935780</v>
      </c>
      <c r="K6253" s="85">
        <v>2025</v>
      </c>
      <c r="L6253" s="85">
        <v>5</v>
      </c>
      <c r="N6253" s="1" t="s">
        <v>44</v>
      </c>
    </row>
    <row r="6254" spans="1:14">
      <c r="A6254" s="36" t="s">
        <v>33</v>
      </c>
      <c r="B6254" s="37">
        <v>45808</v>
      </c>
      <c r="C6254" s="36" t="s">
        <v>1391</v>
      </c>
      <c r="D6254" s="36" t="s">
        <v>197</v>
      </c>
      <c r="E6254" s="36" t="s">
        <v>1528</v>
      </c>
      <c r="G6254" s="87">
        <v>9000000</v>
      </c>
      <c r="H6254" s="87">
        <v>900000</v>
      </c>
      <c r="I6254" s="87">
        <v>9900000</v>
      </c>
      <c r="K6254" s="85">
        <v>2025</v>
      </c>
      <c r="L6254" s="85">
        <v>5</v>
      </c>
      <c r="N6254" s="1" t="s">
        <v>44</v>
      </c>
    </row>
    <row r="6255" spans="1:14">
      <c r="A6255" s="36" t="s">
        <v>33</v>
      </c>
      <c r="B6255" s="37">
        <v>45808</v>
      </c>
      <c r="C6255" s="36" t="s">
        <v>838</v>
      </c>
      <c r="D6255" s="36" t="s">
        <v>2854</v>
      </c>
      <c r="E6255" s="36" t="s">
        <v>2819</v>
      </c>
      <c r="G6255" s="87">
        <v>3000000</v>
      </c>
      <c r="H6255" s="87">
        <v>300000</v>
      </c>
      <c r="I6255" s="87">
        <v>3300000</v>
      </c>
      <c r="K6255" s="85">
        <v>2025</v>
      </c>
      <c r="L6255" s="85">
        <v>5</v>
      </c>
      <c r="N6255" s="1" t="s">
        <v>44</v>
      </c>
    </row>
    <row r="6256" spans="1:14">
      <c r="A6256" s="36" t="s">
        <v>33</v>
      </c>
      <c r="B6256" s="37">
        <v>45817</v>
      </c>
      <c r="C6256" s="36" t="s">
        <v>2863</v>
      </c>
      <c r="D6256" s="36" t="s">
        <v>2908</v>
      </c>
      <c r="E6256" s="36" t="s">
        <v>2864</v>
      </c>
      <c r="G6256" s="87">
        <v>360000</v>
      </c>
      <c r="H6256" s="87">
        <v>36000</v>
      </c>
      <c r="I6256" s="87">
        <v>396000</v>
      </c>
      <c r="K6256" s="85">
        <v>2025</v>
      </c>
      <c r="L6256" s="85">
        <v>6</v>
      </c>
      <c r="N6256" s="1" t="s">
        <v>44</v>
      </c>
    </row>
    <row r="6257" spans="1:14">
      <c r="A6257" s="36" t="s">
        <v>33</v>
      </c>
      <c r="B6257" s="37">
        <v>45817</v>
      </c>
      <c r="C6257" s="36" t="s">
        <v>838</v>
      </c>
      <c r="D6257" s="36" t="s">
        <v>2854</v>
      </c>
      <c r="E6257" s="36" t="s">
        <v>2819</v>
      </c>
      <c r="G6257" s="87">
        <v>550000</v>
      </c>
      <c r="H6257" s="87">
        <v>55000</v>
      </c>
      <c r="I6257" s="87">
        <v>605000</v>
      </c>
      <c r="K6257" s="85">
        <v>2025</v>
      </c>
      <c r="L6257" s="85">
        <v>6</v>
      </c>
      <c r="N6257" s="1" t="s">
        <v>44</v>
      </c>
    </row>
    <row r="6258" spans="1:14">
      <c r="A6258" s="36" t="s">
        <v>33</v>
      </c>
      <c r="B6258" s="37">
        <v>45808</v>
      </c>
      <c r="C6258" s="36" t="s">
        <v>2116</v>
      </c>
      <c r="D6258" s="36" t="s">
        <v>2117</v>
      </c>
      <c r="E6258" s="36" t="s">
        <v>2118</v>
      </c>
      <c r="G6258" s="87">
        <v>1071000</v>
      </c>
      <c r="H6258" s="87">
        <v>107100</v>
      </c>
      <c r="I6258" s="87">
        <v>1178100</v>
      </c>
      <c r="K6258" s="85">
        <v>2025</v>
      </c>
      <c r="L6258" s="85">
        <v>5</v>
      </c>
      <c r="N6258" s="1" t="s">
        <v>44</v>
      </c>
    </row>
    <row r="6259" spans="1:14">
      <c r="A6259" s="36" t="s">
        <v>33</v>
      </c>
      <c r="B6259" s="37">
        <v>45787</v>
      </c>
      <c r="C6259" s="36" t="s">
        <v>2016</v>
      </c>
      <c r="D6259" s="36" t="s">
        <v>2865</v>
      </c>
      <c r="E6259" s="36" t="s">
        <v>2865</v>
      </c>
      <c r="G6259" s="87">
        <v>81262200</v>
      </c>
      <c r="H6259" s="87">
        <v>8126220</v>
      </c>
      <c r="I6259" s="87">
        <v>89388420</v>
      </c>
      <c r="K6259" s="85">
        <v>2025</v>
      </c>
      <c r="L6259" s="85">
        <v>5</v>
      </c>
      <c r="N6259" s="1" t="s">
        <v>44</v>
      </c>
    </row>
    <row r="6260" spans="1:14">
      <c r="A6260" s="36" t="s">
        <v>33</v>
      </c>
      <c r="B6260" s="37">
        <v>45797</v>
      </c>
      <c r="C6260" s="36" t="s">
        <v>2016</v>
      </c>
      <c r="D6260" s="36" t="s">
        <v>2866</v>
      </c>
      <c r="E6260" s="36" t="s">
        <v>2866</v>
      </c>
      <c r="G6260" s="87">
        <v>119690400</v>
      </c>
      <c r="H6260" s="87">
        <v>11969040</v>
      </c>
      <c r="I6260" s="87">
        <v>131659440</v>
      </c>
      <c r="K6260" s="85">
        <v>2025</v>
      </c>
      <c r="L6260" s="85">
        <v>5</v>
      </c>
      <c r="N6260" s="1" t="s">
        <v>44</v>
      </c>
    </row>
    <row r="6261" spans="1:14">
      <c r="A6261" s="36" t="s">
        <v>33</v>
      </c>
      <c r="B6261" s="37">
        <v>45808</v>
      </c>
      <c r="C6261" s="36" t="s">
        <v>2016</v>
      </c>
      <c r="D6261" s="36" t="s">
        <v>2867</v>
      </c>
      <c r="E6261" s="36" t="s">
        <v>2867</v>
      </c>
      <c r="G6261" s="87">
        <v>110410000</v>
      </c>
      <c r="H6261" s="87">
        <v>11041000</v>
      </c>
      <c r="I6261" s="87">
        <v>121451000</v>
      </c>
      <c r="K6261" s="85">
        <v>2025</v>
      </c>
      <c r="L6261" s="85">
        <v>5</v>
      </c>
      <c r="N6261" s="1" t="s">
        <v>44</v>
      </c>
    </row>
    <row r="6262" spans="1:14">
      <c r="A6262" s="36" t="s">
        <v>33</v>
      </c>
      <c r="B6262" s="37">
        <v>45807</v>
      </c>
      <c r="C6262" s="36" t="s">
        <v>2016</v>
      </c>
      <c r="D6262" s="36" t="s">
        <v>2865</v>
      </c>
      <c r="E6262" s="36" t="s">
        <v>77</v>
      </c>
      <c r="J6262" s="38">
        <v>15000000</v>
      </c>
      <c r="K6262" s="84">
        <v>2025</v>
      </c>
      <c r="L6262" s="85">
        <v>5</v>
      </c>
      <c r="N6262" s="208" t="s">
        <v>44</v>
      </c>
    </row>
    <row r="6263" spans="1:14">
      <c r="A6263" s="36" t="s">
        <v>32</v>
      </c>
      <c r="B6263" s="37">
        <v>45778</v>
      </c>
      <c r="C6263" s="36" t="s">
        <v>1587</v>
      </c>
      <c r="D6263" s="36" t="s">
        <v>2271</v>
      </c>
      <c r="E6263" s="36" t="s">
        <v>1492</v>
      </c>
      <c r="G6263" s="87">
        <v>40000000</v>
      </c>
      <c r="H6263" s="87">
        <v>4000000</v>
      </c>
      <c r="I6263" s="87">
        <v>44000000</v>
      </c>
      <c r="K6263" s="85">
        <v>2025</v>
      </c>
      <c r="L6263" s="85">
        <v>5</v>
      </c>
      <c r="N6263" s="1" t="s">
        <v>44</v>
      </c>
    </row>
    <row r="6264" spans="1:14">
      <c r="A6264" s="36" t="s">
        <v>32</v>
      </c>
      <c r="B6264" s="37">
        <v>45778</v>
      </c>
      <c r="C6264" s="36" t="s">
        <v>2868</v>
      </c>
      <c r="D6264" s="36" t="s">
        <v>2875</v>
      </c>
      <c r="E6264" s="36" t="s">
        <v>76</v>
      </c>
      <c r="G6264" s="87">
        <v>29000000</v>
      </c>
      <c r="H6264" s="87">
        <v>2900000</v>
      </c>
      <c r="I6264" s="87">
        <v>31900000</v>
      </c>
      <c r="K6264" s="85">
        <v>2025</v>
      </c>
      <c r="L6264" s="85">
        <v>5</v>
      </c>
      <c r="N6264" s="1" t="s">
        <v>44</v>
      </c>
    </row>
    <row r="6265" spans="1:14">
      <c r="A6265" s="36" t="s">
        <v>32</v>
      </c>
      <c r="B6265" s="37">
        <v>45778</v>
      </c>
      <c r="C6265" s="36" t="s">
        <v>2005</v>
      </c>
      <c r="D6265" s="36" t="s">
        <v>2876</v>
      </c>
      <c r="E6265" s="36" t="s">
        <v>78</v>
      </c>
      <c r="G6265" s="87">
        <v>20000000</v>
      </c>
      <c r="H6265" s="87">
        <v>2000000</v>
      </c>
      <c r="I6265" s="87">
        <v>22000000</v>
      </c>
      <c r="K6265" s="85">
        <v>2025</v>
      </c>
      <c r="L6265" s="85">
        <v>5</v>
      </c>
      <c r="N6265" s="1" t="s">
        <v>44</v>
      </c>
    </row>
    <row r="6266" spans="1:14">
      <c r="A6266" s="36" t="s">
        <v>32</v>
      </c>
      <c r="B6266" s="37">
        <v>45796</v>
      </c>
      <c r="C6266" s="36" t="s">
        <v>2766</v>
      </c>
      <c r="D6266" s="36" t="s">
        <v>2877</v>
      </c>
      <c r="E6266" s="36" t="s">
        <v>78</v>
      </c>
      <c r="G6266" s="87">
        <v>9167000</v>
      </c>
      <c r="H6266" s="87">
        <v>916700</v>
      </c>
      <c r="I6266" s="87">
        <v>10083700</v>
      </c>
      <c r="K6266" s="85">
        <v>2025</v>
      </c>
      <c r="L6266" s="85">
        <v>5</v>
      </c>
      <c r="N6266" s="1" t="s">
        <v>44</v>
      </c>
    </row>
    <row r="6267" spans="1:14">
      <c r="A6267" s="36" t="s">
        <v>32</v>
      </c>
      <c r="B6267" s="37">
        <v>45799</v>
      </c>
      <c r="C6267" s="36" t="s">
        <v>2766</v>
      </c>
      <c r="D6267" s="36" t="s">
        <v>2878</v>
      </c>
      <c r="E6267" s="36" t="s">
        <v>78</v>
      </c>
      <c r="G6267" s="87">
        <v>21115000</v>
      </c>
      <c r="H6267" s="87">
        <v>2111500</v>
      </c>
      <c r="I6267" s="87">
        <v>23226500</v>
      </c>
      <c r="K6267" s="85">
        <v>2025</v>
      </c>
      <c r="L6267" s="85">
        <v>5</v>
      </c>
      <c r="N6267" s="1" t="s">
        <v>44</v>
      </c>
    </row>
    <row r="6268" spans="1:14">
      <c r="A6268" s="36" t="s">
        <v>32</v>
      </c>
      <c r="B6268" s="37">
        <v>45798</v>
      </c>
      <c r="C6268" s="36" t="s">
        <v>2395</v>
      </c>
      <c r="D6268" s="36" t="s">
        <v>2895</v>
      </c>
      <c r="E6268" s="36" t="s">
        <v>78</v>
      </c>
      <c r="G6268" s="87">
        <v>154520160</v>
      </c>
      <c r="H6268" s="87">
        <v>15452016</v>
      </c>
      <c r="I6268" s="87">
        <v>169972176</v>
      </c>
      <c r="K6268" s="85">
        <v>2025</v>
      </c>
      <c r="L6268" s="85">
        <v>5</v>
      </c>
      <c r="N6268" s="1" t="s">
        <v>44</v>
      </c>
    </row>
    <row r="6269" spans="1:14">
      <c r="A6269" s="36" t="s">
        <v>32</v>
      </c>
      <c r="B6269" s="37">
        <v>45808</v>
      </c>
      <c r="C6269" s="36" t="s">
        <v>2395</v>
      </c>
      <c r="D6269" s="36" t="s">
        <v>2369</v>
      </c>
      <c r="E6269" s="36" t="s">
        <v>78</v>
      </c>
      <c r="G6269" s="87">
        <v>43981600</v>
      </c>
      <c r="H6269" s="87">
        <v>4398160</v>
      </c>
      <c r="I6269" s="87">
        <v>48379760</v>
      </c>
      <c r="K6269" s="85">
        <v>2025</v>
      </c>
      <c r="L6269" s="85">
        <v>5</v>
      </c>
      <c r="N6269" s="1" t="s">
        <v>44</v>
      </c>
    </row>
    <row r="6270" spans="1:14">
      <c r="A6270" s="36" t="s">
        <v>32</v>
      </c>
      <c r="B6270" s="37">
        <v>45778</v>
      </c>
      <c r="C6270" s="36" t="s">
        <v>1218</v>
      </c>
      <c r="D6270" s="36" t="s">
        <v>2879</v>
      </c>
      <c r="E6270" s="36" t="s">
        <v>78</v>
      </c>
      <c r="G6270" s="87">
        <v>2970000</v>
      </c>
      <c r="H6270" s="87">
        <v>297000</v>
      </c>
      <c r="I6270" s="87">
        <v>3267000</v>
      </c>
      <c r="K6270" s="85">
        <v>2025</v>
      </c>
      <c r="L6270" s="85">
        <v>5</v>
      </c>
      <c r="N6270" s="1" t="s">
        <v>44</v>
      </c>
    </row>
    <row r="6271" spans="1:14">
      <c r="A6271" s="36" t="s">
        <v>32</v>
      </c>
      <c r="B6271" s="37">
        <v>45806</v>
      </c>
      <c r="C6271" s="36" t="s">
        <v>2627</v>
      </c>
      <c r="D6271" s="36" t="s">
        <v>2589</v>
      </c>
      <c r="E6271" s="36" t="s">
        <v>78</v>
      </c>
      <c r="G6271" s="87">
        <v>5000000</v>
      </c>
      <c r="H6271" s="87">
        <v>500000</v>
      </c>
      <c r="I6271" s="87">
        <v>5500000</v>
      </c>
      <c r="K6271" s="85">
        <v>2025</v>
      </c>
      <c r="L6271" s="85">
        <v>5</v>
      </c>
      <c r="N6271" s="1" t="s">
        <v>44</v>
      </c>
    </row>
    <row r="6272" spans="1:14">
      <c r="A6272" s="36" t="s">
        <v>32</v>
      </c>
      <c r="B6272" s="37">
        <v>45806</v>
      </c>
      <c r="C6272" s="36" t="s">
        <v>2869</v>
      </c>
      <c r="D6272" s="36" t="s">
        <v>2880</v>
      </c>
      <c r="E6272" s="36" t="s">
        <v>78</v>
      </c>
      <c r="G6272" s="87">
        <v>5600000</v>
      </c>
      <c r="H6272" s="87">
        <v>560000</v>
      </c>
      <c r="I6272" s="87">
        <v>6160000</v>
      </c>
      <c r="K6272" s="85">
        <v>2025</v>
      </c>
      <c r="L6272" s="85">
        <v>5</v>
      </c>
      <c r="N6272" s="1" t="s">
        <v>44</v>
      </c>
    </row>
    <row r="6273" spans="1:14">
      <c r="A6273" s="36" t="s">
        <v>32</v>
      </c>
      <c r="B6273" s="37">
        <v>45806</v>
      </c>
      <c r="C6273" s="36" t="s">
        <v>209</v>
      </c>
      <c r="D6273" s="36" t="s">
        <v>2494</v>
      </c>
      <c r="E6273" s="36" t="s">
        <v>1492</v>
      </c>
      <c r="G6273" s="87">
        <v>1759800</v>
      </c>
      <c r="H6273" s="87">
        <v>175980</v>
      </c>
      <c r="I6273" s="87">
        <v>1935780</v>
      </c>
      <c r="K6273" s="85">
        <v>2025</v>
      </c>
      <c r="L6273" s="85">
        <v>5</v>
      </c>
      <c r="N6273" s="1" t="s">
        <v>44</v>
      </c>
    </row>
    <row r="6274" spans="1:14">
      <c r="A6274" s="36" t="s">
        <v>32</v>
      </c>
      <c r="B6274" s="37">
        <v>45806</v>
      </c>
      <c r="C6274" s="36" t="s">
        <v>209</v>
      </c>
      <c r="D6274" s="36" t="s">
        <v>2551</v>
      </c>
      <c r="E6274" s="36" t="s">
        <v>76</v>
      </c>
      <c r="G6274" s="87">
        <v>4050000</v>
      </c>
      <c r="H6274" s="87">
        <v>405000</v>
      </c>
      <c r="I6274" s="87">
        <v>4455000</v>
      </c>
      <c r="K6274" s="85">
        <v>2025</v>
      </c>
      <c r="L6274" s="85">
        <v>5</v>
      </c>
      <c r="N6274" s="1" t="s">
        <v>44</v>
      </c>
    </row>
    <row r="6275" spans="1:14">
      <c r="A6275" s="36" t="s">
        <v>32</v>
      </c>
      <c r="B6275" s="37">
        <v>45808</v>
      </c>
      <c r="C6275" s="36" t="s">
        <v>2674</v>
      </c>
      <c r="D6275" s="36" t="s">
        <v>2687</v>
      </c>
      <c r="E6275" s="36" t="s">
        <v>76</v>
      </c>
      <c r="G6275" s="87">
        <v>19187500</v>
      </c>
      <c r="H6275" s="87">
        <v>1918750</v>
      </c>
      <c r="I6275" s="87">
        <v>21106250</v>
      </c>
      <c r="K6275" s="85">
        <v>2025</v>
      </c>
      <c r="L6275" s="85">
        <v>5</v>
      </c>
      <c r="N6275" s="1" t="s">
        <v>44</v>
      </c>
    </row>
    <row r="6276" spans="1:14">
      <c r="A6276" s="36" t="s">
        <v>32</v>
      </c>
      <c r="B6276" s="37">
        <v>45808</v>
      </c>
      <c r="C6276" s="36" t="s">
        <v>2628</v>
      </c>
      <c r="D6276" s="36" t="s">
        <v>2639</v>
      </c>
      <c r="E6276" s="36" t="s">
        <v>76</v>
      </c>
      <c r="G6276" s="87">
        <v>12984800</v>
      </c>
      <c r="H6276" s="87">
        <v>1298480</v>
      </c>
      <c r="I6276" s="87">
        <v>14283280</v>
      </c>
      <c r="K6276" s="85">
        <v>2025</v>
      </c>
      <c r="L6276" s="85">
        <v>5</v>
      </c>
      <c r="N6276" s="1" t="s">
        <v>44</v>
      </c>
    </row>
    <row r="6277" spans="1:14">
      <c r="A6277" s="36" t="s">
        <v>32</v>
      </c>
      <c r="B6277" s="37">
        <v>45808</v>
      </c>
      <c r="C6277" s="36" t="s">
        <v>188</v>
      </c>
      <c r="D6277" s="36" t="s">
        <v>2881</v>
      </c>
      <c r="E6277" s="36" t="s">
        <v>78</v>
      </c>
      <c r="G6277" s="87">
        <v>1951600</v>
      </c>
      <c r="H6277" s="87">
        <v>195160</v>
      </c>
      <c r="I6277" s="87">
        <v>2146760</v>
      </c>
      <c r="K6277" s="85">
        <v>2025</v>
      </c>
      <c r="L6277" s="85">
        <v>5</v>
      </c>
      <c r="N6277" s="1" t="s">
        <v>44</v>
      </c>
    </row>
    <row r="6278" spans="1:14">
      <c r="A6278" s="36" t="s">
        <v>32</v>
      </c>
      <c r="B6278" s="37">
        <v>45808</v>
      </c>
      <c r="C6278" s="36" t="s">
        <v>2870</v>
      </c>
      <c r="D6278" s="36" t="s">
        <v>2882</v>
      </c>
      <c r="E6278" s="36" t="s">
        <v>76</v>
      </c>
      <c r="G6278" s="87">
        <v>5500000</v>
      </c>
      <c r="H6278" s="87">
        <v>550000</v>
      </c>
      <c r="I6278" s="87">
        <v>6050000</v>
      </c>
      <c r="K6278" s="85">
        <v>2025</v>
      </c>
      <c r="L6278" s="85">
        <v>5</v>
      </c>
      <c r="N6278" s="1" t="s">
        <v>44</v>
      </c>
    </row>
    <row r="6279" spans="1:14">
      <c r="A6279" s="36" t="s">
        <v>32</v>
      </c>
      <c r="B6279" s="37">
        <v>45808</v>
      </c>
      <c r="C6279" s="36" t="s">
        <v>2871</v>
      </c>
      <c r="D6279" s="36" t="s">
        <v>2636</v>
      </c>
      <c r="E6279" s="36" t="s">
        <v>76</v>
      </c>
      <c r="G6279" s="87">
        <v>7155750</v>
      </c>
      <c r="H6279" s="87">
        <v>715575</v>
      </c>
      <c r="I6279" s="87">
        <v>7871325</v>
      </c>
      <c r="K6279" s="85">
        <v>2025</v>
      </c>
      <c r="L6279" s="85">
        <v>5</v>
      </c>
      <c r="N6279" s="1" t="s">
        <v>44</v>
      </c>
    </row>
    <row r="6280" spans="1:14">
      <c r="A6280" s="36" t="s">
        <v>32</v>
      </c>
      <c r="B6280" s="37">
        <v>45808</v>
      </c>
      <c r="C6280" s="36" t="s">
        <v>334</v>
      </c>
      <c r="D6280" s="36" t="s">
        <v>2486</v>
      </c>
      <c r="E6280" s="36" t="s">
        <v>78</v>
      </c>
      <c r="G6280" s="87">
        <v>6790000</v>
      </c>
      <c r="H6280" s="87">
        <v>679000</v>
      </c>
      <c r="I6280" s="87">
        <v>7469000</v>
      </c>
      <c r="K6280" s="85">
        <v>2025</v>
      </c>
      <c r="L6280" s="85">
        <v>5</v>
      </c>
      <c r="N6280" s="1" t="s">
        <v>44</v>
      </c>
    </row>
    <row r="6281" spans="1:14">
      <c r="A6281" s="36" t="s">
        <v>32</v>
      </c>
      <c r="B6281" s="37">
        <v>45808</v>
      </c>
      <c r="C6281" s="36" t="s">
        <v>661</v>
      </c>
      <c r="D6281" s="36" t="s">
        <v>2783</v>
      </c>
      <c r="E6281" s="36" t="s">
        <v>1492</v>
      </c>
      <c r="G6281" s="87">
        <v>1046000</v>
      </c>
      <c r="H6281" s="87">
        <v>104600</v>
      </c>
      <c r="I6281" s="87">
        <v>1150600</v>
      </c>
      <c r="K6281" s="85">
        <v>2025</v>
      </c>
      <c r="L6281" s="85">
        <v>5</v>
      </c>
      <c r="N6281" s="1" t="s">
        <v>44</v>
      </c>
    </row>
    <row r="6282" spans="1:14">
      <c r="A6282" s="36" t="s">
        <v>32</v>
      </c>
      <c r="B6282" s="37">
        <v>45808</v>
      </c>
      <c r="C6282" s="36" t="s">
        <v>2824</v>
      </c>
      <c r="D6282" s="36" t="s">
        <v>2832</v>
      </c>
      <c r="E6282" s="36" t="s">
        <v>76</v>
      </c>
      <c r="G6282" s="87">
        <v>39106000</v>
      </c>
      <c r="H6282" s="87">
        <v>3910600</v>
      </c>
      <c r="I6282" s="87">
        <v>43016600</v>
      </c>
      <c r="K6282" s="85">
        <v>2025</v>
      </c>
      <c r="L6282" s="85">
        <v>5</v>
      </c>
      <c r="N6282" s="1" t="s">
        <v>44</v>
      </c>
    </row>
    <row r="6283" spans="1:14">
      <c r="A6283" s="36" t="s">
        <v>32</v>
      </c>
      <c r="B6283" s="37">
        <v>45808</v>
      </c>
      <c r="C6283" s="36" t="s">
        <v>654</v>
      </c>
      <c r="D6283" s="36" t="s">
        <v>2883</v>
      </c>
      <c r="E6283" s="36" t="s">
        <v>76</v>
      </c>
      <c r="G6283" s="87">
        <v>4001740</v>
      </c>
      <c r="H6283" s="87">
        <v>400174</v>
      </c>
      <c r="I6283" s="87">
        <v>4401914</v>
      </c>
      <c r="K6283" s="85">
        <v>2025</v>
      </c>
      <c r="L6283" s="85">
        <v>5</v>
      </c>
      <c r="N6283" s="1" t="s">
        <v>44</v>
      </c>
    </row>
    <row r="6284" spans="1:14">
      <c r="A6284" s="36" t="s">
        <v>32</v>
      </c>
      <c r="B6284" s="37">
        <v>45808</v>
      </c>
      <c r="C6284" s="36" t="s">
        <v>654</v>
      </c>
      <c r="D6284" s="36" t="s">
        <v>2588</v>
      </c>
      <c r="E6284" s="36" t="s">
        <v>2838</v>
      </c>
      <c r="G6284" s="87">
        <v>14786000</v>
      </c>
      <c r="H6284" s="87">
        <v>1478600</v>
      </c>
      <c r="I6284" s="87">
        <v>16264600</v>
      </c>
      <c r="K6284" s="85">
        <v>2025</v>
      </c>
      <c r="L6284" s="85">
        <v>5</v>
      </c>
      <c r="N6284" s="1" t="s">
        <v>44</v>
      </c>
    </row>
    <row r="6285" spans="1:14">
      <c r="A6285" s="36" t="s">
        <v>32</v>
      </c>
      <c r="B6285" s="37">
        <v>45808</v>
      </c>
      <c r="C6285" s="36" t="s">
        <v>654</v>
      </c>
      <c r="D6285" s="36" t="s">
        <v>2884</v>
      </c>
      <c r="E6285" s="36" t="s">
        <v>76</v>
      </c>
      <c r="G6285" s="87">
        <v>23343660</v>
      </c>
      <c r="H6285" s="87">
        <v>2334366</v>
      </c>
      <c r="I6285" s="87">
        <v>25678026</v>
      </c>
      <c r="K6285" s="85">
        <v>2025</v>
      </c>
      <c r="L6285" s="85">
        <v>5</v>
      </c>
      <c r="N6285" s="1" t="s">
        <v>44</v>
      </c>
    </row>
    <row r="6286" spans="1:14">
      <c r="A6286" s="36" t="s">
        <v>32</v>
      </c>
      <c r="B6286" s="37">
        <v>45808</v>
      </c>
      <c r="C6286" s="36" t="s">
        <v>654</v>
      </c>
      <c r="D6286" s="36" t="s">
        <v>2635</v>
      </c>
      <c r="E6286" s="36" t="s">
        <v>2838</v>
      </c>
      <c r="G6286" s="87">
        <v>30000000</v>
      </c>
      <c r="H6286" s="87">
        <v>3000000</v>
      </c>
      <c r="I6286" s="87">
        <v>33000000</v>
      </c>
      <c r="K6286" s="85">
        <v>2025</v>
      </c>
      <c r="L6286" s="85">
        <v>5</v>
      </c>
      <c r="N6286" s="1" t="s">
        <v>44</v>
      </c>
    </row>
    <row r="6287" spans="1:14">
      <c r="A6287" s="36" t="s">
        <v>32</v>
      </c>
      <c r="B6287" s="37">
        <v>45808</v>
      </c>
      <c r="C6287" s="36" t="s">
        <v>2392</v>
      </c>
      <c r="D6287" s="36" t="s">
        <v>2483</v>
      </c>
      <c r="E6287" s="36" t="s">
        <v>78</v>
      </c>
      <c r="G6287" s="87">
        <v>7968000</v>
      </c>
      <c r="H6287" s="87">
        <v>796800</v>
      </c>
      <c r="I6287" s="87">
        <v>8764800</v>
      </c>
      <c r="K6287" s="85">
        <v>2025</v>
      </c>
      <c r="L6287" s="85">
        <v>5</v>
      </c>
      <c r="N6287" s="1" t="s">
        <v>44</v>
      </c>
    </row>
    <row r="6288" spans="1:14">
      <c r="A6288" s="36" t="s">
        <v>32</v>
      </c>
      <c r="B6288" s="37">
        <v>45808</v>
      </c>
      <c r="C6288" s="36" t="s">
        <v>1741</v>
      </c>
      <c r="D6288" s="36" t="s">
        <v>1745</v>
      </c>
      <c r="E6288" s="36" t="s">
        <v>78</v>
      </c>
      <c r="G6288" s="87">
        <v>6000000</v>
      </c>
      <c r="H6288" s="87">
        <v>600000</v>
      </c>
      <c r="I6288" s="87">
        <v>6600000</v>
      </c>
      <c r="K6288" s="85">
        <v>2025</v>
      </c>
      <c r="L6288" s="85">
        <v>5</v>
      </c>
      <c r="N6288" s="1" t="s">
        <v>44</v>
      </c>
    </row>
    <row r="6289" spans="1:14">
      <c r="A6289" s="36" t="s">
        <v>32</v>
      </c>
      <c r="B6289" s="37">
        <v>45808</v>
      </c>
      <c r="C6289" s="36" t="s">
        <v>2872</v>
      </c>
      <c r="D6289" s="36" t="s">
        <v>2885</v>
      </c>
      <c r="E6289" s="36" t="s">
        <v>76</v>
      </c>
      <c r="G6289" s="87">
        <v>5148000</v>
      </c>
      <c r="H6289" s="87">
        <v>514800</v>
      </c>
      <c r="I6289" s="87">
        <v>5662800</v>
      </c>
      <c r="K6289" s="85">
        <v>2025</v>
      </c>
      <c r="L6289" s="85">
        <v>5</v>
      </c>
      <c r="N6289" s="1" t="s">
        <v>44</v>
      </c>
    </row>
    <row r="6290" spans="1:14">
      <c r="A6290" s="36" t="s">
        <v>32</v>
      </c>
      <c r="B6290" s="37">
        <v>45808</v>
      </c>
      <c r="C6290" s="36" t="s">
        <v>2873</v>
      </c>
      <c r="D6290" s="36" t="s">
        <v>3115</v>
      </c>
      <c r="E6290" s="36" t="s">
        <v>78</v>
      </c>
      <c r="G6290" s="87">
        <v>2000000</v>
      </c>
      <c r="H6290" s="87">
        <v>200000</v>
      </c>
      <c r="I6290" s="87">
        <v>2200000</v>
      </c>
      <c r="K6290" s="85">
        <v>2025</v>
      </c>
      <c r="L6290" s="85">
        <v>5</v>
      </c>
      <c r="N6290" s="1" t="s">
        <v>44</v>
      </c>
    </row>
    <row r="6291" spans="1:14">
      <c r="A6291" s="36" t="s">
        <v>32</v>
      </c>
      <c r="B6291" s="37">
        <v>45807</v>
      </c>
      <c r="C6291" s="36" t="s">
        <v>2774</v>
      </c>
      <c r="D6291" s="36" t="s">
        <v>2784</v>
      </c>
      <c r="E6291" s="36" t="s">
        <v>76</v>
      </c>
      <c r="G6291" s="87">
        <v>12605000</v>
      </c>
      <c r="H6291" s="87">
        <v>1260500</v>
      </c>
      <c r="I6291" s="87">
        <v>13865500</v>
      </c>
      <c r="K6291" s="85">
        <v>2025</v>
      </c>
      <c r="L6291" s="85">
        <v>5</v>
      </c>
      <c r="N6291" s="1" t="s">
        <v>44</v>
      </c>
    </row>
    <row r="6292" spans="1:14">
      <c r="A6292" s="36" t="s">
        <v>32</v>
      </c>
      <c r="B6292" s="37">
        <v>45808</v>
      </c>
      <c r="C6292" s="36" t="s">
        <v>1396</v>
      </c>
      <c r="D6292" s="36" t="s">
        <v>2680</v>
      </c>
      <c r="E6292" s="36" t="s">
        <v>76</v>
      </c>
      <c r="G6292" s="87">
        <v>1700000</v>
      </c>
      <c r="H6292" s="87">
        <v>170000</v>
      </c>
      <c r="I6292" s="87">
        <v>1870000</v>
      </c>
      <c r="K6292" s="85">
        <v>2025</v>
      </c>
      <c r="L6292" s="85">
        <v>5</v>
      </c>
      <c r="N6292" s="1" t="s">
        <v>44</v>
      </c>
    </row>
    <row r="6293" spans="1:14">
      <c r="A6293" s="36" t="s">
        <v>32</v>
      </c>
      <c r="B6293" s="37">
        <v>45808</v>
      </c>
      <c r="C6293" s="36" t="s">
        <v>1396</v>
      </c>
      <c r="D6293" s="36" t="s">
        <v>2679</v>
      </c>
      <c r="E6293" s="36" t="s">
        <v>76</v>
      </c>
      <c r="G6293" s="87">
        <v>1570000</v>
      </c>
      <c r="H6293" s="87">
        <v>157000</v>
      </c>
      <c r="I6293" s="87">
        <v>1727000</v>
      </c>
      <c r="K6293" s="85">
        <v>2025</v>
      </c>
      <c r="L6293" s="85">
        <v>5</v>
      </c>
      <c r="N6293" s="1" t="s">
        <v>44</v>
      </c>
    </row>
    <row r="6294" spans="1:14">
      <c r="A6294" s="36" t="s">
        <v>32</v>
      </c>
      <c r="B6294" s="37">
        <v>45808</v>
      </c>
      <c r="C6294" s="36" t="s">
        <v>1396</v>
      </c>
      <c r="D6294" s="36" t="s">
        <v>2677</v>
      </c>
      <c r="E6294" s="36" t="s">
        <v>76</v>
      </c>
      <c r="G6294" s="87">
        <v>7000000</v>
      </c>
      <c r="H6294" s="87">
        <v>700000</v>
      </c>
      <c r="I6294" s="87">
        <v>7700000</v>
      </c>
      <c r="K6294" s="85">
        <v>2025</v>
      </c>
      <c r="L6294" s="85">
        <v>5</v>
      </c>
      <c r="N6294" s="1" t="s">
        <v>44</v>
      </c>
    </row>
    <row r="6295" spans="1:14">
      <c r="A6295" s="36" t="s">
        <v>32</v>
      </c>
      <c r="B6295" s="37">
        <v>45808</v>
      </c>
      <c r="C6295" s="36" t="s">
        <v>1396</v>
      </c>
      <c r="D6295" s="36" t="s">
        <v>2678</v>
      </c>
      <c r="E6295" s="36" t="s">
        <v>78</v>
      </c>
      <c r="G6295" s="87">
        <v>6600000</v>
      </c>
      <c r="H6295" s="87">
        <v>660000</v>
      </c>
      <c r="I6295" s="87">
        <v>7260000</v>
      </c>
      <c r="K6295" s="85">
        <v>2025</v>
      </c>
      <c r="L6295" s="85">
        <v>5</v>
      </c>
      <c r="N6295" s="1" t="s">
        <v>44</v>
      </c>
    </row>
    <row r="6296" spans="1:14">
      <c r="A6296" s="36" t="s">
        <v>32</v>
      </c>
      <c r="B6296" s="37">
        <v>45808</v>
      </c>
      <c r="C6296" s="36" t="s">
        <v>1396</v>
      </c>
      <c r="D6296" s="36" t="s">
        <v>2954</v>
      </c>
      <c r="E6296" s="36" t="s">
        <v>76</v>
      </c>
      <c r="G6296" s="87">
        <v>1700000</v>
      </c>
      <c r="H6296" s="87">
        <v>170000</v>
      </c>
      <c r="I6296" s="87">
        <v>1870000</v>
      </c>
      <c r="K6296" s="85">
        <v>2025</v>
      </c>
      <c r="L6296" s="85">
        <v>5</v>
      </c>
      <c r="N6296" s="1" t="s">
        <v>44</v>
      </c>
    </row>
    <row r="6297" spans="1:14">
      <c r="A6297" s="36" t="s">
        <v>32</v>
      </c>
      <c r="B6297" s="37">
        <v>45808</v>
      </c>
      <c r="C6297" s="36" t="s">
        <v>2868</v>
      </c>
      <c r="D6297" s="36" t="s">
        <v>2875</v>
      </c>
      <c r="E6297" s="36" t="s">
        <v>76</v>
      </c>
      <c r="G6297" s="87">
        <v>43500000</v>
      </c>
      <c r="H6297" s="87">
        <v>4350000</v>
      </c>
      <c r="I6297" s="87">
        <v>47850000</v>
      </c>
      <c r="K6297" s="85">
        <v>2025</v>
      </c>
      <c r="L6297" s="85">
        <v>5</v>
      </c>
      <c r="N6297" s="1" t="s">
        <v>44</v>
      </c>
    </row>
    <row r="6298" spans="1:14">
      <c r="A6298" s="36" t="s">
        <v>32</v>
      </c>
      <c r="B6298" s="37">
        <v>45808</v>
      </c>
      <c r="C6298" s="36" t="s">
        <v>2393</v>
      </c>
      <c r="D6298" s="36" t="s">
        <v>2484</v>
      </c>
      <c r="E6298" s="36" t="s">
        <v>78</v>
      </c>
      <c r="G6298" s="87">
        <v>11818182</v>
      </c>
      <c r="H6298" s="87">
        <v>1181818.2</v>
      </c>
      <c r="I6298" s="87">
        <v>13000000.199999999</v>
      </c>
      <c r="K6298" s="85">
        <v>2025</v>
      </c>
      <c r="L6298" s="85">
        <v>5</v>
      </c>
      <c r="N6298" s="1" t="s">
        <v>44</v>
      </c>
    </row>
    <row r="6299" spans="1:14">
      <c r="A6299" s="36" t="s">
        <v>32</v>
      </c>
      <c r="B6299" s="37">
        <v>45808</v>
      </c>
      <c r="C6299" s="36" t="s">
        <v>1198</v>
      </c>
      <c r="D6299" s="36" t="s">
        <v>2886</v>
      </c>
      <c r="E6299" s="36" t="s">
        <v>78</v>
      </c>
      <c r="G6299" s="87">
        <v>810000</v>
      </c>
      <c r="H6299" s="87">
        <v>81000</v>
      </c>
      <c r="I6299" s="87">
        <v>891000</v>
      </c>
      <c r="K6299" s="85">
        <v>2025</v>
      </c>
      <c r="L6299" s="85">
        <v>5</v>
      </c>
      <c r="N6299" s="1" t="s">
        <v>44</v>
      </c>
    </row>
    <row r="6300" spans="1:14">
      <c r="A6300" s="36" t="s">
        <v>32</v>
      </c>
      <c r="B6300" s="37">
        <v>45808</v>
      </c>
      <c r="C6300" s="36" t="s">
        <v>1198</v>
      </c>
      <c r="D6300" s="36" t="s">
        <v>2887</v>
      </c>
      <c r="E6300" s="36" t="s">
        <v>78</v>
      </c>
      <c r="G6300" s="87">
        <v>5006400</v>
      </c>
      <c r="H6300" s="87">
        <v>500640</v>
      </c>
      <c r="I6300" s="87">
        <v>5507040</v>
      </c>
      <c r="K6300" s="85">
        <v>2025</v>
      </c>
      <c r="L6300" s="85">
        <v>5</v>
      </c>
      <c r="N6300" s="1" t="s">
        <v>44</v>
      </c>
    </row>
    <row r="6301" spans="1:14">
      <c r="A6301" s="36" t="s">
        <v>32</v>
      </c>
      <c r="B6301" s="37">
        <v>45808</v>
      </c>
      <c r="C6301" s="36" t="s">
        <v>1198</v>
      </c>
      <c r="D6301" s="36" t="s">
        <v>2888</v>
      </c>
      <c r="E6301" s="36" t="s">
        <v>78</v>
      </c>
      <c r="G6301" s="87">
        <v>6044000</v>
      </c>
      <c r="H6301" s="87">
        <v>604400</v>
      </c>
      <c r="I6301" s="87">
        <v>6648400</v>
      </c>
      <c r="K6301" s="85">
        <v>2025</v>
      </c>
      <c r="L6301" s="85">
        <v>5</v>
      </c>
      <c r="N6301" s="1" t="s">
        <v>44</v>
      </c>
    </row>
    <row r="6302" spans="1:14">
      <c r="A6302" s="36" t="s">
        <v>32</v>
      </c>
      <c r="B6302" s="37">
        <v>45808</v>
      </c>
      <c r="C6302" s="36" t="s">
        <v>1198</v>
      </c>
      <c r="D6302" s="36" t="s">
        <v>2889</v>
      </c>
      <c r="E6302" s="36" t="s">
        <v>78</v>
      </c>
      <c r="G6302" s="87">
        <v>1323000</v>
      </c>
      <c r="H6302" s="87">
        <v>132300</v>
      </c>
      <c r="I6302" s="87">
        <v>1455300</v>
      </c>
      <c r="K6302" s="85">
        <v>2025</v>
      </c>
      <c r="L6302" s="85">
        <v>5</v>
      </c>
      <c r="N6302" s="1" t="s">
        <v>44</v>
      </c>
    </row>
    <row r="6303" spans="1:14">
      <c r="A6303" s="36" t="s">
        <v>32</v>
      </c>
      <c r="B6303" s="37">
        <v>45808</v>
      </c>
      <c r="C6303" s="36" t="s">
        <v>2766</v>
      </c>
      <c r="D6303" s="36" t="s">
        <v>2890</v>
      </c>
      <c r="E6303" s="36" t="s">
        <v>76</v>
      </c>
      <c r="G6303" s="87">
        <v>2400000</v>
      </c>
      <c r="H6303" s="87">
        <v>240000</v>
      </c>
      <c r="I6303" s="87">
        <v>2640000</v>
      </c>
      <c r="K6303" s="85">
        <v>2025</v>
      </c>
      <c r="L6303" s="85">
        <v>5</v>
      </c>
      <c r="N6303" s="1" t="s">
        <v>44</v>
      </c>
    </row>
    <row r="6304" spans="1:14">
      <c r="A6304" s="36" t="s">
        <v>32</v>
      </c>
      <c r="B6304" s="37">
        <v>45808</v>
      </c>
      <c r="C6304" s="36" t="s">
        <v>2477</v>
      </c>
      <c r="D6304" s="36" t="s">
        <v>2485</v>
      </c>
      <c r="E6304" s="36" t="s">
        <v>76</v>
      </c>
      <c r="G6304" s="87">
        <v>4694400</v>
      </c>
      <c r="H6304" s="87">
        <v>469440</v>
      </c>
      <c r="I6304" s="87">
        <v>5163840</v>
      </c>
      <c r="K6304" s="85">
        <v>2025</v>
      </c>
      <c r="L6304" s="85">
        <v>5</v>
      </c>
      <c r="N6304" s="1" t="s">
        <v>44</v>
      </c>
    </row>
    <row r="6305" spans="1:14">
      <c r="A6305" s="36" t="s">
        <v>32</v>
      </c>
      <c r="B6305" s="37">
        <v>45808</v>
      </c>
      <c r="C6305" s="36" t="s">
        <v>2772</v>
      </c>
      <c r="D6305" s="36" t="s">
        <v>2891</v>
      </c>
      <c r="E6305" s="36" t="s">
        <v>78</v>
      </c>
      <c r="G6305" s="87">
        <v>6750000</v>
      </c>
      <c r="H6305" s="87">
        <v>675000</v>
      </c>
      <c r="I6305" s="87">
        <v>7425000</v>
      </c>
      <c r="K6305" s="85">
        <v>2025</v>
      </c>
      <c r="L6305" s="85">
        <v>5</v>
      </c>
      <c r="N6305" s="1" t="s">
        <v>44</v>
      </c>
    </row>
    <row r="6306" spans="1:14">
      <c r="A6306" s="36" t="s">
        <v>32</v>
      </c>
      <c r="B6306" s="37">
        <v>45808</v>
      </c>
      <c r="C6306" s="36" t="s">
        <v>2772</v>
      </c>
      <c r="D6306" s="36" t="s">
        <v>2892</v>
      </c>
      <c r="E6306" s="36" t="s">
        <v>78</v>
      </c>
      <c r="G6306" s="87">
        <v>1342000</v>
      </c>
      <c r="H6306" s="87">
        <v>134200</v>
      </c>
      <c r="I6306" s="87">
        <v>1476200</v>
      </c>
      <c r="K6306" s="85">
        <v>2025</v>
      </c>
      <c r="L6306" s="85">
        <v>5</v>
      </c>
      <c r="N6306" s="1" t="s">
        <v>44</v>
      </c>
    </row>
    <row r="6307" spans="1:14">
      <c r="A6307" s="36" t="s">
        <v>32</v>
      </c>
      <c r="B6307" s="37">
        <v>45808</v>
      </c>
      <c r="C6307" s="36" t="s">
        <v>264</v>
      </c>
      <c r="D6307" s="36" t="s">
        <v>2893</v>
      </c>
      <c r="E6307" s="36" t="s">
        <v>76</v>
      </c>
      <c r="G6307" s="87">
        <v>30000000</v>
      </c>
      <c r="H6307" s="87">
        <v>3000000</v>
      </c>
      <c r="I6307" s="87">
        <v>33000000</v>
      </c>
      <c r="K6307" s="85">
        <v>2025</v>
      </c>
      <c r="L6307" s="85">
        <v>5</v>
      </c>
      <c r="N6307" s="1" t="s">
        <v>44</v>
      </c>
    </row>
    <row r="6308" spans="1:14">
      <c r="A6308" s="36" t="s">
        <v>32</v>
      </c>
      <c r="B6308" s="37">
        <v>45808</v>
      </c>
      <c r="C6308" s="36" t="s">
        <v>1470</v>
      </c>
      <c r="D6308" s="36" t="s">
        <v>1487</v>
      </c>
      <c r="E6308" s="36" t="s">
        <v>76</v>
      </c>
      <c r="G6308" s="87">
        <v>17397300</v>
      </c>
      <c r="H6308" s="87">
        <v>1739730</v>
      </c>
      <c r="I6308" s="87">
        <v>19137030</v>
      </c>
      <c r="K6308" s="85">
        <v>2025</v>
      </c>
      <c r="L6308" s="85">
        <v>5</v>
      </c>
      <c r="N6308" s="1" t="s">
        <v>44</v>
      </c>
    </row>
    <row r="6309" spans="1:14">
      <c r="A6309" s="36" t="s">
        <v>32</v>
      </c>
      <c r="B6309" s="37">
        <v>45808</v>
      </c>
      <c r="C6309" s="36" t="s">
        <v>2874</v>
      </c>
      <c r="D6309" s="36" t="s">
        <v>2854</v>
      </c>
      <c r="E6309" s="36" t="s">
        <v>78</v>
      </c>
      <c r="G6309" s="87">
        <v>44700000</v>
      </c>
      <c r="H6309" s="87">
        <v>4470000</v>
      </c>
      <c r="I6309" s="87">
        <v>49170000</v>
      </c>
      <c r="K6309" s="85">
        <v>2025</v>
      </c>
      <c r="L6309" s="85">
        <v>5</v>
      </c>
      <c r="N6309" s="1" t="s">
        <v>44</v>
      </c>
    </row>
    <row r="6310" spans="1:14">
      <c r="A6310" s="36" t="s">
        <v>32</v>
      </c>
      <c r="B6310" s="37">
        <v>45808</v>
      </c>
      <c r="C6310" s="36" t="s">
        <v>1569</v>
      </c>
      <c r="D6310" s="36" t="s">
        <v>2466</v>
      </c>
      <c r="E6310" s="36" t="s">
        <v>1492</v>
      </c>
      <c r="G6310" s="87">
        <v>6189840</v>
      </c>
      <c r="H6310" s="87">
        <v>618984</v>
      </c>
      <c r="I6310" s="87">
        <v>6808824</v>
      </c>
      <c r="K6310" s="85">
        <v>2025</v>
      </c>
      <c r="L6310" s="85">
        <v>5</v>
      </c>
      <c r="N6310" s="1" t="s">
        <v>44</v>
      </c>
    </row>
    <row r="6311" spans="1:14">
      <c r="A6311" s="36" t="s">
        <v>32</v>
      </c>
      <c r="B6311" s="37">
        <v>45808</v>
      </c>
      <c r="C6311" s="36" t="s">
        <v>654</v>
      </c>
      <c r="D6311" s="36" t="s">
        <v>2588</v>
      </c>
      <c r="E6311" s="36" t="s">
        <v>2838</v>
      </c>
      <c r="G6311" s="87">
        <v>-14786000</v>
      </c>
      <c r="H6311" s="87">
        <v>-1478600</v>
      </c>
      <c r="I6311" s="87">
        <v>-16264600</v>
      </c>
      <c r="K6311" s="85">
        <v>2025</v>
      </c>
      <c r="L6311" s="85">
        <v>5</v>
      </c>
      <c r="N6311" s="1" t="s">
        <v>44</v>
      </c>
    </row>
    <row r="6312" spans="1:14">
      <c r="A6312" s="36" t="s">
        <v>32</v>
      </c>
      <c r="B6312" s="37">
        <v>45808</v>
      </c>
      <c r="C6312" s="36" t="s">
        <v>654</v>
      </c>
      <c r="D6312" s="36" t="s">
        <v>2635</v>
      </c>
      <c r="E6312" s="36" t="s">
        <v>2838</v>
      </c>
      <c r="G6312" s="87">
        <v>-30000000</v>
      </c>
      <c r="H6312" s="87">
        <v>-3000000</v>
      </c>
      <c r="I6312" s="87">
        <v>-33000000</v>
      </c>
      <c r="K6312" s="85">
        <v>2025</v>
      </c>
      <c r="L6312" s="85">
        <v>5</v>
      </c>
      <c r="N6312" s="1" t="s">
        <v>44</v>
      </c>
    </row>
    <row r="6313" spans="1:14">
      <c r="A6313" s="36" t="s">
        <v>32</v>
      </c>
      <c r="B6313" s="37">
        <v>45798</v>
      </c>
      <c r="C6313" s="36" t="s">
        <v>1587</v>
      </c>
      <c r="D6313" s="36" t="s">
        <v>2271</v>
      </c>
      <c r="E6313" s="36" t="s">
        <v>2894</v>
      </c>
      <c r="J6313" s="38">
        <v>44000000</v>
      </c>
      <c r="K6313" s="85">
        <v>2025</v>
      </c>
      <c r="L6313" s="85">
        <v>5</v>
      </c>
      <c r="N6313" s="1" t="s">
        <v>44</v>
      </c>
    </row>
    <row r="6314" spans="1:14">
      <c r="A6314" s="36" t="s">
        <v>32</v>
      </c>
      <c r="B6314" s="37">
        <v>45793</v>
      </c>
      <c r="C6314" s="36" t="s">
        <v>2005</v>
      </c>
      <c r="D6314" s="36" t="s">
        <v>2876</v>
      </c>
      <c r="E6314" s="36" t="s">
        <v>77</v>
      </c>
      <c r="J6314" s="38">
        <v>22000000</v>
      </c>
      <c r="K6314" s="85">
        <v>2025</v>
      </c>
      <c r="L6314" s="85">
        <v>5</v>
      </c>
      <c r="N6314" s="1" t="s">
        <v>44</v>
      </c>
    </row>
    <row r="6315" spans="1:14">
      <c r="A6315" s="36" t="s">
        <v>32</v>
      </c>
      <c r="B6315" s="37">
        <v>45799</v>
      </c>
      <c r="C6315" s="36" t="s">
        <v>2395</v>
      </c>
      <c r="D6315" s="36" t="s">
        <v>2895</v>
      </c>
      <c r="E6315" s="36" t="s">
        <v>77</v>
      </c>
      <c r="J6315" s="38">
        <v>169972176</v>
      </c>
      <c r="K6315" s="85">
        <v>2025</v>
      </c>
      <c r="L6315" s="85">
        <v>5</v>
      </c>
      <c r="N6315" s="1" t="s">
        <v>44</v>
      </c>
    </row>
    <row r="6316" spans="1:14">
      <c r="A6316" s="36" t="s">
        <v>32</v>
      </c>
      <c r="B6316" s="37">
        <v>45810</v>
      </c>
      <c r="C6316" s="36" t="s">
        <v>2395</v>
      </c>
      <c r="D6316" s="36" t="s">
        <v>2369</v>
      </c>
      <c r="E6316" s="36" t="s">
        <v>77</v>
      </c>
      <c r="J6316" s="38">
        <v>22000000</v>
      </c>
      <c r="K6316" s="85">
        <v>2025</v>
      </c>
      <c r="L6316" s="85">
        <v>5</v>
      </c>
      <c r="N6316" s="1" t="s">
        <v>44</v>
      </c>
    </row>
    <row r="6317" spans="1:14">
      <c r="A6317" s="36" t="s">
        <v>33</v>
      </c>
      <c r="B6317" s="37">
        <v>45808</v>
      </c>
      <c r="C6317" s="36" t="s">
        <v>2896</v>
      </c>
      <c r="D6317" s="36" t="s">
        <v>2763</v>
      </c>
      <c r="E6317" s="36" t="s">
        <v>2115</v>
      </c>
      <c r="G6317" s="87">
        <v>616000</v>
      </c>
      <c r="H6317" s="87">
        <v>61600</v>
      </c>
      <c r="I6317" s="87">
        <v>677600</v>
      </c>
      <c r="K6317" s="85">
        <v>2025</v>
      </c>
      <c r="L6317" s="85">
        <v>5</v>
      </c>
      <c r="N6317" s="1" t="s">
        <v>44</v>
      </c>
    </row>
    <row r="6318" spans="1:14">
      <c r="A6318" s="36" t="s">
        <v>32</v>
      </c>
      <c r="B6318" s="37">
        <v>45818</v>
      </c>
      <c r="C6318" s="36" t="s">
        <v>2766</v>
      </c>
      <c r="D6318" s="36" t="s">
        <v>2877</v>
      </c>
      <c r="E6318" s="36" t="s">
        <v>2897</v>
      </c>
      <c r="J6318" s="87">
        <v>10083700</v>
      </c>
      <c r="K6318" s="85">
        <v>2025</v>
      </c>
      <c r="L6318" s="85">
        <v>5</v>
      </c>
      <c r="N6318" s="1" t="s">
        <v>44</v>
      </c>
    </row>
    <row r="6319" spans="1:14">
      <c r="A6319" s="36" t="s">
        <v>32</v>
      </c>
      <c r="B6319" s="37">
        <v>45819</v>
      </c>
      <c r="C6319" s="36" t="s">
        <v>1396</v>
      </c>
      <c r="D6319" s="36" t="s">
        <v>2680</v>
      </c>
      <c r="E6319" s="36" t="s">
        <v>2898</v>
      </c>
      <c r="J6319" s="87">
        <v>1870000</v>
      </c>
      <c r="K6319" s="85">
        <v>2025</v>
      </c>
      <c r="L6319" s="85">
        <v>5</v>
      </c>
      <c r="N6319" s="1" t="s">
        <v>44</v>
      </c>
    </row>
    <row r="6320" spans="1:14">
      <c r="A6320" s="36" t="s">
        <v>32</v>
      </c>
      <c r="B6320" s="37">
        <v>45819</v>
      </c>
      <c r="C6320" s="36" t="s">
        <v>1396</v>
      </c>
      <c r="D6320" s="36" t="s">
        <v>2679</v>
      </c>
      <c r="E6320" s="36" t="s">
        <v>2899</v>
      </c>
      <c r="J6320" s="87">
        <v>1727000</v>
      </c>
      <c r="K6320" s="85">
        <v>2025</v>
      </c>
      <c r="L6320" s="85">
        <v>5</v>
      </c>
      <c r="N6320" s="1" t="s">
        <v>44</v>
      </c>
    </row>
    <row r="6321" spans="1:14">
      <c r="A6321" s="36" t="s">
        <v>32</v>
      </c>
      <c r="B6321" s="37">
        <v>45818</v>
      </c>
      <c r="C6321" s="36" t="s">
        <v>2393</v>
      </c>
      <c r="D6321" s="36" t="s">
        <v>2484</v>
      </c>
      <c r="E6321" s="36" t="s">
        <v>2900</v>
      </c>
      <c r="J6321" s="87">
        <v>13000000.199999999</v>
      </c>
      <c r="K6321" s="85">
        <v>2025</v>
      </c>
      <c r="L6321" s="85">
        <v>5</v>
      </c>
      <c r="N6321" s="1" t="s">
        <v>44</v>
      </c>
    </row>
    <row r="6322" spans="1:14">
      <c r="A6322" s="36" t="s">
        <v>32</v>
      </c>
      <c r="B6322" s="37">
        <v>45805</v>
      </c>
      <c r="C6322" s="36" t="s">
        <v>209</v>
      </c>
      <c r="D6322" s="36" t="s">
        <v>2551</v>
      </c>
      <c r="E6322" s="36" t="s">
        <v>2797</v>
      </c>
      <c r="J6322" s="87">
        <v>4900500</v>
      </c>
      <c r="K6322" s="85">
        <v>2025</v>
      </c>
      <c r="L6322" s="85">
        <v>4</v>
      </c>
      <c r="N6322" s="1" t="s">
        <v>44</v>
      </c>
    </row>
    <row r="6323" spans="1:14">
      <c r="A6323" s="36" t="s">
        <v>32</v>
      </c>
      <c r="B6323" s="37">
        <v>45820</v>
      </c>
      <c r="C6323" s="36" t="s">
        <v>1569</v>
      </c>
      <c r="D6323" s="36" t="s">
        <v>2466</v>
      </c>
      <c r="E6323" s="36" t="s">
        <v>2901</v>
      </c>
      <c r="J6323" s="87">
        <v>6808824</v>
      </c>
      <c r="K6323" s="85">
        <v>2025</v>
      </c>
      <c r="L6323" s="85">
        <v>5</v>
      </c>
      <c r="N6323" s="1" t="s">
        <v>44</v>
      </c>
    </row>
    <row r="6324" spans="1:14">
      <c r="A6324" s="36" t="s">
        <v>32</v>
      </c>
      <c r="B6324" s="37">
        <v>45799</v>
      </c>
      <c r="C6324" s="36" t="s">
        <v>2766</v>
      </c>
      <c r="D6324" s="36" t="s">
        <v>2878</v>
      </c>
      <c r="E6324" s="36" t="s">
        <v>2902</v>
      </c>
      <c r="J6324" s="87">
        <v>23226500</v>
      </c>
      <c r="K6324" s="85">
        <v>2025</v>
      </c>
      <c r="L6324" s="85">
        <v>5</v>
      </c>
      <c r="N6324" s="1" t="s">
        <v>44</v>
      </c>
    </row>
    <row r="6325" spans="1:14">
      <c r="A6325" s="36" t="s">
        <v>32</v>
      </c>
      <c r="B6325" s="37">
        <v>45799</v>
      </c>
      <c r="C6325" s="36" t="s">
        <v>1396</v>
      </c>
      <c r="D6325" s="36" t="s">
        <v>2677</v>
      </c>
      <c r="E6325" s="36" t="s">
        <v>2903</v>
      </c>
      <c r="J6325" s="87">
        <v>1980000</v>
      </c>
      <c r="K6325" s="85">
        <v>2025</v>
      </c>
      <c r="L6325" s="85">
        <v>4</v>
      </c>
      <c r="N6325" s="1" t="s">
        <v>44</v>
      </c>
    </row>
    <row r="6326" spans="1:14">
      <c r="A6326" s="36" t="s">
        <v>32</v>
      </c>
      <c r="B6326" s="37">
        <v>45819</v>
      </c>
      <c r="C6326" s="36" t="s">
        <v>1198</v>
      </c>
      <c r="D6326" s="36" t="s">
        <v>2559</v>
      </c>
      <c r="E6326" s="36" t="s">
        <v>2904</v>
      </c>
      <c r="J6326" s="87">
        <v>891000</v>
      </c>
      <c r="K6326" s="85">
        <v>2024</v>
      </c>
      <c r="L6326" s="85">
        <v>12</v>
      </c>
      <c r="N6326" s="1" t="s">
        <v>44</v>
      </c>
    </row>
    <row r="6327" spans="1:14">
      <c r="A6327" s="36" t="s">
        <v>32</v>
      </c>
      <c r="B6327" s="37">
        <v>45821</v>
      </c>
      <c r="C6327" s="36" t="s">
        <v>2774</v>
      </c>
      <c r="D6327" s="36" t="s">
        <v>2834</v>
      </c>
      <c r="E6327" s="36" t="s">
        <v>148</v>
      </c>
      <c r="J6327" s="87">
        <v>7700000</v>
      </c>
      <c r="K6327" s="85">
        <v>2025</v>
      </c>
      <c r="L6327" s="85">
        <v>4</v>
      </c>
      <c r="N6327" s="1" t="s">
        <v>44</v>
      </c>
    </row>
    <row r="6328" spans="1:14">
      <c r="A6328" s="36" t="s">
        <v>32</v>
      </c>
      <c r="B6328" s="37">
        <v>45822</v>
      </c>
      <c r="C6328" s="36" t="s">
        <v>2772</v>
      </c>
      <c r="D6328" s="36" t="s">
        <v>2891</v>
      </c>
      <c r="E6328" s="36" t="s">
        <v>2906</v>
      </c>
      <c r="J6328" s="87">
        <v>7425000</v>
      </c>
      <c r="K6328" s="85">
        <v>2025</v>
      </c>
      <c r="L6328" s="85">
        <v>5</v>
      </c>
      <c r="N6328" s="1" t="s">
        <v>44</v>
      </c>
    </row>
    <row r="6329" spans="1:14">
      <c r="A6329" s="36" t="s">
        <v>32</v>
      </c>
      <c r="B6329" s="37">
        <v>45822</v>
      </c>
      <c r="C6329" s="36" t="s">
        <v>2772</v>
      </c>
      <c r="D6329" s="36" t="s">
        <v>2892</v>
      </c>
      <c r="E6329" s="36" t="s">
        <v>2907</v>
      </c>
      <c r="J6329" s="87">
        <v>1476200</v>
      </c>
      <c r="K6329" s="85">
        <v>2025</v>
      </c>
      <c r="L6329" s="85">
        <v>5</v>
      </c>
      <c r="N6329" s="1" t="s">
        <v>44</v>
      </c>
    </row>
    <row r="6330" spans="1:14">
      <c r="A6330" s="36" t="s">
        <v>32</v>
      </c>
      <c r="B6330" s="37">
        <v>45824</v>
      </c>
      <c r="C6330" s="36" t="s">
        <v>2005</v>
      </c>
      <c r="D6330" s="36" t="s">
        <v>2689</v>
      </c>
      <c r="E6330" s="36" t="s">
        <v>148</v>
      </c>
      <c r="J6330" s="87">
        <v>3300000</v>
      </c>
      <c r="K6330" s="85">
        <v>2025</v>
      </c>
      <c r="L6330" s="85">
        <v>2</v>
      </c>
      <c r="M6330" s="36" t="s">
        <v>2909</v>
      </c>
      <c r="N6330" s="1" t="s">
        <v>44</v>
      </c>
    </row>
    <row r="6331" spans="1:14">
      <c r="A6331" s="36" t="s">
        <v>32</v>
      </c>
      <c r="B6331" s="37">
        <v>45825</v>
      </c>
      <c r="C6331" s="36" t="s">
        <v>2627</v>
      </c>
      <c r="D6331" s="36" t="s">
        <v>2589</v>
      </c>
      <c r="E6331" s="36" t="s">
        <v>148</v>
      </c>
      <c r="J6331" s="87">
        <v>5500000</v>
      </c>
      <c r="K6331" s="85">
        <v>2025</v>
      </c>
      <c r="L6331" s="85">
        <v>5</v>
      </c>
      <c r="N6331" s="1" t="s">
        <v>44</v>
      </c>
    </row>
    <row r="6332" spans="1:14">
      <c r="A6332" s="36" t="s">
        <v>32</v>
      </c>
      <c r="B6332" s="37">
        <v>45826</v>
      </c>
      <c r="C6332" s="36" t="s">
        <v>2869</v>
      </c>
      <c r="D6332" s="36" t="s">
        <v>2880</v>
      </c>
      <c r="E6332" s="36" t="s">
        <v>148</v>
      </c>
      <c r="J6332" s="87">
        <v>6160000</v>
      </c>
      <c r="K6332" s="85">
        <v>2025</v>
      </c>
      <c r="L6332" s="85">
        <v>5</v>
      </c>
      <c r="N6332" s="1" t="s">
        <v>44</v>
      </c>
    </row>
    <row r="6333" spans="1:14">
      <c r="A6333" s="36" t="s">
        <v>33</v>
      </c>
      <c r="B6333" s="37">
        <v>45827</v>
      </c>
      <c r="C6333" s="36" t="s">
        <v>2745</v>
      </c>
      <c r="D6333" s="36" t="s">
        <v>2746</v>
      </c>
      <c r="E6333" s="36" t="s">
        <v>148</v>
      </c>
      <c r="J6333" s="87">
        <v>2035220</v>
      </c>
      <c r="K6333" s="85">
        <v>2025</v>
      </c>
      <c r="L6333" s="85">
        <v>3</v>
      </c>
      <c r="N6333" s="1" t="s">
        <v>44</v>
      </c>
    </row>
    <row r="6334" spans="1:14">
      <c r="A6334" s="36" t="s">
        <v>33</v>
      </c>
      <c r="B6334" s="37">
        <v>45827</v>
      </c>
      <c r="C6334" s="36" t="s">
        <v>2016</v>
      </c>
      <c r="D6334" s="36" t="s">
        <v>2865</v>
      </c>
      <c r="E6334" s="36" t="s">
        <v>77</v>
      </c>
      <c r="J6334" s="38">
        <v>74388420</v>
      </c>
      <c r="K6334" s="84">
        <v>2025</v>
      </c>
      <c r="L6334" s="85">
        <v>5</v>
      </c>
      <c r="N6334" s="208" t="s">
        <v>44</v>
      </c>
    </row>
    <row r="6335" spans="1:14">
      <c r="A6335" s="36" t="s">
        <v>32</v>
      </c>
      <c r="B6335" s="37">
        <v>45827</v>
      </c>
      <c r="C6335" s="36" t="s">
        <v>1198</v>
      </c>
      <c r="D6335" s="36" t="s">
        <v>2886</v>
      </c>
      <c r="E6335" s="36" t="s">
        <v>2910</v>
      </c>
      <c r="J6335" s="87">
        <v>891000</v>
      </c>
      <c r="K6335" s="85">
        <v>2025</v>
      </c>
      <c r="L6335" s="85">
        <v>5</v>
      </c>
      <c r="N6335" s="1" t="s">
        <v>44</v>
      </c>
    </row>
    <row r="6336" spans="1:14">
      <c r="A6336" s="36" t="s">
        <v>32</v>
      </c>
      <c r="B6336" s="37">
        <v>45832</v>
      </c>
      <c r="C6336" s="36" t="s">
        <v>1741</v>
      </c>
      <c r="D6336" s="36" t="s">
        <v>1745</v>
      </c>
      <c r="E6336" s="36" t="s">
        <v>148</v>
      </c>
      <c r="J6336" s="87">
        <v>6600000</v>
      </c>
      <c r="K6336" s="85">
        <v>2025</v>
      </c>
      <c r="L6336" s="85">
        <v>5</v>
      </c>
      <c r="N6336" s="1" t="s">
        <v>44</v>
      </c>
    </row>
    <row r="6337" spans="1:14">
      <c r="A6337" s="36" t="s">
        <v>32</v>
      </c>
      <c r="B6337" s="37">
        <v>45833</v>
      </c>
      <c r="C6337" s="36" t="s">
        <v>2871</v>
      </c>
      <c r="D6337" s="36" t="s">
        <v>2636</v>
      </c>
      <c r="E6337" s="36" t="s">
        <v>148</v>
      </c>
      <c r="J6337" s="87">
        <v>7871325</v>
      </c>
      <c r="K6337" s="85">
        <v>2025</v>
      </c>
      <c r="L6337" s="85">
        <v>5</v>
      </c>
      <c r="N6337" s="1" t="s">
        <v>44</v>
      </c>
    </row>
    <row r="6338" spans="1:14">
      <c r="A6338" s="36" t="s">
        <v>32</v>
      </c>
      <c r="B6338" s="37">
        <v>45834</v>
      </c>
      <c r="C6338" s="36" t="s">
        <v>654</v>
      </c>
      <c r="D6338" s="36" t="s">
        <v>2826</v>
      </c>
      <c r="E6338" s="36" t="s">
        <v>2846</v>
      </c>
      <c r="J6338" s="87">
        <v>10000000</v>
      </c>
      <c r="K6338" s="85">
        <v>2025</v>
      </c>
      <c r="L6338" s="85">
        <v>4</v>
      </c>
      <c r="N6338" s="1" t="s">
        <v>44</v>
      </c>
    </row>
    <row r="6339" spans="1:14">
      <c r="A6339" s="36" t="s">
        <v>32</v>
      </c>
      <c r="B6339" s="37">
        <v>45834</v>
      </c>
      <c r="C6339" s="36" t="s">
        <v>654</v>
      </c>
      <c r="D6339" s="36" t="s">
        <v>2884</v>
      </c>
      <c r="E6339" s="36" t="s">
        <v>2911</v>
      </c>
      <c r="J6339" s="294">
        <v>25678026</v>
      </c>
      <c r="K6339" s="85">
        <v>2025</v>
      </c>
      <c r="L6339" s="85">
        <v>5</v>
      </c>
      <c r="M6339" s="293" t="s">
        <v>2912</v>
      </c>
      <c r="N6339" s="1" t="s">
        <v>44</v>
      </c>
    </row>
    <row r="6340" spans="1:14">
      <c r="A6340" s="36" t="s">
        <v>32</v>
      </c>
      <c r="B6340" s="37">
        <v>45834</v>
      </c>
      <c r="C6340" s="36" t="s">
        <v>654</v>
      </c>
      <c r="D6340" s="36" t="s">
        <v>1943</v>
      </c>
      <c r="E6340" s="36" t="s">
        <v>2799</v>
      </c>
      <c r="J6340" s="292">
        <v>8834024</v>
      </c>
      <c r="K6340" s="85">
        <v>2024</v>
      </c>
      <c r="L6340" s="85">
        <v>1</v>
      </c>
      <c r="M6340" s="293" t="s">
        <v>2912</v>
      </c>
      <c r="N6340" s="1" t="s">
        <v>44</v>
      </c>
    </row>
    <row r="6341" spans="1:14">
      <c r="A6341" s="36" t="s">
        <v>32</v>
      </c>
      <c r="B6341" s="37">
        <v>45834</v>
      </c>
      <c r="C6341" s="36" t="s">
        <v>654</v>
      </c>
      <c r="D6341" s="36" t="s">
        <v>1754</v>
      </c>
      <c r="E6341" s="36" t="s">
        <v>2913</v>
      </c>
      <c r="J6341" s="294">
        <v>19749710</v>
      </c>
      <c r="K6341" s="85">
        <v>2024</v>
      </c>
      <c r="L6341" s="85">
        <v>2</v>
      </c>
      <c r="M6341" s="293" t="s">
        <v>2912</v>
      </c>
      <c r="N6341" s="1" t="s">
        <v>44</v>
      </c>
    </row>
    <row r="6342" spans="1:14">
      <c r="A6342" s="36" t="s">
        <v>32</v>
      </c>
      <c r="B6342" s="37">
        <v>45834</v>
      </c>
      <c r="C6342" s="36" t="s">
        <v>654</v>
      </c>
      <c r="D6342" s="36" t="s">
        <v>1754</v>
      </c>
      <c r="E6342" s="36" t="s">
        <v>2914</v>
      </c>
      <c r="J6342" s="292">
        <v>4416266</v>
      </c>
      <c r="K6342" s="85">
        <v>2024</v>
      </c>
      <c r="L6342" s="85">
        <v>3</v>
      </c>
      <c r="M6342" s="293" t="s">
        <v>2912</v>
      </c>
      <c r="N6342" s="1" t="s">
        <v>44</v>
      </c>
    </row>
    <row r="6343" spans="1:14">
      <c r="A6343" s="36" t="s">
        <v>32</v>
      </c>
      <c r="B6343" s="37">
        <v>45835</v>
      </c>
      <c r="C6343" s="36" t="s">
        <v>2872</v>
      </c>
      <c r="D6343" s="36" t="s">
        <v>2885</v>
      </c>
      <c r="E6343" s="36" t="s">
        <v>148</v>
      </c>
      <c r="J6343" s="87">
        <v>5662800</v>
      </c>
      <c r="K6343" s="85">
        <v>2025</v>
      </c>
      <c r="L6343" s="85">
        <v>5</v>
      </c>
      <c r="N6343" s="1" t="s">
        <v>44</v>
      </c>
    </row>
    <row r="6344" spans="1:14">
      <c r="A6344" s="36" t="s">
        <v>32</v>
      </c>
      <c r="B6344" s="37">
        <v>45835</v>
      </c>
      <c r="C6344" s="36" t="s">
        <v>2628</v>
      </c>
      <c r="D6344" s="36" t="s">
        <v>2639</v>
      </c>
      <c r="E6344" s="36" t="s">
        <v>148</v>
      </c>
      <c r="J6344" s="87">
        <v>14283280</v>
      </c>
      <c r="K6344" s="85">
        <v>2025</v>
      </c>
      <c r="L6344" s="85">
        <v>5</v>
      </c>
      <c r="N6344" s="1" t="s">
        <v>44</v>
      </c>
    </row>
    <row r="6345" spans="1:14">
      <c r="A6345" s="36" t="s">
        <v>32</v>
      </c>
      <c r="B6345" s="37">
        <v>45838</v>
      </c>
      <c r="C6345" s="36" t="s">
        <v>2873</v>
      </c>
      <c r="D6345" s="36" t="s">
        <v>3115</v>
      </c>
      <c r="E6345" s="36" t="s">
        <v>148</v>
      </c>
      <c r="J6345" s="87">
        <v>2200000</v>
      </c>
      <c r="K6345" s="85">
        <v>2025</v>
      </c>
      <c r="L6345" s="85">
        <v>5</v>
      </c>
      <c r="N6345" s="1" t="s">
        <v>44</v>
      </c>
    </row>
    <row r="6346" spans="1:14">
      <c r="A6346" s="36" t="s">
        <v>19</v>
      </c>
      <c r="B6346" s="37">
        <v>45838</v>
      </c>
      <c r="C6346" s="36" t="s">
        <v>1391</v>
      </c>
      <c r="D6346" s="36" t="s">
        <v>197</v>
      </c>
      <c r="E6346" s="36" t="s">
        <v>2916</v>
      </c>
      <c r="J6346" s="38">
        <v>1146200</v>
      </c>
      <c r="K6346" s="85">
        <v>2025</v>
      </c>
      <c r="L6346" s="85">
        <v>4</v>
      </c>
      <c r="N6346" s="1" t="s">
        <v>44</v>
      </c>
    </row>
    <row r="6347" spans="1:14">
      <c r="A6347" s="36" t="s">
        <v>19</v>
      </c>
      <c r="B6347" s="37">
        <v>45838</v>
      </c>
      <c r="C6347" s="36" t="s">
        <v>2858</v>
      </c>
      <c r="D6347" s="36" t="s">
        <v>97</v>
      </c>
      <c r="E6347" s="36" t="s">
        <v>148</v>
      </c>
      <c r="J6347" s="38">
        <v>935000</v>
      </c>
      <c r="K6347" s="85">
        <v>2025</v>
      </c>
      <c r="L6347" s="85">
        <v>5</v>
      </c>
      <c r="N6347" s="1" t="s">
        <v>44</v>
      </c>
    </row>
    <row r="6348" spans="1:14">
      <c r="A6348" s="36" t="s">
        <v>19</v>
      </c>
      <c r="B6348" s="37">
        <v>45838</v>
      </c>
      <c r="C6348" s="36" t="s">
        <v>2818</v>
      </c>
      <c r="D6348" s="36" t="s">
        <v>2859</v>
      </c>
      <c r="E6348" s="36" t="s">
        <v>148</v>
      </c>
      <c r="J6348" s="38">
        <v>646800</v>
      </c>
      <c r="K6348" s="85">
        <v>2025</v>
      </c>
      <c r="L6348" s="85">
        <v>5</v>
      </c>
      <c r="N6348" s="1" t="s">
        <v>44</v>
      </c>
    </row>
    <row r="6349" spans="1:14">
      <c r="A6349" s="36" t="s">
        <v>19</v>
      </c>
      <c r="B6349" s="37">
        <v>45838</v>
      </c>
      <c r="C6349" s="36" t="s">
        <v>2540</v>
      </c>
      <c r="D6349" s="36" t="s">
        <v>2541</v>
      </c>
      <c r="E6349" s="36" t="s">
        <v>148</v>
      </c>
      <c r="J6349" s="38">
        <v>1547150</v>
      </c>
      <c r="K6349" s="85">
        <v>2025</v>
      </c>
      <c r="L6349" s="85">
        <v>5</v>
      </c>
      <c r="N6349" s="1" t="s">
        <v>44</v>
      </c>
    </row>
    <row r="6350" spans="1:14">
      <c r="A6350" s="36" t="s">
        <v>19</v>
      </c>
      <c r="B6350" s="37">
        <v>45838</v>
      </c>
      <c r="C6350" s="36" t="s">
        <v>81</v>
      </c>
      <c r="D6350" s="36" t="s">
        <v>2271</v>
      </c>
      <c r="E6350" s="36" t="s">
        <v>2917</v>
      </c>
      <c r="J6350" s="38">
        <v>7114799</v>
      </c>
      <c r="K6350" s="85">
        <v>2025</v>
      </c>
      <c r="L6350" s="85">
        <v>5</v>
      </c>
      <c r="N6350" s="1" t="s">
        <v>44</v>
      </c>
    </row>
    <row r="6351" spans="1:14">
      <c r="A6351" s="36" t="s">
        <v>19</v>
      </c>
      <c r="B6351" s="37">
        <v>45838</v>
      </c>
      <c r="C6351" s="36" t="s">
        <v>2116</v>
      </c>
      <c r="D6351" s="36" t="s">
        <v>2117</v>
      </c>
      <c r="E6351" s="36" t="s">
        <v>148</v>
      </c>
      <c r="J6351" s="38">
        <v>1178100</v>
      </c>
      <c r="K6351" s="85">
        <v>2025</v>
      </c>
      <c r="L6351" s="85">
        <v>5</v>
      </c>
      <c r="N6351" s="1" t="s">
        <v>44</v>
      </c>
    </row>
    <row r="6352" spans="1:14">
      <c r="A6352" s="36" t="s">
        <v>19</v>
      </c>
      <c r="B6352" s="37">
        <v>45838</v>
      </c>
      <c r="C6352" s="36" t="s">
        <v>2016</v>
      </c>
      <c r="D6352" s="36" t="s">
        <v>2867</v>
      </c>
      <c r="E6352" s="36" t="s">
        <v>2918</v>
      </c>
      <c r="J6352" s="38">
        <v>121451000</v>
      </c>
      <c r="K6352" s="85">
        <v>2025</v>
      </c>
      <c r="L6352" s="85">
        <v>5</v>
      </c>
      <c r="N6352" s="1" t="s">
        <v>44</v>
      </c>
    </row>
    <row r="6353" spans="1:14">
      <c r="A6353" s="36" t="s">
        <v>19</v>
      </c>
      <c r="B6353" s="37">
        <v>45838</v>
      </c>
      <c r="C6353" s="36" t="s">
        <v>2587</v>
      </c>
      <c r="D6353" s="36" t="s">
        <v>2588</v>
      </c>
      <c r="E6353" s="36" t="s">
        <v>2844</v>
      </c>
      <c r="J6353" s="38">
        <v>3152050</v>
      </c>
      <c r="K6353" s="85">
        <v>2025</v>
      </c>
      <c r="L6353" s="85">
        <v>5</v>
      </c>
      <c r="N6353" s="1" t="s">
        <v>44</v>
      </c>
    </row>
    <row r="6354" spans="1:14">
      <c r="A6354" s="36" t="s">
        <v>19</v>
      </c>
      <c r="B6354" s="37">
        <v>45838</v>
      </c>
      <c r="C6354" s="36" t="s">
        <v>81</v>
      </c>
      <c r="D6354" s="36" t="s">
        <v>2860</v>
      </c>
      <c r="E6354" s="36" t="s">
        <v>2919</v>
      </c>
      <c r="J6354" s="38">
        <v>557040</v>
      </c>
      <c r="K6354" s="85">
        <v>2025</v>
      </c>
      <c r="L6354" s="85">
        <v>5</v>
      </c>
      <c r="N6354" s="1" t="s">
        <v>44</v>
      </c>
    </row>
    <row r="6355" spans="1:14">
      <c r="A6355" s="36" t="s">
        <v>19</v>
      </c>
      <c r="B6355" s="37">
        <v>45838</v>
      </c>
      <c r="C6355" s="36" t="s">
        <v>2863</v>
      </c>
      <c r="D6355" s="36" t="s">
        <v>2915</v>
      </c>
      <c r="E6355" s="36" t="s">
        <v>2920</v>
      </c>
      <c r="J6355" s="38">
        <v>396000</v>
      </c>
      <c r="K6355" s="85">
        <v>2025</v>
      </c>
      <c r="L6355" s="85">
        <v>6</v>
      </c>
      <c r="N6355" s="1" t="s">
        <v>44</v>
      </c>
    </row>
    <row r="6356" spans="1:14">
      <c r="A6356" s="36" t="s">
        <v>19</v>
      </c>
      <c r="B6356" s="37">
        <v>45838</v>
      </c>
      <c r="C6356" s="36" t="s">
        <v>2016</v>
      </c>
      <c r="D6356" s="36" t="s">
        <v>2866</v>
      </c>
      <c r="E6356" s="36" t="s">
        <v>2921</v>
      </c>
      <c r="J6356" s="38">
        <v>131659440</v>
      </c>
      <c r="K6356" s="85">
        <v>2025</v>
      </c>
      <c r="L6356" s="85">
        <v>5</v>
      </c>
      <c r="N6356" s="1" t="s">
        <v>44</v>
      </c>
    </row>
    <row r="6357" spans="1:14">
      <c r="A6357" s="36" t="s">
        <v>32</v>
      </c>
      <c r="B6357" s="37">
        <v>45838</v>
      </c>
      <c r="C6357" s="36" t="s">
        <v>654</v>
      </c>
      <c r="D6357" s="36" t="s">
        <v>2883</v>
      </c>
      <c r="E6357" s="36" t="s">
        <v>2922</v>
      </c>
      <c r="J6357" s="296">
        <v>4401914</v>
      </c>
      <c r="K6357" s="85">
        <v>2025</v>
      </c>
      <c r="L6357" s="85">
        <v>5</v>
      </c>
      <c r="M6357" s="298" t="s">
        <v>2923</v>
      </c>
      <c r="N6357" s="1" t="s">
        <v>44</v>
      </c>
    </row>
    <row r="6358" spans="1:14">
      <c r="A6358" s="36" t="s">
        <v>32</v>
      </c>
      <c r="B6358" s="37">
        <v>45838</v>
      </c>
      <c r="C6358" s="36" t="s">
        <v>654</v>
      </c>
      <c r="D6358" s="36" t="s">
        <v>1754</v>
      </c>
      <c r="E6358" s="36" t="s">
        <v>2914</v>
      </c>
      <c r="J6358" s="297">
        <v>16264600</v>
      </c>
      <c r="K6358" s="85">
        <v>2024</v>
      </c>
      <c r="L6358" s="85">
        <v>3</v>
      </c>
      <c r="M6358" s="299" t="s">
        <v>2923</v>
      </c>
      <c r="N6358" s="1" t="s">
        <v>44</v>
      </c>
    </row>
    <row r="6359" spans="1:14">
      <c r="A6359" s="36" t="s">
        <v>32</v>
      </c>
      <c r="B6359" s="37">
        <v>45838</v>
      </c>
      <c r="C6359" s="36" t="s">
        <v>2477</v>
      </c>
      <c r="D6359" s="36" t="s">
        <v>2485</v>
      </c>
      <c r="E6359" s="36" t="s">
        <v>148</v>
      </c>
      <c r="J6359" s="87">
        <v>5163840</v>
      </c>
      <c r="K6359" s="85">
        <v>2025</v>
      </c>
      <c r="L6359" s="85">
        <v>5</v>
      </c>
      <c r="M6359" s="36" t="s">
        <v>2653</v>
      </c>
      <c r="N6359" s="1" t="s">
        <v>44</v>
      </c>
    </row>
    <row r="6360" spans="1:14">
      <c r="A6360" s="36" t="s">
        <v>32</v>
      </c>
      <c r="B6360" s="37">
        <v>45838</v>
      </c>
      <c r="C6360" s="36" t="s">
        <v>264</v>
      </c>
      <c r="D6360" s="36" t="s">
        <v>2893</v>
      </c>
      <c r="E6360" s="36" t="s">
        <v>148</v>
      </c>
      <c r="J6360" s="87">
        <v>33000000</v>
      </c>
      <c r="K6360" s="85">
        <v>2025</v>
      </c>
      <c r="L6360" s="85">
        <v>5</v>
      </c>
      <c r="N6360" s="1" t="s">
        <v>44</v>
      </c>
    </row>
    <row r="6361" spans="1:14">
      <c r="A6361" s="36" t="s">
        <v>32</v>
      </c>
      <c r="B6361" s="37">
        <v>45838</v>
      </c>
      <c r="C6361" s="36" t="s">
        <v>2868</v>
      </c>
      <c r="D6361" s="36" t="s">
        <v>2875</v>
      </c>
      <c r="E6361" s="36" t="s">
        <v>148</v>
      </c>
      <c r="J6361" s="87">
        <v>31900000</v>
      </c>
      <c r="K6361" s="85">
        <v>2025</v>
      </c>
      <c r="L6361" s="85">
        <v>5</v>
      </c>
      <c r="N6361" s="1" t="s">
        <v>44</v>
      </c>
    </row>
    <row r="6362" spans="1:14">
      <c r="A6362" s="36" t="s">
        <v>33</v>
      </c>
      <c r="B6362" s="37">
        <v>45838</v>
      </c>
      <c r="C6362" s="36" t="s">
        <v>2896</v>
      </c>
      <c r="D6362" s="36" t="s">
        <v>2763</v>
      </c>
      <c r="E6362" s="36" t="s">
        <v>148</v>
      </c>
      <c r="J6362" s="87">
        <v>677600</v>
      </c>
      <c r="K6362" s="85">
        <v>2025</v>
      </c>
      <c r="L6362" s="85">
        <v>5</v>
      </c>
      <c r="N6362" s="1" t="s">
        <v>44</v>
      </c>
    </row>
    <row r="6363" spans="1:14">
      <c r="A6363" s="36" t="s">
        <v>32</v>
      </c>
      <c r="B6363" s="37">
        <v>45838</v>
      </c>
      <c r="C6363" s="36" t="s">
        <v>188</v>
      </c>
      <c r="D6363" s="36" t="s">
        <v>1405</v>
      </c>
      <c r="E6363" s="36" t="s">
        <v>2924</v>
      </c>
      <c r="J6363" s="87">
        <v>11000000</v>
      </c>
      <c r="K6363" s="85">
        <v>2023</v>
      </c>
      <c r="L6363" s="85">
        <v>5</v>
      </c>
      <c r="N6363" s="1" t="s">
        <v>44</v>
      </c>
    </row>
    <row r="6364" spans="1:14">
      <c r="A6364" s="36" t="s">
        <v>32</v>
      </c>
      <c r="B6364" s="37">
        <v>45838</v>
      </c>
      <c r="C6364" s="36" t="s">
        <v>188</v>
      </c>
      <c r="D6364" s="36" t="s">
        <v>2827</v>
      </c>
      <c r="E6364" s="36" t="s">
        <v>2925</v>
      </c>
      <c r="J6364" s="87">
        <v>3938000</v>
      </c>
      <c r="K6364" s="85">
        <v>2025</v>
      </c>
      <c r="L6364" s="85">
        <v>4</v>
      </c>
      <c r="N6364" s="1" t="s">
        <v>44</v>
      </c>
    </row>
    <row r="6365" spans="1:14">
      <c r="A6365" s="36" t="s">
        <v>32</v>
      </c>
      <c r="B6365" s="37">
        <v>45838</v>
      </c>
      <c r="C6365" s="36" t="s">
        <v>188</v>
      </c>
      <c r="D6365" s="36" t="s">
        <v>2881</v>
      </c>
      <c r="E6365" s="36" t="s">
        <v>2926</v>
      </c>
      <c r="J6365" s="87">
        <v>2146760</v>
      </c>
      <c r="K6365" s="85">
        <v>2025</v>
      </c>
      <c r="L6365" s="85">
        <v>5</v>
      </c>
      <c r="N6365" s="1" t="s">
        <v>44</v>
      </c>
    </row>
    <row r="6366" spans="1:14">
      <c r="A6366" s="36" t="s">
        <v>32</v>
      </c>
      <c r="B6366" s="37">
        <v>45838</v>
      </c>
      <c r="C6366" s="36" t="s">
        <v>2395</v>
      </c>
      <c r="D6366" s="36" t="s">
        <v>2369</v>
      </c>
      <c r="E6366" s="36" t="s">
        <v>77</v>
      </c>
      <c r="J6366" s="38">
        <v>26379760</v>
      </c>
      <c r="K6366" s="85">
        <v>2025</v>
      </c>
      <c r="L6366" s="85">
        <v>5</v>
      </c>
      <c r="N6366" s="1" t="s">
        <v>44</v>
      </c>
    </row>
    <row r="6367" spans="1:14">
      <c r="A6367" s="36" t="s">
        <v>19</v>
      </c>
      <c r="B6367" s="37">
        <v>45839</v>
      </c>
      <c r="C6367" s="36" t="s">
        <v>2368</v>
      </c>
      <c r="D6367" s="36" t="s">
        <v>2369</v>
      </c>
      <c r="E6367" s="36" t="s">
        <v>2601</v>
      </c>
      <c r="J6367" s="87">
        <v>2802800</v>
      </c>
      <c r="K6367" s="85">
        <v>2025</v>
      </c>
      <c r="L6367" s="85">
        <v>4</v>
      </c>
      <c r="N6367" s="1" t="s">
        <v>44</v>
      </c>
    </row>
    <row r="6368" spans="1:14">
      <c r="A6368" s="36" t="s">
        <v>19</v>
      </c>
      <c r="B6368" s="37">
        <v>45839</v>
      </c>
      <c r="C6368" s="36" t="s">
        <v>2704</v>
      </c>
      <c r="D6368" s="36" t="s">
        <v>2816</v>
      </c>
      <c r="E6368" s="36" t="s">
        <v>2601</v>
      </c>
      <c r="J6368" s="87">
        <v>6006000</v>
      </c>
      <c r="K6368" s="85">
        <v>2025</v>
      </c>
      <c r="L6368" s="85">
        <v>4</v>
      </c>
      <c r="N6368" s="1" t="s">
        <v>44</v>
      </c>
    </row>
    <row r="6369" spans="1:14">
      <c r="A6369" s="36" t="s">
        <v>19</v>
      </c>
      <c r="B6369" s="37">
        <v>45839</v>
      </c>
      <c r="C6369" s="36" t="s">
        <v>1569</v>
      </c>
      <c r="D6369" s="36" t="s">
        <v>1431</v>
      </c>
      <c r="E6369" s="36" t="s">
        <v>2605</v>
      </c>
      <c r="J6369" s="87">
        <v>1935780</v>
      </c>
      <c r="K6369" s="85">
        <v>2025</v>
      </c>
      <c r="L6369" s="85">
        <v>5</v>
      </c>
      <c r="N6369" s="1" t="s">
        <v>44</v>
      </c>
    </row>
    <row r="6370" spans="1:14">
      <c r="A6370" s="36" t="s">
        <v>19</v>
      </c>
      <c r="B6370" s="37">
        <v>45839</v>
      </c>
      <c r="C6370" s="36" t="s">
        <v>1391</v>
      </c>
      <c r="D6370" s="36" t="s">
        <v>197</v>
      </c>
      <c r="E6370" s="36" t="s">
        <v>2847</v>
      </c>
      <c r="J6370" s="87">
        <v>9900000</v>
      </c>
      <c r="K6370" s="85">
        <v>2025</v>
      </c>
      <c r="L6370" s="85">
        <v>5</v>
      </c>
      <c r="N6370" s="1" t="s">
        <v>44</v>
      </c>
    </row>
    <row r="6371" spans="1:14">
      <c r="A6371" s="36" t="s">
        <v>33</v>
      </c>
      <c r="B6371" s="37">
        <v>45833</v>
      </c>
      <c r="C6371" s="36" t="s">
        <v>2927</v>
      </c>
      <c r="D6371" s="36" t="s">
        <v>2928</v>
      </c>
      <c r="E6371" s="36" t="s">
        <v>445</v>
      </c>
      <c r="G6371" s="87">
        <v>250000</v>
      </c>
      <c r="H6371" s="87">
        <v>25000</v>
      </c>
      <c r="I6371" s="87">
        <v>275000</v>
      </c>
      <c r="K6371" s="85">
        <v>2025</v>
      </c>
      <c r="L6371" s="85">
        <v>6</v>
      </c>
      <c r="N6371" s="1" t="s">
        <v>44</v>
      </c>
    </row>
    <row r="6372" spans="1:14">
      <c r="A6372" s="36" t="s">
        <v>32</v>
      </c>
      <c r="B6372" s="37">
        <v>45840</v>
      </c>
      <c r="C6372" s="36" t="s">
        <v>1218</v>
      </c>
      <c r="D6372" s="36" t="s">
        <v>2879</v>
      </c>
      <c r="E6372" s="36" t="s">
        <v>2929</v>
      </c>
      <c r="J6372" s="87">
        <v>2970000</v>
      </c>
      <c r="K6372" s="85">
        <v>2025</v>
      </c>
      <c r="L6372" s="85">
        <v>5</v>
      </c>
      <c r="N6372" s="1" t="s">
        <v>44</v>
      </c>
    </row>
    <row r="6373" spans="1:14">
      <c r="A6373" s="36" t="s">
        <v>32</v>
      </c>
      <c r="B6373" s="37">
        <v>45839</v>
      </c>
      <c r="C6373" s="36" t="s">
        <v>1198</v>
      </c>
      <c r="D6373" s="36" t="s">
        <v>2889</v>
      </c>
      <c r="E6373" s="36" t="s">
        <v>2930</v>
      </c>
      <c r="J6373" s="87">
        <v>1455300</v>
      </c>
      <c r="K6373" s="85">
        <v>2025</v>
      </c>
      <c r="L6373" s="85">
        <v>5</v>
      </c>
      <c r="N6373" s="1" t="s">
        <v>44</v>
      </c>
    </row>
    <row r="6374" spans="1:14">
      <c r="A6374" s="36" t="s">
        <v>33</v>
      </c>
      <c r="B6374" s="37">
        <v>45838</v>
      </c>
      <c r="C6374" s="36" t="s">
        <v>2818</v>
      </c>
      <c r="D6374" s="36" t="s">
        <v>2271</v>
      </c>
      <c r="E6374" s="36" t="s">
        <v>2458</v>
      </c>
      <c r="G6374" s="87">
        <v>119000</v>
      </c>
      <c r="H6374" s="87">
        <v>11900</v>
      </c>
      <c r="I6374" s="87">
        <v>130900</v>
      </c>
      <c r="K6374" s="85">
        <v>2025</v>
      </c>
      <c r="L6374" s="85">
        <v>6</v>
      </c>
      <c r="N6374" s="208" t="s">
        <v>44</v>
      </c>
    </row>
    <row r="6375" spans="1:14">
      <c r="A6375" s="36" t="s">
        <v>33</v>
      </c>
      <c r="B6375" s="37">
        <v>45838</v>
      </c>
      <c r="C6375" s="36" t="s">
        <v>2934</v>
      </c>
      <c r="D6375" s="36" t="s">
        <v>2933</v>
      </c>
      <c r="E6375" s="36" t="s">
        <v>447</v>
      </c>
      <c r="G6375" s="87">
        <v>1680000</v>
      </c>
      <c r="H6375" s="87">
        <v>168000</v>
      </c>
      <c r="I6375" s="87">
        <v>1848000</v>
      </c>
      <c r="K6375" s="85">
        <v>2025</v>
      </c>
      <c r="L6375" s="85">
        <v>6</v>
      </c>
      <c r="N6375" s="208" t="s">
        <v>44</v>
      </c>
    </row>
    <row r="6376" spans="1:14">
      <c r="A6376" s="36" t="s">
        <v>33</v>
      </c>
      <c r="B6376" s="37">
        <v>45838</v>
      </c>
      <c r="C6376" s="36" t="s">
        <v>2932</v>
      </c>
      <c r="D6376" s="36" t="s">
        <v>2931</v>
      </c>
      <c r="E6376" s="36" t="s">
        <v>2115</v>
      </c>
      <c r="G6376" s="87">
        <v>5260910</v>
      </c>
      <c r="H6376" s="87">
        <v>526090</v>
      </c>
      <c r="I6376" s="87">
        <v>5787000</v>
      </c>
      <c r="K6376" s="85">
        <v>2025</v>
      </c>
      <c r="L6376" s="85">
        <v>6</v>
      </c>
      <c r="N6376" s="208" t="s">
        <v>44</v>
      </c>
    </row>
    <row r="6377" spans="1:14">
      <c r="A6377" s="36" t="s">
        <v>33</v>
      </c>
      <c r="B6377" s="37">
        <v>45841</v>
      </c>
      <c r="C6377" s="36" t="s">
        <v>838</v>
      </c>
      <c r="D6377" s="36" t="s">
        <v>2854</v>
      </c>
      <c r="E6377" s="36" t="s">
        <v>2935</v>
      </c>
      <c r="J6377" s="87">
        <v>3300000</v>
      </c>
      <c r="K6377" s="85">
        <v>2025</v>
      </c>
      <c r="L6377" s="85">
        <v>5</v>
      </c>
      <c r="N6377" s="1" t="s">
        <v>44</v>
      </c>
    </row>
    <row r="6378" spans="1:14">
      <c r="A6378" s="36" t="s">
        <v>33</v>
      </c>
      <c r="B6378" s="37">
        <v>45841</v>
      </c>
      <c r="C6378" s="36" t="s">
        <v>2938</v>
      </c>
      <c r="D6378" s="36" t="s">
        <v>2854</v>
      </c>
      <c r="E6378" s="36" t="s">
        <v>148</v>
      </c>
      <c r="J6378" s="87">
        <v>1584000</v>
      </c>
      <c r="K6378" s="85">
        <v>2025</v>
      </c>
      <c r="L6378" s="85">
        <v>5</v>
      </c>
      <c r="N6378" s="1" t="s">
        <v>44</v>
      </c>
    </row>
    <row r="6379" spans="1:14">
      <c r="A6379" s="36" t="s">
        <v>33</v>
      </c>
      <c r="B6379" s="37">
        <v>45833</v>
      </c>
      <c r="C6379" s="36" t="s">
        <v>1569</v>
      </c>
      <c r="D6379" s="36" t="s">
        <v>2936</v>
      </c>
      <c r="E6379" s="36" t="s">
        <v>1570</v>
      </c>
      <c r="G6379" s="87">
        <v>1480800</v>
      </c>
      <c r="H6379" s="87">
        <v>148080</v>
      </c>
      <c r="I6379" s="87">
        <v>1628880</v>
      </c>
      <c r="K6379" s="85">
        <v>2025</v>
      </c>
      <c r="L6379" s="85">
        <v>6</v>
      </c>
      <c r="N6379" s="1" t="s">
        <v>44</v>
      </c>
    </row>
    <row r="6380" spans="1:14">
      <c r="A6380" s="36" t="s">
        <v>33</v>
      </c>
      <c r="B6380" s="37">
        <v>45833</v>
      </c>
      <c r="C6380" s="36" t="s">
        <v>1569</v>
      </c>
      <c r="D6380" s="36" t="s">
        <v>1431</v>
      </c>
      <c r="E6380" s="36" t="s">
        <v>1653</v>
      </c>
      <c r="G6380" s="87">
        <v>2099200</v>
      </c>
      <c r="H6380" s="87">
        <v>209920</v>
      </c>
      <c r="I6380" s="87">
        <v>2309120</v>
      </c>
      <c r="K6380" s="85">
        <v>2025</v>
      </c>
      <c r="L6380" s="85">
        <v>6</v>
      </c>
      <c r="N6380" s="1" t="s">
        <v>44</v>
      </c>
    </row>
    <row r="6381" spans="1:14">
      <c r="A6381" s="36" t="s">
        <v>33</v>
      </c>
      <c r="B6381" s="37">
        <v>45838</v>
      </c>
      <c r="C6381" s="36" t="s">
        <v>2540</v>
      </c>
      <c r="D6381" s="36" t="s">
        <v>2541</v>
      </c>
      <c r="E6381" s="36" t="s">
        <v>469</v>
      </c>
      <c r="G6381" s="87">
        <v>1312500</v>
      </c>
      <c r="H6381" s="87">
        <v>131250</v>
      </c>
      <c r="I6381" s="87">
        <v>1443750</v>
      </c>
      <c r="K6381" s="85">
        <v>2025</v>
      </c>
      <c r="L6381" s="85">
        <v>6</v>
      </c>
      <c r="N6381" s="1" t="s">
        <v>44</v>
      </c>
    </row>
    <row r="6382" spans="1:14">
      <c r="A6382" s="36" t="s">
        <v>33</v>
      </c>
      <c r="B6382" s="37">
        <v>45838</v>
      </c>
      <c r="C6382" s="36" t="s">
        <v>2587</v>
      </c>
      <c r="D6382" s="36" t="s">
        <v>2588</v>
      </c>
      <c r="E6382" s="36" t="s">
        <v>2115</v>
      </c>
      <c r="G6382" s="87">
        <v>2312000</v>
      </c>
      <c r="H6382" s="87">
        <v>231200</v>
      </c>
      <c r="I6382" s="87">
        <v>2543200</v>
      </c>
      <c r="K6382" s="85">
        <v>2025</v>
      </c>
      <c r="L6382" s="85">
        <v>6</v>
      </c>
      <c r="N6382" s="1" t="s">
        <v>44</v>
      </c>
    </row>
    <row r="6383" spans="1:14">
      <c r="A6383" s="36" t="s">
        <v>32</v>
      </c>
      <c r="B6383" s="37">
        <v>45845</v>
      </c>
      <c r="C6383" s="36" t="s">
        <v>2870</v>
      </c>
      <c r="D6383" s="36" t="s">
        <v>2882</v>
      </c>
      <c r="E6383" s="36" t="s">
        <v>148</v>
      </c>
      <c r="J6383" s="87">
        <v>6050000</v>
      </c>
      <c r="K6383" s="85">
        <v>2025</v>
      </c>
      <c r="L6383" s="85">
        <v>5</v>
      </c>
      <c r="N6383" s="1" t="s">
        <v>44</v>
      </c>
    </row>
    <row r="6384" spans="1:14">
      <c r="A6384" s="36" t="s">
        <v>32</v>
      </c>
      <c r="B6384" s="37">
        <v>45845</v>
      </c>
      <c r="C6384" s="36" t="s">
        <v>2674</v>
      </c>
      <c r="D6384" s="36" t="s">
        <v>2687</v>
      </c>
      <c r="E6384" s="36" t="s">
        <v>148</v>
      </c>
      <c r="J6384" s="87">
        <v>21106250</v>
      </c>
      <c r="K6384" s="85">
        <v>2025</v>
      </c>
      <c r="L6384" s="85">
        <v>5</v>
      </c>
      <c r="N6384" s="1" t="s">
        <v>44</v>
      </c>
    </row>
    <row r="6385" spans="1:14">
      <c r="A6385" s="36" t="s">
        <v>33</v>
      </c>
      <c r="B6385" s="37">
        <v>45838</v>
      </c>
      <c r="C6385" s="36" t="s">
        <v>2938</v>
      </c>
      <c r="D6385" s="36" t="s">
        <v>2854</v>
      </c>
      <c r="E6385" s="36" t="s">
        <v>2939</v>
      </c>
      <c r="G6385" s="87">
        <v>80000</v>
      </c>
      <c r="H6385" s="87">
        <v>8000</v>
      </c>
      <c r="I6385" s="87">
        <v>88000</v>
      </c>
      <c r="K6385" s="85">
        <v>2025</v>
      </c>
      <c r="L6385" s="85">
        <v>6</v>
      </c>
      <c r="N6385" s="1" t="s">
        <v>44</v>
      </c>
    </row>
    <row r="6386" spans="1:14">
      <c r="A6386" s="36" t="s">
        <v>32</v>
      </c>
      <c r="B6386" s="37">
        <v>45847</v>
      </c>
      <c r="C6386" s="36" t="s">
        <v>2774</v>
      </c>
      <c r="D6386" s="36" t="s">
        <v>2784</v>
      </c>
      <c r="E6386" s="36" t="s">
        <v>148</v>
      </c>
      <c r="J6386" s="87">
        <v>13865500</v>
      </c>
      <c r="K6386" s="85">
        <v>2025</v>
      </c>
      <c r="L6386" s="85">
        <v>5</v>
      </c>
      <c r="N6386" s="1" t="s">
        <v>44</v>
      </c>
    </row>
    <row r="6387" spans="1:14">
      <c r="A6387" s="36" t="s">
        <v>33</v>
      </c>
      <c r="B6387" s="37">
        <v>45838</v>
      </c>
      <c r="C6387" s="36" t="s">
        <v>2188</v>
      </c>
      <c r="D6387" s="36" t="s">
        <v>3111</v>
      </c>
      <c r="E6387" s="36" t="s">
        <v>267</v>
      </c>
      <c r="G6387" s="87">
        <v>1157000</v>
      </c>
      <c r="H6387" s="87">
        <v>115700</v>
      </c>
      <c r="I6387" s="87">
        <v>1272700</v>
      </c>
      <c r="K6387" s="85">
        <v>2025</v>
      </c>
      <c r="L6387" s="85">
        <v>6</v>
      </c>
      <c r="N6387" s="1" t="s">
        <v>44</v>
      </c>
    </row>
    <row r="6388" spans="1:14">
      <c r="A6388" s="36" t="s">
        <v>33</v>
      </c>
      <c r="B6388" s="37">
        <v>45838</v>
      </c>
      <c r="C6388" s="36" t="s">
        <v>2896</v>
      </c>
      <c r="D6388" s="36" t="s">
        <v>2763</v>
      </c>
      <c r="E6388" s="36" t="s">
        <v>2115</v>
      </c>
      <c r="G6388" s="87">
        <v>532000</v>
      </c>
      <c r="H6388" s="87">
        <v>53200</v>
      </c>
      <c r="I6388" s="87">
        <v>585200</v>
      </c>
      <c r="K6388" s="85">
        <v>2025</v>
      </c>
      <c r="L6388" s="85">
        <v>6</v>
      </c>
      <c r="N6388" s="1" t="s">
        <v>44</v>
      </c>
    </row>
    <row r="6389" spans="1:14">
      <c r="A6389" s="36" t="s">
        <v>33</v>
      </c>
      <c r="B6389" s="37">
        <v>45838</v>
      </c>
      <c r="C6389" s="36" t="s">
        <v>2858</v>
      </c>
      <c r="D6389" s="36" t="s">
        <v>97</v>
      </c>
      <c r="E6389" s="36" t="s">
        <v>97</v>
      </c>
      <c r="G6389" s="87">
        <v>2770000</v>
      </c>
      <c r="H6389" s="87">
        <v>277000</v>
      </c>
      <c r="I6389" s="87">
        <v>3047000</v>
      </c>
      <c r="K6389" s="85">
        <v>2025</v>
      </c>
      <c r="L6389" s="85">
        <v>6</v>
      </c>
      <c r="N6389" s="1" t="s">
        <v>44</v>
      </c>
    </row>
    <row r="6390" spans="1:14">
      <c r="A6390" s="36" t="s">
        <v>33</v>
      </c>
      <c r="B6390" s="37">
        <v>45838</v>
      </c>
      <c r="C6390" s="36" t="s">
        <v>2940</v>
      </c>
      <c r="D6390" s="36" t="s">
        <v>2941</v>
      </c>
      <c r="E6390" s="36" t="s">
        <v>102</v>
      </c>
      <c r="G6390" s="87">
        <v>4500000</v>
      </c>
      <c r="H6390" s="87">
        <v>450000</v>
      </c>
      <c r="I6390" s="87">
        <v>4950000</v>
      </c>
      <c r="K6390" s="85">
        <v>2025</v>
      </c>
      <c r="L6390" s="85">
        <v>6</v>
      </c>
      <c r="N6390" s="1" t="s">
        <v>44</v>
      </c>
    </row>
    <row r="6391" spans="1:14">
      <c r="A6391" s="36" t="s">
        <v>33</v>
      </c>
      <c r="B6391" s="37">
        <v>45838</v>
      </c>
      <c r="C6391" s="36" t="s">
        <v>81</v>
      </c>
      <c r="D6391" s="36" t="s">
        <v>2271</v>
      </c>
      <c r="E6391" s="36" t="s">
        <v>1232</v>
      </c>
      <c r="G6391" s="87">
        <v>2050000</v>
      </c>
      <c r="H6391" s="87">
        <v>205000</v>
      </c>
      <c r="I6391" s="87">
        <v>2255000</v>
      </c>
      <c r="K6391" s="85">
        <v>2025</v>
      </c>
      <c r="L6391" s="85">
        <v>6</v>
      </c>
      <c r="N6391" s="1" t="s">
        <v>44</v>
      </c>
    </row>
    <row r="6392" spans="1:14">
      <c r="A6392" s="36" t="s">
        <v>33</v>
      </c>
      <c r="B6392" s="37">
        <v>45838</v>
      </c>
      <c r="C6392" s="36" t="s">
        <v>81</v>
      </c>
      <c r="D6392" s="36" t="s">
        <v>316</v>
      </c>
      <c r="E6392" s="36" t="s">
        <v>1232</v>
      </c>
      <c r="G6392" s="87">
        <v>1500000</v>
      </c>
      <c r="H6392" s="87">
        <v>150000</v>
      </c>
      <c r="I6392" s="87">
        <v>1650000</v>
      </c>
      <c r="K6392" s="85">
        <v>2025</v>
      </c>
      <c r="L6392" s="85">
        <v>6</v>
      </c>
      <c r="N6392" s="1" t="s">
        <v>44</v>
      </c>
    </row>
    <row r="6393" spans="1:14">
      <c r="A6393" s="36" t="s">
        <v>33</v>
      </c>
      <c r="B6393" s="37">
        <v>45838</v>
      </c>
      <c r="C6393" s="36" t="s">
        <v>81</v>
      </c>
      <c r="D6393" s="36" t="s">
        <v>2762</v>
      </c>
      <c r="E6393" s="36" t="s">
        <v>1232</v>
      </c>
      <c r="G6393" s="87">
        <v>632000</v>
      </c>
      <c r="H6393" s="87">
        <v>63200</v>
      </c>
      <c r="I6393" s="87">
        <v>695200</v>
      </c>
      <c r="K6393" s="85">
        <v>2025</v>
      </c>
      <c r="L6393" s="85">
        <v>6</v>
      </c>
      <c r="N6393" s="1" t="s">
        <v>44</v>
      </c>
    </row>
    <row r="6394" spans="1:14">
      <c r="A6394" s="36" t="s">
        <v>33</v>
      </c>
      <c r="B6394" s="37">
        <v>45838</v>
      </c>
      <c r="C6394" s="36" t="s">
        <v>2116</v>
      </c>
      <c r="D6394" s="36" t="s">
        <v>2117</v>
      </c>
      <c r="E6394" s="36" t="s">
        <v>2942</v>
      </c>
      <c r="G6394" s="87">
        <v>889000</v>
      </c>
      <c r="H6394" s="87">
        <v>88900</v>
      </c>
      <c r="I6394" s="87">
        <v>977900</v>
      </c>
      <c r="K6394" s="85">
        <v>2025</v>
      </c>
      <c r="L6394" s="85">
        <v>6</v>
      </c>
      <c r="N6394" s="1" t="s">
        <v>44</v>
      </c>
    </row>
    <row r="6395" spans="1:14">
      <c r="A6395" s="36" t="s">
        <v>33</v>
      </c>
      <c r="B6395" s="37">
        <v>45818</v>
      </c>
      <c r="C6395" s="36" t="s">
        <v>2016</v>
      </c>
      <c r="D6395" s="36" t="s">
        <v>2621</v>
      </c>
      <c r="E6395" s="36" t="s">
        <v>2621</v>
      </c>
      <c r="G6395" s="87">
        <v>86982000</v>
      </c>
      <c r="H6395" s="87">
        <v>8698200</v>
      </c>
      <c r="I6395" s="87">
        <v>95680200</v>
      </c>
      <c r="K6395" s="85">
        <v>2025</v>
      </c>
      <c r="L6395" s="85">
        <v>6</v>
      </c>
      <c r="N6395" s="1" t="s">
        <v>44</v>
      </c>
    </row>
    <row r="6396" spans="1:14">
      <c r="A6396" s="36" t="s">
        <v>33</v>
      </c>
      <c r="B6396" s="37">
        <v>45828</v>
      </c>
      <c r="C6396" s="36" t="s">
        <v>2016</v>
      </c>
      <c r="D6396" s="36" t="s">
        <v>2467</v>
      </c>
      <c r="E6396" s="36" t="s">
        <v>2467</v>
      </c>
      <c r="G6396" s="87">
        <v>103561000</v>
      </c>
      <c r="H6396" s="87">
        <v>10356100</v>
      </c>
      <c r="I6396" s="87">
        <v>113917100</v>
      </c>
      <c r="K6396" s="85">
        <v>2025</v>
      </c>
      <c r="L6396" s="85">
        <v>6</v>
      </c>
      <c r="N6396" s="1" t="s">
        <v>44</v>
      </c>
    </row>
    <row r="6397" spans="1:14">
      <c r="A6397" s="36" t="s">
        <v>33</v>
      </c>
      <c r="B6397" s="37">
        <v>45838</v>
      </c>
      <c r="C6397" s="36" t="s">
        <v>2016</v>
      </c>
      <c r="D6397" s="36" t="s">
        <v>2468</v>
      </c>
      <c r="E6397" s="36" t="s">
        <v>2468</v>
      </c>
      <c r="G6397" s="87">
        <v>109400000</v>
      </c>
      <c r="H6397" s="87">
        <v>10940000</v>
      </c>
      <c r="I6397" s="87">
        <v>120340000</v>
      </c>
      <c r="K6397" s="85">
        <v>2025</v>
      </c>
      <c r="L6397" s="85">
        <v>6</v>
      </c>
      <c r="N6397" s="1" t="s">
        <v>44</v>
      </c>
    </row>
    <row r="6398" spans="1:14">
      <c r="A6398" s="36" t="s">
        <v>32</v>
      </c>
      <c r="B6398" s="37">
        <v>45828</v>
      </c>
      <c r="C6398" s="36" t="s">
        <v>2166</v>
      </c>
      <c r="D6398" s="36" t="s">
        <v>2836</v>
      </c>
      <c r="E6398" s="36" t="s">
        <v>148</v>
      </c>
      <c r="J6398" s="87">
        <v>13331648</v>
      </c>
      <c r="K6398" s="85">
        <v>2025</v>
      </c>
      <c r="L6398" s="85">
        <v>4</v>
      </c>
      <c r="N6398" s="1" t="s">
        <v>44</v>
      </c>
    </row>
    <row r="6399" spans="1:14">
      <c r="A6399" s="36" t="s">
        <v>33</v>
      </c>
      <c r="B6399" s="37">
        <v>44855</v>
      </c>
      <c r="C6399" s="36" t="s">
        <v>966</v>
      </c>
      <c r="D6399" s="36" t="s">
        <v>1003</v>
      </c>
      <c r="E6399" s="36" t="s">
        <v>148</v>
      </c>
      <c r="J6399" s="87">
        <v>5808000</v>
      </c>
      <c r="K6399" s="85">
        <v>2022</v>
      </c>
      <c r="L6399" s="85">
        <v>8</v>
      </c>
      <c r="N6399" s="1" t="s">
        <v>44</v>
      </c>
    </row>
    <row r="6400" spans="1:14">
      <c r="A6400" s="18" t="s">
        <v>32</v>
      </c>
      <c r="B6400" s="122">
        <v>45829</v>
      </c>
      <c r="C6400" s="18" t="s">
        <v>1396</v>
      </c>
      <c r="D6400" s="18" t="s">
        <v>2677</v>
      </c>
      <c r="E6400" s="18" t="s">
        <v>2903</v>
      </c>
      <c r="F6400" s="123"/>
      <c r="G6400" s="124"/>
      <c r="H6400" s="124"/>
      <c r="I6400" s="124"/>
      <c r="J6400" s="125">
        <v>5808000</v>
      </c>
      <c r="K6400" s="127">
        <v>2025</v>
      </c>
      <c r="L6400" s="127">
        <v>5</v>
      </c>
      <c r="M6400" s="18" t="s">
        <v>2959</v>
      </c>
      <c r="N6400" s="231" t="s">
        <v>44</v>
      </c>
    </row>
    <row r="6401" spans="1:14">
      <c r="A6401" s="36" t="s">
        <v>32</v>
      </c>
      <c r="B6401" s="37">
        <v>45810</v>
      </c>
      <c r="C6401" s="36" t="s">
        <v>2943</v>
      </c>
      <c r="D6401" s="36" t="s">
        <v>2946</v>
      </c>
      <c r="E6401" s="36" t="s">
        <v>76</v>
      </c>
      <c r="G6401" s="87">
        <v>4300000</v>
      </c>
      <c r="H6401" s="87">
        <v>430000</v>
      </c>
      <c r="I6401" s="87">
        <v>4730000</v>
      </c>
      <c r="K6401" s="85">
        <v>2025</v>
      </c>
      <c r="L6401" s="85">
        <v>6</v>
      </c>
      <c r="N6401" s="1" t="s">
        <v>44</v>
      </c>
    </row>
    <row r="6402" spans="1:14">
      <c r="A6402" s="36" t="s">
        <v>32</v>
      </c>
      <c r="B6402" s="37">
        <v>45820</v>
      </c>
      <c r="C6402" s="36" t="s">
        <v>2005</v>
      </c>
      <c r="D6402" s="36" t="s">
        <v>2947</v>
      </c>
      <c r="E6402" s="36" t="s">
        <v>267</v>
      </c>
      <c r="G6402" s="87">
        <v>13000000</v>
      </c>
      <c r="H6402" s="87">
        <v>1300000</v>
      </c>
      <c r="I6402" s="87">
        <v>14300000</v>
      </c>
      <c r="K6402" s="85">
        <v>2025</v>
      </c>
      <c r="L6402" s="85">
        <v>6</v>
      </c>
      <c r="N6402" s="1" t="s">
        <v>44</v>
      </c>
    </row>
    <row r="6403" spans="1:14">
      <c r="A6403" s="36" t="s">
        <v>32</v>
      </c>
      <c r="B6403" s="37">
        <v>45809</v>
      </c>
      <c r="C6403" s="36" t="s">
        <v>1218</v>
      </c>
      <c r="D6403" s="36" t="s">
        <v>1492</v>
      </c>
      <c r="E6403" s="36" t="s">
        <v>1492</v>
      </c>
      <c r="G6403" s="87">
        <v>30000000</v>
      </c>
      <c r="H6403" s="87">
        <v>3000000</v>
      </c>
      <c r="I6403" s="87">
        <v>33000000</v>
      </c>
      <c r="K6403" s="85">
        <v>2025</v>
      </c>
      <c r="L6403" s="85">
        <v>6</v>
      </c>
      <c r="N6403" s="1" t="s">
        <v>44</v>
      </c>
    </row>
    <row r="6404" spans="1:14">
      <c r="A6404" s="36" t="s">
        <v>32</v>
      </c>
      <c r="B6404" s="37">
        <v>45818</v>
      </c>
      <c r="C6404" s="36" t="s">
        <v>1218</v>
      </c>
      <c r="D6404" s="36" t="s">
        <v>1492</v>
      </c>
      <c r="E6404" s="36" t="s">
        <v>1492</v>
      </c>
      <c r="G6404" s="87">
        <v>20000000</v>
      </c>
      <c r="H6404" s="87">
        <v>2000000</v>
      </c>
      <c r="I6404" s="87">
        <v>22000000</v>
      </c>
      <c r="K6404" s="85">
        <v>2025</v>
      </c>
      <c r="L6404" s="85">
        <v>6</v>
      </c>
      <c r="N6404" s="1" t="s">
        <v>44</v>
      </c>
    </row>
    <row r="6405" spans="1:14">
      <c r="A6405" s="36" t="s">
        <v>32</v>
      </c>
      <c r="B6405" s="37">
        <v>45828</v>
      </c>
      <c r="C6405" s="36" t="s">
        <v>1395</v>
      </c>
      <c r="D6405" s="36" t="s">
        <v>2948</v>
      </c>
      <c r="E6405" s="36" t="s">
        <v>76</v>
      </c>
      <c r="G6405" s="87">
        <v>5090909</v>
      </c>
      <c r="H6405" s="87">
        <v>509090.9</v>
      </c>
      <c r="I6405" s="87">
        <v>5599999.9000000004</v>
      </c>
      <c r="K6405" s="85">
        <v>2025</v>
      </c>
      <c r="L6405" s="85">
        <v>6</v>
      </c>
      <c r="N6405" s="1" t="s">
        <v>44</v>
      </c>
    </row>
    <row r="6406" spans="1:14">
      <c r="A6406" s="36" t="s">
        <v>32</v>
      </c>
      <c r="B6406" s="37">
        <v>45835</v>
      </c>
      <c r="C6406" s="36" t="s">
        <v>209</v>
      </c>
      <c r="D6406" s="36" t="s">
        <v>2551</v>
      </c>
      <c r="E6406" s="36" t="s">
        <v>76</v>
      </c>
      <c r="G6406" s="87">
        <v>15445200</v>
      </c>
      <c r="H6406" s="87">
        <v>1544520</v>
      </c>
      <c r="I6406" s="87">
        <v>16989720</v>
      </c>
      <c r="K6406" s="85">
        <v>2025</v>
      </c>
      <c r="L6406" s="85">
        <v>6</v>
      </c>
      <c r="N6406" s="1" t="s">
        <v>44</v>
      </c>
    </row>
    <row r="6407" spans="1:14">
      <c r="A6407" s="36" t="s">
        <v>32</v>
      </c>
      <c r="B6407" s="37">
        <v>45835</v>
      </c>
      <c r="C6407" s="36" t="s">
        <v>209</v>
      </c>
      <c r="D6407" s="36" t="s">
        <v>2494</v>
      </c>
      <c r="E6407" s="36" t="s">
        <v>1492</v>
      </c>
      <c r="G6407" s="87">
        <v>2099200</v>
      </c>
      <c r="H6407" s="87">
        <v>209920</v>
      </c>
      <c r="I6407" s="87">
        <v>2309120</v>
      </c>
      <c r="K6407" s="85">
        <v>2025</v>
      </c>
      <c r="L6407" s="85">
        <v>6</v>
      </c>
      <c r="N6407" s="1" t="s">
        <v>44</v>
      </c>
    </row>
    <row r="6408" spans="1:14">
      <c r="A6408" s="36" t="s">
        <v>32</v>
      </c>
      <c r="B6408" s="37">
        <v>45809</v>
      </c>
      <c r="C6408" s="36" t="s">
        <v>2166</v>
      </c>
      <c r="D6408" s="36" t="s">
        <v>2949</v>
      </c>
      <c r="E6408" s="36" t="s">
        <v>76</v>
      </c>
      <c r="G6408" s="87">
        <v>44331460</v>
      </c>
      <c r="H6408" s="87">
        <v>4433146</v>
      </c>
      <c r="I6408" s="87">
        <v>48764606</v>
      </c>
      <c r="K6408" s="85">
        <v>2025</v>
      </c>
      <c r="L6408" s="85">
        <v>6</v>
      </c>
      <c r="N6408" s="1" t="s">
        <v>44</v>
      </c>
    </row>
    <row r="6409" spans="1:14">
      <c r="A6409" s="36" t="s">
        <v>32</v>
      </c>
      <c r="B6409" s="37">
        <v>45817</v>
      </c>
      <c r="C6409" s="36" t="s">
        <v>2193</v>
      </c>
      <c r="D6409" s="36" t="s">
        <v>2950</v>
      </c>
      <c r="E6409" s="36" t="s">
        <v>76</v>
      </c>
      <c r="G6409" s="87">
        <v>9090909</v>
      </c>
      <c r="H6409" s="87">
        <v>909090.9</v>
      </c>
      <c r="I6409" s="87">
        <v>9999999.9000000004</v>
      </c>
      <c r="K6409" s="85">
        <v>2025</v>
      </c>
      <c r="L6409" s="85">
        <v>6</v>
      </c>
      <c r="N6409" s="1" t="s">
        <v>44</v>
      </c>
    </row>
    <row r="6410" spans="1:14">
      <c r="A6410" s="36" t="s">
        <v>32</v>
      </c>
      <c r="B6410" s="37">
        <v>45838</v>
      </c>
      <c r="C6410" s="36" t="s">
        <v>2871</v>
      </c>
      <c r="D6410" s="36" t="s">
        <v>2636</v>
      </c>
      <c r="E6410" s="36" t="s">
        <v>76</v>
      </c>
      <c r="G6410" s="87">
        <v>1115000</v>
      </c>
      <c r="H6410" s="87">
        <v>111500</v>
      </c>
      <c r="I6410" s="87">
        <v>1226500</v>
      </c>
      <c r="K6410" s="85">
        <v>2025</v>
      </c>
      <c r="L6410" s="85">
        <v>6</v>
      </c>
      <c r="N6410" s="1" t="s">
        <v>44</v>
      </c>
    </row>
    <row r="6411" spans="1:14">
      <c r="A6411" s="36" t="s">
        <v>32</v>
      </c>
      <c r="B6411" s="37">
        <v>45838</v>
      </c>
      <c r="C6411" s="36" t="s">
        <v>2944</v>
      </c>
      <c r="D6411" s="36" t="s">
        <v>2951</v>
      </c>
      <c r="E6411" s="36" t="s">
        <v>76</v>
      </c>
      <c r="G6411" s="87">
        <v>2520000</v>
      </c>
      <c r="H6411" s="87">
        <v>252000</v>
      </c>
      <c r="I6411" s="87">
        <v>2772000</v>
      </c>
      <c r="K6411" s="85">
        <v>2025</v>
      </c>
      <c r="L6411" s="85">
        <v>6</v>
      </c>
      <c r="N6411" s="1" t="s">
        <v>44</v>
      </c>
    </row>
    <row r="6412" spans="1:14">
      <c r="A6412" s="36" t="s">
        <v>32</v>
      </c>
      <c r="B6412" s="37">
        <v>45838</v>
      </c>
      <c r="C6412" s="36" t="s">
        <v>2941</v>
      </c>
      <c r="D6412" s="36" t="s">
        <v>2952</v>
      </c>
      <c r="E6412" s="36" t="s">
        <v>2957</v>
      </c>
      <c r="G6412" s="87">
        <v>7000000</v>
      </c>
      <c r="H6412" s="87">
        <v>700000</v>
      </c>
      <c r="I6412" s="87">
        <v>7700000</v>
      </c>
      <c r="K6412" s="85">
        <v>2025</v>
      </c>
      <c r="L6412" s="85">
        <v>6</v>
      </c>
      <c r="N6412" s="1" t="s">
        <v>44</v>
      </c>
    </row>
    <row r="6413" spans="1:14">
      <c r="A6413" s="36" t="s">
        <v>32</v>
      </c>
      <c r="B6413" s="37">
        <v>45838</v>
      </c>
      <c r="C6413" s="36" t="s">
        <v>1396</v>
      </c>
      <c r="D6413" s="36" t="s">
        <v>2953</v>
      </c>
      <c r="E6413" s="36" t="s">
        <v>78</v>
      </c>
      <c r="G6413" s="87">
        <v>10950000</v>
      </c>
      <c r="H6413" s="87">
        <v>1095000</v>
      </c>
      <c r="I6413" s="87">
        <v>12045000</v>
      </c>
      <c r="K6413" s="85">
        <v>2025</v>
      </c>
      <c r="L6413" s="85">
        <v>6</v>
      </c>
      <c r="N6413" s="1" t="s">
        <v>44</v>
      </c>
    </row>
    <row r="6414" spans="1:14">
      <c r="A6414" s="36" t="s">
        <v>32</v>
      </c>
      <c r="B6414" s="37">
        <v>45838</v>
      </c>
      <c r="C6414" s="36" t="s">
        <v>1396</v>
      </c>
      <c r="D6414" s="36" t="s">
        <v>2679</v>
      </c>
      <c r="E6414" s="36" t="s">
        <v>76</v>
      </c>
      <c r="G6414" s="87">
        <v>4410000</v>
      </c>
      <c r="H6414" s="87">
        <v>441000</v>
      </c>
      <c r="I6414" s="87">
        <v>4851000</v>
      </c>
      <c r="K6414" s="85">
        <v>2025</v>
      </c>
      <c r="L6414" s="85">
        <v>6</v>
      </c>
      <c r="N6414" s="1" t="s">
        <v>44</v>
      </c>
    </row>
    <row r="6415" spans="1:14">
      <c r="A6415" s="36" t="s">
        <v>32</v>
      </c>
      <c r="B6415" s="37">
        <v>45838</v>
      </c>
      <c r="C6415" s="36" t="s">
        <v>1396</v>
      </c>
      <c r="D6415" s="36" t="s">
        <v>2680</v>
      </c>
      <c r="E6415" s="36" t="s">
        <v>76</v>
      </c>
      <c r="G6415" s="87">
        <v>4780000</v>
      </c>
      <c r="H6415" s="87">
        <v>478000</v>
      </c>
      <c r="I6415" s="87">
        <v>5258000</v>
      </c>
      <c r="K6415" s="85">
        <v>2025</v>
      </c>
      <c r="L6415" s="85">
        <v>6</v>
      </c>
      <c r="N6415" s="1" t="s">
        <v>44</v>
      </c>
    </row>
    <row r="6416" spans="1:14">
      <c r="A6416" s="36" t="s">
        <v>32</v>
      </c>
      <c r="B6416" s="37">
        <v>45838</v>
      </c>
      <c r="C6416" s="36" t="s">
        <v>1396</v>
      </c>
      <c r="D6416" s="36" t="s">
        <v>2954</v>
      </c>
      <c r="E6416" s="36" t="s">
        <v>76</v>
      </c>
      <c r="G6416" s="87">
        <v>1730000</v>
      </c>
      <c r="H6416" s="87">
        <v>173000</v>
      </c>
      <c r="I6416" s="87">
        <v>1903000</v>
      </c>
      <c r="K6416" s="85">
        <v>2025</v>
      </c>
      <c r="L6416" s="85">
        <v>6</v>
      </c>
      <c r="N6416" s="1" t="s">
        <v>44</v>
      </c>
    </row>
    <row r="6417" spans="1:14">
      <c r="A6417" s="36" t="s">
        <v>32</v>
      </c>
      <c r="B6417" s="37">
        <v>45838</v>
      </c>
      <c r="C6417" s="36" t="s">
        <v>2868</v>
      </c>
      <c r="D6417" s="36" t="s">
        <v>2875</v>
      </c>
      <c r="E6417" s="36" t="s">
        <v>76</v>
      </c>
      <c r="G6417" s="87">
        <v>18000000</v>
      </c>
      <c r="H6417" s="87">
        <v>1800000</v>
      </c>
      <c r="I6417" s="87">
        <v>19800000</v>
      </c>
      <c r="K6417" s="85">
        <v>2025</v>
      </c>
      <c r="L6417" s="85">
        <v>6</v>
      </c>
      <c r="N6417" s="1" t="s">
        <v>44</v>
      </c>
    </row>
    <row r="6418" spans="1:14">
      <c r="A6418" s="36" t="s">
        <v>32</v>
      </c>
      <c r="B6418" s="37">
        <v>45838</v>
      </c>
      <c r="C6418" s="36" t="s">
        <v>2825</v>
      </c>
      <c r="D6418" s="36" t="s">
        <v>2833</v>
      </c>
      <c r="E6418" s="36" t="s">
        <v>76</v>
      </c>
      <c r="G6418" s="87">
        <v>8499000</v>
      </c>
      <c r="H6418" s="87">
        <v>849900</v>
      </c>
      <c r="I6418" s="87">
        <v>9348900</v>
      </c>
      <c r="K6418" s="85">
        <v>2025</v>
      </c>
      <c r="L6418" s="85">
        <v>6</v>
      </c>
      <c r="N6418" s="1" t="s">
        <v>44</v>
      </c>
    </row>
    <row r="6419" spans="1:14">
      <c r="A6419" s="36" t="s">
        <v>32</v>
      </c>
      <c r="B6419" s="37">
        <v>45838</v>
      </c>
      <c r="C6419" s="36" t="s">
        <v>2774</v>
      </c>
      <c r="D6419" s="36" t="s">
        <v>2784</v>
      </c>
      <c r="E6419" s="36" t="s">
        <v>76</v>
      </c>
      <c r="G6419" s="87">
        <v>12111800</v>
      </c>
      <c r="H6419" s="87">
        <v>1211180</v>
      </c>
      <c r="I6419" s="87">
        <v>13322980</v>
      </c>
      <c r="K6419" s="85">
        <v>2025</v>
      </c>
      <c r="L6419" s="85">
        <v>6</v>
      </c>
      <c r="N6419" s="1" t="s">
        <v>44</v>
      </c>
    </row>
    <row r="6420" spans="1:14">
      <c r="A6420" s="36" t="s">
        <v>32</v>
      </c>
      <c r="B6420" s="37">
        <v>45838</v>
      </c>
      <c r="C6420" s="36" t="s">
        <v>2774</v>
      </c>
      <c r="D6420" s="36" t="s">
        <v>2784</v>
      </c>
      <c r="E6420" s="36" t="s">
        <v>76</v>
      </c>
      <c r="G6420" s="87">
        <v>1454500</v>
      </c>
      <c r="H6420" s="87">
        <v>145450</v>
      </c>
      <c r="I6420" s="87">
        <v>1599950</v>
      </c>
      <c r="K6420" s="85">
        <v>2025</v>
      </c>
      <c r="L6420" s="85">
        <v>6</v>
      </c>
      <c r="N6420" s="1" t="s">
        <v>44</v>
      </c>
    </row>
    <row r="6421" spans="1:14">
      <c r="A6421" s="36" t="s">
        <v>32</v>
      </c>
      <c r="B6421" s="37">
        <v>45838</v>
      </c>
      <c r="C6421" s="36" t="s">
        <v>654</v>
      </c>
      <c r="D6421" s="36" t="s">
        <v>1854</v>
      </c>
      <c r="E6421" s="36" t="s">
        <v>76</v>
      </c>
      <c r="G6421" s="87">
        <v>4001060</v>
      </c>
      <c r="H6421" s="87">
        <v>400106</v>
      </c>
      <c r="I6421" s="87">
        <v>4401166</v>
      </c>
      <c r="K6421" s="85">
        <v>2025</v>
      </c>
      <c r="L6421" s="85">
        <v>6</v>
      </c>
      <c r="N6421" s="1" t="s">
        <v>44</v>
      </c>
    </row>
    <row r="6422" spans="1:14">
      <c r="A6422" s="36" t="s">
        <v>32</v>
      </c>
      <c r="B6422" s="37">
        <v>45838</v>
      </c>
      <c r="C6422" s="36" t="s">
        <v>654</v>
      </c>
      <c r="D6422" s="36" t="s">
        <v>2588</v>
      </c>
      <c r="E6422" s="36" t="s">
        <v>76</v>
      </c>
      <c r="G6422" s="87">
        <v>10587500</v>
      </c>
      <c r="H6422" s="87">
        <v>1058750</v>
      </c>
      <c r="I6422" s="87">
        <v>11646250</v>
      </c>
      <c r="K6422" s="85">
        <v>2025</v>
      </c>
      <c r="L6422" s="85">
        <v>6</v>
      </c>
      <c r="N6422" s="1" t="s">
        <v>44</v>
      </c>
    </row>
    <row r="6423" spans="1:14">
      <c r="A6423" s="36" t="s">
        <v>32</v>
      </c>
      <c r="B6423" s="37">
        <v>45838</v>
      </c>
      <c r="C6423" s="36" t="s">
        <v>654</v>
      </c>
      <c r="D6423" s="36" t="s">
        <v>2588</v>
      </c>
      <c r="E6423" s="36" t="s">
        <v>2648</v>
      </c>
      <c r="G6423" s="87">
        <v>12463000</v>
      </c>
      <c r="H6423" s="87">
        <v>1246300</v>
      </c>
      <c r="I6423" s="87">
        <v>13709300</v>
      </c>
      <c r="K6423" s="85">
        <v>2025</v>
      </c>
      <c r="L6423" s="85">
        <v>6</v>
      </c>
      <c r="N6423" s="1" t="s">
        <v>44</v>
      </c>
    </row>
    <row r="6424" spans="1:14">
      <c r="A6424" s="36" t="s">
        <v>32</v>
      </c>
      <c r="B6424" s="37">
        <v>45838</v>
      </c>
      <c r="C6424" s="36" t="s">
        <v>654</v>
      </c>
      <c r="D6424" s="36" t="s">
        <v>2541</v>
      </c>
      <c r="E6424" s="36" t="s">
        <v>76</v>
      </c>
      <c r="G6424" s="87">
        <v>25458000</v>
      </c>
      <c r="H6424" s="87">
        <v>2545800</v>
      </c>
      <c r="I6424" s="87">
        <v>28003800</v>
      </c>
      <c r="K6424" s="85">
        <v>2025</v>
      </c>
      <c r="L6424" s="85">
        <v>6</v>
      </c>
      <c r="N6424" s="1" t="s">
        <v>44</v>
      </c>
    </row>
    <row r="6425" spans="1:14">
      <c r="A6425" s="36" t="s">
        <v>32</v>
      </c>
      <c r="B6425" s="37">
        <v>45838</v>
      </c>
      <c r="C6425" s="36" t="s">
        <v>654</v>
      </c>
      <c r="D6425" s="36" t="s">
        <v>2635</v>
      </c>
      <c r="E6425" s="36" t="s">
        <v>2648</v>
      </c>
      <c r="G6425" s="87">
        <v>13785000</v>
      </c>
      <c r="H6425" s="87">
        <v>1378500</v>
      </c>
      <c r="I6425" s="87">
        <v>15163500</v>
      </c>
      <c r="K6425" s="85">
        <v>2025</v>
      </c>
      <c r="L6425" s="85">
        <v>6</v>
      </c>
      <c r="N6425" s="1" t="s">
        <v>44</v>
      </c>
    </row>
    <row r="6426" spans="1:14">
      <c r="A6426" s="36" t="s">
        <v>32</v>
      </c>
      <c r="B6426" s="37">
        <v>45838</v>
      </c>
      <c r="C6426" s="36" t="s">
        <v>2824</v>
      </c>
      <c r="D6426" s="36" t="s">
        <v>2832</v>
      </c>
      <c r="E6426" s="36" t="s">
        <v>76</v>
      </c>
      <c r="G6426" s="87">
        <v>33582000</v>
      </c>
      <c r="H6426" s="87">
        <v>3358200</v>
      </c>
      <c r="I6426" s="87">
        <v>36940200</v>
      </c>
      <c r="K6426" s="85">
        <v>2025</v>
      </c>
      <c r="L6426" s="85">
        <v>6</v>
      </c>
      <c r="N6426" s="1" t="s">
        <v>44</v>
      </c>
    </row>
    <row r="6427" spans="1:14">
      <c r="A6427" s="36" t="s">
        <v>32</v>
      </c>
      <c r="B6427" s="37">
        <v>45838</v>
      </c>
      <c r="C6427" s="36" t="s">
        <v>2477</v>
      </c>
      <c r="D6427" s="36" t="s">
        <v>2485</v>
      </c>
      <c r="E6427" s="36" t="s">
        <v>76</v>
      </c>
      <c r="G6427" s="87">
        <v>6297120</v>
      </c>
      <c r="H6427" s="87">
        <v>629712</v>
      </c>
      <c r="I6427" s="87">
        <v>6926832</v>
      </c>
      <c r="K6427" s="85">
        <v>2025</v>
      </c>
      <c r="L6427" s="85">
        <v>6</v>
      </c>
      <c r="N6427" s="1" t="s">
        <v>44</v>
      </c>
    </row>
    <row r="6428" spans="1:14">
      <c r="A6428" s="36" t="s">
        <v>32</v>
      </c>
      <c r="B6428" s="37">
        <v>45838</v>
      </c>
      <c r="C6428" s="36" t="s">
        <v>1198</v>
      </c>
      <c r="D6428" s="36" t="s">
        <v>2887</v>
      </c>
      <c r="E6428" s="36" t="s">
        <v>78</v>
      </c>
      <c r="G6428" s="87">
        <v>2529000</v>
      </c>
      <c r="H6428" s="87">
        <v>252900</v>
      </c>
      <c r="I6428" s="87">
        <v>2781900</v>
      </c>
      <c r="K6428" s="85">
        <v>2025</v>
      </c>
      <c r="L6428" s="85">
        <v>6</v>
      </c>
      <c r="N6428" s="1" t="s">
        <v>44</v>
      </c>
    </row>
    <row r="6429" spans="1:14">
      <c r="A6429" s="36" t="s">
        <v>32</v>
      </c>
      <c r="B6429" s="37">
        <v>45838</v>
      </c>
      <c r="C6429" s="36" t="s">
        <v>1198</v>
      </c>
      <c r="D6429" s="36" t="s">
        <v>2955</v>
      </c>
      <c r="E6429" s="36" t="s">
        <v>78</v>
      </c>
      <c r="G6429" s="87">
        <v>6862600</v>
      </c>
      <c r="H6429" s="87">
        <v>686260</v>
      </c>
      <c r="I6429" s="87">
        <v>7548860</v>
      </c>
      <c r="K6429" s="85">
        <v>2025</v>
      </c>
      <c r="L6429" s="85">
        <v>6</v>
      </c>
      <c r="N6429" s="1" t="s">
        <v>44</v>
      </c>
    </row>
    <row r="6430" spans="1:14">
      <c r="A6430" s="36" t="s">
        <v>32</v>
      </c>
      <c r="B6430" s="37">
        <v>45838</v>
      </c>
      <c r="C6430" s="36" t="s">
        <v>2945</v>
      </c>
      <c r="D6430" s="36" t="s">
        <v>2956</v>
      </c>
      <c r="E6430" s="36" t="s">
        <v>78</v>
      </c>
      <c r="G6430" s="87">
        <v>780000</v>
      </c>
      <c r="H6430" s="87">
        <v>78000</v>
      </c>
      <c r="I6430" s="87">
        <v>858000</v>
      </c>
      <c r="K6430" s="85">
        <v>2025</v>
      </c>
      <c r="L6430" s="85">
        <v>6</v>
      </c>
      <c r="N6430" s="1" t="s">
        <v>44</v>
      </c>
    </row>
    <row r="6431" spans="1:14">
      <c r="A6431" s="36" t="s">
        <v>32</v>
      </c>
      <c r="B6431" s="37">
        <v>45838</v>
      </c>
      <c r="C6431" s="36" t="s">
        <v>2166</v>
      </c>
      <c r="D6431" s="36" t="s">
        <v>2836</v>
      </c>
      <c r="E6431" s="36" t="s">
        <v>76</v>
      </c>
      <c r="G6431" s="87">
        <v>32648180</v>
      </c>
      <c r="H6431" s="87">
        <v>3264818</v>
      </c>
      <c r="I6431" s="87">
        <v>35912998</v>
      </c>
      <c r="K6431" s="85">
        <v>2025</v>
      </c>
      <c r="L6431" s="85">
        <v>6</v>
      </c>
      <c r="N6431" s="1" t="s">
        <v>44</v>
      </c>
    </row>
    <row r="6432" spans="1:14">
      <c r="A6432" s="36" t="s">
        <v>32</v>
      </c>
      <c r="B6432" s="37">
        <v>45838</v>
      </c>
      <c r="C6432" s="36" t="s">
        <v>2966</v>
      </c>
      <c r="D6432" s="36" t="s">
        <v>2271</v>
      </c>
      <c r="E6432" s="36" t="s">
        <v>1492</v>
      </c>
      <c r="G6432" s="87">
        <v>1936716</v>
      </c>
      <c r="H6432" s="87">
        <v>193671.6</v>
      </c>
      <c r="I6432" s="87">
        <v>2130387.6</v>
      </c>
      <c r="K6432" s="85">
        <v>2025</v>
      </c>
      <c r="L6432" s="85">
        <v>6</v>
      </c>
      <c r="N6432" s="1" t="s">
        <v>44</v>
      </c>
    </row>
    <row r="6433" spans="1:14">
      <c r="A6433" s="36" t="s">
        <v>32</v>
      </c>
      <c r="B6433" s="37">
        <v>45838</v>
      </c>
      <c r="C6433" s="36" t="s">
        <v>2872</v>
      </c>
      <c r="D6433" s="36" t="s">
        <v>2885</v>
      </c>
      <c r="E6433" s="36" t="s">
        <v>76</v>
      </c>
      <c r="G6433" s="87">
        <v>15000000</v>
      </c>
      <c r="H6433" s="87">
        <v>1500000</v>
      </c>
      <c r="I6433" s="87">
        <v>16500000</v>
      </c>
      <c r="K6433" s="85">
        <v>2025</v>
      </c>
      <c r="L6433" s="85">
        <v>6</v>
      </c>
      <c r="N6433" s="1" t="s">
        <v>44</v>
      </c>
    </row>
    <row r="6434" spans="1:14">
      <c r="A6434" s="36" t="s">
        <v>32</v>
      </c>
      <c r="B6434" s="37">
        <v>45838</v>
      </c>
      <c r="C6434" s="36" t="s">
        <v>188</v>
      </c>
      <c r="D6434" s="36" t="s">
        <v>2937</v>
      </c>
      <c r="E6434" s="36" t="s">
        <v>76</v>
      </c>
      <c r="G6434" s="87">
        <v>13126701</v>
      </c>
      <c r="H6434" s="87">
        <v>1312670.1000000001</v>
      </c>
      <c r="I6434" s="87">
        <v>14439371.1</v>
      </c>
      <c r="K6434" s="85">
        <v>2025</v>
      </c>
      <c r="L6434" s="85">
        <v>6</v>
      </c>
      <c r="N6434" s="1" t="s">
        <v>44</v>
      </c>
    </row>
    <row r="6435" spans="1:14">
      <c r="A6435" s="36" t="s">
        <v>32</v>
      </c>
      <c r="B6435" s="37">
        <v>45838</v>
      </c>
      <c r="C6435" s="36" t="s">
        <v>654</v>
      </c>
      <c r="D6435" s="36" t="s">
        <v>2588</v>
      </c>
      <c r="E6435" s="36" t="s">
        <v>2648</v>
      </c>
      <c r="G6435" s="87">
        <v>-12463000</v>
      </c>
      <c r="H6435" s="87">
        <v>-1246300</v>
      </c>
      <c r="I6435" s="87">
        <v>-13709300</v>
      </c>
      <c r="K6435" s="85">
        <v>2025</v>
      </c>
      <c r="L6435" s="85">
        <v>6</v>
      </c>
      <c r="N6435" s="1" t="s">
        <v>44</v>
      </c>
    </row>
    <row r="6436" spans="1:14">
      <c r="A6436" s="36" t="s">
        <v>32</v>
      </c>
      <c r="B6436" s="37">
        <v>45838</v>
      </c>
      <c r="C6436" s="36" t="s">
        <v>654</v>
      </c>
      <c r="D6436" s="36" t="s">
        <v>2635</v>
      </c>
      <c r="E6436" s="36" t="s">
        <v>2648</v>
      </c>
      <c r="G6436" s="87">
        <v>-13785000</v>
      </c>
      <c r="H6436" s="87">
        <v>-1378500</v>
      </c>
      <c r="I6436" s="87">
        <v>-15163500</v>
      </c>
      <c r="K6436" s="85">
        <v>2025</v>
      </c>
      <c r="L6436" s="85">
        <v>6</v>
      </c>
      <c r="N6436" s="1" t="s">
        <v>44</v>
      </c>
    </row>
    <row r="6437" spans="1:14">
      <c r="A6437" s="36" t="s">
        <v>32</v>
      </c>
      <c r="B6437" s="37">
        <v>45826</v>
      </c>
      <c r="C6437" s="36" t="s">
        <v>2943</v>
      </c>
      <c r="D6437" s="36" t="s">
        <v>2946</v>
      </c>
      <c r="E6437" s="36" t="s">
        <v>77</v>
      </c>
      <c r="J6437" s="38">
        <v>4730000</v>
      </c>
      <c r="K6437" s="85">
        <v>2025</v>
      </c>
      <c r="L6437" s="85">
        <v>6</v>
      </c>
      <c r="N6437" s="1" t="s">
        <v>44</v>
      </c>
    </row>
    <row r="6438" spans="1:14">
      <c r="A6438" s="36" t="s">
        <v>32</v>
      </c>
      <c r="B6438" s="37">
        <v>45824</v>
      </c>
      <c r="C6438" s="36" t="s">
        <v>2005</v>
      </c>
      <c r="D6438" s="36" t="s">
        <v>2947</v>
      </c>
      <c r="E6438" s="36" t="s">
        <v>77</v>
      </c>
      <c r="J6438" s="38">
        <v>14300000</v>
      </c>
      <c r="K6438" s="85">
        <v>2025</v>
      </c>
      <c r="L6438" s="85">
        <v>6</v>
      </c>
      <c r="M6438" s="36" t="s">
        <v>2958</v>
      </c>
      <c r="N6438" s="1" t="s">
        <v>44</v>
      </c>
    </row>
    <row r="6439" spans="1:14">
      <c r="A6439" s="36" t="s">
        <v>32</v>
      </c>
      <c r="B6439" s="37">
        <v>45831</v>
      </c>
      <c r="C6439" s="36" t="s">
        <v>1218</v>
      </c>
      <c r="D6439" s="36" t="s">
        <v>1492</v>
      </c>
      <c r="E6439" s="36" t="s">
        <v>77</v>
      </c>
      <c r="J6439" s="38">
        <v>33000000</v>
      </c>
      <c r="K6439" s="85">
        <v>2025</v>
      </c>
      <c r="L6439" s="85">
        <v>6</v>
      </c>
      <c r="N6439" s="1" t="s">
        <v>44</v>
      </c>
    </row>
    <row r="6440" spans="1:14">
      <c r="A6440" s="36" t="s">
        <v>32</v>
      </c>
      <c r="B6440" s="37">
        <v>45840</v>
      </c>
      <c r="C6440" s="36" t="s">
        <v>1218</v>
      </c>
      <c r="D6440" s="36" t="s">
        <v>1492</v>
      </c>
      <c r="E6440" s="36" t="s">
        <v>77</v>
      </c>
      <c r="J6440" s="38">
        <v>22000000</v>
      </c>
      <c r="K6440" s="85">
        <v>2025</v>
      </c>
      <c r="L6440" s="85">
        <v>6</v>
      </c>
      <c r="N6440" s="1" t="s">
        <v>44</v>
      </c>
    </row>
    <row r="6441" spans="1:14">
      <c r="A6441" s="36" t="s">
        <v>32</v>
      </c>
      <c r="B6441" s="37">
        <v>45828</v>
      </c>
      <c r="C6441" s="36" t="s">
        <v>1395</v>
      </c>
      <c r="D6441" s="36" t="s">
        <v>2948</v>
      </c>
      <c r="E6441" s="36" t="s">
        <v>77</v>
      </c>
      <c r="J6441" s="38">
        <v>5600000</v>
      </c>
      <c r="K6441" s="85">
        <v>2025</v>
      </c>
      <c r="L6441" s="85">
        <v>6</v>
      </c>
      <c r="N6441" s="1" t="s">
        <v>44</v>
      </c>
    </row>
    <row r="6442" spans="1:14">
      <c r="A6442" s="36" t="s">
        <v>32</v>
      </c>
      <c r="B6442" s="37">
        <v>45838</v>
      </c>
      <c r="C6442" s="36" t="s">
        <v>2193</v>
      </c>
      <c r="D6442" s="36" t="s">
        <v>2950</v>
      </c>
      <c r="E6442" s="36" t="s">
        <v>77</v>
      </c>
      <c r="J6442" s="38">
        <v>10000000</v>
      </c>
      <c r="K6442" s="85">
        <v>2025</v>
      </c>
      <c r="L6442" s="85">
        <v>6</v>
      </c>
      <c r="N6442" s="1" t="s">
        <v>44</v>
      </c>
    </row>
    <row r="6443" spans="1:14">
      <c r="A6443" s="36" t="s">
        <v>19</v>
      </c>
      <c r="B6443" s="37">
        <v>45852</v>
      </c>
      <c r="C6443" s="36" t="s">
        <v>2932</v>
      </c>
      <c r="D6443" s="36" t="s">
        <v>2931</v>
      </c>
      <c r="E6443" s="36" t="s">
        <v>148</v>
      </c>
      <c r="J6443" s="87">
        <v>5787000</v>
      </c>
      <c r="K6443" s="85">
        <v>2025</v>
      </c>
      <c r="L6443" s="85">
        <v>6</v>
      </c>
      <c r="N6443" s="208" t="s">
        <v>44</v>
      </c>
    </row>
    <row r="6444" spans="1:14">
      <c r="A6444" s="36" t="s">
        <v>32</v>
      </c>
      <c r="B6444" s="37">
        <v>45838</v>
      </c>
      <c r="C6444" s="36" t="s">
        <v>2824</v>
      </c>
      <c r="D6444" s="36" t="s">
        <v>2832</v>
      </c>
      <c r="E6444" s="36" t="s">
        <v>148</v>
      </c>
      <c r="J6444" s="87">
        <v>43016600</v>
      </c>
      <c r="K6444" s="85">
        <v>2025</v>
      </c>
      <c r="L6444" s="85">
        <v>5</v>
      </c>
      <c r="N6444" s="1" t="s">
        <v>44</v>
      </c>
    </row>
    <row r="6445" spans="1:14">
      <c r="A6445" s="36" t="s">
        <v>32</v>
      </c>
      <c r="B6445" s="37">
        <v>45833</v>
      </c>
      <c r="C6445" s="36" t="s">
        <v>209</v>
      </c>
      <c r="D6445" s="36" t="s">
        <v>2551</v>
      </c>
      <c r="E6445" s="36" t="s">
        <v>2797</v>
      </c>
      <c r="J6445" s="87">
        <v>4455000</v>
      </c>
      <c r="K6445" s="85">
        <v>2025</v>
      </c>
      <c r="L6445" s="85">
        <v>5</v>
      </c>
      <c r="N6445" s="1" t="s">
        <v>44</v>
      </c>
    </row>
    <row r="6446" spans="1:14">
      <c r="A6446" s="36" t="s">
        <v>32</v>
      </c>
      <c r="B6446" s="37">
        <v>45824</v>
      </c>
      <c r="C6446" s="36" t="s">
        <v>2673</v>
      </c>
      <c r="D6446" s="36" t="s">
        <v>2686</v>
      </c>
      <c r="E6446" s="36" t="s">
        <v>148</v>
      </c>
      <c r="J6446" s="87">
        <v>4367682</v>
      </c>
      <c r="K6446" s="85">
        <v>2025</v>
      </c>
      <c r="L6446" s="85">
        <v>3</v>
      </c>
      <c r="N6446" s="1" t="s">
        <v>44</v>
      </c>
    </row>
    <row r="6447" spans="1:14">
      <c r="A6447" s="36" t="s">
        <v>32</v>
      </c>
      <c r="B6447" s="37">
        <v>45853</v>
      </c>
      <c r="C6447" s="36" t="s">
        <v>2166</v>
      </c>
      <c r="D6447" s="36" t="s">
        <v>2949</v>
      </c>
      <c r="E6447" s="36" t="s">
        <v>2960</v>
      </c>
      <c r="J6447" s="87">
        <v>48764606</v>
      </c>
      <c r="K6447" s="85">
        <v>2025</v>
      </c>
      <c r="L6447" s="85">
        <v>6</v>
      </c>
      <c r="N6447" s="1" t="s">
        <v>44</v>
      </c>
    </row>
    <row r="6448" spans="1:14">
      <c r="A6448" s="36" t="s">
        <v>32</v>
      </c>
      <c r="B6448" s="37">
        <v>45853</v>
      </c>
      <c r="C6448" s="36" t="s">
        <v>2629</v>
      </c>
      <c r="D6448" s="36" t="s">
        <v>2642</v>
      </c>
      <c r="E6448" s="36" t="s">
        <v>148</v>
      </c>
      <c r="J6448" s="87">
        <v>2970000</v>
      </c>
      <c r="K6448" s="85">
        <v>2025</v>
      </c>
      <c r="L6448" s="85">
        <v>1</v>
      </c>
      <c r="N6448" s="1" t="s">
        <v>44</v>
      </c>
    </row>
    <row r="6449" spans="1:14">
      <c r="A6449" s="36" t="s">
        <v>33</v>
      </c>
      <c r="B6449" s="37">
        <v>45853</v>
      </c>
      <c r="C6449" s="36" t="s">
        <v>81</v>
      </c>
      <c r="D6449" s="36" t="s">
        <v>316</v>
      </c>
      <c r="E6449" s="36" t="s">
        <v>2961</v>
      </c>
      <c r="J6449" s="87">
        <v>1650000</v>
      </c>
      <c r="K6449" s="85">
        <v>2025</v>
      </c>
      <c r="L6449" s="85">
        <v>6</v>
      </c>
      <c r="N6449" s="1" t="s">
        <v>44</v>
      </c>
    </row>
    <row r="6450" spans="1:14">
      <c r="A6450" s="36" t="s">
        <v>32</v>
      </c>
      <c r="B6450" s="37">
        <v>45856</v>
      </c>
      <c r="C6450" s="36" t="s">
        <v>1462</v>
      </c>
      <c r="D6450" s="36" t="s">
        <v>2962</v>
      </c>
      <c r="E6450" s="36" t="s">
        <v>76</v>
      </c>
      <c r="G6450" s="87">
        <v>-9090909</v>
      </c>
      <c r="H6450" s="87">
        <v>-909090.9</v>
      </c>
      <c r="I6450" s="87">
        <v>-9999999.9000000004</v>
      </c>
      <c r="K6450" s="85">
        <v>2025</v>
      </c>
      <c r="L6450" s="85">
        <v>4</v>
      </c>
      <c r="N6450" s="1" t="s">
        <v>44</v>
      </c>
    </row>
    <row r="6451" spans="1:14">
      <c r="A6451" s="36" t="s">
        <v>32</v>
      </c>
      <c r="B6451" s="37">
        <v>45860</v>
      </c>
      <c r="C6451" s="36" t="s">
        <v>654</v>
      </c>
      <c r="D6451" s="36" t="s">
        <v>2633</v>
      </c>
      <c r="E6451" s="36" t="s">
        <v>148</v>
      </c>
      <c r="J6451" s="87">
        <v>14873452</v>
      </c>
      <c r="K6451" s="85">
        <v>2025</v>
      </c>
      <c r="L6451" s="85">
        <v>1</v>
      </c>
      <c r="N6451" s="1" t="s">
        <v>44</v>
      </c>
    </row>
    <row r="6452" spans="1:14">
      <c r="A6452" s="36" t="s">
        <v>32</v>
      </c>
      <c r="B6452" s="37">
        <v>45860</v>
      </c>
      <c r="C6452" s="36" t="s">
        <v>654</v>
      </c>
      <c r="D6452" s="36" t="s">
        <v>1754</v>
      </c>
      <c r="E6452" s="36" t="s">
        <v>2914</v>
      </c>
      <c r="J6452" s="38">
        <v>4929101</v>
      </c>
      <c r="K6452" s="85">
        <v>2024</v>
      </c>
      <c r="L6452" s="85">
        <v>3</v>
      </c>
      <c r="N6452" s="1" t="s">
        <v>44</v>
      </c>
    </row>
    <row r="6453" spans="1:14">
      <c r="A6453" s="36" t="s">
        <v>33</v>
      </c>
      <c r="B6453" s="37">
        <v>45861</v>
      </c>
      <c r="C6453" s="36" t="s">
        <v>2188</v>
      </c>
      <c r="D6453" s="36" t="s">
        <v>2755</v>
      </c>
      <c r="E6453" s="36" t="s">
        <v>2963</v>
      </c>
      <c r="J6453" s="87">
        <v>3980900</v>
      </c>
      <c r="K6453" s="85">
        <v>2025</v>
      </c>
      <c r="L6453" s="85">
        <v>4</v>
      </c>
      <c r="N6453" s="1" t="s">
        <v>44</v>
      </c>
    </row>
    <row r="6454" spans="1:14">
      <c r="A6454" s="36" t="s">
        <v>33</v>
      </c>
      <c r="B6454" s="37">
        <v>45861</v>
      </c>
      <c r="C6454" s="36" t="s">
        <v>2927</v>
      </c>
      <c r="D6454" s="36" t="s">
        <v>2928</v>
      </c>
      <c r="E6454" s="36" t="s">
        <v>2964</v>
      </c>
      <c r="J6454" s="87">
        <v>275000</v>
      </c>
      <c r="K6454" s="85">
        <v>2025</v>
      </c>
      <c r="L6454" s="85">
        <v>6</v>
      </c>
      <c r="N6454" s="1" t="s">
        <v>44</v>
      </c>
    </row>
    <row r="6455" spans="1:14">
      <c r="A6455" s="36" t="s">
        <v>33</v>
      </c>
      <c r="B6455" s="37">
        <v>45861</v>
      </c>
      <c r="C6455" s="36" t="s">
        <v>2116</v>
      </c>
      <c r="D6455" s="36" t="s">
        <v>2117</v>
      </c>
      <c r="E6455" s="36" t="s">
        <v>148</v>
      </c>
      <c r="J6455" s="87">
        <v>977900</v>
      </c>
      <c r="K6455" s="85">
        <v>2025</v>
      </c>
      <c r="L6455" s="85">
        <v>6</v>
      </c>
      <c r="N6455" s="1" t="s">
        <v>44</v>
      </c>
    </row>
    <row r="6456" spans="1:14">
      <c r="A6456" s="36" t="s">
        <v>33</v>
      </c>
      <c r="B6456" s="37">
        <v>45861</v>
      </c>
      <c r="C6456" s="36" t="s">
        <v>2016</v>
      </c>
      <c r="D6456" s="36" t="s">
        <v>2621</v>
      </c>
      <c r="E6456" s="36" t="s">
        <v>2965</v>
      </c>
      <c r="J6456" s="87">
        <v>95680200</v>
      </c>
      <c r="K6456" s="85">
        <v>2025</v>
      </c>
      <c r="L6456" s="85">
        <v>6</v>
      </c>
      <c r="N6456" s="1" t="s">
        <v>44</v>
      </c>
    </row>
    <row r="6457" spans="1:14">
      <c r="A6457" s="36" t="s">
        <v>32</v>
      </c>
      <c r="B6457" s="37">
        <v>45860</v>
      </c>
      <c r="C6457" s="36" t="s">
        <v>2966</v>
      </c>
      <c r="D6457" s="36" t="s">
        <v>2271</v>
      </c>
      <c r="E6457" s="36" t="s">
        <v>148</v>
      </c>
      <c r="J6457" s="87">
        <v>1936716</v>
      </c>
      <c r="K6457" s="85">
        <v>2025</v>
      </c>
      <c r="L6457" s="85">
        <v>6</v>
      </c>
      <c r="N6457" s="1" t="s">
        <v>44</v>
      </c>
    </row>
    <row r="6458" spans="1:14">
      <c r="A6458" s="36" t="s">
        <v>32</v>
      </c>
      <c r="B6458" s="37">
        <v>45864</v>
      </c>
      <c r="C6458" s="36" t="s">
        <v>2966</v>
      </c>
      <c r="D6458" s="36" t="s">
        <v>2271</v>
      </c>
      <c r="E6458" s="36" t="s">
        <v>148</v>
      </c>
      <c r="J6458" s="38">
        <v>193672</v>
      </c>
      <c r="K6458" s="85">
        <v>2025</v>
      </c>
      <c r="L6458" s="85">
        <v>6</v>
      </c>
      <c r="N6458" s="1" t="s">
        <v>44</v>
      </c>
    </row>
    <row r="6459" spans="1:14">
      <c r="A6459" s="36" t="s">
        <v>32</v>
      </c>
      <c r="B6459" s="37">
        <v>45863</v>
      </c>
      <c r="C6459" s="36" t="s">
        <v>209</v>
      </c>
      <c r="D6459" s="36" t="s">
        <v>2551</v>
      </c>
      <c r="E6459" s="36" t="s">
        <v>2797</v>
      </c>
      <c r="J6459" s="87">
        <v>16989720</v>
      </c>
      <c r="K6459" s="85">
        <v>2025</v>
      </c>
      <c r="L6459" s="85">
        <v>6</v>
      </c>
      <c r="N6459" s="1" t="s">
        <v>44</v>
      </c>
    </row>
    <row r="6460" spans="1:14">
      <c r="A6460" s="36" t="s">
        <v>32</v>
      </c>
      <c r="B6460" s="37">
        <v>45867</v>
      </c>
      <c r="C6460" s="36" t="s">
        <v>288</v>
      </c>
      <c r="D6460" s="36" t="s">
        <v>1414</v>
      </c>
      <c r="E6460" s="36" t="s">
        <v>148</v>
      </c>
      <c r="J6460" s="38">
        <v>15400000</v>
      </c>
      <c r="K6460" s="85">
        <v>2024</v>
      </c>
      <c r="L6460" s="85">
        <v>12</v>
      </c>
      <c r="N6460" s="1" t="s">
        <v>44</v>
      </c>
    </row>
    <row r="6461" spans="1:14">
      <c r="A6461" s="36" t="s">
        <v>33</v>
      </c>
      <c r="B6461" s="37">
        <v>45866</v>
      </c>
      <c r="C6461" s="36" t="s">
        <v>2745</v>
      </c>
      <c r="D6461" s="36" t="s">
        <v>2968</v>
      </c>
      <c r="E6461" s="36" t="s">
        <v>2967</v>
      </c>
      <c r="G6461" s="87">
        <v>118350</v>
      </c>
      <c r="H6461" s="87">
        <v>11835</v>
      </c>
      <c r="I6461" s="87">
        <v>130185</v>
      </c>
      <c r="K6461" s="85">
        <v>2025</v>
      </c>
      <c r="L6461" s="85">
        <v>7</v>
      </c>
      <c r="N6461" s="1" t="s">
        <v>44</v>
      </c>
    </row>
    <row r="6462" spans="1:14">
      <c r="A6462" s="36" t="s">
        <v>32</v>
      </c>
      <c r="B6462" s="37">
        <v>45868</v>
      </c>
      <c r="C6462" s="36" t="s">
        <v>654</v>
      </c>
      <c r="D6462" s="36" t="s">
        <v>2541</v>
      </c>
      <c r="E6462" s="36" t="s">
        <v>2733</v>
      </c>
      <c r="J6462" s="283">
        <v>28003800</v>
      </c>
      <c r="K6462" s="85">
        <v>2025</v>
      </c>
      <c r="L6462" s="85">
        <v>6</v>
      </c>
      <c r="M6462" s="295" t="s">
        <v>2969</v>
      </c>
      <c r="N6462" s="1" t="s">
        <v>44</v>
      </c>
    </row>
    <row r="6463" spans="1:14">
      <c r="A6463" s="36" t="s">
        <v>32</v>
      </c>
      <c r="B6463" s="37">
        <v>45868</v>
      </c>
      <c r="C6463" s="36" t="s">
        <v>654</v>
      </c>
      <c r="D6463" s="36" t="s">
        <v>1754</v>
      </c>
      <c r="E6463" s="36" t="s">
        <v>2914</v>
      </c>
      <c r="J6463" s="284">
        <v>2171447</v>
      </c>
      <c r="K6463" s="85">
        <v>2024</v>
      </c>
      <c r="L6463" s="85">
        <v>3</v>
      </c>
      <c r="M6463" s="295" t="s">
        <v>2969</v>
      </c>
      <c r="N6463" s="1" t="s">
        <v>44</v>
      </c>
    </row>
    <row r="6464" spans="1:14">
      <c r="A6464" s="36" t="s">
        <v>32</v>
      </c>
      <c r="B6464" s="37">
        <v>45868</v>
      </c>
      <c r="C6464" s="36" t="s">
        <v>654</v>
      </c>
      <c r="D6464" s="36" t="s">
        <v>1754</v>
      </c>
      <c r="E6464" s="36" t="s">
        <v>2970</v>
      </c>
      <c r="J6464" s="284">
        <v>12992053</v>
      </c>
      <c r="K6464" s="85">
        <v>2024</v>
      </c>
      <c r="L6464" s="85">
        <v>4</v>
      </c>
      <c r="M6464" s="295" t="s">
        <v>2969</v>
      </c>
      <c r="N6464" s="1" t="s">
        <v>44</v>
      </c>
    </row>
    <row r="6465" spans="1:14">
      <c r="A6465" s="36" t="s">
        <v>32</v>
      </c>
      <c r="B6465" s="37">
        <v>45869</v>
      </c>
      <c r="C6465" s="36" t="s">
        <v>2825</v>
      </c>
      <c r="D6465" s="36" t="s">
        <v>2833</v>
      </c>
      <c r="E6465" s="36" t="s">
        <v>148</v>
      </c>
      <c r="J6465" s="87">
        <v>9348900</v>
      </c>
      <c r="K6465" s="85">
        <v>2025</v>
      </c>
      <c r="L6465" s="85">
        <v>6</v>
      </c>
      <c r="N6465" s="1" t="s">
        <v>44</v>
      </c>
    </row>
    <row r="6466" spans="1:14">
      <c r="A6466" s="36" t="s">
        <v>33</v>
      </c>
      <c r="B6466" s="37">
        <v>45869</v>
      </c>
      <c r="C6466" s="36" t="s">
        <v>2016</v>
      </c>
      <c r="D6466" s="36" t="s">
        <v>2467</v>
      </c>
      <c r="E6466" s="36" t="s">
        <v>2992</v>
      </c>
      <c r="J6466" s="87">
        <v>113917100</v>
      </c>
      <c r="K6466" s="85">
        <v>2025</v>
      </c>
      <c r="L6466" s="85">
        <v>6</v>
      </c>
      <c r="N6466" s="1" t="s">
        <v>44</v>
      </c>
    </row>
    <row r="6467" spans="1:14">
      <c r="A6467" s="36" t="s">
        <v>32</v>
      </c>
      <c r="B6467" s="37">
        <v>45869</v>
      </c>
      <c r="C6467" s="36" t="s">
        <v>2868</v>
      </c>
      <c r="D6467" s="36" t="s">
        <v>2875</v>
      </c>
      <c r="E6467" s="36" t="s">
        <v>148</v>
      </c>
      <c r="J6467" s="87">
        <v>47850000</v>
      </c>
      <c r="K6467" s="85">
        <v>2025</v>
      </c>
      <c r="L6467" s="85">
        <v>5</v>
      </c>
      <c r="N6467" s="1" t="s">
        <v>44</v>
      </c>
    </row>
    <row r="6468" spans="1:14">
      <c r="A6468" s="36" t="s">
        <v>32</v>
      </c>
      <c r="B6468" s="37">
        <v>45869</v>
      </c>
      <c r="C6468" s="36" t="s">
        <v>2941</v>
      </c>
      <c r="D6468" s="36" t="s">
        <v>2952</v>
      </c>
      <c r="E6468" s="36" t="s">
        <v>148</v>
      </c>
      <c r="J6468" s="87">
        <v>7700000</v>
      </c>
      <c r="K6468" s="85">
        <v>2025</v>
      </c>
      <c r="L6468" s="85">
        <v>6</v>
      </c>
      <c r="N6468" s="1" t="s">
        <v>44</v>
      </c>
    </row>
    <row r="6469" spans="1:14">
      <c r="A6469" s="36" t="s">
        <v>32</v>
      </c>
      <c r="B6469" s="37">
        <v>45869</v>
      </c>
      <c r="C6469" s="36" t="s">
        <v>1470</v>
      </c>
      <c r="D6469" s="36" t="s">
        <v>1487</v>
      </c>
      <c r="E6469" s="36" t="s">
        <v>148</v>
      </c>
      <c r="J6469" s="87">
        <v>19137030</v>
      </c>
      <c r="K6469" s="85">
        <v>2025</v>
      </c>
      <c r="L6469" s="85">
        <v>5</v>
      </c>
      <c r="N6469" s="1" t="s">
        <v>44</v>
      </c>
    </row>
    <row r="6470" spans="1:14">
      <c r="A6470" s="36" t="s">
        <v>19</v>
      </c>
      <c r="B6470" s="37">
        <v>45869</v>
      </c>
      <c r="C6470" s="36" t="s">
        <v>2818</v>
      </c>
      <c r="D6470" s="36" t="s">
        <v>2271</v>
      </c>
      <c r="E6470" s="36" t="s">
        <v>148</v>
      </c>
      <c r="J6470" s="38">
        <v>130900</v>
      </c>
      <c r="K6470" s="85">
        <v>2025</v>
      </c>
      <c r="L6470" s="85">
        <v>6</v>
      </c>
      <c r="N6470" s="1" t="s">
        <v>44</v>
      </c>
    </row>
    <row r="6471" spans="1:14">
      <c r="A6471" s="36" t="s">
        <v>19</v>
      </c>
      <c r="B6471" s="37">
        <v>45869</v>
      </c>
      <c r="C6471" s="36" t="s">
        <v>2540</v>
      </c>
      <c r="D6471" s="36" t="s">
        <v>2541</v>
      </c>
      <c r="E6471" s="36" t="s">
        <v>148</v>
      </c>
      <c r="J6471" s="38">
        <v>1443750</v>
      </c>
      <c r="K6471" s="85">
        <v>2025</v>
      </c>
      <c r="L6471" s="85">
        <v>6</v>
      </c>
      <c r="N6471" s="1" t="s">
        <v>44</v>
      </c>
    </row>
    <row r="6472" spans="1:14">
      <c r="A6472" s="36" t="s">
        <v>19</v>
      </c>
      <c r="B6472" s="37">
        <v>45869</v>
      </c>
      <c r="C6472" s="36" t="s">
        <v>2587</v>
      </c>
      <c r="D6472" s="36" t="s">
        <v>2588</v>
      </c>
      <c r="E6472" s="36" t="s">
        <v>148</v>
      </c>
      <c r="J6472" s="38">
        <v>2543200</v>
      </c>
      <c r="K6472" s="85">
        <v>2025</v>
      </c>
      <c r="L6472" s="85">
        <v>6</v>
      </c>
      <c r="N6472" s="1" t="s">
        <v>44</v>
      </c>
    </row>
    <row r="6473" spans="1:14">
      <c r="A6473" s="36" t="s">
        <v>19</v>
      </c>
      <c r="B6473" s="37">
        <v>45869</v>
      </c>
      <c r="C6473" s="36" t="s">
        <v>2896</v>
      </c>
      <c r="D6473" s="36" t="s">
        <v>2763</v>
      </c>
      <c r="E6473" s="36" t="s">
        <v>148</v>
      </c>
      <c r="J6473" s="38">
        <v>585200</v>
      </c>
      <c r="K6473" s="85">
        <v>2025</v>
      </c>
      <c r="L6473" s="85">
        <v>6</v>
      </c>
      <c r="N6473" s="1" t="s">
        <v>44</v>
      </c>
    </row>
    <row r="6474" spans="1:14">
      <c r="A6474" s="36" t="s">
        <v>19</v>
      </c>
      <c r="B6474" s="37">
        <v>45869</v>
      </c>
      <c r="C6474" s="36" t="s">
        <v>2858</v>
      </c>
      <c r="D6474" s="36" t="s">
        <v>97</v>
      </c>
      <c r="E6474" s="36" t="s">
        <v>148</v>
      </c>
      <c r="J6474" s="38">
        <v>3047000</v>
      </c>
      <c r="K6474" s="85">
        <v>2025</v>
      </c>
      <c r="L6474" s="85">
        <v>6</v>
      </c>
      <c r="N6474" s="1" t="s">
        <v>44</v>
      </c>
    </row>
    <row r="6475" spans="1:14">
      <c r="A6475" s="36" t="s">
        <v>19</v>
      </c>
      <c r="B6475" s="37">
        <v>45869</v>
      </c>
      <c r="C6475" s="36" t="s">
        <v>2940</v>
      </c>
      <c r="D6475" s="36" t="s">
        <v>2941</v>
      </c>
      <c r="E6475" s="36" t="s">
        <v>148</v>
      </c>
      <c r="J6475" s="38">
        <v>4950000</v>
      </c>
      <c r="K6475" s="85">
        <v>2025</v>
      </c>
      <c r="L6475" s="85">
        <v>6</v>
      </c>
      <c r="N6475" s="1" t="s">
        <v>44</v>
      </c>
    </row>
    <row r="6476" spans="1:14">
      <c r="A6476" s="36" t="s">
        <v>19</v>
      </c>
      <c r="B6476" s="37">
        <v>45869</v>
      </c>
      <c r="C6476" s="36" t="s">
        <v>81</v>
      </c>
      <c r="D6476" s="36" t="s">
        <v>2271</v>
      </c>
      <c r="E6476" s="36" t="s">
        <v>2806</v>
      </c>
      <c r="J6476" s="38">
        <v>2255000</v>
      </c>
      <c r="K6476" s="85">
        <v>2025</v>
      </c>
      <c r="L6476" s="85">
        <v>6</v>
      </c>
      <c r="N6476" s="1" t="s">
        <v>44</v>
      </c>
    </row>
    <row r="6477" spans="1:14">
      <c r="A6477" s="36" t="s">
        <v>19</v>
      </c>
      <c r="B6477" s="37">
        <v>45869</v>
      </c>
      <c r="C6477" s="36" t="s">
        <v>81</v>
      </c>
      <c r="D6477" s="36" t="s">
        <v>2762</v>
      </c>
      <c r="E6477" s="36" t="s">
        <v>2807</v>
      </c>
      <c r="J6477" s="38">
        <v>695200</v>
      </c>
      <c r="K6477" s="85">
        <v>2025</v>
      </c>
      <c r="L6477" s="85">
        <v>6</v>
      </c>
      <c r="N6477" s="1" t="s">
        <v>44</v>
      </c>
    </row>
    <row r="6478" spans="1:14">
      <c r="A6478" s="36" t="s">
        <v>32</v>
      </c>
      <c r="B6478" s="37">
        <v>45869</v>
      </c>
      <c r="C6478" s="36" t="s">
        <v>2166</v>
      </c>
      <c r="D6478" s="36" t="s">
        <v>2836</v>
      </c>
      <c r="E6478" s="36" t="s">
        <v>2971</v>
      </c>
      <c r="J6478" s="38">
        <v>20000000</v>
      </c>
      <c r="K6478" s="85">
        <v>2025</v>
      </c>
      <c r="L6478" s="85">
        <v>6</v>
      </c>
      <c r="N6478" s="1" t="s">
        <v>44</v>
      </c>
    </row>
    <row r="6479" spans="1:14">
      <c r="A6479" s="36" t="s">
        <v>32</v>
      </c>
      <c r="B6479" s="37">
        <v>45869</v>
      </c>
      <c r="C6479" s="36" t="s">
        <v>2774</v>
      </c>
      <c r="D6479" s="36" t="s">
        <v>2784</v>
      </c>
      <c r="E6479" s="36" t="s">
        <v>148</v>
      </c>
      <c r="J6479" s="87">
        <v>1599950</v>
      </c>
      <c r="K6479" s="85">
        <v>2025</v>
      </c>
      <c r="L6479" s="85">
        <v>6</v>
      </c>
      <c r="N6479" s="1" t="s">
        <v>44</v>
      </c>
    </row>
    <row r="6480" spans="1:14">
      <c r="A6480" s="36" t="s">
        <v>32</v>
      </c>
      <c r="B6480" s="37">
        <v>45869</v>
      </c>
      <c r="C6480" s="36" t="s">
        <v>2824</v>
      </c>
      <c r="D6480" s="36" t="s">
        <v>2832</v>
      </c>
      <c r="E6480" s="36" t="s">
        <v>148</v>
      </c>
      <c r="J6480" s="87">
        <v>36940200</v>
      </c>
      <c r="K6480" s="85">
        <v>2025</v>
      </c>
      <c r="L6480" s="85">
        <v>6</v>
      </c>
      <c r="N6480" s="1" t="s">
        <v>44</v>
      </c>
    </row>
    <row r="6481" spans="1:14">
      <c r="A6481" s="36" t="s">
        <v>33</v>
      </c>
      <c r="B6481" s="37">
        <v>45869</v>
      </c>
      <c r="C6481" s="36" t="s">
        <v>838</v>
      </c>
      <c r="D6481" s="36" t="s">
        <v>2854</v>
      </c>
      <c r="E6481" s="36" t="s">
        <v>2819</v>
      </c>
      <c r="G6481" s="87">
        <v>1650000</v>
      </c>
      <c r="H6481" s="87">
        <v>165000</v>
      </c>
      <c r="I6481" s="87">
        <v>1815000</v>
      </c>
      <c r="K6481" s="85">
        <v>2025</v>
      </c>
      <c r="L6481" s="85">
        <v>7</v>
      </c>
      <c r="N6481" s="1" t="s">
        <v>44</v>
      </c>
    </row>
    <row r="6482" spans="1:14">
      <c r="A6482" s="36" t="s">
        <v>33</v>
      </c>
      <c r="B6482" s="37">
        <v>45869</v>
      </c>
      <c r="C6482" s="36" t="s">
        <v>838</v>
      </c>
      <c r="D6482" s="36" t="s">
        <v>2972</v>
      </c>
      <c r="E6482" s="36" t="s">
        <v>2973</v>
      </c>
      <c r="G6482" s="87">
        <v>6050000</v>
      </c>
      <c r="H6482" s="87">
        <v>605000</v>
      </c>
      <c r="I6482" s="87">
        <v>6655000</v>
      </c>
      <c r="K6482" s="85">
        <v>2025</v>
      </c>
      <c r="L6482" s="85">
        <v>7</v>
      </c>
      <c r="N6482" s="1" t="s">
        <v>44</v>
      </c>
    </row>
    <row r="6483" spans="1:14">
      <c r="A6483" s="36" t="s">
        <v>33</v>
      </c>
      <c r="B6483" s="37">
        <v>45869</v>
      </c>
      <c r="C6483" s="36" t="s">
        <v>2932</v>
      </c>
      <c r="D6483" s="36" t="s">
        <v>2931</v>
      </c>
      <c r="E6483" s="36" t="s">
        <v>125</v>
      </c>
      <c r="G6483" s="87">
        <v>6602727</v>
      </c>
      <c r="H6483" s="87">
        <v>660272.70000000007</v>
      </c>
      <c r="I6483" s="87">
        <v>7262999.7000000002</v>
      </c>
      <c r="K6483" s="85">
        <v>2025</v>
      </c>
      <c r="L6483" s="85">
        <v>7</v>
      </c>
      <c r="N6483" s="1" t="s">
        <v>44</v>
      </c>
    </row>
    <row r="6484" spans="1:14">
      <c r="A6484" s="36" t="s">
        <v>32</v>
      </c>
      <c r="B6484" s="37">
        <v>45873</v>
      </c>
      <c r="C6484" s="36" t="s">
        <v>2874</v>
      </c>
      <c r="D6484" s="36" t="s">
        <v>2854</v>
      </c>
      <c r="E6484" s="36" t="s">
        <v>148</v>
      </c>
      <c r="J6484" s="87">
        <v>49170000</v>
      </c>
      <c r="K6484" s="85">
        <v>2025</v>
      </c>
      <c r="L6484" s="85">
        <v>5</v>
      </c>
      <c r="N6484" s="1" t="s">
        <v>44</v>
      </c>
    </row>
    <row r="6485" spans="1:14">
      <c r="A6485" s="36" t="s">
        <v>32</v>
      </c>
      <c r="B6485" s="37">
        <v>45874</v>
      </c>
      <c r="C6485" s="36" t="s">
        <v>2774</v>
      </c>
      <c r="D6485" s="36" t="s">
        <v>2784</v>
      </c>
      <c r="E6485" s="36" t="s">
        <v>148</v>
      </c>
      <c r="J6485" s="87">
        <v>13322980</v>
      </c>
      <c r="K6485" s="85">
        <v>2025</v>
      </c>
      <c r="L6485" s="85">
        <v>6</v>
      </c>
      <c r="N6485" s="1" t="s">
        <v>44</v>
      </c>
    </row>
    <row r="6486" spans="1:14">
      <c r="A6486" s="36" t="s">
        <v>32</v>
      </c>
      <c r="B6486" s="37">
        <v>45875</v>
      </c>
      <c r="C6486" s="36" t="s">
        <v>334</v>
      </c>
      <c r="D6486" s="36" t="s">
        <v>2486</v>
      </c>
      <c r="E6486" s="36" t="s">
        <v>2507</v>
      </c>
      <c r="J6486" s="87">
        <v>7469000</v>
      </c>
      <c r="K6486" s="85">
        <v>2025</v>
      </c>
      <c r="L6486" s="85">
        <v>5</v>
      </c>
      <c r="N6486" s="1" t="s">
        <v>44</v>
      </c>
    </row>
    <row r="6487" spans="1:14">
      <c r="A6487" s="36" t="s">
        <v>32</v>
      </c>
      <c r="B6487" s="37">
        <v>45875</v>
      </c>
      <c r="C6487" s="36" t="s">
        <v>1396</v>
      </c>
      <c r="D6487" s="36" t="s">
        <v>2953</v>
      </c>
      <c r="E6487" s="36" t="s">
        <v>2974</v>
      </c>
      <c r="J6487" s="87">
        <v>12045000</v>
      </c>
      <c r="K6487" s="85">
        <v>2025</v>
      </c>
      <c r="L6487" s="85">
        <v>6</v>
      </c>
      <c r="N6487" s="1" t="s">
        <v>44</v>
      </c>
    </row>
    <row r="6488" spans="1:14">
      <c r="A6488" s="36" t="s">
        <v>32</v>
      </c>
      <c r="B6488" s="37">
        <v>45875</v>
      </c>
      <c r="C6488" s="36" t="s">
        <v>1396</v>
      </c>
      <c r="D6488" s="36" t="s">
        <v>2679</v>
      </c>
      <c r="E6488" s="36" t="s">
        <v>2706</v>
      </c>
      <c r="J6488" s="87">
        <v>4851000</v>
      </c>
      <c r="K6488" s="85">
        <v>2025</v>
      </c>
      <c r="L6488" s="85">
        <v>6</v>
      </c>
      <c r="N6488" s="1" t="s">
        <v>44</v>
      </c>
    </row>
    <row r="6489" spans="1:14">
      <c r="A6489" s="36" t="s">
        <v>32</v>
      </c>
      <c r="B6489" s="37">
        <v>45875</v>
      </c>
      <c r="C6489" s="36" t="s">
        <v>1396</v>
      </c>
      <c r="D6489" s="36" t="s">
        <v>2680</v>
      </c>
      <c r="E6489" s="36" t="s">
        <v>2707</v>
      </c>
      <c r="J6489" s="87">
        <v>5258000</v>
      </c>
      <c r="K6489" s="85">
        <v>2025</v>
      </c>
      <c r="L6489" s="85">
        <v>6</v>
      </c>
      <c r="N6489" s="1" t="s">
        <v>44</v>
      </c>
    </row>
    <row r="6490" spans="1:14">
      <c r="A6490" s="36" t="s">
        <v>32</v>
      </c>
      <c r="B6490" s="37">
        <v>45875</v>
      </c>
      <c r="C6490" s="36" t="s">
        <v>1396</v>
      </c>
      <c r="D6490" s="36" t="s">
        <v>2954</v>
      </c>
      <c r="E6490" s="36" t="s">
        <v>2975</v>
      </c>
      <c r="J6490" s="87">
        <v>1903000</v>
      </c>
      <c r="K6490" s="85">
        <v>2025</v>
      </c>
      <c r="L6490" s="85">
        <v>6</v>
      </c>
      <c r="N6490" s="1" t="s">
        <v>44</v>
      </c>
    </row>
    <row r="6491" spans="1:14">
      <c r="A6491" s="36" t="s">
        <v>32</v>
      </c>
      <c r="B6491" s="37">
        <v>45875</v>
      </c>
      <c r="C6491" s="36" t="s">
        <v>1396</v>
      </c>
      <c r="D6491" s="36" t="s">
        <v>2677</v>
      </c>
      <c r="E6491" s="36" t="s">
        <v>2903</v>
      </c>
      <c r="J6491" s="125">
        <v>1892000</v>
      </c>
      <c r="K6491" s="127">
        <v>2025</v>
      </c>
      <c r="L6491" s="127">
        <v>5</v>
      </c>
      <c r="M6491" s="18" t="s">
        <v>2976</v>
      </c>
      <c r="N6491" s="231" t="s">
        <v>44</v>
      </c>
    </row>
    <row r="6492" spans="1:14">
      <c r="A6492" s="36" t="s">
        <v>32</v>
      </c>
      <c r="B6492" s="37">
        <v>45875</v>
      </c>
      <c r="C6492" s="36" t="s">
        <v>1396</v>
      </c>
      <c r="D6492" s="36" t="s">
        <v>2678</v>
      </c>
      <c r="E6492" s="36" t="s">
        <v>2785</v>
      </c>
      <c r="J6492" s="124">
        <v>7260000</v>
      </c>
      <c r="K6492" s="127">
        <v>2025</v>
      </c>
      <c r="L6492" s="127">
        <v>5</v>
      </c>
      <c r="M6492" s="18" t="s">
        <v>2976</v>
      </c>
      <c r="N6492" s="231" t="s">
        <v>44</v>
      </c>
    </row>
    <row r="6493" spans="1:14">
      <c r="A6493" s="36" t="s">
        <v>32</v>
      </c>
      <c r="B6493" s="37">
        <v>45875</v>
      </c>
      <c r="C6493" s="36" t="s">
        <v>1396</v>
      </c>
      <c r="D6493" s="36" t="s">
        <v>2954</v>
      </c>
      <c r="E6493" s="36" t="s">
        <v>2975</v>
      </c>
      <c r="J6493" s="124">
        <v>1870000</v>
      </c>
      <c r="K6493" s="127">
        <v>2025</v>
      </c>
      <c r="L6493" s="127">
        <v>5</v>
      </c>
      <c r="M6493" s="18" t="s">
        <v>2976</v>
      </c>
      <c r="N6493" s="231" t="s">
        <v>44</v>
      </c>
    </row>
    <row r="6494" spans="1:14">
      <c r="A6494" s="36" t="s">
        <v>32</v>
      </c>
      <c r="B6494" s="37">
        <v>45875</v>
      </c>
      <c r="C6494" s="36" t="s">
        <v>1396</v>
      </c>
      <c r="D6494" s="36" t="s">
        <v>2954</v>
      </c>
      <c r="E6494" s="36" t="s">
        <v>2975</v>
      </c>
      <c r="J6494" s="125">
        <v>1023000</v>
      </c>
      <c r="K6494" s="127">
        <v>2025</v>
      </c>
      <c r="L6494" s="127">
        <v>7</v>
      </c>
      <c r="M6494" s="18" t="s">
        <v>3039</v>
      </c>
      <c r="N6494" s="231" t="s">
        <v>44</v>
      </c>
    </row>
    <row r="6495" spans="1:14">
      <c r="A6495" s="36" t="s">
        <v>33</v>
      </c>
      <c r="B6495" s="37">
        <v>45876</v>
      </c>
      <c r="C6495" s="36" t="s">
        <v>1569</v>
      </c>
      <c r="D6495" s="36" t="s">
        <v>2936</v>
      </c>
      <c r="E6495" s="36" t="s">
        <v>2977</v>
      </c>
      <c r="J6495" s="87">
        <v>1628880</v>
      </c>
      <c r="K6495" s="85">
        <v>2025</v>
      </c>
      <c r="L6495" s="85">
        <v>6</v>
      </c>
      <c r="N6495" s="1" t="s">
        <v>44</v>
      </c>
    </row>
    <row r="6496" spans="1:14">
      <c r="A6496" s="36" t="s">
        <v>33</v>
      </c>
      <c r="B6496" s="37">
        <v>45876</v>
      </c>
      <c r="C6496" s="36" t="s">
        <v>2188</v>
      </c>
      <c r="D6496" s="36" t="s">
        <v>3111</v>
      </c>
      <c r="E6496" s="36" t="s">
        <v>2978</v>
      </c>
      <c r="J6496" s="87">
        <v>1272700</v>
      </c>
      <c r="K6496" s="85">
        <v>2025</v>
      </c>
      <c r="L6496" s="85">
        <v>6</v>
      </c>
      <c r="N6496" s="1" t="s">
        <v>44</v>
      </c>
    </row>
    <row r="6497" spans="1:14">
      <c r="A6497" s="36" t="s">
        <v>33</v>
      </c>
      <c r="B6497" s="37">
        <v>45876</v>
      </c>
      <c r="C6497" s="36" t="s">
        <v>2938</v>
      </c>
      <c r="D6497" s="36" t="s">
        <v>2854</v>
      </c>
      <c r="E6497" s="36" t="s">
        <v>148</v>
      </c>
      <c r="J6497" s="87">
        <v>88000</v>
      </c>
      <c r="K6497" s="85">
        <v>2025</v>
      </c>
      <c r="L6497" s="85">
        <v>6</v>
      </c>
      <c r="N6497" s="1" t="s">
        <v>44</v>
      </c>
    </row>
    <row r="6498" spans="1:14">
      <c r="A6498" s="36" t="s">
        <v>33</v>
      </c>
      <c r="B6498" s="37">
        <v>45876</v>
      </c>
      <c r="C6498" s="36" t="s">
        <v>838</v>
      </c>
      <c r="D6498" s="36" t="s">
        <v>2854</v>
      </c>
      <c r="E6498" s="36" t="s">
        <v>2979</v>
      </c>
      <c r="J6498" s="87">
        <v>605000</v>
      </c>
      <c r="K6498" s="85">
        <v>2025</v>
      </c>
      <c r="L6498" s="85">
        <v>6</v>
      </c>
      <c r="N6498" s="1" t="s">
        <v>44</v>
      </c>
    </row>
    <row r="6499" spans="1:14">
      <c r="A6499" s="36" t="s">
        <v>33</v>
      </c>
      <c r="B6499" s="37">
        <v>45869</v>
      </c>
      <c r="C6499" s="36" t="s">
        <v>2188</v>
      </c>
      <c r="D6499" s="36" t="s">
        <v>3111</v>
      </c>
      <c r="E6499" s="36" t="s">
        <v>447</v>
      </c>
      <c r="G6499" s="87">
        <v>160000</v>
      </c>
      <c r="H6499" s="87">
        <v>16000</v>
      </c>
      <c r="I6499" s="87">
        <v>176000</v>
      </c>
      <c r="K6499" s="85">
        <v>2025</v>
      </c>
      <c r="L6499" s="85">
        <v>7</v>
      </c>
      <c r="N6499" s="1" t="s">
        <v>44</v>
      </c>
    </row>
    <row r="6500" spans="1:14">
      <c r="A6500" s="36" t="s">
        <v>33</v>
      </c>
      <c r="B6500" s="37">
        <v>45869</v>
      </c>
      <c r="C6500" s="36" t="s">
        <v>2188</v>
      </c>
      <c r="D6500" s="36" t="s">
        <v>2980</v>
      </c>
      <c r="E6500" s="36" t="s">
        <v>2040</v>
      </c>
      <c r="G6500" s="87">
        <v>275100</v>
      </c>
      <c r="H6500" s="87">
        <v>27510</v>
      </c>
      <c r="I6500" s="87">
        <v>302610</v>
      </c>
      <c r="K6500" s="85">
        <v>2025</v>
      </c>
      <c r="L6500" s="85">
        <v>7</v>
      </c>
      <c r="N6500" s="1" t="s">
        <v>44</v>
      </c>
    </row>
    <row r="6501" spans="1:14">
      <c r="A6501" s="36" t="s">
        <v>33</v>
      </c>
      <c r="B6501" s="37">
        <v>45869</v>
      </c>
      <c r="C6501" s="36" t="s">
        <v>2934</v>
      </c>
      <c r="D6501" s="36" t="s">
        <v>2933</v>
      </c>
      <c r="E6501" s="36" t="s">
        <v>2981</v>
      </c>
      <c r="G6501" s="87">
        <v>1050000</v>
      </c>
      <c r="H6501" s="87">
        <v>105000</v>
      </c>
      <c r="I6501" s="87">
        <v>1155000</v>
      </c>
      <c r="K6501" s="85">
        <v>2025</v>
      </c>
      <c r="L6501" s="85">
        <v>7</v>
      </c>
      <c r="N6501" s="1" t="s">
        <v>44</v>
      </c>
    </row>
    <row r="6502" spans="1:14">
      <c r="A6502" s="36" t="s">
        <v>33</v>
      </c>
      <c r="B6502" s="37">
        <v>45869</v>
      </c>
      <c r="C6502" s="36" t="s">
        <v>2858</v>
      </c>
      <c r="D6502" s="36" t="s">
        <v>2982</v>
      </c>
      <c r="E6502" s="36" t="s">
        <v>97</v>
      </c>
      <c r="G6502" s="87">
        <v>120000</v>
      </c>
      <c r="H6502" s="87">
        <v>12000</v>
      </c>
      <c r="I6502" s="87">
        <v>132000</v>
      </c>
      <c r="K6502" s="85">
        <v>2025</v>
      </c>
      <c r="L6502" s="85">
        <v>7</v>
      </c>
      <c r="N6502" s="1" t="s">
        <v>44</v>
      </c>
    </row>
    <row r="6503" spans="1:14">
      <c r="A6503" s="36" t="s">
        <v>33</v>
      </c>
      <c r="B6503" s="37">
        <v>45869</v>
      </c>
      <c r="C6503" s="36" t="s">
        <v>2983</v>
      </c>
      <c r="D6503" s="36" t="s">
        <v>2987</v>
      </c>
      <c r="E6503" s="36" t="s">
        <v>2984</v>
      </c>
      <c r="G6503" s="87">
        <v>910000</v>
      </c>
      <c r="H6503" s="87">
        <v>91000</v>
      </c>
      <c r="I6503" s="87">
        <v>1001000</v>
      </c>
      <c r="K6503" s="85">
        <v>2025</v>
      </c>
      <c r="L6503" s="85">
        <v>7</v>
      </c>
      <c r="N6503" s="1" t="s">
        <v>44</v>
      </c>
    </row>
    <row r="6504" spans="1:14">
      <c r="A6504" s="36" t="s">
        <v>33</v>
      </c>
      <c r="B6504" s="37">
        <v>45869</v>
      </c>
      <c r="C6504" s="36" t="s">
        <v>2985</v>
      </c>
      <c r="D6504" s="36" t="s">
        <v>2988</v>
      </c>
      <c r="E6504" s="36" t="s">
        <v>2986</v>
      </c>
      <c r="G6504" s="87">
        <v>3400000</v>
      </c>
      <c r="H6504" s="87">
        <v>340000</v>
      </c>
      <c r="I6504" s="87">
        <v>3740000</v>
      </c>
      <c r="K6504" s="85">
        <v>2025</v>
      </c>
      <c r="L6504" s="85">
        <v>7</v>
      </c>
      <c r="N6504" s="1" t="s">
        <v>44</v>
      </c>
    </row>
    <row r="6505" spans="1:14">
      <c r="A6505" s="36" t="s">
        <v>33</v>
      </c>
      <c r="B6505" s="37">
        <v>45869</v>
      </c>
      <c r="C6505" s="36" t="s">
        <v>2540</v>
      </c>
      <c r="D6505" s="36" t="s">
        <v>2541</v>
      </c>
      <c r="E6505" s="36" t="s">
        <v>469</v>
      </c>
      <c r="G6505" s="87">
        <v>1096000</v>
      </c>
      <c r="H6505" s="87">
        <v>109600</v>
      </c>
      <c r="I6505" s="87">
        <v>1205600</v>
      </c>
      <c r="K6505" s="85">
        <v>2025</v>
      </c>
      <c r="L6505" s="85">
        <v>7</v>
      </c>
      <c r="N6505" s="1" t="s">
        <v>44</v>
      </c>
    </row>
    <row r="6506" spans="1:14">
      <c r="A6506" s="36" t="s">
        <v>33</v>
      </c>
      <c r="B6506" s="37">
        <v>45869</v>
      </c>
      <c r="C6506" s="36" t="s">
        <v>2587</v>
      </c>
      <c r="D6506" s="36" t="s">
        <v>2588</v>
      </c>
      <c r="E6506" s="36" t="s">
        <v>2115</v>
      </c>
      <c r="G6506" s="87">
        <v>2642000</v>
      </c>
      <c r="H6506" s="87">
        <v>264200</v>
      </c>
      <c r="I6506" s="87">
        <v>2906200</v>
      </c>
      <c r="K6506" s="85">
        <v>2025</v>
      </c>
      <c r="L6506" s="85">
        <v>7</v>
      </c>
      <c r="N6506" s="1" t="s">
        <v>44</v>
      </c>
    </row>
    <row r="6507" spans="1:14">
      <c r="A6507" s="36" t="s">
        <v>33</v>
      </c>
      <c r="B6507" s="37">
        <v>45874</v>
      </c>
      <c r="C6507" s="36" t="s">
        <v>2989</v>
      </c>
      <c r="D6507" s="36" t="s">
        <v>2990</v>
      </c>
      <c r="E6507" s="36" t="s">
        <v>2991</v>
      </c>
      <c r="G6507" s="87">
        <v>180000</v>
      </c>
      <c r="H6507" s="87">
        <v>18000</v>
      </c>
      <c r="I6507" s="87">
        <v>198000</v>
      </c>
      <c r="K6507" s="85">
        <v>2025</v>
      </c>
      <c r="L6507" s="85">
        <v>8</v>
      </c>
      <c r="N6507" s="1" t="s">
        <v>44</v>
      </c>
    </row>
    <row r="6508" spans="1:14">
      <c r="A6508" s="36" t="s">
        <v>33</v>
      </c>
      <c r="B6508" s="37">
        <v>45869</v>
      </c>
      <c r="C6508" s="36" t="s">
        <v>2016</v>
      </c>
      <c r="D6508" s="36" t="s">
        <v>2468</v>
      </c>
      <c r="E6508" s="36" t="s">
        <v>2851</v>
      </c>
      <c r="J6508" s="87">
        <v>120340000</v>
      </c>
      <c r="K6508" s="85">
        <v>2025</v>
      </c>
      <c r="L6508" s="85">
        <v>6</v>
      </c>
      <c r="N6508" s="1" t="s">
        <v>44</v>
      </c>
    </row>
    <row r="6509" spans="1:14">
      <c r="A6509" s="36" t="s">
        <v>32</v>
      </c>
      <c r="B6509" s="37">
        <v>45876</v>
      </c>
      <c r="C6509" s="36" t="s">
        <v>2872</v>
      </c>
      <c r="D6509" s="36" t="s">
        <v>2885</v>
      </c>
      <c r="E6509" s="36" t="s">
        <v>148</v>
      </c>
      <c r="J6509" s="87">
        <v>16500000</v>
      </c>
      <c r="K6509" s="85">
        <v>2025</v>
      </c>
      <c r="L6509" s="85">
        <v>6</v>
      </c>
      <c r="N6509" s="1" t="s">
        <v>44</v>
      </c>
    </row>
    <row r="6510" spans="1:14">
      <c r="A6510" s="36" t="s">
        <v>33</v>
      </c>
      <c r="B6510" s="37">
        <v>45863</v>
      </c>
      <c r="C6510" s="36" t="s">
        <v>1569</v>
      </c>
      <c r="D6510" s="36" t="s">
        <v>2936</v>
      </c>
      <c r="E6510" s="36" t="s">
        <v>1556</v>
      </c>
      <c r="G6510" s="87">
        <v>1640800</v>
      </c>
      <c r="H6510" s="87">
        <v>164080</v>
      </c>
      <c r="I6510" s="87">
        <v>1804880</v>
      </c>
      <c r="K6510" s="85">
        <v>2025</v>
      </c>
      <c r="L6510" s="85">
        <v>7</v>
      </c>
      <c r="N6510" s="1" t="s">
        <v>44</v>
      </c>
    </row>
    <row r="6511" spans="1:14">
      <c r="A6511" s="36" t="s">
        <v>33</v>
      </c>
      <c r="B6511" s="37">
        <v>45869</v>
      </c>
      <c r="C6511" s="36" t="s">
        <v>81</v>
      </c>
      <c r="D6511" s="36" t="s">
        <v>2993</v>
      </c>
      <c r="E6511" s="36" t="s">
        <v>2994</v>
      </c>
      <c r="G6511" s="87">
        <v>1184000</v>
      </c>
      <c r="H6511" s="87">
        <v>118400</v>
      </c>
      <c r="I6511" s="87">
        <v>1302400</v>
      </c>
      <c r="K6511" s="85">
        <v>2025</v>
      </c>
      <c r="L6511" s="85">
        <v>7</v>
      </c>
      <c r="N6511" s="1" t="s">
        <v>44</v>
      </c>
    </row>
    <row r="6512" spans="1:14">
      <c r="A6512" s="36" t="s">
        <v>33</v>
      </c>
      <c r="B6512" s="37">
        <v>45869</v>
      </c>
      <c r="C6512" s="36" t="s">
        <v>81</v>
      </c>
      <c r="D6512" s="36" t="s">
        <v>2466</v>
      </c>
      <c r="E6512" s="36" t="s">
        <v>1773</v>
      </c>
      <c r="G6512" s="87">
        <v>3050746</v>
      </c>
      <c r="H6512" s="87">
        <v>305074</v>
      </c>
      <c r="I6512" s="87">
        <v>3355820</v>
      </c>
      <c r="K6512" s="85">
        <v>2025</v>
      </c>
      <c r="L6512" s="85">
        <v>7</v>
      </c>
      <c r="N6512" s="1" t="s">
        <v>44</v>
      </c>
    </row>
    <row r="6513" spans="1:14">
      <c r="A6513" s="36" t="s">
        <v>32</v>
      </c>
      <c r="B6513" s="37">
        <v>45869</v>
      </c>
      <c r="C6513" s="36" t="s">
        <v>1462</v>
      </c>
      <c r="D6513" s="36" t="s">
        <v>2962</v>
      </c>
      <c r="E6513" s="36" t="s">
        <v>76</v>
      </c>
      <c r="G6513" s="87">
        <v>-2095995</v>
      </c>
      <c r="H6513" s="87">
        <v>-209599.5</v>
      </c>
      <c r="I6513" s="87">
        <v>-2305594.5</v>
      </c>
      <c r="K6513" s="85">
        <v>2025</v>
      </c>
      <c r="L6513" s="85">
        <v>3</v>
      </c>
      <c r="N6513" s="1" t="s">
        <v>44</v>
      </c>
    </row>
    <row r="6514" spans="1:14">
      <c r="A6514" s="36" t="s">
        <v>32</v>
      </c>
      <c r="B6514" s="37">
        <v>45869</v>
      </c>
      <c r="C6514" s="36" t="s">
        <v>2671</v>
      </c>
      <c r="D6514" s="36" t="s">
        <v>2683</v>
      </c>
      <c r="E6514" s="36" t="s">
        <v>76</v>
      </c>
      <c r="G6514" s="87">
        <v>-7904005</v>
      </c>
      <c r="H6514" s="87">
        <v>-790400.5</v>
      </c>
      <c r="I6514" s="87">
        <v>-8694405.5</v>
      </c>
      <c r="K6514" s="85">
        <v>2025</v>
      </c>
      <c r="L6514" s="85">
        <v>3</v>
      </c>
      <c r="N6514" s="1" t="s">
        <v>44</v>
      </c>
    </row>
    <row r="6515" spans="1:14">
      <c r="A6515" s="36" t="s">
        <v>33</v>
      </c>
      <c r="B6515" s="37">
        <v>45880</v>
      </c>
      <c r="C6515" s="36" t="s">
        <v>2856</v>
      </c>
      <c r="D6515" s="36" t="s">
        <v>1412</v>
      </c>
      <c r="E6515" s="36" t="s">
        <v>148</v>
      </c>
      <c r="J6515" s="87">
        <v>5741340</v>
      </c>
      <c r="K6515" s="85">
        <v>2025</v>
      </c>
      <c r="L6515" s="85">
        <v>5</v>
      </c>
      <c r="N6515" s="1" t="s">
        <v>44</v>
      </c>
    </row>
    <row r="6516" spans="1:14">
      <c r="A6516" s="36" t="s">
        <v>33</v>
      </c>
      <c r="B6516" s="37">
        <v>45869</v>
      </c>
      <c r="C6516" s="36" t="s">
        <v>2995</v>
      </c>
      <c r="D6516" s="36" t="s">
        <v>2996</v>
      </c>
      <c r="E6516" s="36" t="s">
        <v>2458</v>
      </c>
      <c r="G6516" s="87">
        <v>729000</v>
      </c>
      <c r="H6516" s="87">
        <v>72900</v>
      </c>
      <c r="I6516" s="87">
        <v>801900</v>
      </c>
      <c r="K6516" s="85">
        <v>2025</v>
      </c>
      <c r="L6516" s="85">
        <v>7</v>
      </c>
      <c r="N6516" s="1" t="s">
        <v>44</v>
      </c>
    </row>
    <row r="6517" spans="1:14">
      <c r="A6517" s="36" t="s">
        <v>33</v>
      </c>
      <c r="B6517" s="37">
        <v>45869</v>
      </c>
      <c r="C6517" s="36" t="s">
        <v>2116</v>
      </c>
      <c r="D6517" s="36" t="s">
        <v>2117</v>
      </c>
      <c r="E6517" s="36" t="s">
        <v>2118</v>
      </c>
      <c r="G6517" s="87">
        <v>1078000</v>
      </c>
      <c r="H6517" s="87">
        <v>107800</v>
      </c>
      <c r="I6517" s="87">
        <v>1185800</v>
      </c>
      <c r="K6517" s="85">
        <v>2025</v>
      </c>
      <c r="L6517" s="85">
        <v>7</v>
      </c>
      <c r="N6517" s="1" t="s">
        <v>44</v>
      </c>
    </row>
    <row r="6518" spans="1:14">
      <c r="A6518" s="36" t="s">
        <v>33</v>
      </c>
      <c r="B6518" s="37">
        <v>45880</v>
      </c>
      <c r="C6518" s="36" t="s">
        <v>2934</v>
      </c>
      <c r="D6518" s="36" t="s">
        <v>2933</v>
      </c>
      <c r="E6518" s="36" t="s">
        <v>148</v>
      </c>
      <c r="J6518" s="87">
        <v>1848000</v>
      </c>
      <c r="K6518" s="85">
        <v>2025</v>
      </c>
      <c r="L6518" s="85">
        <v>6</v>
      </c>
      <c r="N6518" s="208" t="s">
        <v>44</v>
      </c>
    </row>
    <row r="6519" spans="1:14">
      <c r="A6519" s="36" t="s">
        <v>32</v>
      </c>
      <c r="B6519" s="37">
        <v>45880</v>
      </c>
      <c r="C6519" s="36" t="s">
        <v>1198</v>
      </c>
      <c r="D6519" s="36" t="s">
        <v>2887</v>
      </c>
      <c r="E6519" s="36" t="s">
        <v>2520</v>
      </c>
      <c r="J6519" s="87">
        <v>5507040</v>
      </c>
      <c r="K6519" s="85">
        <v>2025</v>
      </c>
      <c r="L6519" s="85">
        <v>5</v>
      </c>
      <c r="N6519" s="1" t="s">
        <v>44</v>
      </c>
    </row>
    <row r="6520" spans="1:14">
      <c r="A6520" s="36" t="s">
        <v>32</v>
      </c>
      <c r="B6520" s="37">
        <v>45880</v>
      </c>
      <c r="C6520" s="36" t="s">
        <v>1198</v>
      </c>
      <c r="D6520" s="36" t="s">
        <v>2887</v>
      </c>
      <c r="E6520" s="36" t="s">
        <v>2887</v>
      </c>
      <c r="J6520" s="87">
        <v>2781900</v>
      </c>
      <c r="K6520" s="85">
        <v>2025</v>
      </c>
      <c r="L6520" s="85">
        <v>6</v>
      </c>
      <c r="N6520" s="1" t="s">
        <v>44</v>
      </c>
    </row>
    <row r="6521" spans="1:14">
      <c r="A6521" s="36" t="s">
        <v>33</v>
      </c>
      <c r="B6521" s="37">
        <v>45869</v>
      </c>
      <c r="C6521" s="36" t="s">
        <v>2997</v>
      </c>
      <c r="D6521" s="36" t="s">
        <v>2998</v>
      </c>
      <c r="E6521" s="36" t="s">
        <v>470</v>
      </c>
      <c r="G6521" s="87">
        <v>167273</v>
      </c>
      <c r="H6521" s="87">
        <v>16727.3</v>
      </c>
      <c r="I6521" s="87">
        <v>184000.3</v>
      </c>
      <c r="K6521" s="85">
        <v>2025</v>
      </c>
      <c r="L6521" s="85">
        <v>7</v>
      </c>
      <c r="M6521" s="36" t="s">
        <v>2999</v>
      </c>
      <c r="N6521" s="1" t="s">
        <v>44</v>
      </c>
    </row>
    <row r="6522" spans="1:14">
      <c r="A6522" s="36" t="s">
        <v>33</v>
      </c>
      <c r="B6522" s="37">
        <v>45853</v>
      </c>
      <c r="C6522" s="36" t="s">
        <v>2016</v>
      </c>
      <c r="D6522" s="36" t="s">
        <v>3000</v>
      </c>
      <c r="E6522" s="36" t="s">
        <v>1492</v>
      </c>
      <c r="G6522" s="87">
        <v>68980000</v>
      </c>
      <c r="H6522" s="87">
        <v>6898000</v>
      </c>
      <c r="I6522" s="87">
        <v>75878000</v>
      </c>
      <c r="K6522" s="85">
        <v>2025</v>
      </c>
      <c r="L6522" s="85">
        <v>7</v>
      </c>
      <c r="N6522" s="1" t="s">
        <v>44</v>
      </c>
    </row>
    <row r="6523" spans="1:14">
      <c r="A6523" s="36" t="s">
        <v>33</v>
      </c>
      <c r="B6523" s="37">
        <v>45869</v>
      </c>
      <c r="C6523" s="36" t="s">
        <v>2016</v>
      </c>
      <c r="D6523" s="36" t="s">
        <v>2622</v>
      </c>
      <c r="E6523" s="36" t="s">
        <v>1492</v>
      </c>
      <c r="G6523" s="87">
        <v>90943000</v>
      </c>
      <c r="H6523" s="87">
        <v>9094300</v>
      </c>
      <c r="I6523" s="87">
        <v>100037300</v>
      </c>
      <c r="K6523" s="85">
        <v>2025</v>
      </c>
      <c r="L6523" s="85">
        <v>7</v>
      </c>
      <c r="N6523" s="1" t="s">
        <v>44</v>
      </c>
    </row>
    <row r="6524" spans="1:14">
      <c r="A6524" s="36" t="s">
        <v>33</v>
      </c>
      <c r="B6524" s="37">
        <v>45881</v>
      </c>
      <c r="C6524" s="36" t="s">
        <v>838</v>
      </c>
      <c r="D6524" s="36" t="s">
        <v>2972</v>
      </c>
      <c r="E6524" s="36" t="s">
        <v>3001</v>
      </c>
      <c r="J6524" s="87">
        <v>6655000</v>
      </c>
      <c r="K6524" s="85">
        <v>2025</v>
      </c>
      <c r="L6524" s="85">
        <v>7</v>
      </c>
      <c r="N6524" s="1" t="s">
        <v>44</v>
      </c>
    </row>
    <row r="6525" spans="1:14">
      <c r="A6525" s="36" t="s">
        <v>32</v>
      </c>
      <c r="B6525" s="37">
        <v>45856</v>
      </c>
      <c r="C6525" s="36" t="s">
        <v>3002</v>
      </c>
      <c r="D6525" s="36" t="s">
        <v>3006</v>
      </c>
      <c r="E6525" s="36" t="s">
        <v>267</v>
      </c>
      <c r="G6525" s="87">
        <v>9090909</v>
      </c>
      <c r="H6525" s="87">
        <v>909090.9</v>
      </c>
      <c r="I6525" s="87">
        <v>9999999.9000000004</v>
      </c>
      <c r="K6525" s="85">
        <v>2025</v>
      </c>
      <c r="L6525" s="85">
        <v>7</v>
      </c>
      <c r="N6525" s="1" t="s">
        <v>44</v>
      </c>
    </row>
    <row r="6526" spans="1:14">
      <c r="A6526" s="36" t="s">
        <v>32</v>
      </c>
      <c r="B6526" s="37">
        <v>45853</v>
      </c>
      <c r="C6526" s="36" t="s">
        <v>2545</v>
      </c>
      <c r="D6526" s="36" t="s">
        <v>3007</v>
      </c>
      <c r="E6526" s="36" t="s">
        <v>3020</v>
      </c>
      <c r="G6526" s="87">
        <v>5000000</v>
      </c>
      <c r="H6526" s="87">
        <v>500000</v>
      </c>
      <c r="I6526" s="87">
        <v>5500000</v>
      </c>
      <c r="K6526" s="85">
        <v>2025</v>
      </c>
      <c r="L6526" s="85">
        <v>7</v>
      </c>
      <c r="N6526" s="1" t="s">
        <v>44</v>
      </c>
    </row>
    <row r="6527" spans="1:14">
      <c r="A6527" s="36" t="s">
        <v>32</v>
      </c>
      <c r="B6527" s="37">
        <v>45861</v>
      </c>
      <c r="C6527" s="36" t="s">
        <v>3003</v>
      </c>
      <c r="D6527" s="36" t="s">
        <v>3008</v>
      </c>
      <c r="E6527" s="36" t="s">
        <v>267</v>
      </c>
      <c r="G6527" s="87">
        <v>5000000</v>
      </c>
      <c r="H6527" s="87">
        <v>500000</v>
      </c>
      <c r="I6527" s="87">
        <v>5500000</v>
      </c>
      <c r="K6527" s="85">
        <v>2025</v>
      </c>
      <c r="L6527" s="85">
        <v>7</v>
      </c>
      <c r="N6527" s="1" t="s">
        <v>44</v>
      </c>
    </row>
    <row r="6528" spans="1:14">
      <c r="A6528" s="36" t="s">
        <v>32</v>
      </c>
      <c r="B6528" s="37">
        <v>45866</v>
      </c>
      <c r="C6528" s="36" t="s">
        <v>2005</v>
      </c>
      <c r="D6528" s="36" t="s">
        <v>3009</v>
      </c>
      <c r="E6528" s="36" t="s">
        <v>267</v>
      </c>
      <c r="G6528" s="87">
        <v>7500000</v>
      </c>
      <c r="H6528" s="87">
        <v>750000</v>
      </c>
      <c r="I6528" s="87">
        <v>8250000</v>
      </c>
      <c r="K6528" s="85">
        <v>2025</v>
      </c>
      <c r="L6528" s="85">
        <v>7</v>
      </c>
      <c r="N6528" s="1" t="s">
        <v>44</v>
      </c>
    </row>
    <row r="6529" spans="1:14">
      <c r="A6529" s="36" t="s">
        <v>32</v>
      </c>
      <c r="B6529" s="37">
        <v>45869</v>
      </c>
      <c r="C6529" s="36" t="s">
        <v>2476</v>
      </c>
      <c r="D6529" s="36" t="s">
        <v>3010</v>
      </c>
      <c r="E6529" s="36" t="s">
        <v>267</v>
      </c>
      <c r="G6529" s="87">
        <v>5460000</v>
      </c>
      <c r="H6529" s="87">
        <v>546000</v>
      </c>
      <c r="I6529" s="87">
        <v>6006000</v>
      </c>
      <c r="K6529" s="85">
        <v>2025</v>
      </c>
      <c r="L6529" s="85">
        <v>7</v>
      </c>
      <c r="N6529" s="1" t="s">
        <v>44</v>
      </c>
    </row>
    <row r="6530" spans="1:14">
      <c r="A6530" s="36" t="s">
        <v>32</v>
      </c>
      <c r="B6530" s="37">
        <v>45869</v>
      </c>
      <c r="C6530" s="36" t="s">
        <v>209</v>
      </c>
      <c r="D6530" s="36" t="s">
        <v>3011</v>
      </c>
      <c r="E6530" s="36" t="s">
        <v>76</v>
      </c>
      <c r="G6530" s="87">
        <v>1620000</v>
      </c>
      <c r="H6530" s="87">
        <v>162000</v>
      </c>
      <c r="I6530" s="87">
        <v>1782000</v>
      </c>
      <c r="K6530" s="85">
        <v>2025</v>
      </c>
      <c r="L6530" s="85">
        <v>7</v>
      </c>
      <c r="N6530" s="1" t="s">
        <v>44</v>
      </c>
    </row>
    <row r="6531" spans="1:14">
      <c r="A6531" s="36" t="s">
        <v>32</v>
      </c>
      <c r="B6531" s="37">
        <v>45869</v>
      </c>
      <c r="C6531" s="36" t="s">
        <v>1218</v>
      </c>
      <c r="D6531" s="36" t="s">
        <v>3012</v>
      </c>
      <c r="E6531" s="36" t="s">
        <v>267</v>
      </c>
      <c r="G6531" s="87">
        <v>600000</v>
      </c>
      <c r="H6531" s="87">
        <v>60000</v>
      </c>
      <c r="I6531" s="87">
        <v>660000</v>
      </c>
      <c r="K6531" s="85">
        <v>2025</v>
      </c>
      <c r="L6531" s="85">
        <v>7</v>
      </c>
      <c r="N6531" s="1" t="s">
        <v>44</v>
      </c>
    </row>
    <row r="6532" spans="1:14">
      <c r="A6532" s="36" t="s">
        <v>32</v>
      </c>
      <c r="B6532" s="37">
        <v>45869</v>
      </c>
      <c r="C6532" s="36" t="s">
        <v>3004</v>
      </c>
      <c r="D6532" s="36" t="s">
        <v>3013</v>
      </c>
      <c r="E6532" s="36" t="s">
        <v>267</v>
      </c>
      <c r="G6532" s="87">
        <v>40000000</v>
      </c>
      <c r="H6532" s="87">
        <v>4000000</v>
      </c>
      <c r="I6532" s="87">
        <v>44000000</v>
      </c>
      <c r="K6532" s="85">
        <v>2025</v>
      </c>
      <c r="L6532" s="85">
        <v>7</v>
      </c>
      <c r="N6532" s="1" t="s">
        <v>44</v>
      </c>
    </row>
    <row r="6533" spans="1:14">
      <c r="A6533" s="36" t="s">
        <v>32</v>
      </c>
      <c r="B6533" s="37">
        <v>45869</v>
      </c>
      <c r="C6533" s="36" t="s">
        <v>3005</v>
      </c>
      <c r="D6533" s="36" t="s">
        <v>3014</v>
      </c>
      <c r="E6533" s="36" t="s">
        <v>630</v>
      </c>
      <c r="G6533" s="87">
        <v>3077000</v>
      </c>
      <c r="H6533" s="87">
        <v>307700</v>
      </c>
      <c r="I6533" s="87">
        <v>3384700</v>
      </c>
      <c r="K6533" s="85">
        <v>2025</v>
      </c>
      <c r="L6533" s="85">
        <v>7</v>
      </c>
      <c r="N6533" s="1" t="s">
        <v>44</v>
      </c>
    </row>
    <row r="6534" spans="1:14">
      <c r="A6534" s="36" t="s">
        <v>32</v>
      </c>
      <c r="B6534" s="37">
        <v>45869</v>
      </c>
      <c r="C6534" s="36" t="s">
        <v>264</v>
      </c>
      <c r="D6534" s="36" t="s">
        <v>3015</v>
      </c>
      <c r="E6534" s="36" t="s">
        <v>76</v>
      </c>
      <c r="G6534" s="87">
        <v>16200000</v>
      </c>
      <c r="H6534" s="87">
        <v>1620000</v>
      </c>
      <c r="I6534" s="87">
        <v>17820000</v>
      </c>
      <c r="K6534" s="85">
        <v>2025</v>
      </c>
      <c r="L6534" s="85">
        <v>7</v>
      </c>
      <c r="N6534" s="1" t="s">
        <v>44</v>
      </c>
    </row>
    <row r="6535" spans="1:14">
      <c r="A6535" s="36" t="s">
        <v>32</v>
      </c>
      <c r="B6535" s="37">
        <v>45869</v>
      </c>
      <c r="C6535" s="36" t="s">
        <v>661</v>
      </c>
      <c r="D6535" s="36" t="s">
        <v>2783</v>
      </c>
      <c r="E6535" s="36" t="s">
        <v>1492</v>
      </c>
      <c r="G6535" s="87">
        <v>3128200</v>
      </c>
      <c r="H6535" s="87">
        <v>312820</v>
      </c>
      <c r="I6535" s="87">
        <v>3441020</v>
      </c>
      <c r="K6535" s="85">
        <v>2025</v>
      </c>
      <c r="L6535" s="85">
        <v>7</v>
      </c>
      <c r="N6535" s="1" t="s">
        <v>44</v>
      </c>
    </row>
    <row r="6536" spans="1:14">
      <c r="A6536" s="36" t="s">
        <v>32</v>
      </c>
      <c r="B6536" s="37">
        <v>45869</v>
      </c>
      <c r="C6536" s="36" t="s">
        <v>2774</v>
      </c>
      <c r="D6536" s="36" t="s">
        <v>2784</v>
      </c>
      <c r="E6536" s="36" t="s">
        <v>76</v>
      </c>
      <c r="G6536" s="87">
        <v>12283600</v>
      </c>
      <c r="H6536" s="87">
        <v>1228360</v>
      </c>
      <c r="I6536" s="87">
        <v>13511960</v>
      </c>
      <c r="K6536" s="85">
        <v>2025</v>
      </c>
      <c r="L6536" s="85">
        <v>7</v>
      </c>
      <c r="N6536" s="1" t="s">
        <v>44</v>
      </c>
    </row>
    <row r="6537" spans="1:14">
      <c r="A6537" s="36" t="s">
        <v>32</v>
      </c>
      <c r="B6537" s="37">
        <v>45869</v>
      </c>
      <c r="C6537" s="36" t="s">
        <v>654</v>
      </c>
      <c r="D6537" s="36" t="s">
        <v>2588</v>
      </c>
      <c r="E6537" s="36" t="s">
        <v>76</v>
      </c>
      <c r="G6537" s="87">
        <v>7975640</v>
      </c>
      <c r="H6537" s="87">
        <v>797564</v>
      </c>
      <c r="I6537" s="87">
        <v>8773204</v>
      </c>
      <c r="K6537" s="85">
        <v>2025</v>
      </c>
      <c r="L6537" s="85">
        <v>7</v>
      </c>
      <c r="N6537" s="1" t="s">
        <v>44</v>
      </c>
    </row>
    <row r="6538" spans="1:14">
      <c r="A6538" s="36" t="s">
        <v>32</v>
      </c>
      <c r="B6538" s="37">
        <v>45869</v>
      </c>
      <c r="C6538" s="36" t="s">
        <v>654</v>
      </c>
      <c r="D6538" s="36" t="s">
        <v>2541</v>
      </c>
      <c r="E6538" s="36" t="s">
        <v>76</v>
      </c>
      <c r="G6538" s="87">
        <v>44800000</v>
      </c>
      <c r="H6538" s="87">
        <v>4480000</v>
      </c>
      <c r="I6538" s="87">
        <v>49280000</v>
      </c>
      <c r="K6538" s="85">
        <v>2025</v>
      </c>
      <c r="L6538" s="85">
        <v>7</v>
      </c>
      <c r="N6538" s="1" t="s">
        <v>44</v>
      </c>
    </row>
    <row r="6539" spans="1:14">
      <c r="A6539" s="36" t="s">
        <v>32</v>
      </c>
      <c r="B6539" s="37">
        <v>45869</v>
      </c>
      <c r="C6539" s="36" t="s">
        <v>654</v>
      </c>
      <c r="D6539" s="36" t="s">
        <v>1854</v>
      </c>
      <c r="E6539" s="36" t="s">
        <v>637</v>
      </c>
      <c r="G6539" s="87">
        <v>10000000</v>
      </c>
      <c r="H6539" s="87">
        <v>1000000</v>
      </c>
      <c r="I6539" s="87">
        <v>11000000</v>
      </c>
      <c r="K6539" s="85">
        <v>2025</v>
      </c>
      <c r="L6539" s="85">
        <v>7</v>
      </c>
      <c r="N6539" s="1" t="s">
        <v>44</v>
      </c>
    </row>
    <row r="6540" spans="1:14">
      <c r="A6540" s="36" t="s">
        <v>32</v>
      </c>
      <c r="B6540" s="37">
        <v>45869</v>
      </c>
      <c r="C6540" s="36" t="s">
        <v>1396</v>
      </c>
      <c r="D6540" s="36" t="s">
        <v>2953</v>
      </c>
      <c r="E6540" s="36" t="s">
        <v>267</v>
      </c>
      <c r="G6540" s="87">
        <v>4860000</v>
      </c>
      <c r="H6540" s="87">
        <v>486000</v>
      </c>
      <c r="I6540" s="87">
        <v>5346000</v>
      </c>
      <c r="K6540" s="85">
        <v>2025</v>
      </c>
      <c r="L6540" s="85">
        <v>7</v>
      </c>
      <c r="N6540" s="1" t="s">
        <v>44</v>
      </c>
    </row>
    <row r="6541" spans="1:14">
      <c r="A6541" s="36" t="s">
        <v>32</v>
      </c>
      <c r="B6541" s="37">
        <v>45869</v>
      </c>
      <c r="C6541" s="36" t="s">
        <v>1396</v>
      </c>
      <c r="D6541" s="36" t="s">
        <v>2954</v>
      </c>
      <c r="E6541" s="36" t="s">
        <v>1492</v>
      </c>
      <c r="G6541" s="87">
        <v>1730000</v>
      </c>
      <c r="H6541" s="87">
        <v>173000</v>
      </c>
      <c r="I6541" s="87">
        <v>1903000</v>
      </c>
      <c r="K6541" s="85">
        <v>2025</v>
      </c>
      <c r="L6541" s="85">
        <v>7</v>
      </c>
      <c r="N6541" s="1" t="s">
        <v>44</v>
      </c>
    </row>
    <row r="6542" spans="1:14">
      <c r="A6542" s="36" t="s">
        <v>32</v>
      </c>
      <c r="B6542" s="37">
        <v>45869</v>
      </c>
      <c r="C6542" s="36" t="s">
        <v>3002</v>
      </c>
      <c r="D6542" s="36" t="s">
        <v>3016</v>
      </c>
      <c r="E6542" s="36" t="s">
        <v>76</v>
      </c>
      <c r="G6542" s="87">
        <v>10540000</v>
      </c>
      <c r="H6542" s="87">
        <v>1054000</v>
      </c>
      <c r="I6542" s="87">
        <v>11594000</v>
      </c>
      <c r="K6542" s="85">
        <v>2025</v>
      </c>
      <c r="L6542" s="85">
        <v>7</v>
      </c>
      <c r="N6542" s="1" t="s">
        <v>44</v>
      </c>
    </row>
    <row r="6543" spans="1:14">
      <c r="A6543" s="36" t="s">
        <v>32</v>
      </c>
      <c r="B6543" s="37">
        <v>45869</v>
      </c>
      <c r="C6543" s="36" t="s">
        <v>291</v>
      </c>
      <c r="D6543" s="36" t="s">
        <v>3017</v>
      </c>
      <c r="E6543" s="36" t="s">
        <v>267</v>
      </c>
      <c r="G6543" s="87">
        <v>600000</v>
      </c>
      <c r="H6543" s="87">
        <v>60000</v>
      </c>
      <c r="I6543" s="87">
        <v>660000</v>
      </c>
      <c r="K6543" s="85">
        <v>2025</v>
      </c>
      <c r="L6543" s="85">
        <v>7</v>
      </c>
      <c r="N6543" s="1" t="s">
        <v>44</v>
      </c>
    </row>
    <row r="6544" spans="1:14">
      <c r="A6544" s="36" t="s">
        <v>32</v>
      </c>
      <c r="B6544" s="37">
        <v>45869</v>
      </c>
      <c r="C6544" s="36" t="s">
        <v>188</v>
      </c>
      <c r="D6544" s="36" t="s">
        <v>3018</v>
      </c>
      <c r="E6544" s="36" t="s">
        <v>267</v>
      </c>
      <c r="G6544" s="87">
        <v>6800000</v>
      </c>
      <c r="H6544" s="87">
        <v>680000</v>
      </c>
      <c r="I6544" s="87">
        <v>7480000</v>
      </c>
      <c r="K6544" s="85">
        <v>2025</v>
      </c>
      <c r="L6544" s="85">
        <v>7</v>
      </c>
      <c r="N6544" s="1" t="s">
        <v>44</v>
      </c>
    </row>
    <row r="6545" spans="1:14">
      <c r="A6545" s="36" t="s">
        <v>32</v>
      </c>
      <c r="B6545" s="37">
        <v>45869</v>
      </c>
      <c r="C6545" s="36" t="s">
        <v>2628</v>
      </c>
      <c r="D6545" s="36" t="s">
        <v>2639</v>
      </c>
      <c r="E6545" s="36" t="s">
        <v>76</v>
      </c>
      <c r="G6545" s="87">
        <v>8323200</v>
      </c>
      <c r="H6545" s="87">
        <v>832320</v>
      </c>
      <c r="I6545" s="87">
        <v>9155520</v>
      </c>
      <c r="K6545" s="85">
        <v>2025</v>
      </c>
      <c r="L6545" s="85">
        <v>7</v>
      </c>
      <c r="N6545" s="1" t="s">
        <v>44</v>
      </c>
    </row>
    <row r="6546" spans="1:14">
      <c r="A6546" s="36" t="s">
        <v>32</v>
      </c>
      <c r="B6546" s="37">
        <v>45869</v>
      </c>
      <c r="C6546" s="36" t="s">
        <v>1198</v>
      </c>
      <c r="D6546" s="36" t="s">
        <v>2889</v>
      </c>
      <c r="E6546" s="36" t="s">
        <v>267</v>
      </c>
      <c r="G6546" s="87">
        <v>882000</v>
      </c>
      <c r="H6546" s="87">
        <v>88200</v>
      </c>
      <c r="I6546" s="87">
        <v>970200</v>
      </c>
      <c r="K6546" s="85">
        <v>2025</v>
      </c>
      <c r="L6546" s="85">
        <v>7</v>
      </c>
      <c r="N6546" s="1" t="s">
        <v>44</v>
      </c>
    </row>
    <row r="6547" spans="1:14">
      <c r="A6547" s="36" t="s">
        <v>32</v>
      </c>
      <c r="B6547" s="37">
        <v>45869</v>
      </c>
      <c r="C6547" s="36" t="s">
        <v>1198</v>
      </c>
      <c r="D6547" s="36" t="s">
        <v>2887</v>
      </c>
      <c r="E6547" s="36" t="s">
        <v>267</v>
      </c>
      <c r="G6547" s="87">
        <v>3248000</v>
      </c>
      <c r="H6547" s="87">
        <v>324800</v>
      </c>
      <c r="I6547" s="87">
        <v>3572800</v>
      </c>
      <c r="K6547" s="85">
        <v>2025</v>
      </c>
      <c r="L6547" s="85">
        <v>7</v>
      </c>
      <c r="N6547" s="1" t="s">
        <v>44</v>
      </c>
    </row>
    <row r="6548" spans="1:14">
      <c r="A6548" s="36" t="s">
        <v>32</v>
      </c>
      <c r="B6548" s="37">
        <v>45869</v>
      </c>
      <c r="C6548" s="36" t="s">
        <v>1198</v>
      </c>
      <c r="D6548" s="36" t="s">
        <v>2998</v>
      </c>
      <c r="E6548" s="36" t="s">
        <v>267</v>
      </c>
      <c r="G6548" s="87">
        <v>6606000</v>
      </c>
      <c r="H6548" s="87">
        <v>660600</v>
      </c>
      <c r="I6548" s="87">
        <v>7266600</v>
      </c>
      <c r="K6548" s="85">
        <v>2025</v>
      </c>
      <c r="L6548" s="85">
        <v>7</v>
      </c>
      <c r="N6548" s="1" t="s">
        <v>44</v>
      </c>
    </row>
    <row r="6549" spans="1:14">
      <c r="A6549" s="36" t="s">
        <v>32</v>
      </c>
      <c r="B6549" s="37">
        <v>45869</v>
      </c>
      <c r="C6549" s="36" t="s">
        <v>2868</v>
      </c>
      <c r="D6549" s="36" t="s">
        <v>2875</v>
      </c>
      <c r="E6549" s="36" t="s">
        <v>76</v>
      </c>
      <c r="G6549" s="87">
        <v>3800000</v>
      </c>
      <c r="H6549" s="87">
        <v>380000</v>
      </c>
      <c r="I6549" s="87">
        <v>4180000</v>
      </c>
      <c r="K6549" s="85">
        <v>2025</v>
      </c>
      <c r="L6549" s="85">
        <v>7</v>
      </c>
      <c r="N6549" s="1" t="s">
        <v>44</v>
      </c>
    </row>
    <row r="6550" spans="1:14">
      <c r="A6550" s="36" t="s">
        <v>32</v>
      </c>
      <c r="B6550" s="37">
        <v>45869</v>
      </c>
      <c r="C6550" s="36" t="s">
        <v>2822</v>
      </c>
      <c r="D6550" s="36" t="s">
        <v>3019</v>
      </c>
      <c r="E6550" s="36" t="s">
        <v>267</v>
      </c>
      <c r="G6550" s="87">
        <v>1350000</v>
      </c>
      <c r="H6550" s="87">
        <v>135000</v>
      </c>
      <c r="I6550" s="87">
        <v>1485000</v>
      </c>
      <c r="K6550" s="85">
        <v>2025</v>
      </c>
      <c r="L6550" s="85">
        <v>7</v>
      </c>
      <c r="N6550" s="1" t="s">
        <v>44</v>
      </c>
    </row>
    <row r="6551" spans="1:14">
      <c r="A6551" s="36" t="s">
        <v>32</v>
      </c>
      <c r="B6551" s="37">
        <v>45869</v>
      </c>
      <c r="C6551" s="36" t="s">
        <v>2166</v>
      </c>
      <c r="D6551" s="36" t="s">
        <v>2836</v>
      </c>
      <c r="E6551" s="36" t="s">
        <v>76</v>
      </c>
      <c r="G6551" s="87">
        <v>12319020</v>
      </c>
      <c r="H6551" s="87">
        <v>1231902</v>
      </c>
      <c r="I6551" s="87">
        <v>13550922</v>
      </c>
      <c r="K6551" s="85">
        <v>2025</v>
      </c>
      <c r="L6551" s="85">
        <v>7</v>
      </c>
      <c r="N6551" s="1" t="s">
        <v>44</v>
      </c>
    </row>
    <row r="6552" spans="1:14">
      <c r="A6552" s="36" t="s">
        <v>32</v>
      </c>
      <c r="B6552" s="37">
        <v>45869</v>
      </c>
      <c r="C6552" s="36" t="s">
        <v>2673</v>
      </c>
      <c r="D6552" s="36" t="s">
        <v>2686</v>
      </c>
      <c r="E6552" s="36" t="s">
        <v>76</v>
      </c>
      <c r="G6552" s="87">
        <v>2620320</v>
      </c>
      <c r="H6552" s="87">
        <v>262032</v>
      </c>
      <c r="I6552" s="87">
        <v>2882352</v>
      </c>
      <c r="K6552" s="85">
        <v>2025</v>
      </c>
      <c r="L6552" s="85">
        <v>7</v>
      </c>
      <c r="N6552" s="1" t="s">
        <v>44</v>
      </c>
    </row>
    <row r="6553" spans="1:14">
      <c r="A6553" s="36" t="s">
        <v>32</v>
      </c>
      <c r="B6553" s="37">
        <v>45869</v>
      </c>
      <c r="C6553" s="36" t="s">
        <v>2872</v>
      </c>
      <c r="D6553" s="36" t="s">
        <v>2885</v>
      </c>
      <c r="E6553" s="36" t="s">
        <v>76</v>
      </c>
      <c r="G6553" s="87">
        <v>9548000</v>
      </c>
      <c r="H6553" s="87">
        <v>954800</v>
      </c>
      <c r="I6553" s="87">
        <v>10502800</v>
      </c>
      <c r="K6553" s="85">
        <v>2025</v>
      </c>
      <c r="L6553" s="85">
        <v>7</v>
      </c>
      <c r="N6553" s="1" t="s">
        <v>44</v>
      </c>
    </row>
    <row r="6554" spans="1:14">
      <c r="A6554" s="36" t="s">
        <v>32</v>
      </c>
      <c r="B6554" s="37">
        <v>45869</v>
      </c>
      <c r="C6554" s="36" t="s">
        <v>2824</v>
      </c>
      <c r="D6554" s="36" t="s">
        <v>2832</v>
      </c>
      <c r="E6554" s="36" t="s">
        <v>76</v>
      </c>
      <c r="G6554" s="87">
        <v>49246900</v>
      </c>
      <c r="H6554" s="87">
        <v>4924690</v>
      </c>
      <c r="I6554" s="87">
        <v>54171590</v>
      </c>
      <c r="K6554" s="85">
        <v>2025</v>
      </c>
      <c r="L6554" s="85">
        <v>7</v>
      </c>
      <c r="N6554" s="1" t="s">
        <v>44</v>
      </c>
    </row>
    <row r="6555" spans="1:14">
      <c r="A6555" s="36" t="s">
        <v>32</v>
      </c>
      <c r="B6555" s="37">
        <v>45861</v>
      </c>
      <c r="C6555" s="36" t="s">
        <v>3002</v>
      </c>
      <c r="D6555" s="36" t="s">
        <v>3006</v>
      </c>
      <c r="E6555" s="36" t="s">
        <v>77</v>
      </c>
      <c r="J6555" s="38">
        <v>10000000</v>
      </c>
      <c r="K6555" s="85">
        <v>2025</v>
      </c>
      <c r="L6555" s="85">
        <v>7</v>
      </c>
      <c r="N6555" s="1" t="s">
        <v>44</v>
      </c>
    </row>
    <row r="6556" spans="1:14">
      <c r="A6556" s="36" t="s">
        <v>32</v>
      </c>
      <c r="B6556" s="37">
        <v>45869</v>
      </c>
      <c r="C6556" s="36" t="s">
        <v>3003</v>
      </c>
      <c r="D6556" s="36" t="s">
        <v>3008</v>
      </c>
      <c r="E6556" s="36" t="s">
        <v>77</v>
      </c>
      <c r="J6556" s="38">
        <v>5500000</v>
      </c>
      <c r="K6556" s="85">
        <v>2025</v>
      </c>
      <c r="L6556" s="85">
        <v>7</v>
      </c>
      <c r="N6556" s="1" t="s">
        <v>44</v>
      </c>
    </row>
    <row r="6557" spans="1:14">
      <c r="A6557" s="36" t="s">
        <v>32</v>
      </c>
      <c r="B6557" s="37">
        <v>45874</v>
      </c>
      <c r="C6557" s="36" t="s">
        <v>2476</v>
      </c>
      <c r="D6557" s="36" t="s">
        <v>3010</v>
      </c>
      <c r="E6557" s="36" t="s">
        <v>77</v>
      </c>
      <c r="J6557" s="38">
        <v>6006000</v>
      </c>
      <c r="K6557" s="85">
        <v>2025</v>
      </c>
      <c r="L6557" s="85">
        <v>7</v>
      </c>
      <c r="N6557" s="1" t="s">
        <v>44</v>
      </c>
    </row>
    <row r="6558" spans="1:14">
      <c r="A6558" s="36" t="s">
        <v>32</v>
      </c>
      <c r="B6558" s="37">
        <v>45880</v>
      </c>
      <c r="C6558" s="36" t="s">
        <v>3004</v>
      </c>
      <c r="D6558" s="36" t="s">
        <v>3013</v>
      </c>
      <c r="E6558" s="36" t="s">
        <v>77</v>
      </c>
      <c r="J6558" s="38">
        <v>44000000</v>
      </c>
      <c r="K6558" s="85">
        <v>2025</v>
      </c>
      <c r="L6558" s="85">
        <v>7</v>
      </c>
      <c r="N6558" s="1" t="s">
        <v>44</v>
      </c>
    </row>
    <row r="6559" spans="1:14">
      <c r="A6559" s="36" t="s">
        <v>32</v>
      </c>
      <c r="B6559" s="37">
        <v>45873</v>
      </c>
      <c r="C6559" s="36" t="s">
        <v>264</v>
      </c>
      <c r="D6559" s="36" t="s">
        <v>3015</v>
      </c>
      <c r="E6559" s="36" t="s">
        <v>77</v>
      </c>
      <c r="J6559" s="38">
        <v>17820000</v>
      </c>
      <c r="K6559" s="85">
        <v>2025</v>
      </c>
      <c r="L6559" s="85">
        <v>7</v>
      </c>
      <c r="N6559" s="1" t="s">
        <v>44</v>
      </c>
    </row>
    <row r="6560" spans="1:14">
      <c r="A6560" s="36" t="s">
        <v>32</v>
      </c>
      <c r="B6560" s="37">
        <v>45860</v>
      </c>
      <c r="C6560" s="36" t="s">
        <v>2477</v>
      </c>
      <c r="D6560" s="36" t="s">
        <v>2485</v>
      </c>
      <c r="E6560" s="36" t="s">
        <v>148</v>
      </c>
      <c r="J6560" s="87">
        <v>6926832</v>
      </c>
      <c r="K6560" s="85">
        <v>2025</v>
      </c>
      <c r="L6560" s="85">
        <v>6</v>
      </c>
      <c r="M6560" s="36" t="s">
        <v>2653</v>
      </c>
      <c r="N6560" s="1" t="s">
        <v>44</v>
      </c>
    </row>
    <row r="6561" spans="1:14">
      <c r="A6561" s="36" t="s">
        <v>32</v>
      </c>
      <c r="B6561" s="37">
        <v>45867</v>
      </c>
      <c r="C6561" s="36" t="s">
        <v>654</v>
      </c>
      <c r="D6561" s="36" t="s">
        <v>1754</v>
      </c>
      <c r="E6561" s="36" t="s">
        <v>2970</v>
      </c>
      <c r="J6561" s="292">
        <v>9299278</v>
      </c>
      <c r="K6561" s="85">
        <v>2024</v>
      </c>
      <c r="L6561" s="85">
        <v>4</v>
      </c>
      <c r="M6561" s="293" t="s">
        <v>3021</v>
      </c>
      <c r="N6561" s="1" t="s">
        <v>44</v>
      </c>
    </row>
    <row r="6562" spans="1:14">
      <c r="A6562" s="36" t="s">
        <v>32</v>
      </c>
      <c r="B6562" s="37">
        <v>45867</v>
      </c>
      <c r="C6562" s="36" t="s">
        <v>654</v>
      </c>
      <c r="D6562" s="36" t="s">
        <v>2216</v>
      </c>
      <c r="E6562" s="36" t="s">
        <v>3022</v>
      </c>
      <c r="J6562" s="294">
        <v>11056272</v>
      </c>
      <c r="K6562" s="85">
        <v>2024</v>
      </c>
      <c r="L6562" s="85">
        <v>7</v>
      </c>
      <c r="M6562" s="293" t="s">
        <v>3021</v>
      </c>
      <c r="N6562" s="1" t="s">
        <v>44</v>
      </c>
    </row>
    <row r="6563" spans="1:14">
      <c r="A6563" s="36" t="s">
        <v>32</v>
      </c>
      <c r="B6563" s="37">
        <v>45869</v>
      </c>
      <c r="C6563" s="36" t="s">
        <v>2478</v>
      </c>
      <c r="D6563" s="36" t="s">
        <v>2487</v>
      </c>
      <c r="E6563" s="36" t="s">
        <v>78</v>
      </c>
      <c r="G6563" s="87">
        <v>-9000000</v>
      </c>
      <c r="H6563" s="87">
        <v>-900000</v>
      </c>
      <c r="I6563" s="87">
        <v>-9900000</v>
      </c>
      <c r="K6563" s="85">
        <v>2025</v>
      </c>
      <c r="L6563" s="85">
        <v>4</v>
      </c>
      <c r="N6563" s="1" t="s">
        <v>44</v>
      </c>
    </row>
    <row r="6564" spans="1:14">
      <c r="A6564" s="36" t="s">
        <v>32</v>
      </c>
      <c r="B6564" s="37">
        <v>45870</v>
      </c>
      <c r="C6564" s="36" t="s">
        <v>2945</v>
      </c>
      <c r="D6564" s="36" t="s">
        <v>2956</v>
      </c>
      <c r="E6564" s="36" t="s">
        <v>148</v>
      </c>
      <c r="J6564" s="87">
        <v>858000</v>
      </c>
      <c r="K6564" s="85">
        <v>2025</v>
      </c>
      <c r="L6564" s="85">
        <v>6</v>
      </c>
      <c r="N6564" s="1" t="s">
        <v>44</v>
      </c>
    </row>
    <row r="6565" spans="1:14">
      <c r="A6565" s="36" t="s">
        <v>19</v>
      </c>
      <c r="B6565" s="37">
        <v>45883</v>
      </c>
      <c r="C6565" s="36" t="s">
        <v>2745</v>
      </c>
      <c r="D6565" s="36" t="s">
        <v>3023</v>
      </c>
      <c r="E6565" s="36" t="s">
        <v>148</v>
      </c>
      <c r="J6565" s="38">
        <v>130185</v>
      </c>
      <c r="K6565" s="85">
        <v>2025</v>
      </c>
      <c r="L6565" s="85">
        <v>7</v>
      </c>
      <c r="N6565" s="1" t="s">
        <v>44</v>
      </c>
    </row>
    <row r="6566" spans="1:14">
      <c r="A6566" s="36" t="s">
        <v>19</v>
      </c>
      <c r="B6566" s="37">
        <v>45883</v>
      </c>
      <c r="C6566" s="36" t="s">
        <v>2932</v>
      </c>
      <c r="D6566" s="36" t="s">
        <v>2931</v>
      </c>
      <c r="E6566" s="36" t="s">
        <v>148</v>
      </c>
      <c r="J6566" s="38">
        <v>7262999.7000000002</v>
      </c>
      <c r="K6566" s="85">
        <v>2025</v>
      </c>
      <c r="L6566" s="85">
        <v>7</v>
      </c>
      <c r="N6566" s="1" t="s">
        <v>44</v>
      </c>
    </row>
    <row r="6567" spans="1:14">
      <c r="A6567" s="36" t="s">
        <v>19</v>
      </c>
      <c r="B6567" s="37">
        <v>45883</v>
      </c>
      <c r="C6567" s="36" t="s">
        <v>2188</v>
      </c>
      <c r="D6567" s="36" t="s">
        <v>2980</v>
      </c>
      <c r="E6567" s="36" t="s">
        <v>3025</v>
      </c>
      <c r="J6567" s="38">
        <v>302610</v>
      </c>
      <c r="K6567" s="85">
        <v>2025</v>
      </c>
      <c r="L6567" s="85">
        <v>7</v>
      </c>
      <c r="N6567" s="1" t="s">
        <v>44</v>
      </c>
    </row>
    <row r="6568" spans="1:14">
      <c r="A6568" s="36" t="s">
        <v>19</v>
      </c>
      <c r="B6568" s="37">
        <v>45883</v>
      </c>
      <c r="C6568" s="36" t="s">
        <v>2934</v>
      </c>
      <c r="D6568" s="36" t="s">
        <v>2933</v>
      </c>
      <c r="E6568" s="36" t="s">
        <v>148</v>
      </c>
      <c r="J6568" s="38">
        <v>1155000</v>
      </c>
      <c r="K6568" s="85">
        <v>2025</v>
      </c>
      <c r="L6568" s="85">
        <v>7</v>
      </c>
      <c r="N6568" s="1" t="s">
        <v>44</v>
      </c>
    </row>
    <row r="6569" spans="1:14">
      <c r="A6569" s="36" t="s">
        <v>19</v>
      </c>
      <c r="B6569" s="37">
        <v>45883</v>
      </c>
      <c r="C6569" s="36" t="s">
        <v>2858</v>
      </c>
      <c r="D6569" s="36" t="s">
        <v>2982</v>
      </c>
      <c r="E6569" s="36" t="s">
        <v>148</v>
      </c>
      <c r="J6569" s="38">
        <v>132000</v>
      </c>
      <c r="K6569" s="85">
        <v>2025</v>
      </c>
      <c r="L6569" s="85">
        <v>7</v>
      </c>
      <c r="N6569" s="1" t="s">
        <v>44</v>
      </c>
    </row>
    <row r="6570" spans="1:14">
      <c r="A6570" s="36" t="s">
        <v>19</v>
      </c>
      <c r="B6570" s="37">
        <v>45883</v>
      </c>
      <c r="C6570" s="36" t="s">
        <v>2983</v>
      </c>
      <c r="D6570" s="36" t="s">
        <v>2987</v>
      </c>
      <c r="E6570" s="36" t="s">
        <v>148</v>
      </c>
      <c r="J6570" s="38">
        <v>1001000</v>
      </c>
      <c r="K6570" s="85">
        <v>2025</v>
      </c>
      <c r="L6570" s="85">
        <v>7</v>
      </c>
      <c r="N6570" s="1" t="s">
        <v>44</v>
      </c>
    </row>
    <row r="6571" spans="1:14">
      <c r="A6571" s="36" t="s">
        <v>19</v>
      </c>
      <c r="B6571" s="37">
        <v>45883</v>
      </c>
      <c r="C6571" s="36" t="s">
        <v>2985</v>
      </c>
      <c r="D6571" s="36" t="s">
        <v>2988</v>
      </c>
      <c r="E6571" s="36" t="s">
        <v>148</v>
      </c>
      <c r="J6571" s="38">
        <v>3740000</v>
      </c>
      <c r="K6571" s="85">
        <v>2025</v>
      </c>
      <c r="L6571" s="85">
        <v>7</v>
      </c>
      <c r="N6571" s="1" t="s">
        <v>44</v>
      </c>
    </row>
    <row r="6572" spans="1:14">
      <c r="A6572" s="36" t="s">
        <v>19</v>
      </c>
      <c r="B6572" s="37">
        <v>45883</v>
      </c>
      <c r="C6572" s="36" t="s">
        <v>2989</v>
      </c>
      <c r="D6572" s="36" t="s">
        <v>2990</v>
      </c>
      <c r="E6572" s="36" t="s">
        <v>148</v>
      </c>
      <c r="J6572" s="38">
        <v>198000</v>
      </c>
      <c r="K6572" s="85">
        <v>2025</v>
      </c>
      <c r="L6572" s="85">
        <v>8</v>
      </c>
      <c r="N6572" s="1" t="s">
        <v>44</v>
      </c>
    </row>
    <row r="6573" spans="1:14">
      <c r="A6573" s="36" t="s">
        <v>19</v>
      </c>
      <c r="B6573" s="37">
        <v>45883</v>
      </c>
      <c r="C6573" s="36" t="s">
        <v>2995</v>
      </c>
      <c r="D6573" s="36" t="s">
        <v>2996</v>
      </c>
      <c r="E6573" s="36" t="s">
        <v>148</v>
      </c>
      <c r="J6573" s="38">
        <v>801900</v>
      </c>
      <c r="K6573" s="85">
        <v>2025</v>
      </c>
      <c r="L6573" s="85">
        <v>7</v>
      </c>
      <c r="N6573" s="1" t="s">
        <v>44</v>
      </c>
    </row>
    <row r="6574" spans="1:14">
      <c r="A6574" s="36" t="s">
        <v>19</v>
      </c>
      <c r="B6574" s="37">
        <v>45883</v>
      </c>
      <c r="C6574" s="36" t="s">
        <v>2997</v>
      </c>
      <c r="D6574" s="36" t="s">
        <v>2998</v>
      </c>
      <c r="E6574" s="36" t="s">
        <v>148</v>
      </c>
      <c r="J6574" s="38">
        <v>184000.3</v>
      </c>
      <c r="K6574" s="85">
        <v>2025</v>
      </c>
      <c r="L6574" s="85">
        <v>7</v>
      </c>
      <c r="N6574" s="1" t="s">
        <v>44</v>
      </c>
    </row>
    <row r="6575" spans="1:14">
      <c r="A6575" s="36" t="s">
        <v>19</v>
      </c>
      <c r="B6575" s="37">
        <v>45883</v>
      </c>
      <c r="C6575" s="36" t="s">
        <v>2188</v>
      </c>
      <c r="D6575" s="36" t="s">
        <v>3111</v>
      </c>
      <c r="E6575" s="36" t="s">
        <v>3024</v>
      </c>
      <c r="J6575" s="38">
        <v>176000</v>
      </c>
      <c r="K6575" s="85">
        <v>2025</v>
      </c>
      <c r="L6575" s="85">
        <v>7</v>
      </c>
      <c r="N6575" s="1" t="s">
        <v>44</v>
      </c>
    </row>
    <row r="6576" spans="1:14">
      <c r="A6576" s="36" t="s">
        <v>32</v>
      </c>
      <c r="B6576" s="37">
        <v>45883</v>
      </c>
      <c r="C6576" s="36" t="s">
        <v>291</v>
      </c>
      <c r="D6576" s="36" t="s">
        <v>3017</v>
      </c>
      <c r="E6576" s="36" t="s">
        <v>148</v>
      </c>
      <c r="J6576" s="87">
        <v>660000</v>
      </c>
      <c r="K6576" s="85">
        <v>2025</v>
      </c>
      <c r="L6576" s="85">
        <v>7</v>
      </c>
      <c r="N6576" s="1" t="s">
        <v>44</v>
      </c>
    </row>
    <row r="6577" spans="1:14">
      <c r="A6577" s="36" t="s">
        <v>32</v>
      </c>
      <c r="B6577" s="37">
        <v>45888</v>
      </c>
      <c r="C6577" s="36" t="s">
        <v>2005</v>
      </c>
      <c r="D6577" s="36" t="s">
        <v>3009</v>
      </c>
      <c r="E6577" s="36" t="s">
        <v>148</v>
      </c>
      <c r="J6577" s="87">
        <v>8250000</v>
      </c>
      <c r="K6577" s="85">
        <v>2025</v>
      </c>
      <c r="L6577" s="85">
        <v>7</v>
      </c>
      <c r="N6577" s="1" t="s">
        <v>44</v>
      </c>
    </row>
    <row r="6578" spans="1:14">
      <c r="A6578" s="36" t="s">
        <v>32</v>
      </c>
      <c r="B6578" s="37">
        <v>45888</v>
      </c>
      <c r="C6578" s="36" t="s">
        <v>1198</v>
      </c>
      <c r="D6578" s="36" t="s">
        <v>2955</v>
      </c>
      <c r="E6578" s="36" t="s">
        <v>3026</v>
      </c>
      <c r="J6578" s="87">
        <v>7548860</v>
      </c>
      <c r="K6578" s="85">
        <v>2025</v>
      </c>
      <c r="L6578" s="85">
        <v>6</v>
      </c>
      <c r="N6578" s="1" t="s">
        <v>44</v>
      </c>
    </row>
    <row r="6579" spans="1:14">
      <c r="A6579" s="36" t="s">
        <v>32</v>
      </c>
      <c r="B6579" s="37">
        <v>45888</v>
      </c>
      <c r="C6579" s="36" t="s">
        <v>1198</v>
      </c>
      <c r="D6579" s="36" t="s">
        <v>2887</v>
      </c>
      <c r="E6579" s="36" t="s">
        <v>2520</v>
      </c>
      <c r="J6579" s="87">
        <v>3572800</v>
      </c>
      <c r="K6579" s="85">
        <v>2025</v>
      </c>
      <c r="L6579" s="85">
        <v>7</v>
      </c>
      <c r="N6579" s="1" t="s">
        <v>44</v>
      </c>
    </row>
    <row r="6580" spans="1:14">
      <c r="A6580" s="36" t="s">
        <v>32</v>
      </c>
      <c r="B6580" s="37">
        <v>45894</v>
      </c>
      <c r="C6580" s="36" t="s">
        <v>209</v>
      </c>
      <c r="D6580" s="36" t="s">
        <v>3011</v>
      </c>
      <c r="E6580" s="36" t="s">
        <v>3027</v>
      </c>
      <c r="J6580" s="87">
        <v>1782000</v>
      </c>
      <c r="K6580" s="85">
        <v>2025</v>
      </c>
      <c r="L6580" s="85">
        <v>7</v>
      </c>
      <c r="N6580" s="1" t="s">
        <v>44</v>
      </c>
    </row>
    <row r="6581" spans="1:14">
      <c r="A6581" s="36" t="s">
        <v>32</v>
      </c>
      <c r="B6581" s="37">
        <v>45896</v>
      </c>
      <c r="C6581" s="36" t="s">
        <v>2944</v>
      </c>
      <c r="D6581" s="36" t="s">
        <v>2951</v>
      </c>
      <c r="E6581" s="36" t="s">
        <v>148</v>
      </c>
      <c r="J6581" s="87">
        <v>2772000</v>
      </c>
      <c r="K6581" s="85">
        <v>2025</v>
      </c>
      <c r="L6581" s="85">
        <v>6</v>
      </c>
      <c r="N6581" s="1" t="s">
        <v>44</v>
      </c>
    </row>
    <row r="6582" spans="1:14">
      <c r="A6582" s="36" t="s">
        <v>32</v>
      </c>
      <c r="B6582" s="37">
        <v>45897</v>
      </c>
      <c r="C6582" s="36" t="s">
        <v>2628</v>
      </c>
      <c r="D6582" s="36" t="s">
        <v>2639</v>
      </c>
      <c r="E6582" s="36" t="s">
        <v>148</v>
      </c>
      <c r="J6582" s="87">
        <v>9155520</v>
      </c>
      <c r="K6582" s="85">
        <v>2025</v>
      </c>
      <c r="L6582" s="85">
        <v>7</v>
      </c>
      <c r="N6582" s="1" t="s">
        <v>44</v>
      </c>
    </row>
    <row r="6583" spans="1:14">
      <c r="A6583" s="36" t="s">
        <v>32</v>
      </c>
      <c r="B6583" s="37">
        <v>45898</v>
      </c>
      <c r="C6583" s="36" t="s">
        <v>2868</v>
      </c>
      <c r="D6583" s="36" t="s">
        <v>2875</v>
      </c>
      <c r="E6583" s="36" t="s">
        <v>148</v>
      </c>
      <c r="J6583" s="87">
        <v>19800000</v>
      </c>
      <c r="K6583" s="85">
        <v>2025</v>
      </c>
      <c r="L6583" s="85">
        <v>6</v>
      </c>
      <c r="N6583" s="1" t="s">
        <v>44</v>
      </c>
    </row>
    <row r="6584" spans="1:14">
      <c r="A6584" s="304" t="s">
        <v>32</v>
      </c>
      <c r="B6584" s="309">
        <v>45897</v>
      </c>
      <c r="C6584" s="304" t="s">
        <v>654</v>
      </c>
      <c r="D6584" s="304" t="s">
        <v>3128</v>
      </c>
      <c r="E6584" s="304" t="s">
        <v>3128</v>
      </c>
      <c r="G6584" s="302"/>
      <c r="H6584" s="302"/>
      <c r="I6584" s="302"/>
      <c r="J6584" s="302">
        <v>2200000</v>
      </c>
      <c r="K6584" s="303">
        <v>2025</v>
      </c>
      <c r="L6584" s="303"/>
      <c r="M6584" s="304" t="s">
        <v>3029</v>
      </c>
      <c r="N6584" s="232" t="s">
        <v>44</v>
      </c>
    </row>
    <row r="6585" spans="1:14">
      <c r="A6585" s="36" t="s">
        <v>32</v>
      </c>
      <c r="B6585" s="37">
        <v>45897</v>
      </c>
      <c r="C6585" s="36" t="s">
        <v>654</v>
      </c>
      <c r="D6585" s="36" t="s">
        <v>2588</v>
      </c>
      <c r="E6585" s="36" t="s">
        <v>2844</v>
      </c>
      <c r="J6585" s="296">
        <v>11646250</v>
      </c>
      <c r="K6585" s="85">
        <v>2025</v>
      </c>
      <c r="L6585" s="85">
        <v>6</v>
      </c>
      <c r="M6585" s="298" t="s">
        <v>3029</v>
      </c>
      <c r="N6585" s="1" t="s">
        <v>44</v>
      </c>
    </row>
    <row r="6586" spans="1:14">
      <c r="A6586" s="36" t="s">
        <v>32</v>
      </c>
      <c r="B6586" s="37">
        <v>45897</v>
      </c>
      <c r="C6586" s="36" t="s">
        <v>654</v>
      </c>
      <c r="D6586" s="36" t="s">
        <v>2216</v>
      </c>
      <c r="E6586" s="36" t="s">
        <v>3022</v>
      </c>
      <c r="J6586" s="297">
        <v>3380752</v>
      </c>
      <c r="K6586" s="85">
        <v>2024</v>
      </c>
      <c r="L6586" s="85">
        <v>7</v>
      </c>
      <c r="M6586" s="298" t="s">
        <v>3029</v>
      </c>
      <c r="N6586" s="1" t="s">
        <v>44</v>
      </c>
    </row>
    <row r="6587" spans="1:14">
      <c r="A6587" s="36" t="s">
        <v>32</v>
      </c>
      <c r="B6587" s="37">
        <v>45897</v>
      </c>
      <c r="C6587" s="36" t="s">
        <v>654</v>
      </c>
      <c r="D6587" s="36" t="s">
        <v>2216</v>
      </c>
      <c r="E6587" s="36" t="s">
        <v>2422</v>
      </c>
      <c r="J6587" s="297">
        <v>6016766</v>
      </c>
      <c r="K6587" s="85">
        <v>2024</v>
      </c>
      <c r="L6587" s="85">
        <v>8</v>
      </c>
      <c r="M6587" s="298" t="s">
        <v>3029</v>
      </c>
      <c r="N6587" s="1" t="s">
        <v>44</v>
      </c>
    </row>
    <row r="6588" spans="1:14">
      <c r="A6588" s="304" t="s">
        <v>32</v>
      </c>
      <c r="B6588" s="309">
        <v>45897</v>
      </c>
      <c r="C6588" s="304" t="s">
        <v>654</v>
      </c>
      <c r="D6588" s="304" t="s">
        <v>3128</v>
      </c>
      <c r="E6588" s="304" t="s">
        <v>3128</v>
      </c>
      <c r="G6588" s="302"/>
      <c r="H6588" s="302"/>
      <c r="I6588" s="302"/>
      <c r="J6588" s="310">
        <v>1574536</v>
      </c>
      <c r="K6588" s="303">
        <v>2025</v>
      </c>
      <c r="L6588" s="303"/>
      <c r="M6588" s="304" t="s">
        <v>3029</v>
      </c>
      <c r="N6588" s="232" t="s">
        <v>44</v>
      </c>
    </row>
    <row r="6589" spans="1:14">
      <c r="A6589" s="36" t="s">
        <v>32</v>
      </c>
      <c r="B6589" s="37">
        <v>45898</v>
      </c>
      <c r="C6589" s="36" t="s">
        <v>654</v>
      </c>
      <c r="D6589" s="36" t="s">
        <v>2541</v>
      </c>
      <c r="E6589" s="36" t="s">
        <v>2733</v>
      </c>
      <c r="J6589" s="302">
        <v>49280000</v>
      </c>
      <c r="K6589" s="303">
        <v>2025</v>
      </c>
      <c r="L6589" s="303">
        <v>7</v>
      </c>
      <c r="M6589" s="304" t="s">
        <v>3030</v>
      </c>
      <c r="N6589" s="232" t="s">
        <v>44</v>
      </c>
    </row>
    <row r="6590" spans="1:14">
      <c r="A6590" s="36" t="s">
        <v>32</v>
      </c>
      <c r="B6590" s="37">
        <v>45898</v>
      </c>
      <c r="C6590" s="36" t="s">
        <v>654</v>
      </c>
      <c r="D6590" s="36" t="s">
        <v>1854</v>
      </c>
      <c r="E6590" s="36" t="s">
        <v>3028</v>
      </c>
      <c r="J6590" s="302">
        <v>11000000</v>
      </c>
      <c r="K6590" s="303">
        <v>2025</v>
      </c>
      <c r="L6590" s="303">
        <v>7</v>
      </c>
      <c r="M6590" s="304" t="s">
        <v>3030</v>
      </c>
      <c r="N6590" s="232" t="s">
        <v>44</v>
      </c>
    </row>
    <row r="6591" spans="1:14">
      <c r="A6591" s="36" t="s">
        <v>32</v>
      </c>
      <c r="B6591" s="37">
        <v>45898</v>
      </c>
      <c r="C6591" s="36" t="s">
        <v>188</v>
      </c>
      <c r="D6591" s="36" t="s">
        <v>3018</v>
      </c>
      <c r="E6591" s="36" t="s">
        <v>3031</v>
      </c>
      <c r="J6591" s="87">
        <v>7480000</v>
      </c>
      <c r="K6591" s="85">
        <v>2025</v>
      </c>
      <c r="L6591" s="85">
        <v>7</v>
      </c>
      <c r="N6591" s="1" t="s">
        <v>44</v>
      </c>
    </row>
    <row r="6592" spans="1:14">
      <c r="A6592" s="36" t="s">
        <v>32</v>
      </c>
      <c r="B6592" s="37">
        <v>45898</v>
      </c>
      <c r="C6592" s="36" t="s">
        <v>2822</v>
      </c>
      <c r="D6592" s="36" t="s">
        <v>3019</v>
      </c>
      <c r="E6592" s="36" t="s">
        <v>148</v>
      </c>
      <c r="J6592" s="87">
        <v>1485000</v>
      </c>
      <c r="K6592" s="85">
        <v>2025</v>
      </c>
      <c r="L6592" s="85">
        <v>7</v>
      </c>
      <c r="N6592" s="1" t="s">
        <v>44</v>
      </c>
    </row>
    <row r="6593" spans="1:14">
      <c r="A6593" s="36" t="s">
        <v>32</v>
      </c>
      <c r="B6593" s="37">
        <v>45898</v>
      </c>
      <c r="C6593" s="36" t="s">
        <v>2166</v>
      </c>
      <c r="D6593" s="36" t="s">
        <v>2836</v>
      </c>
      <c r="E6593" s="36" t="s">
        <v>2971</v>
      </c>
      <c r="J6593" s="87">
        <v>15912998</v>
      </c>
      <c r="K6593" s="85">
        <v>2025</v>
      </c>
      <c r="L6593" s="85">
        <v>6</v>
      </c>
      <c r="N6593" s="1" t="s">
        <v>44</v>
      </c>
    </row>
    <row r="6594" spans="1:14">
      <c r="A6594" s="36" t="s">
        <v>33</v>
      </c>
      <c r="B6594" s="37">
        <v>45898</v>
      </c>
      <c r="C6594" s="36" t="s">
        <v>1569</v>
      </c>
      <c r="D6594" s="36" t="s">
        <v>2681</v>
      </c>
      <c r="E6594" s="36" t="s">
        <v>2790</v>
      </c>
      <c r="J6594" s="38">
        <v>803000</v>
      </c>
      <c r="K6594" s="85">
        <v>2025</v>
      </c>
      <c r="L6594" s="85">
        <v>5</v>
      </c>
      <c r="N6594" s="1" t="s">
        <v>44</v>
      </c>
    </row>
    <row r="6595" spans="1:14">
      <c r="A6595" s="36" t="s">
        <v>33</v>
      </c>
      <c r="B6595" s="37">
        <v>45898</v>
      </c>
      <c r="C6595" s="36" t="s">
        <v>2540</v>
      </c>
      <c r="D6595" s="36" t="s">
        <v>2541</v>
      </c>
      <c r="E6595" s="36" t="s">
        <v>2733</v>
      </c>
      <c r="J6595" s="38">
        <v>1205600</v>
      </c>
      <c r="K6595" s="85">
        <v>2025</v>
      </c>
      <c r="L6595" s="85">
        <v>7</v>
      </c>
      <c r="N6595" s="1" t="s">
        <v>44</v>
      </c>
    </row>
    <row r="6596" spans="1:14">
      <c r="A6596" s="36" t="s">
        <v>33</v>
      </c>
      <c r="B6596" s="37">
        <v>45898</v>
      </c>
      <c r="C6596" s="36" t="s">
        <v>2587</v>
      </c>
      <c r="D6596" s="36" t="s">
        <v>2588</v>
      </c>
      <c r="E6596" s="36" t="s">
        <v>2844</v>
      </c>
      <c r="J6596" s="38">
        <v>2906200</v>
      </c>
      <c r="K6596" s="85">
        <v>2025</v>
      </c>
      <c r="L6596" s="85">
        <v>7</v>
      </c>
      <c r="N6596" s="1" t="s">
        <v>44</v>
      </c>
    </row>
    <row r="6597" spans="1:14">
      <c r="A6597" s="36" t="s">
        <v>33</v>
      </c>
      <c r="B6597" s="37">
        <v>45898</v>
      </c>
      <c r="C6597" s="36" t="s">
        <v>81</v>
      </c>
      <c r="D6597" s="36" t="s">
        <v>2993</v>
      </c>
      <c r="E6597" s="36" t="s">
        <v>3032</v>
      </c>
      <c r="J6597" s="38">
        <v>1302400</v>
      </c>
      <c r="K6597" s="85">
        <v>2025</v>
      </c>
      <c r="L6597" s="85">
        <v>7</v>
      </c>
      <c r="N6597" s="1" t="s">
        <v>44</v>
      </c>
    </row>
    <row r="6598" spans="1:14">
      <c r="A6598" s="36" t="s">
        <v>33</v>
      </c>
      <c r="B6598" s="37">
        <v>45898</v>
      </c>
      <c r="C6598" s="36" t="s">
        <v>81</v>
      </c>
      <c r="D6598" s="36" t="s">
        <v>2466</v>
      </c>
      <c r="E6598" s="36" t="s">
        <v>2530</v>
      </c>
      <c r="J6598" s="38">
        <v>3355820</v>
      </c>
      <c r="K6598" s="85">
        <v>2025</v>
      </c>
      <c r="L6598" s="85">
        <v>7</v>
      </c>
      <c r="N6598" s="1" t="s">
        <v>44</v>
      </c>
    </row>
    <row r="6599" spans="1:14">
      <c r="A6599" s="36" t="s">
        <v>33</v>
      </c>
      <c r="B6599" s="37">
        <v>45898</v>
      </c>
      <c r="C6599" s="36" t="s">
        <v>2116</v>
      </c>
      <c r="D6599" s="36" t="s">
        <v>2117</v>
      </c>
      <c r="E6599" s="36" t="s">
        <v>3033</v>
      </c>
      <c r="J6599" s="38">
        <v>1185800</v>
      </c>
      <c r="K6599" s="85">
        <v>2025</v>
      </c>
      <c r="L6599" s="85">
        <v>7</v>
      </c>
      <c r="N6599" s="1" t="s">
        <v>44</v>
      </c>
    </row>
    <row r="6600" spans="1:14">
      <c r="A6600" s="36" t="s">
        <v>33</v>
      </c>
      <c r="B6600" s="37">
        <v>45898</v>
      </c>
      <c r="C6600" s="36" t="s">
        <v>2016</v>
      </c>
      <c r="D6600" s="36" t="s">
        <v>3000</v>
      </c>
      <c r="E6600" s="36" t="s">
        <v>3034</v>
      </c>
      <c r="J6600" s="38">
        <v>75878000</v>
      </c>
      <c r="K6600" s="85">
        <v>2025</v>
      </c>
      <c r="L6600" s="85">
        <v>7</v>
      </c>
      <c r="N6600" s="1" t="s">
        <v>44</v>
      </c>
    </row>
    <row r="6601" spans="1:14">
      <c r="A6601" s="36" t="s">
        <v>33</v>
      </c>
      <c r="B6601" s="37">
        <v>45898</v>
      </c>
      <c r="C6601" s="36" t="s">
        <v>2016</v>
      </c>
      <c r="D6601" s="36" t="s">
        <v>2622</v>
      </c>
      <c r="E6601" s="36" t="s">
        <v>3035</v>
      </c>
      <c r="J6601" s="38">
        <v>100037300</v>
      </c>
      <c r="K6601" s="85">
        <v>2025</v>
      </c>
      <c r="L6601" s="85">
        <v>7</v>
      </c>
      <c r="N6601" s="1" t="s">
        <v>44</v>
      </c>
    </row>
    <row r="6602" spans="1:14">
      <c r="A6602" s="36" t="s">
        <v>32</v>
      </c>
      <c r="B6602" s="37">
        <v>45898</v>
      </c>
      <c r="C6602" s="36" t="s">
        <v>209</v>
      </c>
      <c r="D6602" s="36" t="s">
        <v>2494</v>
      </c>
      <c r="E6602" s="36" t="s">
        <v>3036</v>
      </c>
      <c r="J6602" s="87">
        <v>1935780</v>
      </c>
      <c r="K6602" s="85">
        <v>2025</v>
      </c>
      <c r="L6602" s="85">
        <v>5</v>
      </c>
      <c r="N6602" s="1" t="s">
        <v>44</v>
      </c>
    </row>
    <row r="6603" spans="1:14">
      <c r="A6603" s="36" t="s">
        <v>32</v>
      </c>
      <c r="B6603" s="37">
        <v>45898</v>
      </c>
      <c r="C6603" s="36" t="s">
        <v>209</v>
      </c>
      <c r="D6603" s="36" t="s">
        <v>2494</v>
      </c>
      <c r="E6603" s="36" t="s">
        <v>3037</v>
      </c>
      <c r="J6603" s="87">
        <v>2309120</v>
      </c>
      <c r="K6603" s="85">
        <v>2025</v>
      </c>
      <c r="L6603" s="85">
        <v>6</v>
      </c>
      <c r="N6603" s="1" t="s">
        <v>44</v>
      </c>
    </row>
    <row r="6604" spans="1:14">
      <c r="A6604" s="36" t="s">
        <v>32</v>
      </c>
      <c r="B6604" s="37">
        <v>45901</v>
      </c>
      <c r="C6604" s="36" t="s">
        <v>2824</v>
      </c>
      <c r="D6604" s="36" t="s">
        <v>2832</v>
      </c>
      <c r="E6604" s="36" t="s">
        <v>3038</v>
      </c>
      <c r="J6604" s="87">
        <v>54171590</v>
      </c>
      <c r="K6604" s="85">
        <v>2025</v>
      </c>
      <c r="L6604" s="85">
        <v>7</v>
      </c>
      <c r="N6604" s="1" t="s">
        <v>44</v>
      </c>
    </row>
    <row r="6605" spans="1:14">
      <c r="A6605" s="36" t="s">
        <v>33</v>
      </c>
      <c r="B6605" s="37">
        <v>45900</v>
      </c>
      <c r="C6605" s="36" t="s">
        <v>2997</v>
      </c>
      <c r="D6605" s="36" t="s">
        <v>2998</v>
      </c>
      <c r="E6605" s="36" t="s">
        <v>470</v>
      </c>
      <c r="G6605" s="87">
        <v>43636</v>
      </c>
      <c r="H6605" s="87">
        <v>4363.6000000000004</v>
      </c>
      <c r="I6605" s="87">
        <v>47999.6</v>
      </c>
      <c r="K6605" s="85">
        <v>2025</v>
      </c>
      <c r="L6605" s="85">
        <v>8</v>
      </c>
      <c r="N6605" s="1" t="s">
        <v>44</v>
      </c>
    </row>
    <row r="6606" spans="1:14">
      <c r="A6606" s="36" t="s">
        <v>33</v>
      </c>
      <c r="B6606" s="37">
        <v>45772</v>
      </c>
      <c r="C6606" s="36" t="s">
        <v>1569</v>
      </c>
      <c r="D6606" s="36" t="s">
        <v>1431</v>
      </c>
      <c r="E6606" s="36" t="s">
        <v>3040</v>
      </c>
      <c r="J6606" s="87">
        <v>2325180</v>
      </c>
      <c r="K6606" s="85">
        <v>2025</v>
      </c>
      <c r="L6606" s="85">
        <v>4</v>
      </c>
      <c r="N6606" s="1" t="s">
        <v>44</v>
      </c>
    </row>
    <row r="6607" spans="1:14">
      <c r="A6607" s="36" t="s">
        <v>33</v>
      </c>
      <c r="B6607" s="37">
        <v>45833</v>
      </c>
      <c r="C6607" s="36" t="s">
        <v>1569</v>
      </c>
      <c r="D6607" s="36" t="s">
        <v>1431</v>
      </c>
      <c r="E6607" s="36" t="s">
        <v>3041</v>
      </c>
      <c r="J6607" s="87">
        <v>2309120</v>
      </c>
      <c r="K6607" s="85">
        <v>2025</v>
      </c>
      <c r="L6607" s="85">
        <v>6</v>
      </c>
      <c r="N6607" s="1" t="s">
        <v>44</v>
      </c>
    </row>
    <row r="6608" spans="1:14">
      <c r="A6608" s="36" t="s">
        <v>32</v>
      </c>
      <c r="B6608" s="37">
        <v>45905</v>
      </c>
      <c r="C6608" s="36" t="s">
        <v>654</v>
      </c>
      <c r="D6608" s="36" t="s">
        <v>1854</v>
      </c>
      <c r="E6608" s="36" t="s">
        <v>3042</v>
      </c>
      <c r="J6608" s="87">
        <v>1328096</v>
      </c>
      <c r="K6608" s="85">
        <v>2025</v>
      </c>
      <c r="L6608" s="85">
        <v>2</v>
      </c>
      <c r="N6608" s="1" t="s">
        <v>44</v>
      </c>
    </row>
    <row r="6609" spans="1:14">
      <c r="A6609" s="36" t="s">
        <v>32</v>
      </c>
      <c r="B6609" s="37">
        <v>45905</v>
      </c>
      <c r="C6609" s="36" t="s">
        <v>654</v>
      </c>
      <c r="D6609" s="36" t="s">
        <v>3045</v>
      </c>
      <c r="E6609" s="36" t="s">
        <v>3043</v>
      </c>
      <c r="J6609" s="87">
        <v>3522684</v>
      </c>
      <c r="K6609" s="85">
        <v>2025</v>
      </c>
      <c r="L6609" s="85">
        <v>3</v>
      </c>
      <c r="N6609" s="1" t="s">
        <v>44</v>
      </c>
    </row>
    <row r="6610" spans="1:14">
      <c r="A6610" s="36" t="s">
        <v>32</v>
      </c>
      <c r="B6610" s="37">
        <v>45905</v>
      </c>
      <c r="C6610" s="36" t="s">
        <v>654</v>
      </c>
      <c r="D6610" s="36" t="s">
        <v>1854</v>
      </c>
      <c r="E6610" s="36" t="s">
        <v>3044</v>
      </c>
      <c r="J6610" s="87">
        <v>5873780</v>
      </c>
      <c r="K6610" s="85">
        <v>2025</v>
      </c>
      <c r="L6610" s="85">
        <v>4</v>
      </c>
      <c r="N6610" s="1" t="s">
        <v>44</v>
      </c>
    </row>
    <row r="6611" spans="1:14">
      <c r="A6611" s="36" t="s">
        <v>32</v>
      </c>
      <c r="B6611" s="37">
        <v>45905</v>
      </c>
      <c r="C6611" s="36" t="s">
        <v>654</v>
      </c>
      <c r="D6611" s="36" t="s">
        <v>1854</v>
      </c>
      <c r="E6611" s="36" t="s">
        <v>3046</v>
      </c>
      <c r="J6611" s="230">
        <v>4401166</v>
      </c>
      <c r="K6611" s="85">
        <v>2025</v>
      </c>
      <c r="L6611" s="85">
        <v>6</v>
      </c>
      <c r="N6611" s="1" t="s">
        <v>44</v>
      </c>
    </row>
    <row r="6612" spans="1:14">
      <c r="A6612" s="36" t="s">
        <v>32</v>
      </c>
      <c r="B6612" s="37">
        <v>45905</v>
      </c>
      <c r="C6612" s="36" t="s">
        <v>1218</v>
      </c>
      <c r="D6612" s="36" t="s">
        <v>2879</v>
      </c>
      <c r="E6612" s="36" t="s">
        <v>3048</v>
      </c>
      <c r="J6612" s="297">
        <v>297000</v>
      </c>
      <c r="K6612" s="85">
        <v>2025</v>
      </c>
      <c r="L6612" s="85">
        <v>5</v>
      </c>
      <c r="M6612" s="36" t="s">
        <v>3050</v>
      </c>
      <c r="N6612" s="1" t="s">
        <v>44</v>
      </c>
    </row>
    <row r="6613" spans="1:14">
      <c r="A6613" s="36" t="s">
        <v>32</v>
      </c>
      <c r="B6613" s="37">
        <v>45905</v>
      </c>
      <c r="C6613" s="36" t="s">
        <v>1218</v>
      </c>
      <c r="D6613" s="36" t="s">
        <v>3012</v>
      </c>
      <c r="E6613" s="36" t="s">
        <v>3049</v>
      </c>
      <c r="J6613" s="296">
        <v>660000</v>
      </c>
      <c r="K6613" s="85">
        <v>2025</v>
      </c>
      <c r="L6613" s="85">
        <v>7</v>
      </c>
      <c r="M6613" s="36" t="s">
        <v>3050</v>
      </c>
      <c r="N6613" s="1" t="s">
        <v>44</v>
      </c>
    </row>
    <row r="6614" spans="1:14">
      <c r="A6614" s="36" t="s">
        <v>33</v>
      </c>
      <c r="B6614" s="37">
        <v>45876</v>
      </c>
      <c r="C6614" s="36" t="s">
        <v>2927</v>
      </c>
      <c r="D6614" s="36" t="s">
        <v>2936</v>
      </c>
      <c r="E6614" s="36" t="s">
        <v>3051</v>
      </c>
      <c r="G6614" s="87">
        <v>150000</v>
      </c>
      <c r="H6614" s="87">
        <v>15000</v>
      </c>
      <c r="I6614" s="87">
        <v>165000</v>
      </c>
      <c r="K6614" s="85">
        <v>2025</v>
      </c>
      <c r="L6614" s="85">
        <v>8</v>
      </c>
      <c r="N6614" s="1" t="s">
        <v>44</v>
      </c>
    </row>
    <row r="6615" spans="1:14">
      <c r="A6615" s="36" t="s">
        <v>33</v>
      </c>
      <c r="B6615" s="37">
        <v>45894</v>
      </c>
      <c r="C6615" s="36" t="s">
        <v>1569</v>
      </c>
      <c r="D6615" s="36" t="s">
        <v>2936</v>
      </c>
      <c r="E6615" s="36" t="s">
        <v>1556</v>
      </c>
      <c r="G6615" s="87">
        <v>1480800</v>
      </c>
      <c r="H6615" s="87">
        <v>148080</v>
      </c>
      <c r="I6615" s="87">
        <v>1628880</v>
      </c>
      <c r="K6615" s="85">
        <v>2025</v>
      </c>
      <c r="L6615" s="85">
        <v>8</v>
      </c>
      <c r="N6615" s="1" t="s">
        <v>44</v>
      </c>
    </row>
    <row r="6616" spans="1:14">
      <c r="A6616" s="36" t="s">
        <v>33</v>
      </c>
      <c r="B6616" s="37">
        <v>45900</v>
      </c>
      <c r="C6616" s="36" t="s">
        <v>2188</v>
      </c>
      <c r="D6616" s="36" t="s">
        <v>3052</v>
      </c>
      <c r="E6616" s="36" t="s">
        <v>2040</v>
      </c>
      <c r="G6616" s="87">
        <v>58900</v>
      </c>
      <c r="H6616" s="87">
        <v>5890</v>
      </c>
      <c r="I6616" s="87">
        <v>64790</v>
      </c>
      <c r="K6616" s="85">
        <v>2025</v>
      </c>
      <c r="L6616" s="85">
        <v>8</v>
      </c>
      <c r="N6616" s="1" t="s">
        <v>44</v>
      </c>
    </row>
    <row r="6617" spans="1:14">
      <c r="A6617" s="36" t="s">
        <v>33</v>
      </c>
      <c r="B6617" s="37">
        <v>45900</v>
      </c>
      <c r="C6617" s="36" t="s">
        <v>81</v>
      </c>
      <c r="D6617" s="36" t="s">
        <v>2860</v>
      </c>
      <c r="E6617" s="36" t="s">
        <v>2994</v>
      </c>
      <c r="G6617" s="87">
        <v>1151000</v>
      </c>
      <c r="H6617" s="87">
        <v>115100</v>
      </c>
      <c r="I6617" s="87">
        <v>1266100</v>
      </c>
      <c r="K6617" s="85">
        <v>2025</v>
      </c>
      <c r="L6617" s="85">
        <v>8</v>
      </c>
      <c r="N6617" s="1" t="s">
        <v>44</v>
      </c>
    </row>
    <row r="6618" spans="1:14">
      <c r="A6618" s="36" t="s">
        <v>33</v>
      </c>
      <c r="B6618" s="37">
        <v>45900</v>
      </c>
      <c r="C6618" s="36" t="s">
        <v>2932</v>
      </c>
      <c r="D6618" s="36" t="s">
        <v>2931</v>
      </c>
      <c r="E6618" s="36" t="s">
        <v>2115</v>
      </c>
      <c r="G6618" s="87">
        <v>4966364</v>
      </c>
      <c r="H6618" s="87">
        <v>496636.4</v>
      </c>
      <c r="I6618" s="87">
        <v>5463000.4000000004</v>
      </c>
      <c r="K6618" s="85">
        <v>2025</v>
      </c>
      <c r="L6618" s="85">
        <v>8</v>
      </c>
      <c r="N6618" s="1" t="s">
        <v>44</v>
      </c>
    </row>
    <row r="6619" spans="1:14">
      <c r="A6619" s="36" t="s">
        <v>33</v>
      </c>
      <c r="B6619" s="37">
        <v>45900</v>
      </c>
      <c r="C6619" s="36" t="s">
        <v>3053</v>
      </c>
      <c r="D6619" s="36" t="s">
        <v>2763</v>
      </c>
      <c r="E6619" s="36" t="s">
        <v>2115</v>
      </c>
      <c r="G6619" s="87">
        <v>434000</v>
      </c>
      <c r="H6619" s="87">
        <v>43400</v>
      </c>
      <c r="I6619" s="87">
        <v>477400</v>
      </c>
      <c r="K6619" s="85">
        <v>2025</v>
      </c>
      <c r="L6619" s="85">
        <v>8</v>
      </c>
      <c r="N6619" s="1" t="s">
        <v>44</v>
      </c>
    </row>
    <row r="6620" spans="1:14">
      <c r="A6620" s="36" t="s">
        <v>33</v>
      </c>
      <c r="B6620" s="37">
        <v>45900</v>
      </c>
      <c r="C6620" s="36" t="s">
        <v>2587</v>
      </c>
      <c r="D6620" s="36" t="s">
        <v>2588</v>
      </c>
      <c r="E6620" s="36" t="s">
        <v>2115</v>
      </c>
      <c r="G6620" s="87">
        <v>2556000</v>
      </c>
      <c r="H6620" s="87">
        <v>255600</v>
      </c>
      <c r="I6620" s="87">
        <v>2811600</v>
      </c>
      <c r="K6620" s="85">
        <v>2025</v>
      </c>
      <c r="L6620" s="85">
        <v>8</v>
      </c>
      <c r="N6620" s="1" t="s">
        <v>44</v>
      </c>
    </row>
    <row r="6621" spans="1:14">
      <c r="A6621" s="36" t="s">
        <v>33</v>
      </c>
      <c r="B6621" s="37">
        <v>45900</v>
      </c>
      <c r="C6621" s="36" t="s">
        <v>2540</v>
      </c>
      <c r="D6621" s="36" t="s">
        <v>2541</v>
      </c>
      <c r="E6621" s="36" t="s">
        <v>469</v>
      </c>
      <c r="G6621" s="87">
        <v>128500</v>
      </c>
      <c r="H6621" s="87">
        <v>12850</v>
      </c>
      <c r="I6621" s="87">
        <v>141350</v>
      </c>
      <c r="K6621" s="85">
        <v>2025</v>
      </c>
      <c r="L6621" s="85">
        <v>8</v>
      </c>
      <c r="N6621" s="1" t="s">
        <v>44</v>
      </c>
    </row>
    <row r="6622" spans="1:14">
      <c r="A6622" s="36" t="s">
        <v>33</v>
      </c>
      <c r="B6622" s="37">
        <v>45900</v>
      </c>
      <c r="C6622" s="36" t="s">
        <v>2116</v>
      </c>
      <c r="D6622" s="36" t="s">
        <v>2117</v>
      </c>
      <c r="E6622" s="36" t="s">
        <v>2118</v>
      </c>
      <c r="G6622" s="87">
        <v>609000</v>
      </c>
      <c r="H6622" s="87">
        <v>60900</v>
      </c>
      <c r="I6622" s="87">
        <v>669900</v>
      </c>
      <c r="K6622" s="85">
        <v>2025</v>
      </c>
      <c r="L6622" s="85">
        <v>8</v>
      </c>
      <c r="N6622" s="1" t="s">
        <v>44</v>
      </c>
    </row>
    <row r="6623" spans="1:14">
      <c r="A6623" s="36" t="s">
        <v>33</v>
      </c>
      <c r="B6623" s="37">
        <v>45869</v>
      </c>
      <c r="C6623" s="36" t="s">
        <v>838</v>
      </c>
      <c r="D6623" s="36" t="s">
        <v>2854</v>
      </c>
      <c r="E6623" s="36" t="s">
        <v>3054</v>
      </c>
      <c r="J6623" s="87">
        <v>1815000</v>
      </c>
      <c r="K6623" s="85">
        <v>2025</v>
      </c>
      <c r="L6623" s="85">
        <v>7</v>
      </c>
      <c r="N6623" s="1" t="s">
        <v>44</v>
      </c>
    </row>
    <row r="6624" spans="1:14">
      <c r="A6624" s="36" t="s">
        <v>32</v>
      </c>
      <c r="B6624" s="37">
        <v>45910</v>
      </c>
      <c r="C6624" s="36" t="s">
        <v>2774</v>
      </c>
      <c r="D6624" s="36" t="s">
        <v>2784</v>
      </c>
      <c r="E6624" s="36" t="s">
        <v>3055</v>
      </c>
      <c r="J6624" s="87">
        <v>13511960</v>
      </c>
      <c r="K6624" s="85">
        <v>2025</v>
      </c>
      <c r="L6624" s="85">
        <v>7</v>
      </c>
      <c r="N6624" s="1" t="s">
        <v>44</v>
      </c>
    </row>
    <row r="6625" spans="1:14">
      <c r="A6625" s="304" t="s">
        <v>32</v>
      </c>
      <c r="B6625" s="309">
        <v>45909</v>
      </c>
      <c r="C6625" s="304" t="s">
        <v>654</v>
      </c>
      <c r="D6625" s="304" t="s">
        <v>3128</v>
      </c>
      <c r="E6625" s="304" t="s">
        <v>3128</v>
      </c>
      <c r="F6625" s="87"/>
      <c r="G6625" s="302"/>
      <c r="H6625" s="302"/>
      <c r="I6625" s="302"/>
      <c r="J6625" s="310">
        <v>10939768</v>
      </c>
      <c r="K6625" s="303">
        <v>2025</v>
      </c>
      <c r="L6625" s="303"/>
      <c r="M6625" s="304" t="s">
        <v>3056</v>
      </c>
      <c r="N6625" s="232" t="s">
        <v>44</v>
      </c>
    </row>
    <row r="6626" spans="1:14">
      <c r="A6626" s="36" t="s">
        <v>32</v>
      </c>
      <c r="B6626" s="37">
        <v>45909</v>
      </c>
      <c r="C6626" s="36" t="s">
        <v>654</v>
      </c>
      <c r="D6626" s="36" t="s">
        <v>2588</v>
      </c>
      <c r="E6626" s="36" t="s">
        <v>3095</v>
      </c>
      <c r="J6626" s="292">
        <v>60232</v>
      </c>
      <c r="K6626" s="85">
        <v>2025</v>
      </c>
      <c r="L6626" s="85">
        <v>7</v>
      </c>
      <c r="M6626" s="293" t="s">
        <v>3056</v>
      </c>
      <c r="N6626" s="1" t="s">
        <v>44</v>
      </c>
    </row>
    <row r="6627" spans="1:14">
      <c r="A6627" s="36" t="s">
        <v>33</v>
      </c>
      <c r="B6627" s="37">
        <v>45900</v>
      </c>
      <c r="C6627" s="36" t="s">
        <v>3057</v>
      </c>
      <c r="D6627" s="36" t="s">
        <v>3052</v>
      </c>
      <c r="E6627" s="36" t="s">
        <v>3058</v>
      </c>
      <c r="G6627" s="87">
        <v>14186320</v>
      </c>
      <c r="H6627" s="87">
        <v>1418632</v>
      </c>
      <c r="I6627" s="87">
        <v>15604952</v>
      </c>
      <c r="K6627" s="85">
        <v>2025</v>
      </c>
      <c r="L6627" s="85">
        <v>8</v>
      </c>
      <c r="N6627" s="1" t="s">
        <v>44</v>
      </c>
    </row>
    <row r="6628" spans="1:14">
      <c r="A6628" s="36" t="s">
        <v>33</v>
      </c>
      <c r="B6628" s="37">
        <v>45900</v>
      </c>
      <c r="C6628" s="36" t="s">
        <v>2934</v>
      </c>
      <c r="D6628" s="36" t="s">
        <v>2933</v>
      </c>
      <c r="E6628" s="36" t="s">
        <v>3059</v>
      </c>
      <c r="G6628" s="87">
        <v>770000</v>
      </c>
      <c r="H6628" s="87">
        <v>77000</v>
      </c>
      <c r="I6628" s="87">
        <v>847000</v>
      </c>
      <c r="K6628" s="85">
        <v>2025</v>
      </c>
      <c r="L6628" s="85">
        <v>8</v>
      </c>
      <c r="N6628" s="1" t="s">
        <v>44</v>
      </c>
    </row>
    <row r="6629" spans="1:14">
      <c r="A6629" s="36" t="s">
        <v>33</v>
      </c>
      <c r="B6629" s="37">
        <v>45884</v>
      </c>
      <c r="C6629" s="36" t="s">
        <v>2016</v>
      </c>
      <c r="D6629" s="36" t="s">
        <v>3000</v>
      </c>
      <c r="E6629" s="36" t="s">
        <v>3000</v>
      </c>
      <c r="G6629" s="87">
        <v>69455000</v>
      </c>
      <c r="H6629" s="87">
        <v>6945500</v>
      </c>
      <c r="I6629" s="87">
        <v>76400500</v>
      </c>
      <c r="K6629" s="85">
        <v>2025</v>
      </c>
      <c r="L6629" s="85">
        <v>8</v>
      </c>
      <c r="N6629" s="1" t="s">
        <v>44</v>
      </c>
    </row>
    <row r="6630" spans="1:14">
      <c r="A6630" s="36" t="s">
        <v>33</v>
      </c>
      <c r="B6630" s="37">
        <v>45900</v>
      </c>
      <c r="C6630" s="36" t="s">
        <v>2016</v>
      </c>
      <c r="D6630" s="36" t="s">
        <v>2468</v>
      </c>
      <c r="E6630" s="36" t="s">
        <v>2468</v>
      </c>
      <c r="G6630" s="87">
        <v>88610000</v>
      </c>
      <c r="H6630" s="87">
        <v>8861000</v>
      </c>
      <c r="I6630" s="87">
        <v>97471000</v>
      </c>
      <c r="K6630" s="85">
        <v>2025</v>
      </c>
      <c r="L6630" s="85">
        <v>8</v>
      </c>
      <c r="N6630" s="1" t="s">
        <v>44</v>
      </c>
    </row>
    <row r="6631" spans="1:14">
      <c r="A6631" s="36" t="s">
        <v>33</v>
      </c>
      <c r="B6631" s="37">
        <v>45900</v>
      </c>
      <c r="C6631" s="36" t="s">
        <v>3060</v>
      </c>
      <c r="D6631" s="36" t="s">
        <v>3061</v>
      </c>
      <c r="E6631" s="36" t="s">
        <v>3061</v>
      </c>
      <c r="G6631" s="87">
        <v>114545</v>
      </c>
      <c r="H6631" s="87">
        <v>11454.5</v>
      </c>
      <c r="I6631" s="87">
        <v>125999.5</v>
      </c>
      <c r="K6631" s="85">
        <v>2025</v>
      </c>
      <c r="L6631" s="85">
        <v>8</v>
      </c>
      <c r="N6631" s="1" t="s">
        <v>44</v>
      </c>
    </row>
    <row r="6632" spans="1:14">
      <c r="A6632" s="36" t="s">
        <v>32</v>
      </c>
      <c r="B6632" s="37">
        <v>45897</v>
      </c>
      <c r="C6632" s="36" t="s">
        <v>654</v>
      </c>
      <c r="D6632" s="36" t="s">
        <v>2881</v>
      </c>
      <c r="E6632" s="36" t="s">
        <v>76</v>
      </c>
      <c r="G6632" s="87">
        <v>5000000</v>
      </c>
      <c r="H6632" s="87">
        <v>500000</v>
      </c>
      <c r="I6632" s="87">
        <v>5500000</v>
      </c>
      <c r="K6632" s="85">
        <v>2025</v>
      </c>
      <c r="L6632" s="85">
        <v>8</v>
      </c>
      <c r="N6632" s="1" t="s">
        <v>44</v>
      </c>
    </row>
    <row r="6633" spans="1:14">
      <c r="A6633" s="36" t="s">
        <v>32</v>
      </c>
      <c r="B6633" s="37">
        <v>45900</v>
      </c>
      <c r="C6633" s="36" t="s">
        <v>654</v>
      </c>
      <c r="D6633" s="36" t="s">
        <v>2588</v>
      </c>
      <c r="E6633" s="36" t="s">
        <v>76</v>
      </c>
      <c r="G6633" s="87">
        <v>19603680</v>
      </c>
      <c r="H6633" s="87">
        <v>1960368</v>
      </c>
      <c r="I6633" s="87">
        <v>21564048</v>
      </c>
      <c r="K6633" s="85">
        <v>2025</v>
      </c>
      <c r="L6633" s="85">
        <v>8</v>
      </c>
      <c r="N6633" s="1" t="s">
        <v>44</v>
      </c>
    </row>
    <row r="6634" spans="1:14">
      <c r="A6634" s="36" t="s">
        <v>32</v>
      </c>
      <c r="B6634" s="37">
        <v>45900</v>
      </c>
      <c r="C6634" s="36" t="s">
        <v>654</v>
      </c>
      <c r="D6634" s="36" t="s">
        <v>2541</v>
      </c>
      <c r="E6634" s="36" t="s">
        <v>76</v>
      </c>
      <c r="G6634" s="87">
        <v>12313000</v>
      </c>
      <c r="H6634" s="87">
        <v>1231300</v>
      </c>
      <c r="I6634" s="87">
        <v>13544300</v>
      </c>
      <c r="K6634" s="85">
        <v>2025</v>
      </c>
      <c r="L6634" s="85">
        <v>8</v>
      </c>
      <c r="N6634" s="1" t="s">
        <v>44</v>
      </c>
    </row>
    <row r="6635" spans="1:14">
      <c r="A6635" s="36" t="s">
        <v>32</v>
      </c>
      <c r="B6635" s="37">
        <v>45900</v>
      </c>
      <c r="C6635" s="36" t="s">
        <v>654</v>
      </c>
      <c r="D6635" s="36" t="s">
        <v>3064</v>
      </c>
      <c r="E6635" s="36" t="s">
        <v>76</v>
      </c>
      <c r="G6635" s="87">
        <v>3360000</v>
      </c>
      <c r="H6635" s="87">
        <v>336000</v>
      </c>
      <c r="I6635" s="87">
        <v>3696000</v>
      </c>
      <c r="K6635" s="85">
        <v>2025</v>
      </c>
      <c r="L6635" s="85">
        <v>8</v>
      </c>
      <c r="N6635" s="1" t="s">
        <v>44</v>
      </c>
    </row>
    <row r="6636" spans="1:14">
      <c r="A6636" s="36" t="s">
        <v>32</v>
      </c>
      <c r="B6636" s="37">
        <v>45897</v>
      </c>
      <c r="C6636" s="36" t="s">
        <v>188</v>
      </c>
      <c r="D6636" s="36" t="s">
        <v>3065</v>
      </c>
      <c r="E6636" s="36" t="s">
        <v>267</v>
      </c>
      <c r="G6636" s="87">
        <v>6674200</v>
      </c>
      <c r="H6636" s="87">
        <v>667420</v>
      </c>
      <c r="I6636" s="87">
        <v>7341620</v>
      </c>
      <c r="K6636" s="85">
        <v>2025</v>
      </c>
      <c r="L6636" s="85">
        <v>8</v>
      </c>
      <c r="N6636" s="1" t="s">
        <v>44</v>
      </c>
    </row>
    <row r="6637" spans="1:14">
      <c r="A6637" s="36" t="s">
        <v>32</v>
      </c>
      <c r="B6637" s="37">
        <v>45900</v>
      </c>
      <c r="C6637" s="36" t="s">
        <v>3062</v>
      </c>
      <c r="D6637" s="36" t="s">
        <v>3066</v>
      </c>
      <c r="E6637" s="36" t="s">
        <v>1492</v>
      </c>
      <c r="G6637" s="87">
        <v>1890000</v>
      </c>
      <c r="H6637" s="87">
        <v>189000</v>
      </c>
      <c r="I6637" s="87">
        <v>2079000</v>
      </c>
      <c r="K6637" s="85">
        <v>2025</v>
      </c>
      <c r="L6637" s="85">
        <v>8</v>
      </c>
      <c r="N6637" s="1" t="s">
        <v>44</v>
      </c>
    </row>
    <row r="6638" spans="1:14">
      <c r="A6638" s="36" t="s">
        <v>32</v>
      </c>
      <c r="B6638" s="37">
        <v>45900</v>
      </c>
      <c r="C6638" s="36" t="s">
        <v>2005</v>
      </c>
      <c r="D6638" s="36" t="s">
        <v>3009</v>
      </c>
      <c r="E6638" s="36" t="s">
        <v>267</v>
      </c>
      <c r="G6638" s="87">
        <v>7500000</v>
      </c>
      <c r="H6638" s="87">
        <v>750000</v>
      </c>
      <c r="I6638" s="87">
        <v>8250000</v>
      </c>
      <c r="K6638" s="85">
        <v>2025</v>
      </c>
      <c r="L6638" s="85">
        <v>8</v>
      </c>
      <c r="N6638" s="1" t="s">
        <v>44</v>
      </c>
    </row>
    <row r="6639" spans="1:14">
      <c r="A6639" s="36" t="s">
        <v>32</v>
      </c>
      <c r="B6639" s="37">
        <v>45900</v>
      </c>
      <c r="C6639" s="36" t="s">
        <v>1198</v>
      </c>
      <c r="D6639" s="36" t="s">
        <v>3067</v>
      </c>
      <c r="E6639" s="36" t="s">
        <v>76</v>
      </c>
      <c r="G6639" s="87">
        <v>7255200</v>
      </c>
      <c r="H6639" s="87">
        <v>725520</v>
      </c>
      <c r="I6639" s="87">
        <v>7980720</v>
      </c>
      <c r="K6639" s="85">
        <v>2025</v>
      </c>
      <c r="L6639" s="85">
        <v>8</v>
      </c>
      <c r="N6639" s="1" t="s">
        <v>44</v>
      </c>
    </row>
    <row r="6640" spans="1:14">
      <c r="A6640" s="36" t="s">
        <v>32</v>
      </c>
      <c r="B6640" s="37">
        <v>45900</v>
      </c>
      <c r="C6640" s="36" t="s">
        <v>334</v>
      </c>
      <c r="D6640" s="36" t="s">
        <v>3068</v>
      </c>
      <c r="E6640" s="36" t="s">
        <v>267</v>
      </c>
      <c r="G6640" s="87">
        <v>4000000</v>
      </c>
      <c r="H6640" s="87">
        <v>400000</v>
      </c>
      <c r="I6640" s="87">
        <v>4400000</v>
      </c>
      <c r="K6640" s="85">
        <v>2025</v>
      </c>
      <c r="L6640" s="85">
        <v>8</v>
      </c>
      <c r="N6640" s="1" t="s">
        <v>44</v>
      </c>
    </row>
    <row r="6641" spans="1:14">
      <c r="A6641" s="36" t="s">
        <v>32</v>
      </c>
      <c r="B6641" s="37">
        <v>45900</v>
      </c>
      <c r="C6641" s="36" t="s">
        <v>3063</v>
      </c>
      <c r="D6641" s="36" t="s">
        <v>3069</v>
      </c>
      <c r="E6641" s="36" t="s">
        <v>267</v>
      </c>
      <c r="G6641" s="87">
        <v>4500000</v>
      </c>
      <c r="H6641" s="87">
        <v>450000</v>
      </c>
      <c r="I6641" s="87">
        <v>4950000</v>
      </c>
      <c r="K6641" s="85">
        <v>2025</v>
      </c>
      <c r="L6641" s="85">
        <v>8</v>
      </c>
      <c r="N6641" s="1" t="s">
        <v>44</v>
      </c>
    </row>
    <row r="6642" spans="1:14">
      <c r="A6642" s="36" t="s">
        <v>32</v>
      </c>
      <c r="B6642" s="37">
        <v>45900</v>
      </c>
      <c r="C6642" s="36" t="s">
        <v>2673</v>
      </c>
      <c r="D6642" s="36" t="s">
        <v>2686</v>
      </c>
      <c r="E6642" s="36" t="s">
        <v>76</v>
      </c>
      <c r="G6642" s="87">
        <v>1075200</v>
      </c>
      <c r="H6642" s="87">
        <v>107520</v>
      </c>
      <c r="I6642" s="87">
        <v>1182720</v>
      </c>
      <c r="K6642" s="85">
        <v>2025</v>
      </c>
      <c r="L6642" s="85">
        <v>8</v>
      </c>
      <c r="N6642" s="1" t="s">
        <v>44</v>
      </c>
    </row>
    <row r="6643" spans="1:14">
      <c r="A6643" s="36" t="s">
        <v>32</v>
      </c>
      <c r="B6643" s="37">
        <v>45900</v>
      </c>
      <c r="C6643" s="36" t="s">
        <v>2166</v>
      </c>
      <c r="D6643" s="36" t="s">
        <v>2836</v>
      </c>
      <c r="E6643" s="36" t="s">
        <v>76</v>
      </c>
      <c r="G6643" s="87">
        <v>37340120</v>
      </c>
      <c r="H6643" s="87">
        <v>3734012</v>
      </c>
      <c r="I6643" s="87">
        <v>41074132</v>
      </c>
      <c r="K6643" s="85">
        <v>2025</v>
      </c>
      <c r="L6643" s="85">
        <v>8</v>
      </c>
      <c r="N6643" s="1" t="s">
        <v>44</v>
      </c>
    </row>
    <row r="6644" spans="1:14">
      <c r="A6644" s="36" t="s">
        <v>32</v>
      </c>
      <c r="B6644" s="37">
        <v>45900</v>
      </c>
      <c r="C6644" s="36" t="s">
        <v>2477</v>
      </c>
      <c r="D6644" s="36" t="s">
        <v>2485</v>
      </c>
      <c r="E6644" s="36" t="s">
        <v>76</v>
      </c>
      <c r="G6644" s="87">
        <v>1560000</v>
      </c>
      <c r="H6644" s="87">
        <v>156000</v>
      </c>
      <c r="I6644" s="87">
        <v>1716000</v>
      </c>
      <c r="K6644" s="85">
        <v>2025</v>
      </c>
      <c r="L6644" s="85">
        <v>8</v>
      </c>
      <c r="N6644" s="1" t="s">
        <v>44</v>
      </c>
    </row>
    <row r="6645" spans="1:14">
      <c r="A6645" s="36" t="s">
        <v>32</v>
      </c>
      <c r="B6645" s="37">
        <v>45900</v>
      </c>
      <c r="C6645" s="36" t="s">
        <v>2874</v>
      </c>
      <c r="D6645" s="36" t="s">
        <v>2854</v>
      </c>
      <c r="E6645" s="36" t="s">
        <v>267</v>
      </c>
      <c r="G6645" s="87">
        <v>44700000</v>
      </c>
      <c r="H6645" s="87">
        <v>4470000</v>
      </c>
      <c r="I6645" s="87">
        <v>49170000</v>
      </c>
      <c r="K6645" s="85">
        <v>2025</v>
      </c>
      <c r="L6645" s="85">
        <v>8</v>
      </c>
      <c r="N6645" s="1" t="s">
        <v>44</v>
      </c>
    </row>
    <row r="6646" spans="1:14">
      <c r="A6646" s="36" t="s">
        <v>32</v>
      </c>
      <c r="B6646" s="37">
        <v>45900</v>
      </c>
      <c r="C6646" s="36" t="s">
        <v>2674</v>
      </c>
      <c r="D6646" s="36" t="s">
        <v>2687</v>
      </c>
      <c r="E6646" s="36" t="s">
        <v>76</v>
      </c>
      <c r="G6646" s="87">
        <v>3425000</v>
      </c>
      <c r="H6646" s="87">
        <v>342500</v>
      </c>
      <c r="I6646" s="87">
        <v>3767500</v>
      </c>
      <c r="K6646" s="85">
        <v>2025</v>
      </c>
      <c r="L6646" s="85">
        <v>8</v>
      </c>
      <c r="N6646" s="1" t="s">
        <v>44</v>
      </c>
    </row>
    <row r="6647" spans="1:14">
      <c r="A6647" s="36" t="s">
        <v>32</v>
      </c>
      <c r="B6647" s="37">
        <v>45900</v>
      </c>
      <c r="C6647" s="36" t="s">
        <v>264</v>
      </c>
      <c r="D6647" s="36" t="s">
        <v>3070</v>
      </c>
      <c r="E6647" s="36" t="s">
        <v>76</v>
      </c>
      <c r="G6647" s="87">
        <v>21600000</v>
      </c>
      <c r="H6647" s="87">
        <v>2160000</v>
      </c>
      <c r="I6647" s="87">
        <v>23760000</v>
      </c>
      <c r="K6647" s="85">
        <v>2025</v>
      </c>
      <c r="L6647" s="85">
        <v>8</v>
      </c>
      <c r="N6647" s="1" t="s">
        <v>44</v>
      </c>
    </row>
    <row r="6648" spans="1:14">
      <c r="A6648" s="36" t="s">
        <v>32</v>
      </c>
      <c r="B6648" s="37">
        <v>45900</v>
      </c>
      <c r="C6648" s="36" t="s">
        <v>2766</v>
      </c>
      <c r="D6648" s="36" t="s">
        <v>3081</v>
      </c>
      <c r="E6648" s="36" t="s">
        <v>3074</v>
      </c>
      <c r="G6648" s="87">
        <v>10000000</v>
      </c>
      <c r="H6648" s="87">
        <v>1000000</v>
      </c>
      <c r="I6648" s="87">
        <v>11000000</v>
      </c>
      <c r="K6648" s="85">
        <v>2025</v>
      </c>
      <c r="L6648" s="85">
        <v>8</v>
      </c>
      <c r="N6648" s="1" t="s">
        <v>44</v>
      </c>
    </row>
    <row r="6649" spans="1:14">
      <c r="A6649" s="36" t="s">
        <v>32</v>
      </c>
      <c r="B6649" s="37">
        <v>45900</v>
      </c>
      <c r="C6649" s="36" t="s">
        <v>2872</v>
      </c>
      <c r="D6649" s="36" t="s">
        <v>2885</v>
      </c>
      <c r="E6649" s="36" t="s">
        <v>76</v>
      </c>
      <c r="G6649" s="87">
        <v>10000000</v>
      </c>
      <c r="H6649" s="87">
        <v>1000000</v>
      </c>
      <c r="I6649" s="87">
        <v>11000000</v>
      </c>
      <c r="K6649" s="85">
        <v>2025</v>
      </c>
      <c r="L6649" s="85">
        <v>8</v>
      </c>
      <c r="N6649" s="1" t="s">
        <v>44</v>
      </c>
    </row>
    <row r="6650" spans="1:14">
      <c r="A6650" s="36" t="s">
        <v>32</v>
      </c>
      <c r="B6650" s="37">
        <v>45900</v>
      </c>
      <c r="C6650" s="36" t="s">
        <v>2873</v>
      </c>
      <c r="D6650" s="36" t="s">
        <v>3115</v>
      </c>
      <c r="E6650" s="36" t="s">
        <v>1441</v>
      </c>
      <c r="G6650" s="87">
        <v>2000000</v>
      </c>
      <c r="H6650" s="87">
        <v>200000</v>
      </c>
      <c r="I6650" s="87">
        <v>2200000</v>
      </c>
      <c r="K6650" s="85">
        <v>2025</v>
      </c>
      <c r="L6650" s="85">
        <v>8</v>
      </c>
      <c r="N6650" s="1" t="s">
        <v>44</v>
      </c>
    </row>
    <row r="6651" spans="1:14">
      <c r="A6651" s="36" t="s">
        <v>32</v>
      </c>
      <c r="B6651" s="37">
        <v>45900</v>
      </c>
      <c r="C6651" s="36" t="s">
        <v>2824</v>
      </c>
      <c r="D6651" s="36" t="s">
        <v>2832</v>
      </c>
      <c r="E6651" s="36" t="s">
        <v>76</v>
      </c>
      <c r="G6651" s="87">
        <v>49299000</v>
      </c>
      <c r="H6651" s="87">
        <v>4929900</v>
      </c>
      <c r="I6651" s="87">
        <v>54228900</v>
      </c>
      <c r="K6651" s="85">
        <v>2025</v>
      </c>
      <c r="L6651" s="85">
        <v>8</v>
      </c>
      <c r="N6651" s="1" t="s">
        <v>44</v>
      </c>
    </row>
    <row r="6652" spans="1:14">
      <c r="A6652" s="36" t="s">
        <v>32</v>
      </c>
      <c r="B6652" s="37">
        <v>45900</v>
      </c>
      <c r="C6652" s="36" t="s">
        <v>3138</v>
      </c>
      <c r="D6652" s="36" t="s">
        <v>3071</v>
      </c>
      <c r="E6652" s="36" t="s">
        <v>76</v>
      </c>
      <c r="G6652" s="87">
        <v>3541440</v>
      </c>
      <c r="H6652" s="87">
        <v>354144</v>
      </c>
      <c r="I6652" s="87">
        <v>3895584</v>
      </c>
      <c r="K6652" s="85">
        <v>2025</v>
      </c>
      <c r="L6652" s="85">
        <v>8</v>
      </c>
      <c r="N6652" s="1" t="s">
        <v>44</v>
      </c>
    </row>
    <row r="6653" spans="1:14">
      <c r="A6653" s="36" t="s">
        <v>32</v>
      </c>
      <c r="B6653" s="37">
        <v>45900</v>
      </c>
      <c r="C6653" s="36" t="s">
        <v>1587</v>
      </c>
      <c r="D6653" s="36" t="s">
        <v>3072</v>
      </c>
      <c r="E6653" s="36" t="s">
        <v>267</v>
      </c>
      <c r="G6653" s="87">
        <v>6102000</v>
      </c>
      <c r="H6653" s="87">
        <v>610200</v>
      </c>
      <c r="I6653" s="87">
        <v>6712200</v>
      </c>
      <c r="K6653" s="85">
        <v>2025</v>
      </c>
      <c r="L6653" s="85">
        <v>8</v>
      </c>
      <c r="N6653" s="1" t="s">
        <v>44</v>
      </c>
    </row>
    <row r="6654" spans="1:14">
      <c r="A6654" s="36" t="s">
        <v>32</v>
      </c>
      <c r="B6654" s="37">
        <v>45909</v>
      </c>
      <c r="C6654" s="36" t="s">
        <v>2874</v>
      </c>
      <c r="D6654" s="36" t="s">
        <v>2854</v>
      </c>
      <c r="E6654" s="36" t="s">
        <v>3073</v>
      </c>
      <c r="J6654" s="38">
        <v>49170000</v>
      </c>
      <c r="K6654" s="85">
        <v>2025</v>
      </c>
      <c r="L6654" s="85">
        <v>8</v>
      </c>
      <c r="N6654" s="1" t="s">
        <v>44</v>
      </c>
    </row>
    <row r="6655" spans="1:14">
      <c r="A6655" s="36" t="s">
        <v>32</v>
      </c>
      <c r="B6655" s="37">
        <v>45897</v>
      </c>
      <c r="C6655" s="36" t="s">
        <v>2872</v>
      </c>
      <c r="D6655" s="36" t="s">
        <v>2885</v>
      </c>
      <c r="E6655" s="36" t="s">
        <v>3075</v>
      </c>
      <c r="J6655" s="87">
        <v>10502800</v>
      </c>
      <c r="K6655" s="85">
        <v>2025</v>
      </c>
      <c r="L6655" s="85">
        <v>7</v>
      </c>
      <c r="N6655" s="1" t="s">
        <v>44</v>
      </c>
    </row>
    <row r="6656" spans="1:14">
      <c r="A6656" s="36" t="s">
        <v>32</v>
      </c>
      <c r="B6656" s="37">
        <v>45903</v>
      </c>
      <c r="C6656" s="36" t="s">
        <v>2673</v>
      </c>
      <c r="D6656" s="36" t="s">
        <v>2686</v>
      </c>
      <c r="E6656" s="36" t="s">
        <v>3076</v>
      </c>
      <c r="J6656" s="87">
        <v>2882352</v>
      </c>
      <c r="K6656" s="85">
        <v>2025</v>
      </c>
      <c r="L6656" s="85">
        <v>7</v>
      </c>
      <c r="N6656" s="1" t="s">
        <v>44</v>
      </c>
    </row>
    <row r="6657" spans="1:14">
      <c r="A6657" s="36" t="s">
        <v>33</v>
      </c>
      <c r="B6657" s="37">
        <v>45912</v>
      </c>
      <c r="C6657" s="36" t="s">
        <v>2932</v>
      </c>
      <c r="D6657" s="36" t="s">
        <v>2931</v>
      </c>
      <c r="E6657" s="36" t="s">
        <v>3077</v>
      </c>
      <c r="J6657" s="87">
        <v>5463000.4000000004</v>
      </c>
      <c r="K6657" s="85">
        <v>2025</v>
      </c>
      <c r="L6657" s="85">
        <v>8</v>
      </c>
      <c r="N6657" s="1" t="s">
        <v>44</v>
      </c>
    </row>
    <row r="6658" spans="1:14">
      <c r="A6658" s="36" t="s">
        <v>32</v>
      </c>
      <c r="B6658" s="37">
        <v>45915</v>
      </c>
      <c r="C6658" s="36" t="s">
        <v>2871</v>
      </c>
      <c r="D6658" s="36" t="s">
        <v>2636</v>
      </c>
      <c r="E6658" s="36" t="s">
        <v>3078</v>
      </c>
      <c r="J6658" s="87">
        <v>1226500</v>
      </c>
      <c r="K6658" s="85">
        <v>2025</v>
      </c>
      <c r="L6658" s="85">
        <v>6</v>
      </c>
      <c r="N6658" s="1" t="s">
        <v>44</v>
      </c>
    </row>
    <row r="6659" spans="1:14">
      <c r="A6659" s="36" t="s">
        <v>32</v>
      </c>
      <c r="B6659" s="37">
        <v>45869</v>
      </c>
      <c r="C6659" s="36" t="s">
        <v>1396</v>
      </c>
      <c r="D6659" s="36" t="s">
        <v>2953</v>
      </c>
      <c r="E6659" s="36" t="s">
        <v>3079</v>
      </c>
      <c r="J6659" s="87">
        <v>5346000</v>
      </c>
      <c r="K6659" s="85">
        <v>2025</v>
      </c>
      <c r="L6659" s="85">
        <v>7</v>
      </c>
      <c r="N6659" s="1" t="s">
        <v>44</v>
      </c>
    </row>
    <row r="6660" spans="1:14">
      <c r="A6660" s="36" t="s">
        <v>32</v>
      </c>
      <c r="B6660" s="37">
        <v>45913</v>
      </c>
      <c r="C6660" s="36" t="s">
        <v>2766</v>
      </c>
      <c r="D6660" s="36" t="s">
        <v>3081</v>
      </c>
      <c r="E6660" s="36" t="s">
        <v>3078</v>
      </c>
      <c r="J6660" s="87">
        <v>11000000</v>
      </c>
      <c r="K6660" s="85">
        <v>2025</v>
      </c>
      <c r="L6660" s="85">
        <v>8</v>
      </c>
      <c r="N6660" s="1" t="s">
        <v>44</v>
      </c>
    </row>
    <row r="6661" spans="1:14">
      <c r="A6661" s="36" t="s">
        <v>33</v>
      </c>
      <c r="B6661" s="37">
        <v>45915</v>
      </c>
      <c r="C6661" s="36" t="s">
        <v>3082</v>
      </c>
      <c r="D6661" s="36" t="s">
        <v>2972</v>
      </c>
      <c r="E6661" s="36" t="s">
        <v>3083</v>
      </c>
      <c r="G6661" s="87">
        <v>22600000</v>
      </c>
      <c r="H6661" s="87">
        <v>2260000</v>
      </c>
      <c r="I6661" s="87">
        <v>24860000</v>
      </c>
      <c r="K6661" s="85">
        <v>2025</v>
      </c>
      <c r="L6661" s="85">
        <v>9</v>
      </c>
      <c r="N6661" s="1" t="s">
        <v>44</v>
      </c>
    </row>
    <row r="6662" spans="1:14">
      <c r="A6662" s="36" t="s">
        <v>32</v>
      </c>
      <c r="B6662" s="37">
        <v>45915</v>
      </c>
      <c r="C6662" s="36" t="s">
        <v>2392</v>
      </c>
      <c r="D6662" s="36" t="s">
        <v>2483</v>
      </c>
      <c r="E6662" s="36" t="s">
        <v>3080</v>
      </c>
      <c r="J6662" s="87">
        <v>8764800</v>
      </c>
      <c r="K6662" s="85">
        <v>2025</v>
      </c>
      <c r="L6662" s="85">
        <v>5</v>
      </c>
      <c r="N6662" s="1" t="s">
        <v>44</v>
      </c>
    </row>
    <row r="6663" spans="1:14">
      <c r="A6663" s="36" t="s">
        <v>32</v>
      </c>
      <c r="B6663" s="37">
        <v>45916</v>
      </c>
      <c r="C6663" s="36" t="s">
        <v>1198</v>
      </c>
      <c r="D6663" s="36" t="s">
        <v>3067</v>
      </c>
      <c r="E6663" s="36" t="s">
        <v>3084</v>
      </c>
      <c r="J6663" s="87">
        <v>7980720</v>
      </c>
      <c r="K6663" s="85">
        <v>2025</v>
      </c>
      <c r="L6663" s="85">
        <v>8</v>
      </c>
      <c r="N6663" s="1" t="s">
        <v>44</v>
      </c>
    </row>
    <row r="6664" spans="1:14">
      <c r="A6664" s="36" t="s">
        <v>33</v>
      </c>
      <c r="B6664" s="37">
        <v>45918</v>
      </c>
      <c r="C6664" s="36" t="s">
        <v>3057</v>
      </c>
      <c r="D6664" s="36" t="s">
        <v>3052</v>
      </c>
      <c r="E6664" s="36" t="s">
        <v>3085</v>
      </c>
      <c r="J6664" s="87">
        <v>15604952</v>
      </c>
      <c r="K6664" s="85">
        <v>2025</v>
      </c>
      <c r="L6664" s="85">
        <v>8</v>
      </c>
      <c r="N6664" s="1" t="s">
        <v>44</v>
      </c>
    </row>
    <row r="6665" spans="1:14">
      <c r="A6665" s="36" t="s">
        <v>32</v>
      </c>
      <c r="B6665" s="37">
        <v>45918</v>
      </c>
      <c r="C6665" s="36" t="s">
        <v>334</v>
      </c>
      <c r="D6665" s="36" t="s">
        <v>3068</v>
      </c>
      <c r="E6665" s="36" t="s">
        <v>3086</v>
      </c>
      <c r="J6665" s="87">
        <v>4400000</v>
      </c>
      <c r="K6665" s="85">
        <v>2025</v>
      </c>
      <c r="L6665" s="85">
        <v>8</v>
      </c>
      <c r="N6665" s="1" t="s">
        <v>44</v>
      </c>
    </row>
    <row r="6666" spans="1:14">
      <c r="A6666" s="36" t="s">
        <v>32</v>
      </c>
      <c r="B6666" s="37">
        <v>45919</v>
      </c>
      <c r="C6666" s="36" t="s">
        <v>2166</v>
      </c>
      <c r="D6666" s="36" t="s">
        <v>2836</v>
      </c>
      <c r="E6666" s="36" t="s">
        <v>3088</v>
      </c>
      <c r="J6666" s="87">
        <v>13550922</v>
      </c>
      <c r="K6666" s="85">
        <v>2025</v>
      </c>
      <c r="L6666" s="85">
        <v>7</v>
      </c>
      <c r="M6666" s="36" t="s">
        <v>3089</v>
      </c>
      <c r="N6666" s="1" t="s">
        <v>44</v>
      </c>
    </row>
    <row r="6667" spans="1:14">
      <c r="A6667" s="36" t="s">
        <v>33</v>
      </c>
      <c r="B6667" s="37">
        <v>45919</v>
      </c>
      <c r="C6667" s="36" t="s">
        <v>2116</v>
      </c>
      <c r="D6667" s="36" t="s">
        <v>2117</v>
      </c>
      <c r="E6667" s="36" t="s">
        <v>3087</v>
      </c>
      <c r="J6667" s="87">
        <v>669900</v>
      </c>
      <c r="K6667" s="85">
        <v>2025</v>
      </c>
      <c r="L6667" s="85">
        <v>8</v>
      </c>
      <c r="N6667" s="1" t="s">
        <v>44</v>
      </c>
    </row>
    <row r="6668" spans="1:14">
      <c r="A6668" s="36" t="s">
        <v>33</v>
      </c>
      <c r="B6668" s="37">
        <v>45919</v>
      </c>
      <c r="C6668" s="36" t="s">
        <v>2016</v>
      </c>
      <c r="D6668" s="36" t="s">
        <v>3000</v>
      </c>
      <c r="E6668" s="36" t="s">
        <v>3090</v>
      </c>
      <c r="J6668" s="87">
        <v>76400500</v>
      </c>
      <c r="K6668" s="85">
        <v>2025</v>
      </c>
      <c r="L6668" s="85">
        <v>8</v>
      </c>
      <c r="N6668" s="1" t="s">
        <v>44</v>
      </c>
    </row>
    <row r="6669" spans="1:14">
      <c r="A6669" s="36" t="s">
        <v>33</v>
      </c>
      <c r="B6669" s="37">
        <v>45919</v>
      </c>
      <c r="C6669" s="36" t="s">
        <v>3082</v>
      </c>
      <c r="D6669" s="36" t="s">
        <v>2972</v>
      </c>
      <c r="E6669" s="36" t="s">
        <v>3091</v>
      </c>
      <c r="J6669" s="87">
        <v>10000000</v>
      </c>
      <c r="K6669" s="85">
        <v>2025</v>
      </c>
      <c r="L6669" s="85">
        <v>9</v>
      </c>
      <c r="N6669" s="1" t="s">
        <v>44</v>
      </c>
    </row>
    <row r="6670" spans="1:14">
      <c r="A6670" s="36" t="s">
        <v>32</v>
      </c>
      <c r="B6670" s="37">
        <v>45927</v>
      </c>
      <c r="C6670" s="36" t="s">
        <v>1587</v>
      </c>
      <c r="D6670" s="36" t="s">
        <v>3072</v>
      </c>
      <c r="E6670" s="36" t="s">
        <v>3092</v>
      </c>
      <c r="J6670" s="87">
        <v>6712200</v>
      </c>
      <c r="K6670" s="85">
        <v>2025</v>
      </c>
      <c r="L6670" s="85">
        <v>8</v>
      </c>
      <c r="N6670" s="1" t="s">
        <v>44</v>
      </c>
    </row>
    <row r="6671" spans="1:14">
      <c r="A6671" s="36" t="s">
        <v>32</v>
      </c>
      <c r="B6671" s="37">
        <v>45926</v>
      </c>
      <c r="C6671" s="36" t="s">
        <v>654</v>
      </c>
      <c r="D6671" s="36" t="s">
        <v>2588</v>
      </c>
      <c r="E6671" s="36" t="s">
        <v>3094</v>
      </c>
      <c r="J6671" s="306">
        <v>21564048</v>
      </c>
      <c r="K6671" s="85">
        <v>2025</v>
      </c>
      <c r="L6671" s="85">
        <v>8</v>
      </c>
      <c r="M6671" s="307" t="s">
        <v>3093</v>
      </c>
      <c r="N6671" s="1" t="s">
        <v>44</v>
      </c>
    </row>
    <row r="6672" spans="1:14">
      <c r="A6672" s="36" t="s">
        <v>32</v>
      </c>
      <c r="B6672" s="37">
        <v>45926</v>
      </c>
      <c r="C6672" s="36" t="s">
        <v>3098</v>
      </c>
      <c r="D6672" s="36" t="s">
        <v>3099</v>
      </c>
      <c r="E6672" s="36" t="s">
        <v>3092</v>
      </c>
      <c r="J6672" s="38">
        <v>3767500</v>
      </c>
      <c r="K6672" s="85">
        <v>2025</v>
      </c>
      <c r="L6672" s="85">
        <v>8</v>
      </c>
      <c r="N6672" s="1" t="s">
        <v>44</v>
      </c>
    </row>
    <row r="6673" spans="1:14">
      <c r="A6673" s="36" t="s">
        <v>32</v>
      </c>
      <c r="B6673" s="37">
        <v>45925</v>
      </c>
      <c r="C6673" s="36" t="s">
        <v>3063</v>
      </c>
      <c r="D6673" s="36" t="s">
        <v>3069</v>
      </c>
      <c r="E6673" s="36" t="s">
        <v>3092</v>
      </c>
      <c r="J6673" s="87">
        <v>4950000</v>
      </c>
      <c r="K6673" s="85">
        <v>2025</v>
      </c>
      <c r="L6673" s="85">
        <v>8</v>
      </c>
      <c r="N6673" s="1" t="s">
        <v>44</v>
      </c>
    </row>
    <row r="6674" spans="1:14">
      <c r="A6674" s="36" t="s">
        <v>32</v>
      </c>
      <c r="B6674" s="37">
        <v>45926</v>
      </c>
      <c r="C6674" s="36" t="s">
        <v>654</v>
      </c>
      <c r="D6674" s="36" t="s">
        <v>2588</v>
      </c>
      <c r="E6674" s="36" t="s">
        <v>3095</v>
      </c>
      <c r="J6674" s="308">
        <v>8712972</v>
      </c>
      <c r="K6674" s="85">
        <v>2025</v>
      </c>
      <c r="L6674" s="85">
        <v>7</v>
      </c>
      <c r="M6674" s="307" t="s">
        <v>3093</v>
      </c>
      <c r="N6674" s="1" t="s">
        <v>44</v>
      </c>
    </row>
    <row r="6675" spans="1:14">
      <c r="A6675" s="36" t="s">
        <v>32</v>
      </c>
      <c r="B6675" s="37">
        <v>45930</v>
      </c>
      <c r="C6675" s="36" t="s">
        <v>654</v>
      </c>
      <c r="D6675" s="36" t="s">
        <v>2881</v>
      </c>
      <c r="E6675" s="36" t="s">
        <v>3096</v>
      </c>
      <c r="J6675" s="230">
        <v>5500000</v>
      </c>
      <c r="K6675" s="85">
        <v>2025</v>
      </c>
      <c r="L6675" s="85">
        <v>8</v>
      </c>
      <c r="N6675" s="1" t="s">
        <v>44</v>
      </c>
    </row>
    <row r="6676" spans="1:14">
      <c r="A6676" s="36" t="s">
        <v>32</v>
      </c>
      <c r="B6676" s="37">
        <v>45926</v>
      </c>
      <c r="C6676" s="36" t="s">
        <v>654</v>
      </c>
      <c r="D6676" s="36" t="s">
        <v>2541</v>
      </c>
      <c r="E6676" s="36" t="s">
        <v>3097</v>
      </c>
      <c r="J6676" s="308">
        <v>9884728</v>
      </c>
      <c r="K6676" s="85">
        <v>2025</v>
      </c>
      <c r="L6676" s="85">
        <v>8</v>
      </c>
      <c r="M6676" s="307" t="s">
        <v>3093</v>
      </c>
      <c r="N6676" s="1" t="s">
        <v>44</v>
      </c>
    </row>
    <row r="6677" spans="1:14">
      <c r="A6677" s="36" t="s">
        <v>32</v>
      </c>
      <c r="B6677" s="37">
        <v>45926</v>
      </c>
      <c r="C6677" s="36" t="s">
        <v>264</v>
      </c>
      <c r="D6677" s="36" t="s">
        <v>3070</v>
      </c>
      <c r="E6677" s="36" t="s">
        <v>3100</v>
      </c>
      <c r="J6677" s="87">
        <v>23760000</v>
      </c>
      <c r="K6677" s="85">
        <v>2025</v>
      </c>
      <c r="L6677" s="85">
        <v>8</v>
      </c>
      <c r="N6677" s="1" t="s">
        <v>44</v>
      </c>
    </row>
    <row r="6678" spans="1:14">
      <c r="A6678" s="36" t="s">
        <v>3106</v>
      </c>
      <c r="B6678" s="37">
        <v>45930</v>
      </c>
      <c r="C6678" s="36" t="s">
        <v>2997</v>
      </c>
      <c r="D6678" s="36" t="s">
        <v>2998</v>
      </c>
      <c r="E6678" s="36" t="s">
        <v>3101</v>
      </c>
      <c r="J6678" s="38">
        <v>47999.6</v>
      </c>
      <c r="K6678" s="85">
        <v>2025</v>
      </c>
      <c r="L6678" s="85">
        <v>8</v>
      </c>
      <c r="N6678" s="1" t="s">
        <v>44</v>
      </c>
    </row>
    <row r="6679" spans="1:14">
      <c r="A6679" s="36" t="s">
        <v>3106</v>
      </c>
      <c r="B6679" s="37">
        <v>45930</v>
      </c>
      <c r="C6679" s="36" t="s">
        <v>2927</v>
      </c>
      <c r="D6679" s="36" t="s">
        <v>2936</v>
      </c>
      <c r="E6679" s="36" t="s">
        <v>3102</v>
      </c>
      <c r="J6679" s="38">
        <v>165000</v>
      </c>
      <c r="K6679" s="85">
        <v>2025</v>
      </c>
      <c r="L6679" s="85">
        <v>8</v>
      </c>
      <c r="N6679" s="1" t="s">
        <v>44</v>
      </c>
    </row>
    <row r="6680" spans="1:14">
      <c r="A6680" s="36" t="s">
        <v>3106</v>
      </c>
      <c r="B6680" s="37">
        <v>45930</v>
      </c>
      <c r="C6680" s="36" t="s">
        <v>2188</v>
      </c>
      <c r="D6680" s="36" t="s">
        <v>3052</v>
      </c>
      <c r="E6680" s="36" t="s">
        <v>3103</v>
      </c>
      <c r="J6680" s="38">
        <v>64790</v>
      </c>
      <c r="K6680" s="85">
        <v>2025</v>
      </c>
      <c r="L6680" s="85">
        <v>8</v>
      </c>
      <c r="N6680" s="1" t="s">
        <v>44</v>
      </c>
    </row>
    <row r="6681" spans="1:14">
      <c r="A6681" s="36" t="s">
        <v>3106</v>
      </c>
      <c r="B6681" s="37">
        <v>45930</v>
      </c>
      <c r="C6681" s="36" t="s">
        <v>2587</v>
      </c>
      <c r="D6681" s="36" t="s">
        <v>2588</v>
      </c>
      <c r="E6681" s="36" t="s">
        <v>3104</v>
      </c>
      <c r="J6681" s="38">
        <v>2811600</v>
      </c>
      <c r="K6681" s="85">
        <v>2025</v>
      </c>
      <c r="L6681" s="85">
        <v>8</v>
      </c>
      <c r="N6681" s="1" t="s">
        <v>44</v>
      </c>
    </row>
    <row r="6682" spans="1:14">
      <c r="A6682" s="36" t="s">
        <v>3106</v>
      </c>
      <c r="B6682" s="37">
        <v>45930</v>
      </c>
      <c r="C6682" s="36" t="s">
        <v>2016</v>
      </c>
      <c r="D6682" s="36" t="s">
        <v>2468</v>
      </c>
      <c r="E6682" s="36" t="s">
        <v>3105</v>
      </c>
      <c r="J6682" s="38">
        <v>97471000</v>
      </c>
      <c r="K6682" s="85">
        <v>2025</v>
      </c>
      <c r="L6682" s="85">
        <v>8</v>
      </c>
      <c r="N6682" s="1" t="s">
        <v>44</v>
      </c>
    </row>
    <row r="6683" spans="1:14">
      <c r="A6683" s="36" t="s">
        <v>33</v>
      </c>
      <c r="B6683" s="37">
        <v>45923</v>
      </c>
      <c r="C6683" s="36" t="s">
        <v>2476</v>
      </c>
      <c r="D6683" s="36" t="s">
        <v>3107</v>
      </c>
      <c r="E6683" s="36" t="s">
        <v>3108</v>
      </c>
      <c r="G6683" s="87">
        <v>3958020</v>
      </c>
      <c r="H6683" s="87">
        <v>395802</v>
      </c>
      <c r="I6683" s="87">
        <v>4353822</v>
      </c>
      <c r="K6683" s="85">
        <v>2025</v>
      </c>
      <c r="L6683" s="85">
        <v>9</v>
      </c>
      <c r="N6683" s="1" t="s">
        <v>44</v>
      </c>
    </row>
    <row r="6684" spans="1:14">
      <c r="A6684" s="36" t="s">
        <v>32</v>
      </c>
      <c r="B6684" s="37">
        <v>45930</v>
      </c>
      <c r="C6684" s="36" t="s">
        <v>3062</v>
      </c>
      <c r="D6684" s="36" t="s">
        <v>3066</v>
      </c>
      <c r="E6684" s="36" t="s">
        <v>3109</v>
      </c>
      <c r="J6684" s="87">
        <v>2079000</v>
      </c>
      <c r="K6684" s="85">
        <v>2025</v>
      </c>
      <c r="L6684" s="85">
        <v>8</v>
      </c>
      <c r="N6684" s="1" t="s">
        <v>44</v>
      </c>
    </row>
    <row r="6685" spans="1:14">
      <c r="A6685" s="36" t="s">
        <v>32</v>
      </c>
      <c r="B6685" s="37">
        <v>45930</v>
      </c>
      <c r="C6685" s="36" t="s">
        <v>2868</v>
      </c>
      <c r="D6685" s="36" t="s">
        <v>2875</v>
      </c>
      <c r="E6685" s="36" t="s">
        <v>3109</v>
      </c>
      <c r="J6685" s="87">
        <v>4180000</v>
      </c>
      <c r="K6685" s="85">
        <v>2025</v>
      </c>
      <c r="L6685" s="85">
        <v>7</v>
      </c>
      <c r="N6685" s="1" t="s">
        <v>44</v>
      </c>
    </row>
    <row r="6686" spans="1:14">
      <c r="A6686" s="36" t="s">
        <v>33</v>
      </c>
      <c r="B6686" s="37">
        <v>45930</v>
      </c>
      <c r="C6686" s="36" t="s">
        <v>3110</v>
      </c>
      <c r="D6686" s="36" t="s">
        <v>3069</v>
      </c>
      <c r="E6686" s="36" t="s">
        <v>143</v>
      </c>
      <c r="G6686" s="87">
        <v>320000</v>
      </c>
      <c r="H6686" s="87">
        <v>32000</v>
      </c>
      <c r="I6686" s="87">
        <v>352000</v>
      </c>
      <c r="K6686" s="85">
        <v>2025</v>
      </c>
      <c r="L6686" s="85">
        <v>9</v>
      </c>
      <c r="N6686" s="1" t="s">
        <v>44</v>
      </c>
    </row>
    <row r="6687" spans="1:14">
      <c r="A6687" s="36" t="s">
        <v>33</v>
      </c>
      <c r="B6687" s="37">
        <v>45930</v>
      </c>
      <c r="C6687" s="36" t="s">
        <v>2188</v>
      </c>
      <c r="D6687" s="36" t="s">
        <v>3111</v>
      </c>
      <c r="E6687" s="36" t="s">
        <v>3112</v>
      </c>
      <c r="G6687" s="87">
        <v>1157000</v>
      </c>
      <c r="H6687" s="87">
        <v>115700</v>
      </c>
      <c r="I6687" s="87">
        <v>1272700</v>
      </c>
      <c r="K6687" s="85">
        <v>2025</v>
      </c>
      <c r="L6687" s="85">
        <v>9</v>
      </c>
      <c r="N6687" s="1" t="s">
        <v>44</v>
      </c>
    </row>
    <row r="6688" spans="1:14">
      <c r="A6688" s="36" t="s">
        <v>33</v>
      </c>
      <c r="B6688" s="37">
        <v>45930</v>
      </c>
      <c r="C6688" s="36" t="s">
        <v>3053</v>
      </c>
      <c r="D6688" s="36" t="s">
        <v>2763</v>
      </c>
      <c r="E6688" s="36" t="s">
        <v>3109</v>
      </c>
      <c r="J6688" s="87">
        <v>477400</v>
      </c>
      <c r="K6688" s="85">
        <v>2025</v>
      </c>
      <c r="L6688" s="85">
        <v>8</v>
      </c>
      <c r="N6688" s="1" t="s">
        <v>44</v>
      </c>
    </row>
    <row r="6689" spans="1:14">
      <c r="A6689" s="36" t="s">
        <v>33</v>
      </c>
      <c r="B6689" s="37">
        <v>45930</v>
      </c>
      <c r="C6689" s="36" t="s">
        <v>81</v>
      </c>
      <c r="D6689" s="36" t="s">
        <v>2860</v>
      </c>
      <c r="E6689" s="36" t="s">
        <v>3113</v>
      </c>
      <c r="J6689" s="87">
        <v>1266100</v>
      </c>
      <c r="K6689" s="85">
        <v>2025</v>
      </c>
      <c r="L6689" s="85">
        <v>8</v>
      </c>
      <c r="N6689" s="1" t="s">
        <v>44</v>
      </c>
    </row>
    <row r="6690" spans="1:14">
      <c r="A6690" s="36" t="s">
        <v>32</v>
      </c>
      <c r="B6690" s="37">
        <v>45930</v>
      </c>
      <c r="C6690" s="36" t="s">
        <v>2673</v>
      </c>
      <c r="D6690" s="36" t="s">
        <v>2686</v>
      </c>
      <c r="E6690" s="36" t="s">
        <v>3114</v>
      </c>
      <c r="J6690" s="87">
        <v>1182720</v>
      </c>
      <c r="K6690" s="85">
        <v>2025</v>
      </c>
      <c r="L6690" s="85">
        <v>8</v>
      </c>
      <c r="N6690" s="1" t="s">
        <v>44</v>
      </c>
    </row>
    <row r="6691" spans="1:14">
      <c r="A6691" s="36" t="s">
        <v>32</v>
      </c>
      <c r="B6691" s="37">
        <v>45930</v>
      </c>
      <c r="C6691" s="36" t="s">
        <v>2477</v>
      </c>
      <c r="D6691" s="36" t="s">
        <v>2485</v>
      </c>
      <c r="E6691" s="36" t="s">
        <v>3114</v>
      </c>
      <c r="J6691" s="87">
        <v>1716000</v>
      </c>
      <c r="K6691" s="85">
        <v>2025</v>
      </c>
      <c r="L6691" s="85">
        <v>8</v>
      </c>
      <c r="N6691" s="1" t="s">
        <v>44</v>
      </c>
    </row>
    <row r="6692" spans="1:14">
      <c r="A6692" s="36" t="s">
        <v>32</v>
      </c>
      <c r="B6692" s="37">
        <v>45930</v>
      </c>
      <c r="C6692" s="36" t="s">
        <v>2873</v>
      </c>
      <c r="D6692" s="36" t="s">
        <v>3115</v>
      </c>
      <c r="E6692" s="36" t="s">
        <v>3116</v>
      </c>
      <c r="J6692" s="87">
        <v>2200000</v>
      </c>
      <c r="K6692" s="85">
        <v>2025</v>
      </c>
      <c r="L6692" s="85">
        <v>8</v>
      </c>
      <c r="N6692" s="1" t="s">
        <v>44</v>
      </c>
    </row>
    <row r="6693" spans="1:14">
      <c r="A6693" s="36" t="s">
        <v>32</v>
      </c>
      <c r="B6693" s="37">
        <v>45930</v>
      </c>
      <c r="C6693" s="36" t="s">
        <v>2824</v>
      </c>
      <c r="D6693" s="36" t="s">
        <v>2832</v>
      </c>
      <c r="E6693" s="36" t="s">
        <v>3116</v>
      </c>
      <c r="J6693" s="87">
        <v>54228900</v>
      </c>
      <c r="K6693" s="85">
        <v>2025</v>
      </c>
      <c r="L6693" s="85">
        <v>8</v>
      </c>
      <c r="N6693" s="1" t="s">
        <v>44</v>
      </c>
    </row>
    <row r="6694" spans="1:14">
      <c r="A6694" s="36" t="s">
        <v>32</v>
      </c>
      <c r="B6694" s="37">
        <v>45931</v>
      </c>
      <c r="C6694" s="36" t="s">
        <v>174</v>
      </c>
      <c r="D6694" s="36" t="s">
        <v>2480</v>
      </c>
      <c r="E6694" s="36" t="s">
        <v>3117</v>
      </c>
      <c r="J6694" s="38">
        <v>10000000</v>
      </c>
      <c r="K6694" s="85">
        <v>2024</v>
      </c>
      <c r="L6694" s="85">
        <v>11</v>
      </c>
      <c r="N6694" s="1" t="s">
        <v>44</v>
      </c>
    </row>
    <row r="6695" spans="1:14">
      <c r="A6695" s="36" t="s">
        <v>33</v>
      </c>
      <c r="B6695" s="37">
        <v>45931</v>
      </c>
      <c r="C6695" s="36" t="s">
        <v>2476</v>
      </c>
      <c r="D6695" s="36" t="s">
        <v>3107</v>
      </c>
      <c r="E6695" s="36" t="s">
        <v>3118</v>
      </c>
      <c r="J6695" s="87">
        <v>4353822</v>
      </c>
      <c r="K6695" s="85">
        <v>2025</v>
      </c>
      <c r="L6695" s="85">
        <v>9</v>
      </c>
      <c r="N6695" s="1" t="s">
        <v>44</v>
      </c>
    </row>
    <row r="6696" spans="1:14">
      <c r="A6696" s="36" t="s">
        <v>33</v>
      </c>
      <c r="B6696" s="37">
        <v>45930</v>
      </c>
      <c r="C6696" s="36" t="s">
        <v>3119</v>
      </c>
      <c r="D6696" s="36" t="s">
        <v>3069</v>
      </c>
      <c r="E6696" s="36" t="s">
        <v>3120</v>
      </c>
      <c r="G6696" s="87">
        <v>180000</v>
      </c>
      <c r="H6696" s="87">
        <v>18000</v>
      </c>
      <c r="I6696" s="87">
        <v>198000</v>
      </c>
      <c r="K6696" s="85">
        <v>2025</v>
      </c>
      <c r="L6696" s="85">
        <v>9</v>
      </c>
      <c r="N6696" s="1" t="s">
        <v>44</v>
      </c>
    </row>
    <row r="6697" spans="1:14">
      <c r="A6697" s="36" t="s">
        <v>32</v>
      </c>
      <c r="B6697" s="37">
        <v>45931</v>
      </c>
      <c r="C6697" s="36" t="s">
        <v>2872</v>
      </c>
      <c r="D6697" s="36" t="s">
        <v>2885</v>
      </c>
      <c r="E6697" s="36" t="s">
        <v>3117</v>
      </c>
      <c r="J6697" s="87">
        <v>11000000</v>
      </c>
      <c r="K6697" s="85">
        <v>2025</v>
      </c>
      <c r="L6697" s="85">
        <v>8</v>
      </c>
      <c r="N6697" s="1" t="s">
        <v>44</v>
      </c>
    </row>
    <row r="6698" spans="1:14">
      <c r="A6698" s="36" t="s">
        <v>33</v>
      </c>
      <c r="B6698" s="37">
        <v>45931</v>
      </c>
      <c r="C6698" s="36" t="s">
        <v>3082</v>
      </c>
      <c r="D6698" s="36" t="s">
        <v>2972</v>
      </c>
      <c r="E6698" s="36" t="s">
        <v>3001</v>
      </c>
      <c r="F6698" s="87"/>
      <c r="J6698" s="38">
        <v>14860000</v>
      </c>
      <c r="K6698" s="85">
        <v>2025</v>
      </c>
      <c r="L6698" s="85">
        <v>9</v>
      </c>
      <c r="N6698" s="1" t="s">
        <v>44</v>
      </c>
    </row>
    <row r="6699" spans="1:14">
      <c r="A6699" s="36" t="s">
        <v>33</v>
      </c>
      <c r="B6699" s="37">
        <v>45932</v>
      </c>
      <c r="C6699" s="36" t="s">
        <v>1569</v>
      </c>
      <c r="D6699" s="36" t="s">
        <v>2936</v>
      </c>
      <c r="E6699" s="36" t="s">
        <v>3121</v>
      </c>
      <c r="J6699" s="87">
        <v>1804880</v>
      </c>
      <c r="K6699" s="85">
        <v>2025</v>
      </c>
      <c r="L6699" s="85">
        <v>7</v>
      </c>
      <c r="N6699" s="1" t="s">
        <v>44</v>
      </c>
    </row>
    <row r="6700" spans="1:14">
      <c r="A6700" s="36" t="s">
        <v>33</v>
      </c>
      <c r="B6700" s="37">
        <v>45932</v>
      </c>
      <c r="C6700" s="36" t="s">
        <v>2934</v>
      </c>
      <c r="D6700" s="36" t="s">
        <v>2933</v>
      </c>
      <c r="E6700" s="36" t="s">
        <v>3122</v>
      </c>
      <c r="J6700" s="87">
        <v>847000</v>
      </c>
      <c r="K6700" s="85">
        <v>2025</v>
      </c>
      <c r="L6700" s="85">
        <v>8</v>
      </c>
      <c r="N6700" s="1" t="s">
        <v>44</v>
      </c>
    </row>
    <row r="6701" spans="1:14">
      <c r="A6701" s="36" t="s">
        <v>32</v>
      </c>
      <c r="B6701" s="37">
        <v>45932</v>
      </c>
      <c r="C6701" s="36" t="s">
        <v>661</v>
      </c>
      <c r="D6701" s="36" t="s">
        <v>2783</v>
      </c>
      <c r="E6701" s="36" t="s">
        <v>3122</v>
      </c>
      <c r="J6701" s="87">
        <v>3441020</v>
      </c>
      <c r="K6701" s="85">
        <v>2025</v>
      </c>
      <c r="L6701" s="85">
        <v>7</v>
      </c>
      <c r="N6701" s="1" t="s">
        <v>44</v>
      </c>
    </row>
    <row r="6702" spans="1:14">
      <c r="A6702" s="36" t="s">
        <v>33</v>
      </c>
      <c r="B6702" s="37">
        <v>45930</v>
      </c>
      <c r="C6702" s="36" t="s">
        <v>188</v>
      </c>
      <c r="D6702" s="36" t="s">
        <v>3123</v>
      </c>
      <c r="E6702" s="36" t="s">
        <v>102</v>
      </c>
      <c r="G6702" s="87">
        <v>2090000</v>
      </c>
      <c r="H6702" s="87">
        <v>209000</v>
      </c>
      <c r="I6702" s="87">
        <v>2299000</v>
      </c>
      <c r="K6702" s="85">
        <v>2025</v>
      </c>
      <c r="L6702" s="85">
        <v>9</v>
      </c>
      <c r="N6702" s="1" t="s">
        <v>44</v>
      </c>
    </row>
    <row r="6703" spans="1:14">
      <c r="A6703" s="36" t="s">
        <v>33</v>
      </c>
      <c r="B6703" s="37">
        <v>45930</v>
      </c>
      <c r="C6703" s="36" t="s">
        <v>2188</v>
      </c>
      <c r="D6703" s="36" t="s">
        <v>2980</v>
      </c>
      <c r="E6703" s="36" t="s">
        <v>2040</v>
      </c>
      <c r="G6703" s="87">
        <v>57000</v>
      </c>
      <c r="H6703" s="87">
        <v>5700</v>
      </c>
      <c r="I6703" s="87">
        <v>62700</v>
      </c>
      <c r="K6703" s="85">
        <v>2025</v>
      </c>
      <c r="L6703" s="85">
        <v>9</v>
      </c>
      <c r="N6703" s="1" t="s">
        <v>44</v>
      </c>
    </row>
    <row r="6704" spans="1:14">
      <c r="A6704" s="36" t="s">
        <v>32</v>
      </c>
      <c r="B6704" s="37">
        <v>45931</v>
      </c>
      <c r="C6704" s="36" t="s">
        <v>188</v>
      </c>
      <c r="D6704" s="36" t="s">
        <v>3065</v>
      </c>
      <c r="E6704" s="36" t="s">
        <v>3124</v>
      </c>
      <c r="J6704" s="87">
        <v>7341620</v>
      </c>
      <c r="K6704" s="85">
        <v>2025</v>
      </c>
      <c r="L6704" s="85">
        <v>8</v>
      </c>
      <c r="N6704" s="1" t="s">
        <v>44</v>
      </c>
    </row>
    <row r="6705" spans="1:14">
      <c r="A6705" s="36" t="s">
        <v>32</v>
      </c>
      <c r="B6705" s="37">
        <v>45931</v>
      </c>
      <c r="C6705" s="36" t="s">
        <v>1396</v>
      </c>
      <c r="D6705" s="36" t="s">
        <v>2954</v>
      </c>
      <c r="E6705" s="36" t="s">
        <v>2954</v>
      </c>
      <c r="J6705" s="87">
        <v>1903000</v>
      </c>
      <c r="K6705" s="85">
        <v>2025</v>
      </c>
      <c r="L6705" s="85">
        <v>7</v>
      </c>
      <c r="N6705" s="1" t="s">
        <v>44</v>
      </c>
    </row>
    <row r="6706" spans="1:14">
      <c r="A6706" s="36" t="s">
        <v>32</v>
      </c>
      <c r="B6706" s="37">
        <v>45932</v>
      </c>
      <c r="C6706" s="36" t="s">
        <v>1198</v>
      </c>
      <c r="D6706" s="36" t="s">
        <v>2998</v>
      </c>
      <c r="E6706" s="36" t="s">
        <v>3101</v>
      </c>
      <c r="J6706" s="87">
        <v>7266600</v>
      </c>
      <c r="K6706" s="85">
        <v>2025</v>
      </c>
      <c r="L6706" s="85">
        <v>7</v>
      </c>
      <c r="N6706" s="1" t="s">
        <v>44</v>
      </c>
    </row>
    <row r="6707" spans="1:14">
      <c r="A6707" s="36" t="s">
        <v>33</v>
      </c>
      <c r="B6707" s="37">
        <v>45930</v>
      </c>
      <c r="C6707" s="36" t="s">
        <v>3060</v>
      </c>
      <c r="D6707" s="36" t="s">
        <v>3061</v>
      </c>
      <c r="E6707" s="36" t="s">
        <v>3125</v>
      </c>
      <c r="G6707" s="87">
        <v>100527</v>
      </c>
      <c r="H6707" s="87">
        <v>10052.700000000001</v>
      </c>
      <c r="I6707" s="87">
        <v>110579.7</v>
      </c>
      <c r="K6707" s="85">
        <v>2025</v>
      </c>
      <c r="L6707" s="85">
        <v>9</v>
      </c>
      <c r="N6707" s="1" t="s">
        <v>44</v>
      </c>
    </row>
    <row r="6708" spans="1:14">
      <c r="A6708" s="36" t="s">
        <v>33</v>
      </c>
      <c r="B6708" s="37">
        <v>45930</v>
      </c>
      <c r="C6708" s="36" t="s">
        <v>2540</v>
      </c>
      <c r="D6708" s="36" t="s">
        <v>2541</v>
      </c>
      <c r="E6708" s="36" t="s">
        <v>469</v>
      </c>
      <c r="G6708" s="87">
        <v>473500</v>
      </c>
      <c r="H6708" s="87">
        <v>47350</v>
      </c>
      <c r="I6708" s="87">
        <v>520850</v>
      </c>
      <c r="K6708" s="85">
        <v>2025</v>
      </c>
      <c r="L6708" s="85">
        <v>9</v>
      </c>
      <c r="N6708" s="1" t="s">
        <v>44</v>
      </c>
    </row>
    <row r="6709" spans="1:14">
      <c r="A6709" s="36" t="s">
        <v>33</v>
      </c>
      <c r="B6709" s="37">
        <v>45930</v>
      </c>
      <c r="C6709" s="36" t="s">
        <v>2896</v>
      </c>
      <c r="D6709" s="36" t="s">
        <v>3126</v>
      </c>
      <c r="E6709" s="36" t="s">
        <v>2115</v>
      </c>
      <c r="G6709" s="87">
        <v>889000</v>
      </c>
      <c r="H6709" s="87">
        <v>88900</v>
      </c>
      <c r="I6709" s="87">
        <v>977900</v>
      </c>
      <c r="K6709" s="85">
        <v>2025</v>
      </c>
      <c r="L6709" s="85">
        <v>9</v>
      </c>
      <c r="N6709" s="1" t="s">
        <v>44</v>
      </c>
    </row>
    <row r="6710" spans="1:14">
      <c r="A6710" s="36" t="s">
        <v>33</v>
      </c>
      <c r="B6710" s="37">
        <v>45930</v>
      </c>
      <c r="C6710" s="36" t="s">
        <v>81</v>
      </c>
      <c r="D6710" s="36" t="s">
        <v>2860</v>
      </c>
      <c r="E6710" s="36" t="s">
        <v>198</v>
      </c>
      <c r="G6710" s="87">
        <v>60500</v>
      </c>
      <c r="H6710" s="87">
        <v>6050</v>
      </c>
      <c r="I6710" s="87">
        <v>66550</v>
      </c>
      <c r="K6710" s="85">
        <v>2025</v>
      </c>
      <c r="L6710" s="85">
        <v>9</v>
      </c>
      <c r="N6710" s="1" t="s">
        <v>44</v>
      </c>
    </row>
    <row r="6711" spans="1:14">
      <c r="A6711" s="36" t="s">
        <v>33</v>
      </c>
      <c r="B6711" s="37">
        <v>45930</v>
      </c>
      <c r="C6711" s="36" t="s">
        <v>81</v>
      </c>
      <c r="D6711" s="36" t="s">
        <v>3127</v>
      </c>
      <c r="E6711" s="36" t="s">
        <v>637</v>
      </c>
      <c r="G6711" s="87">
        <v>1757500</v>
      </c>
      <c r="H6711" s="87">
        <v>175750</v>
      </c>
      <c r="I6711" s="87">
        <v>1933250</v>
      </c>
      <c r="K6711" s="85">
        <v>2025</v>
      </c>
      <c r="L6711" s="85">
        <v>9</v>
      </c>
      <c r="N6711" s="1" t="s">
        <v>44</v>
      </c>
    </row>
    <row r="6712" spans="1:14">
      <c r="A6712" s="36" t="s">
        <v>32</v>
      </c>
      <c r="B6712" s="37">
        <v>45931</v>
      </c>
      <c r="C6712" s="36" t="s">
        <v>654</v>
      </c>
      <c r="D6712" s="36" t="s">
        <v>2397</v>
      </c>
      <c r="E6712" s="36" t="s">
        <v>2397</v>
      </c>
      <c r="F6712" s="87"/>
      <c r="J6712" s="230">
        <v>2200000</v>
      </c>
      <c r="K6712" s="85">
        <v>2025</v>
      </c>
      <c r="L6712" s="85">
        <v>2</v>
      </c>
      <c r="N6712" s="1" t="s">
        <v>44</v>
      </c>
    </row>
    <row r="6713" spans="1:14">
      <c r="A6713" s="36" t="s">
        <v>32</v>
      </c>
      <c r="B6713" s="37">
        <v>45931</v>
      </c>
      <c r="C6713" s="36" t="s">
        <v>654</v>
      </c>
      <c r="D6713" s="36" t="s">
        <v>2397</v>
      </c>
      <c r="E6713" s="36" t="s">
        <v>2397</v>
      </c>
      <c r="J6713" s="38">
        <v>12514304</v>
      </c>
      <c r="K6713" s="85">
        <v>2025</v>
      </c>
      <c r="L6713" s="85">
        <v>4</v>
      </c>
      <c r="N6713" s="1" t="s">
        <v>84</v>
      </c>
    </row>
    <row r="6714" spans="1:14">
      <c r="A6714" s="36" t="s">
        <v>33</v>
      </c>
      <c r="B6714" s="37">
        <v>45930</v>
      </c>
      <c r="C6714" s="36" t="s">
        <v>2116</v>
      </c>
      <c r="D6714" s="36" t="s">
        <v>2117</v>
      </c>
      <c r="E6714" s="36" t="s">
        <v>2118</v>
      </c>
      <c r="G6714" s="87">
        <v>973000</v>
      </c>
      <c r="H6714" s="87">
        <v>97300</v>
      </c>
      <c r="I6714" s="87">
        <v>1070300</v>
      </c>
      <c r="K6714" s="85">
        <v>2025</v>
      </c>
      <c r="L6714" s="85">
        <v>9</v>
      </c>
      <c r="N6714" s="1" t="s">
        <v>44</v>
      </c>
    </row>
    <row r="6715" spans="1:14">
      <c r="A6715" s="36" t="s">
        <v>33</v>
      </c>
      <c r="B6715" s="37">
        <v>45930</v>
      </c>
      <c r="C6715" s="36" t="s">
        <v>2188</v>
      </c>
      <c r="D6715" s="36" t="s">
        <v>3131</v>
      </c>
      <c r="E6715" s="36" t="s">
        <v>3129</v>
      </c>
      <c r="G6715" s="87">
        <v>118800</v>
      </c>
      <c r="H6715" s="87">
        <v>11880</v>
      </c>
      <c r="I6715" s="87">
        <v>130680</v>
      </c>
      <c r="K6715" s="85">
        <v>2025</v>
      </c>
      <c r="L6715" s="85">
        <v>9</v>
      </c>
      <c r="N6715" s="1" t="s">
        <v>44</v>
      </c>
    </row>
    <row r="6716" spans="1:14">
      <c r="A6716" s="36" t="s">
        <v>33</v>
      </c>
      <c r="B6716" s="37">
        <v>45925</v>
      </c>
      <c r="C6716" s="36" t="s">
        <v>1569</v>
      </c>
      <c r="D6716" s="36" t="s">
        <v>3130</v>
      </c>
      <c r="E6716" s="36" t="s">
        <v>2814</v>
      </c>
      <c r="G6716" s="87">
        <v>4653000</v>
      </c>
      <c r="H6716" s="87">
        <v>465300</v>
      </c>
      <c r="I6716" s="87">
        <v>5118300</v>
      </c>
      <c r="K6716" s="85">
        <v>2025</v>
      </c>
      <c r="L6716" s="85">
        <v>9</v>
      </c>
      <c r="N6716" s="1" t="s">
        <v>44</v>
      </c>
    </row>
    <row r="6717" spans="1:14">
      <c r="A6717" s="36" t="s">
        <v>33</v>
      </c>
      <c r="B6717" s="37">
        <v>45930</v>
      </c>
      <c r="C6717" s="36" t="s">
        <v>2997</v>
      </c>
      <c r="D6717" s="36" t="s">
        <v>2998</v>
      </c>
      <c r="E6717" s="36" t="s">
        <v>470</v>
      </c>
      <c r="G6717" s="87">
        <v>283636</v>
      </c>
      <c r="H6717" s="87">
        <v>28363.600000000002</v>
      </c>
      <c r="I6717" s="87">
        <v>311999.59999999998</v>
      </c>
      <c r="K6717" s="85">
        <v>2025</v>
      </c>
      <c r="L6717" s="85">
        <v>9</v>
      </c>
      <c r="N6717" s="1" t="s">
        <v>44</v>
      </c>
    </row>
    <row r="6718" spans="1:14">
      <c r="A6718" s="36" t="s">
        <v>33</v>
      </c>
      <c r="B6718" s="37">
        <v>45915</v>
      </c>
      <c r="C6718" s="36" t="s">
        <v>2016</v>
      </c>
      <c r="D6718" s="36" t="s">
        <v>3000</v>
      </c>
      <c r="E6718" s="36" t="s">
        <v>1492</v>
      </c>
      <c r="G6718" s="87">
        <v>58050000</v>
      </c>
      <c r="H6718" s="87">
        <v>5805000</v>
      </c>
      <c r="I6718" s="87">
        <v>63855000</v>
      </c>
      <c r="K6718" s="85">
        <v>2025</v>
      </c>
      <c r="L6718" s="85">
        <v>9</v>
      </c>
      <c r="N6718" s="1" t="s">
        <v>44</v>
      </c>
    </row>
    <row r="6719" spans="1:14">
      <c r="A6719" s="36" t="s">
        <v>33</v>
      </c>
      <c r="B6719" s="37">
        <v>45930</v>
      </c>
      <c r="C6719" s="36" t="s">
        <v>2016</v>
      </c>
      <c r="D6719" s="36" t="s">
        <v>2468</v>
      </c>
      <c r="E6719" s="36" t="s">
        <v>1492</v>
      </c>
      <c r="G6719" s="87">
        <v>67110000</v>
      </c>
      <c r="H6719" s="87">
        <v>6711000</v>
      </c>
      <c r="I6719" s="87">
        <v>73821000</v>
      </c>
      <c r="K6719" s="85">
        <v>2025</v>
      </c>
      <c r="L6719" s="85">
        <v>9</v>
      </c>
      <c r="N6719" s="1" t="s">
        <v>44</v>
      </c>
    </row>
    <row r="6720" spans="1:14">
      <c r="A6720" s="36" t="s">
        <v>33</v>
      </c>
      <c r="B6720" s="37">
        <v>45925</v>
      </c>
      <c r="C6720" s="36" t="s">
        <v>1569</v>
      </c>
      <c r="D6720" s="36" t="s">
        <v>2936</v>
      </c>
      <c r="E6720" s="36" t="s">
        <v>2761</v>
      </c>
      <c r="G6720" s="87">
        <v>1480800</v>
      </c>
      <c r="H6720" s="87">
        <v>148080</v>
      </c>
      <c r="I6720" s="87">
        <v>1628880</v>
      </c>
      <c r="K6720" s="85">
        <v>2025</v>
      </c>
      <c r="L6720" s="85">
        <v>9</v>
      </c>
      <c r="N6720" s="1" t="s">
        <v>44</v>
      </c>
    </row>
    <row r="6721" spans="1:14">
      <c r="A6721" s="36" t="s">
        <v>33</v>
      </c>
      <c r="B6721" s="37">
        <v>45930</v>
      </c>
      <c r="C6721" s="36" t="s">
        <v>2587</v>
      </c>
      <c r="D6721" s="36" t="s">
        <v>2588</v>
      </c>
      <c r="E6721" s="36" t="s">
        <v>2115</v>
      </c>
      <c r="G6721" s="87">
        <v>2696000</v>
      </c>
      <c r="H6721" s="87">
        <v>269600</v>
      </c>
      <c r="I6721" s="87">
        <v>2965600</v>
      </c>
      <c r="K6721" s="85">
        <v>2025</v>
      </c>
      <c r="L6721" s="85">
        <v>9</v>
      </c>
      <c r="N6721" s="1" t="s">
        <v>44</v>
      </c>
    </row>
    <row r="6722" spans="1:14">
      <c r="A6722" s="36" t="s">
        <v>33</v>
      </c>
      <c r="B6722" s="37">
        <v>45930</v>
      </c>
      <c r="C6722" s="36" t="s">
        <v>1250</v>
      </c>
      <c r="D6722" s="36" t="s">
        <v>3132</v>
      </c>
      <c r="E6722" s="36" t="s">
        <v>3133</v>
      </c>
      <c r="G6722" s="87">
        <v>420000</v>
      </c>
      <c r="H6722" s="87">
        <v>42000</v>
      </c>
      <c r="I6722" s="87">
        <v>462000</v>
      </c>
      <c r="K6722" s="85">
        <v>2025</v>
      </c>
      <c r="L6722" s="85">
        <v>9</v>
      </c>
      <c r="N6722" s="1" t="s">
        <v>44</v>
      </c>
    </row>
    <row r="6723" spans="1:14">
      <c r="A6723" s="36" t="s">
        <v>32</v>
      </c>
      <c r="B6723" s="37">
        <v>45901</v>
      </c>
      <c r="C6723" s="36" t="s">
        <v>2868</v>
      </c>
      <c r="D6723" s="36" t="s">
        <v>2875</v>
      </c>
      <c r="E6723" s="36" t="s">
        <v>76</v>
      </c>
      <c r="G6723" s="87">
        <v>9000000</v>
      </c>
      <c r="H6723" s="87">
        <v>900000</v>
      </c>
      <c r="I6723" s="87">
        <v>9900000</v>
      </c>
      <c r="K6723" s="85">
        <v>2025</v>
      </c>
      <c r="L6723" s="85">
        <v>9</v>
      </c>
      <c r="N6723" s="1" t="s">
        <v>44</v>
      </c>
    </row>
    <row r="6724" spans="1:14">
      <c r="A6724" s="36" t="s">
        <v>32</v>
      </c>
      <c r="B6724" s="37">
        <v>45930</v>
      </c>
      <c r="C6724" s="36" t="s">
        <v>3134</v>
      </c>
      <c r="D6724" s="36" t="s">
        <v>3140</v>
      </c>
      <c r="E6724" s="36" t="s">
        <v>267</v>
      </c>
      <c r="G6724" s="87">
        <v>6111250</v>
      </c>
      <c r="H6724" s="87">
        <v>611125</v>
      </c>
      <c r="I6724" s="87">
        <v>6722375</v>
      </c>
      <c r="K6724" s="85">
        <v>2025</v>
      </c>
      <c r="L6724" s="85">
        <v>9</v>
      </c>
      <c r="M6724" s="36" t="s">
        <v>3166</v>
      </c>
      <c r="N6724" s="1" t="s">
        <v>44</v>
      </c>
    </row>
    <row r="6725" spans="1:14">
      <c r="A6725" s="36" t="s">
        <v>32</v>
      </c>
      <c r="B6725" s="37">
        <v>45930</v>
      </c>
      <c r="C6725" s="36" t="s">
        <v>334</v>
      </c>
      <c r="D6725" s="36" t="s">
        <v>2490</v>
      </c>
      <c r="E6725" s="36" t="s">
        <v>76</v>
      </c>
      <c r="G6725" s="87">
        <v>5000000</v>
      </c>
      <c r="H6725" s="87">
        <v>500000</v>
      </c>
      <c r="I6725" s="87">
        <v>5500000</v>
      </c>
      <c r="K6725" s="85">
        <v>2025</v>
      </c>
      <c r="L6725" s="85">
        <v>9</v>
      </c>
      <c r="N6725" s="1" t="s">
        <v>44</v>
      </c>
    </row>
    <row r="6726" spans="1:14">
      <c r="A6726" s="36" t="s">
        <v>32</v>
      </c>
      <c r="B6726" s="37">
        <v>45930</v>
      </c>
      <c r="C6726" s="36" t="s">
        <v>2870</v>
      </c>
      <c r="D6726" s="36" t="s">
        <v>2882</v>
      </c>
      <c r="E6726" s="36" t="s">
        <v>76</v>
      </c>
      <c r="G6726" s="87">
        <v>7000000</v>
      </c>
      <c r="H6726" s="87">
        <v>700000</v>
      </c>
      <c r="I6726" s="87">
        <v>7700000</v>
      </c>
      <c r="K6726" s="85">
        <v>2025</v>
      </c>
      <c r="L6726" s="85">
        <v>9</v>
      </c>
      <c r="N6726" s="1" t="s">
        <v>44</v>
      </c>
    </row>
    <row r="6727" spans="1:14">
      <c r="A6727" s="36" t="s">
        <v>32</v>
      </c>
      <c r="B6727" s="37">
        <v>45930</v>
      </c>
      <c r="C6727" s="36" t="s">
        <v>3135</v>
      </c>
      <c r="D6727" s="36" t="s">
        <v>3141</v>
      </c>
      <c r="E6727" s="36" t="s">
        <v>76</v>
      </c>
      <c r="G6727" s="87">
        <v>3725600</v>
      </c>
      <c r="H6727" s="87">
        <v>372560</v>
      </c>
      <c r="I6727" s="87">
        <v>4098160</v>
      </c>
      <c r="K6727" s="85">
        <v>2025</v>
      </c>
      <c r="L6727" s="85">
        <v>9</v>
      </c>
      <c r="N6727" s="1" t="s">
        <v>44</v>
      </c>
    </row>
    <row r="6728" spans="1:14">
      <c r="A6728" s="36" t="s">
        <v>32</v>
      </c>
      <c r="B6728" s="37">
        <v>45930</v>
      </c>
      <c r="C6728" s="36" t="s">
        <v>3004</v>
      </c>
      <c r="D6728" s="36" t="s">
        <v>3142</v>
      </c>
      <c r="E6728" s="36" t="s">
        <v>267</v>
      </c>
      <c r="G6728" s="87">
        <v>38500000</v>
      </c>
      <c r="H6728" s="87">
        <v>3850000</v>
      </c>
      <c r="I6728" s="87">
        <v>42350000</v>
      </c>
      <c r="K6728" s="85">
        <v>2025</v>
      </c>
      <c r="L6728" s="85">
        <v>9</v>
      </c>
      <c r="N6728" s="1" t="s">
        <v>44</v>
      </c>
    </row>
    <row r="6729" spans="1:14">
      <c r="A6729" s="36" t="s">
        <v>32</v>
      </c>
      <c r="B6729" s="37">
        <v>45930</v>
      </c>
      <c r="C6729" s="36" t="s">
        <v>291</v>
      </c>
      <c r="D6729" s="36" t="s">
        <v>3143</v>
      </c>
      <c r="E6729" s="36" t="s">
        <v>267</v>
      </c>
      <c r="G6729" s="87">
        <v>1000000</v>
      </c>
      <c r="H6729" s="87">
        <v>100000</v>
      </c>
      <c r="I6729" s="87">
        <v>1100000</v>
      </c>
      <c r="K6729" s="85">
        <v>2025</v>
      </c>
      <c r="L6729" s="85">
        <v>9</v>
      </c>
      <c r="N6729" s="1" t="s">
        <v>44</v>
      </c>
    </row>
    <row r="6730" spans="1:14">
      <c r="A6730" s="36" t="s">
        <v>32</v>
      </c>
      <c r="B6730" s="37">
        <v>45929</v>
      </c>
      <c r="C6730" s="36" t="s">
        <v>2674</v>
      </c>
      <c r="D6730" s="36" t="s">
        <v>2687</v>
      </c>
      <c r="E6730" s="36" t="s">
        <v>76</v>
      </c>
      <c r="G6730" s="87">
        <v>3482500</v>
      </c>
      <c r="H6730" s="87">
        <v>348250</v>
      </c>
      <c r="I6730" s="87">
        <v>3830750</v>
      </c>
      <c r="K6730" s="85">
        <v>2025</v>
      </c>
      <c r="L6730" s="85">
        <v>9</v>
      </c>
      <c r="N6730" s="1" t="s">
        <v>44</v>
      </c>
    </row>
    <row r="6731" spans="1:14">
      <c r="A6731" s="36" t="s">
        <v>32</v>
      </c>
      <c r="B6731" s="37">
        <v>45918</v>
      </c>
      <c r="C6731" s="36" t="s">
        <v>2478</v>
      </c>
      <c r="D6731" s="36" t="s">
        <v>2487</v>
      </c>
      <c r="E6731" s="36" t="s">
        <v>267</v>
      </c>
      <c r="G6731" s="87">
        <v>19265000</v>
      </c>
      <c r="H6731" s="87">
        <v>1926500</v>
      </c>
      <c r="I6731" s="87">
        <v>21191500</v>
      </c>
      <c r="K6731" s="85">
        <v>2025</v>
      </c>
      <c r="L6731" s="85">
        <v>9</v>
      </c>
      <c r="N6731" s="1" t="s">
        <v>44</v>
      </c>
    </row>
    <row r="6732" spans="1:14">
      <c r="A6732" s="36" t="s">
        <v>32</v>
      </c>
      <c r="B6732" s="37">
        <v>45930</v>
      </c>
      <c r="C6732" s="36" t="s">
        <v>2868</v>
      </c>
      <c r="D6732" s="36" t="s">
        <v>2875</v>
      </c>
      <c r="E6732" s="36" t="s">
        <v>76</v>
      </c>
      <c r="G6732" s="87">
        <v>56000000</v>
      </c>
      <c r="H6732" s="87">
        <v>5600000</v>
      </c>
      <c r="I6732" s="87">
        <v>61600000</v>
      </c>
      <c r="K6732" s="85">
        <v>2025</v>
      </c>
      <c r="L6732" s="85">
        <v>9</v>
      </c>
      <c r="N6732" s="1" t="s">
        <v>44</v>
      </c>
    </row>
    <row r="6733" spans="1:14">
      <c r="A6733" s="36" t="s">
        <v>32</v>
      </c>
      <c r="B6733" s="37">
        <v>45930</v>
      </c>
      <c r="C6733" s="36" t="s">
        <v>1587</v>
      </c>
      <c r="D6733" s="36" t="s">
        <v>3144</v>
      </c>
      <c r="E6733" s="36" t="s">
        <v>1492</v>
      </c>
      <c r="G6733" s="87">
        <v>5905000</v>
      </c>
      <c r="H6733" s="87">
        <v>590500</v>
      </c>
      <c r="I6733" s="87">
        <v>6495500</v>
      </c>
      <c r="K6733" s="85">
        <v>2025</v>
      </c>
      <c r="L6733" s="85">
        <v>9</v>
      </c>
      <c r="N6733" s="1" t="s">
        <v>44</v>
      </c>
    </row>
    <row r="6734" spans="1:14">
      <c r="A6734" s="36" t="s">
        <v>32</v>
      </c>
      <c r="B6734" s="37">
        <v>45930</v>
      </c>
      <c r="C6734" s="36" t="s">
        <v>2772</v>
      </c>
      <c r="D6734" s="36" t="s">
        <v>3145</v>
      </c>
      <c r="E6734" s="36" t="s">
        <v>267</v>
      </c>
      <c r="G6734" s="87">
        <v>8600000</v>
      </c>
      <c r="H6734" s="87">
        <v>860000</v>
      </c>
      <c r="I6734" s="87">
        <v>9460000</v>
      </c>
      <c r="K6734" s="85">
        <v>2025</v>
      </c>
      <c r="L6734" s="85">
        <v>9</v>
      </c>
      <c r="N6734" s="1" t="s">
        <v>44</v>
      </c>
    </row>
    <row r="6735" spans="1:14">
      <c r="A6735" s="36" t="s">
        <v>32</v>
      </c>
      <c r="B6735" s="37">
        <v>45930</v>
      </c>
      <c r="C6735" s="36" t="s">
        <v>1218</v>
      </c>
      <c r="D6735" s="36" t="s">
        <v>3012</v>
      </c>
      <c r="E6735" s="36" t="s">
        <v>267</v>
      </c>
      <c r="G6735" s="87">
        <v>600000</v>
      </c>
      <c r="H6735" s="87">
        <v>60000</v>
      </c>
      <c r="I6735" s="87">
        <v>660000</v>
      </c>
      <c r="K6735" s="85">
        <v>2025</v>
      </c>
      <c r="L6735" s="85">
        <v>9</v>
      </c>
      <c r="N6735" s="1" t="s">
        <v>44</v>
      </c>
    </row>
    <row r="6736" spans="1:14">
      <c r="A6736" s="36" t="s">
        <v>32</v>
      </c>
      <c r="B6736" s="37">
        <v>45930</v>
      </c>
      <c r="C6736" s="36" t="s">
        <v>2822</v>
      </c>
      <c r="D6736" s="36" t="s">
        <v>3019</v>
      </c>
      <c r="E6736" s="36" t="s">
        <v>267</v>
      </c>
      <c r="G6736" s="87">
        <v>810000</v>
      </c>
      <c r="H6736" s="87">
        <v>81000</v>
      </c>
      <c r="I6736" s="87">
        <v>891000</v>
      </c>
      <c r="K6736" s="85">
        <v>2025</v>
      </c>
      <c r="L6736" s="85">
        <v>9</v>
      </c>
      <c r="N6736" s="1" t="s">
        <v>44</v>
      </c>
    </row>
    <row r="6737" spans="1:14">
      <c r="A6737" s="36" t="s">
        <v>32</v>
      </c>
      <c r="B6737" s="37">
        <v>45930</v>
      </c>
      <c r="C6737" s="36" t="s">
        <v>654</v>
      </c>
      <c r="D6737" s="36" t="s">
        <v>3064</v>
      </c>
      <c r="E6737" s="36" t="s">
        <v>76</v>
      </c>
      <c r="G6737" s="87">
        <v>11942120</v>
      </c>
      <c r="H6737" s="87">
        <v>1194212</v>
      </c>
      <c r="I6737" s="87">
        <v>13136332</v>
      </c>
      <c r="K6737" s="85">
        <v>2025</v>
      </c>
      <c r="L6737" s="85">
        <v>9</v>
      </c>
      <c r="N6737" s="1" t="s">
        <v>44</v>
      </c>
    </row>
    <row r="6738" spans="1:14">
      <c r="A6738" s="36" t="s">
        <v>32</v>
      </c>
      <c r="B6738" s="37">
        <v>45930</v>
      </c>
      <c r="C6738" s="36" t="s">
        <v>654</v>
      </c>
      <c r="D6738" s="36" t="s">
        <v>3146</v>
      </c>
      <c r="E6738" s="36" t="s">
        <v>267</v>
      </c>
      <c r="G6738" s="87">
        <v>26752800</v>
      </c>
      <c r="H6738" s="87">
        <v>2675280</v>
      </c>
      <c r="I6738" s="87">
        <v>29428080</v>
      </c>
      <c r="K6738" s="85">
        <v>2025</v>
      </c>
      <c r="L6738" s="85">
        <v>9</v>
      </c>
      <c r="N6738" s="1" t="s">
        <v>44</v>
      </c>
    </row>
    <row r="6739" spans="1:14">
      <c r="A6739" s="36" t="s">
        <v>32</v>
      </c>
      <c r="B6739" s="37">
        <v>45930</v>
      </c>
      <c r="C6739" s="36" t="s">
        <v>654</v>
      </c>
      <c r="D6739" s="36" t="s">
        <v>2541</v>
      </c>
      <c r="E6739" s="36" t="s">
        <v>76</v>
      </c>
      <c r="G6739" s="87">
        <v>5000000</v>
      </c>
      <c r="H6739" s="87">
        <v>500000</v>
      </c>
      <c r="I6739" s="87">
        <v>5500000</v>
      </c>
      <c r="K6739" s="85">
        <v>2025</v>
      </c>
      <c r="L6739" s="85">
        <v>9</v>
      </c>
      <c r="N6739" s="1" t="s">
        <v>44</v>
      </c>
    </row>
    <row r="6740" spans="1:14">
      <c r="A6740" s="36" t="s">
        <v>32</v>
      </c>
      <c r="B6740" s="37">
        <v>45930</v>
      </c>
      <c r="C6740" s="36" t="s">
        <v>654</v>
      </c>
      <c r="D6740" s="36" t="s">
        <v>2588</v>
      </c>
      <c r="E6740" s="36" t="s">
        <v>76</v>
      </c>
      <c r="G6740" s="87">
        <v>10587360</v>
      </c>
      <c r="H6740" s="87">
        <v>1058736</v>
      </c>
      <c r="I6740" s="87">
        <v>11646096</v>
      </c>
      <c r="K6740" s="85">
        <v>2025</v>
      </c>
      <c r="L6740" s="85">
        <v>9</v>
      </c>
      <c r="N6740" s="1" t="s">
        <v>44</v>
      </c>
    </row>
    <row r="6741" spans="1:14">
      <c r="A6741" s="36" t="s">
        <v>32</v>
      </c>
      <c r="B6741" s="37">
        <v>45930</v>
      </c>
      <c r="C6741" s="36" t="s">
        <v>654</v>
      </c>
      <c r="D6741" s="36" t="s">
        <v>2588</v>
      </c>
      <c r="E6741" s="36" t="s">
        <v>2648</v>
      </c>
      <c r="G6741" s="87">
        <v>6324000</v>
      </c>
      <c r="H6741" s="87">
        <v>632400</v>
      </c>
      <c r="I6741" s="87">
        <v>6956400</v>
      </c>
      <c r="K6741" s="85">
        <v>2025</v>
      </c>
      <c r="L6741" s="85">
        <v>9</v>
      </c>
      <c r="N6741" s="1" t="s">
        <v>44</v>
      </c>
    </row>
    <row r="6742" spans="1:14">
      <c r="A6742" s="36" t="s">
        <v>32</v>
      </c>
      <c r="B6742" s="37">
        <v>45930</v>
      </c>
      <c r="C6742" s="36" t="s">
        <v>188</v>
      </c>
      <c r="D6742" s="36" t="s">
        <v>3147</v>
      </c>
      <c r="E6742" s="36" t="s">
        <v>267</v>
      </c>
      <c r="G6742" s="87">
        <v>11182600</v>
      </c>
      <c r="H6742" s="87">
        <v>1118260</v>
      </c>
      <c r="I6742" s="87">
        <v>12300860</v>
      </c>
      <c r="K6742" s="85">
        <v>2025</v>
      </c>
      <c r="L6742" s="85">
        <v>9</v>
      </c>
      <c r="N6742" s="1" t="s">
        <v>44</v>
      </c>
    </row>
    <row r="6743" spans="1:14">
      <c r="A6743" s="36" t="s">
        <v>32</v>
      </c>
      <c r="B6743" s="37">
        <v>45930</v>
      </c>
      <c r="C6743" s="36" t="s">
        <v>3136</v>
      </c>
      <c r="D6743" s="36" t="s">
        <v>3148</v>
      </c>
      <c r="E6743" s="36" t="s">
        <v>1492</v>
      </c>
      <c r="G6743" s="87">
        <v>4000000</v>
      </c>
      <c r="H6743" s="87">
        <v>400000</v>
      </c>
      <c r="I6743" s="87">
        <v>4400000</v>
      </c>
      <c r="K6743" s="85">
        <v>2025</v>
      </c>
      <c r="L6743" s="85">
        <v>9</v>
      </c>
      <c r="N6743" s="1" t="s">
        <v>44</v>
      </c>
    </row>
    <row r="6744" spans="1:14">
      <c r="A6744" s="36" t="s">
        <v>32</v>
      </c>
      <c r="B6744" s="37">
        <v>45930</v>
      </c>
      <c r="C6744" s="36" t="s">
        <v>2824</v>
      </c>
      <c r="D6744" s="36" t="s">
        <v>2832</v>
      </c>
      <c r="E6744" s="36" t="s">
        <v>76</v>
      </c>
      <c r="G6744" s="87">
        <v>73208000</v>
      </c>
      <c r="H6744" s="87">
        <v>7320800</v>
      </c>
      <c r="I6744" s="87">
        <v>80528800</v>
      </c>
      <c r="K6744" s="85">
        <v>2025</v>
      </c>
      <c r="L6744" s="85">
        <v>9</v>
      </c>
      <c r="N6744" s="1" t="s">
        <v>44</v>
      </c>
    </row>
    <row r="6745" spans="1:14">
      <c r="A6745" s="36" t="s">
        <v>32</v>
      </c>
      <c r="B6745" s="37">
        <v>45930</v>
      </c>
      <c r="C6745" s="36" t="s">
        <v>264</v>
      </c>
      <c r="D6745" s="36" t="s">
        <v>3149</v>
      </c>
      <c r="E6745" s="36" t="s">
        <v>76</v>
      </c>
      <c r="G6745" s="87">
        <v>10000000</v>
      </c>
      <c r="H6745" s="87">
        <v>1000000</v>
      </c>
      <c r="I6745" s="87">
        <v>11000000</v>
      </c>
      <c r="K6745" s="85">
        <v>2025</v>
      </c>
      <c r="L6745" s="85">
        <v>9</v>
      </c>
      <c r="N6745" s="1" t="s">
        <v>44</v>
      </c>
    </row>
    <row r="6746" spans="1:14">
      <c r="A6746" s="36" t="s">
        <v>32</v>
      </c>
      <c r="B6746" s="37">
        <v>45930</v>
      </c>
      <c r="C6746" s="36" t="s">
        <v>2166</v>
      </c>
      <c r="D6746" s="36" t="s">
        <v>3150</v>
      </c>
      <c r="E6746" s="36" t="s">
        <v>76</v>
      </c>
      <c r="G6746" s="87">
        <v>11070520</v>
      </c>
      <c r="H6746" s="87">
        <v>1107052</v>
      </c>
      <c r="I6746" s="87">
        <v>12177572</v>
      </c>
      <c r="K6746" s="85">
        <v>2025</v>
      </c>
      <c r="L6746" s="85">
        <v>9</v>
      </c>
      <c r="N6746" s="1" t="s">
        <v>44</v>
      </c>
    </row>
    <row r="6747" spans="1:14">
      <c r="A6747" s="36" t="s">
        <v>32</v>
      </c>
      <c r="B6747" s="37">
        <v>45930</v>
      </c>
      <c r="C6747" s="36" t="s">
        <v>2673</v>
      </c>
      <c r="D6747" s="36" t="s">
        <v>2686</v>
      </c>
      <c r="E6747" s="36" t="s">
        <v>76</v>
      </c>
      <c r="G6747" s="87">
        <v>1256800</v>
      </c>
      <c r="H6747" s="87">
        <v>125680</v>
      </c>
      <c r="I6747" s="87">
        <v>1382480</v>
      </c>
      <c r="K6747" s="85">
        <v>2025</v>
      </c>
      <c r="L6747" s="85">
        <v>9</v>
      </c>
      <c r="N6747" s="1" t="s">
        <v>44</v>
      </c>
    </row>
    <row r="6748" spans="1:14">
      <c r="A6748" s="36" t="s">
        <v>32</v>
      </c>
      <c r="B6748" s="37">
        <v>45930</v>
      </c>
      <c r="C6748" s="36" t="s">
        <v>1396</v>
      </c>
      <c r="D6748" s="36" t="s">
        <v>3151</v>
      </c>
      <c r="E6748" s="36" t="s">
        <v>76</v>
      </c>
      <c r="G6748" s="87">
        <v>2215800</v>
      </c>
      <c r="H6748" s="87">
        <v>221580</v>
      </c>
      <c r="I6748" s="87">
        <v>2437380</v>
      </c>
      <c r="K6748" s="85">
        <v>2025</v>
      </c>
      <c r="L6748" s="85">
        <v>9</v>
      </c>
      <c r="N6748" s="1" t="s">
        <v>44</v>
      </c>
    </row>
    <row r="6749" spans="1:14">
      <c r="A6749" s="36" t="s">
        <v>32</v>
      </c>
      <c r="B6749" s="37">
        <v>45930</v>
      </c>
      <c r="C6749" s="36" t="s">
        <v>1396</v>
      </c>
      <c r="D6749" s="36" t="s">
        <v>3152</v>
      </c>
      <c r="E6749" s="36" t="s">
        <v>76</v>
      </c>
      <c r="G6749" s="87">
        <v>2210000</v>
      </c>
      <c r="H6749" s="87">
        <v>221000</v>
      </c>
      <c r="I6749" s="87">
        <v>2431000</v>
      </c>
      <c r="K6749" s="85">
        <v>2025</v>
      </c>
      <c r="L6749" s="85">
        <v>9</v>
      </c>
      <c r="N6749" s="1" t="s">
        <v>44</v>
      </c>
    </row>
    <row r="6750" spans="1:14">
      <c r="A6750" s="36" t="s">
        <v>32</v>
      </c>
      <c r="B6750" s="37">
        <v>45930</v>
      </c>
      <c r="C6750" s="36" t="s">
        <v>1396</v>
      </c>
      <c r="D6750" s="36" t="s">
        <v>3153</v>
      </c>
      <c r="E6750" s="36" t="s">
        <v>76</v>
      </c>
      <c r="G6750" s="87">
        <v>1730000</v>
      </c>
      <c r="H6750" s="87">
        <v>173000</v>
      </c>
      <c r="I6750" s="87">
        <v>1903000</v>
      </c>
      <c r="K6750" s="85">
        <v>2025</v>
      </c>
      <c r="L6750" s="85">
        <v>9</v>
      </c>
      <c r="N6750" s="1" t="s">
        <v>44</v>
      </c>
    </row>
    <row r="6751" spans="1:14">
      <c r="A6751" s="36" t="s">
        <v>32</v>
      </c>
      <c r="B6751" s="37">
        <v>45930</v>
      </c>
      <c r="C6751" s="36" t="s">
        <v>1396</v>
      </c>
      <c r="D6751" s="36" t="s">
        <v>3154</v>
      </c>
      <c r="E6751" s="36" t="s">
        <v>76</v>
      </c>
      <c r="G6751" s="87">
        <v>6180000</v>
      </c>
      <c r="H6751" s="87">
        <v>618000</v>
      </c>
      <c r="I6751" s="87">
        <v>6798000</v>
      </c>
      <c r="K6751" s="85">
        <v>2025</v>
      </c>
      <c r="L6751" s="85">
        <v>9</v>
      </c>
      <c r="N6751" s="1" t="s">
        <v>44</v>
      </c>
    </row>
    <row r="6752" spans="1:14">
      <c r="A6752" s="36" t="s">
        <v>32</v>
      </c>
      <c r="B6752" s="37">
        <v>45930</v>
      </c>
      <c r="C6752" s="36" t="s">
        <v>3137</v>
      </c>
      <c r="D6752" s="36" t="s">
        <v>3155</v>
      </c>
      <c r="E6752" s="36" t="s">
        <v>267</v>
      </c>
      <c r="G6752" s="87">
        <v>2700000</v>
      </c>
      <c r="H6752" s="87">
        <v>270000</v>
      </c>
      <c r="I6752" s="87">
        <v>2970000</v>
      </c>
      <c r="K6752" s="85">
        <v>2025</v>
      </c>
      <c r="L6752" s="85">
        <v>9</v>
      </c>
      <c r="N6752" s="1" t="s">
        <v>44</v>
      </c>
    </row>
    <row r="6753" spans="1:14">
      <c r="A6753" s="36" t="s">
        <v>32</v>
      </c>
      <c r="B6753" s="37">
        <v>45930</v>
      </c>
      <c r="C6753" s="36" t="s">
        <v>3137</v>
      </c>
      <c r="D6753" s="36" t="s">
        <v>3156</v>
      </c>
      <c r="E6753" s="36" t="s">
        <v>267</v>
      </c>
      <c r="G6753" s="87">
        <v>4500000</v>
      </c>
      <c r="H6753" s="87">
        <v>450000</v>
      </c>
      <c r="I6753" s="87">
        <v>4950000</v>
      </c>
      <c r="K6753" s="85">
        <v>2025</v>
      </c>
      <c r="L6753" s="85">
        <v>9</v>
      </c>
      <c r="N6753" s="1" t="s">
        <v>44</v>
      </c>
    </row>
    <row r="6754" spans="1:14">
      <c r="A6754" s="36" t="s">
        <v>32</v>
      </c>
      <c r="B6754" s="37">
        <v>45930</v>
      </c>
      <c r="C6754" s="36" t="s">
        <v>334</v>
      </c>
      <c r="D6754" s="36" t="s">
        <v>3068</v>
      </c>
      <c r="E6754" s="36" t="s">
        <v>76</v>
      </c>
      <c r="G6754" s="87">
        <v>3000000</v>
      </c>
      <c r="H6754" s="87">
        <v>300000</v>
      </c>
      <c r="I6754" s="87">
        <v>3300000</v>
      </c>
      <c r="K6754" s="85">
        <v>2025</v>
      </c>
      <c r="L6754" s="85">
        <v>9</v>
      </c>
      <c r="N6754" s="1" t="s">
        <v>44</v>
      </c>
    </row>
    <row r="6755" spans="1:14">
      <c r="A6755" s="36" t="s">
        <v>32</v>
      </c>
      <c r="B6755" s="37">
        <v>45930</v>
      </c>
      <c r="C6755" s="36" t="s">
        <v>334</v>
      </c>
      <c r="D6755" s="36" t="s">
        <v>3157</v>
      </c>
      <c r="E6755" s="36" t="s">
        <v>267</v>
      </c>
      <c r="G6755" s="87">
        <v>3864300</v>
      </c>
      <c r="H6755" s="87">
        <v>386430</v>
      </c>
      <c r="I6755" s="87">
        <v>4250730</v>
      </c>
      <c r="K6755" s="85">
        <v>2025</v>
      </c>
      <c r="L6755" s="85">
        <v>9</v>
      </c>
      <c r="N6755" s="1" t="s">
        <v>44</v>
      </c>
    </row>
    <row r="6756" spans="1:14">
      <c r="A6756" s="36" t="s">
        <v>32</v>
      </c>
      <c r="B6756" s="37">
        <v>45930</v>
      </c>
      <c r="C6756" s="36" t="s">
        <v>1198</v>
      </c>
      <c r="D6756" s="36" t="s">
        <v>3067</v>
      </c>
      <c r="E6756" s="36" t="s">
        <v>76</v>
      </c>
      <c r="G6756" s="87">
        <v>6864300</v>
      </c>
      <c r="H6756" s="87">
        <v>686430</v>
      </c>
      <c r="I6756" s="87">
        <v>7550730</v>
      </c>
      <c r="K6756" s="85">
        <v>2025</v>
      </c>
      <c r="L6756" s="85">
        <v>9</v>
      </c>
      <c r="N6756" s="1" t="s">
        <v>44</v>
      </c>
    </row>
    <row r="6757" spans="1:14">
      <c r="A6757" s="36" t="s">
        <v>32</v>
      </c>
      <c r="B6757" s="37">
        <v>45930</v>
      </c>
      <c r="C6757" s="36" t="s">
        <v>1198</v>
      </c>
      <c r="D6757" s="36" t="s">
        <v>2887</v>
      </c>
      <c r="E6757" s="36" t="s">
        <v>267</v>
      </c>
      <c r="G6757" s="87">
        <v>3035600</v>
      </c>
      <c r="H6757" s="87">
        <v>303560</v>
      </c>
      <c r="I6757" s="87">
        <v>3339160</v>
      </c>
      <c r="K6757" s="85">
        <v>2025</v>
      </c>
      <c r="L6757" s="85">
        <v>9</v>
      </c>
      <c r="N6757" s="1" t="s">
        <v>44</v>
      </c>
    </row>
    <row r="6758" spans="1:14">
      <c r="A6758" s="36" t="s">
        <v>32</v>
      </c>
      <c r="B6758" s="37">
        <v>45930</v>
      </c>
      <c r="C6758" s="36" t="s">
        <v>1198</v>
      </c>
      <c r="D6758" s="36" t="s">
        <v>2955</v>
      </c>
      <c r="E6758" s="36" t="s">
        <v>267</v>
      </c>
      <c r="G6758" s="87">
        <v>4616700</v>
      </c>
      <c r="H6758" s="87">
        <v>461670</v>
      </c>
      <c r="I6758" s="87">
        <v>5078370</v>
      </c>
      <c r="K6758" s="85">
        <v>2025</v>
      </c>
      <c r="L6758" s="85">
        <v>9</v>
      </c>
      <c r="N6758" s="1" t="s">
        <v>44</v>
      </c>
    </row>
    <row r="6759" spans="1:14">
      <c r="A6759" s="36" t="s">
        <v>32</v>
      </c>
      <c r="B6759" s="37">
        <v>45930</v>
      </c>
      <c r="C6759" s="36" t="s">
        <v>3138</v>
      </c>
      <c r="D6759" s="36" t="s">
        <v>3071</v>
      </c>
      <c r="E6759" s="36" t="s">
        <v>267</v>
      </c>
      <c r="G6759" s="87">
        <v>2360960</v>
      </c>
      <c r="H6759" s="87">
        <v>236096</v>
      </c>
      <c r="I6759" s="87">
        <v>2597056</v>
      </c>
      <c r="K6759" s="85">
        <v>2025</v>
      </c>
      <c r="L6759" s="85">
        <v>9</v>
      </c>
      <c r="N6759" s="1" t="s">
        <v>44</v>
      </c>
    </row>
    <row r="6760" spans="1:14">
      <c r="A6760" s="36" t="s">
        <v>32</v>
      </c>
      <c r="B6760" s="37">
        <v>45930</v>
      </c>
      <c r="C6760" s="36" t="s">
        <v>2477</v>
      </c>
      <c r="D6760" s="36" t="s">
        <v>2485</v>
      </c>
      <c r="E6760" s="36" t="s">
        <v>267</v>
      </c>
      <c r="G6760" s="87">
        <v>25872160</v>
      </c>
      <c r="H6760" s="87">
        <v>2587216</v>
      </c>
      <c r="I6760" s="87">
        <v>28459376</v>
      </c>
      <c r="K6760" s="85">
        <v>2025</v>
      </c>
      <c r="L6760" s="85">
        <v>9</v>
      </c>
      <c r="N6760" s="1" t="s">
        <v>44</v>
      </c>
    </row>
    <row r="6761" spans="1:14">
      <c r="A6761" s="36" t="s">
        <v>32</v>
      </c>
      <c r="B6761" s="37">
        <v>45930</v>
      </c>
      <c r="C6761" s="36" t="s">
        <v>3139</v>
      </c>
      <c r="D6761" s="36" t="s">
        <v>3158</v>
      </c>
      <c r="E6761" s="36" t="s">
        <v>76</v>
      </c>
      <c r="G6761" s="87">
        <v>5131900</v>
      </c>
      <c r="H6761" s="87">
        <v>513190</v>
      </c>
      <c r="I6761" s="87">
        <v>5645090</v>
      </c>
      <c r="K6761" s="85">
        <v>2025</v>
      </c>
      <c r="L6761" s="85">
        <v>9</v>
      </c>
      <c r="N6761" s="1" t="s">
        <v>44</v>
      </c>
    </row>
    <row r="6762" spans="1:14">
      <c r="A6762" s="36" t="s">
        <v>32</v>
      </c>
      <c r="B6762" s="37">
        <v>45930</v>
      </c>
      <c r="C6762" s="36" t="s">
        <v>3005</v>
      </c>
      <c r="D6762" s="36" t="s">
        <v>3014</v>
      </c>
      <c r="E6762" s="36" t="s">
        <v>630</v>
      </c>
      <c r="G6762" s="87">
        <v>1298000</v>
      </c>
      <c r="H6762" s="87">
        <v>129800</v>
      </c>
      <c r="I6762" s="87">
        <v>1427800</v>
      </c>
      <c r="K6762" s="85">
        <v>2025</v>
      </c>
      <c r="L6762" s="85">
        <v>9</v>
      </c>
      <c r="N6762" s="1" t="s">
        <v>44</v>
      </c>
    </row>
    <row r="6763" spans="1:14">
      <c r="A6763" s="36" t="s">
        <v>32</v>
      </c>
      <c r="B6763" s="37">
        <v>45930</v>
      </c>
      <c r="C6763" s="36" t="s">
        <v>1179</v>
      </c>
      <c r="D6763" s="36" t="s">
        <v>3159</v>
      </c>
      <c r="E6763" s="36" t="s">
        <v>267</v>
      </c>
      <c r="G6763" s="87">
        <v>19563000</v>
      </c>
      <c r="H6763" s="87">
        <v>1956300</v>
      </c>
      <c r="I6763" s="87">
        <v>21519300</v>
      </c>
      <c r="K6763" s="85">
        <v>2025</v>
      </c>
      <c r="L6763" s="85">
        <v>9</v>
      </c>
      <c r="N6763" s="1" t="s">
        <v>44</v>
      </c>
    </row>
    <row r="6764" spans="1:14">
      <c r="A6764" s="36" t="s">
        <v>32</v>
      </c>
      <c r="B6764" s="37">
        <v>45930</v>
      </c>
      <c r="C6764" s="36" t="s">
        <v>654</v>
      </c>
      <c r="D6764" s="36" t="s">
        <v>2588</v>
      </c>
      <c r="E6764" s="36" t="s">
        <v>2648</v>
      </c>
      <c r="G6764" s="87">
        <v>-6324000</v>
      </c>
      <c r="H6764" s="87">
        <v>-632400</v>
      </c>
      <c r="I6764" s="87">
        <v>-6956400</v>
      </c>
      <c r="K6764" s="85">
        <v>2025</v>
      </c>
      <c r="L6764" s="85">
        <v>9</v>
      </c>
      <c r="N6764" s="1" t="s">
        <v>44</v>
      </c>
    </row>
    <row r="6765" spans="1:14">
      <c r="A6765" s="36" t="s">
        <v>32</v>
      </c>
      <c r="B6765" s="37">
        <v>45930</v>
      </c>
      <c r="C6765" s="36" t="s">
        <v>3004</v>
      </c>
      <c r="D6765" s="36" t="s">
        <v>3142</v>
      </c>
      <c r="E6765" s="36" t="s">
        <v>267</v>
      </c>
      <c r="J6765" s="38">
        <v>42350000</v>
      </c>
      <c r="K6765" s="85">
        <v>2025</v>
      </c>
      <c r="L6765" s="85">
        <v>9</v>
      </c>
      <c r="N6765" s="1" t="s">
        <v>44</v>
      </c>
    </row>
    <row r="6766" spans="1:14">
      <c r="A6766" s="36" t="s">
        <v>32</v>
      </c>
      <c r="B6766" s="37">
        <v>45945</v>
      </c>
      <c r="C6766" s="36" t="s">
        <v>291</v>
      </c>
      <c r="D6766" s="36" t="s">
        <v>3143</v>
      </c>
      <c r="E6766" s="36" t="s">
        <v>77</v>
      </c>
      <c r="J6766" s="38">
        <v>1100000</v>
      </c>
      <c r="K6766" s="85">
        <v>2025</v>
      </c>
      <c r="L6766" s="85">
        <v>9</v>
      </c>
      <c r="N6766" s="1" t="s">
        <v>44</v>
      </c>
    </row>
    <row r="6767" spans="1:14">
      <c r="A6767" s="36" t="s">
        <v>32</v>
      </c>
      <c r="B6767" s="37">
        <v>45931</v>
      </c>
      <c r="C6767" s="36" t="s">
        <v>2478</v>
      </c>
      <c r="D6767" s="36" t="s">
        <v>2487</v>
      </c>
      <c r="E6767" s="36" t="s">
        <v>77</v>
      </c>
      <c r="J6767" s="38">
        <v>21191500</v>
      </c>
      <c r="K6767" s="85">
        <v>2025</v>
      </c>
      <c r="L6767" s="85">
        <v>9</v>
      </c>
      <c r="N6767" s="1" t="s">
        <v>44</v>
      </c>
    </row>
    <row r="6768" spans="1:14">
      <c r="A6768" s="36" t="s">
        <v>32</v>
      </c>
      <c r="B6768" s="37">
        <v>45932</v>
      </c>
      <c r="C6768" s="36" t="s">
        <v>1587</v>
      </c>
      <c r="D6768" s="36" t="s">
        <v>3144</v>
      </c>
      <c r="E6768" s="36" t="s">
        <v>77</v>
      </c>
      <c r="J6768" s="38">
        <v>6495500</v>
      </c>
      <c r="K6768" s="85">
        <v>2025</v>
      </c>
      <c r="L6768" s="85">
        <v>9</v>
      </c>
      <c r="N6768" s="1" t="s">
        <v>44</v>
      </c>
    </row>
    <row r="6769" spans="1:14">
      <c r="A6769" s="36" t="s">
        <v>32</v>
      </c>
      <c r="B6769" s="37">
        <v>45932</v>
      </c>
      <c r="C6769" s="36" t="s">
        <v>3136</v>
      </c>
      <c r="D6769" s="36" t="s">
        <v>3148</v>
      </c>
      <c r="E6769" s="36" t="s">
        <v>77</v>
      </c>
      <c r="J6769" s="38">
        <v>4400000</v>
      </c>
      <c r="K6769" s="85">
        <v>2025</v>
      </c>
      <c r="L6769" s="85">
        <v>9</v>
      </c>
      <c r="N6769" s="1" t="s">
        <v>44</v>
      </c>
    </row>
    <row r="6770" spans="1:14">
      <c r="A6770" s="36" t="s">
        <v>32</v>
      </c>
      <c r="B6770" s="37">
        <v>45945</v>
      </c>
      <c r="C6770" s="36" t="s">
        <v>3137</v>
      </c>
      <c r="D6770" s="36" t="s">
        <v>3155</v>
      </c>
      <c r="E6770" s="36" t="s">
        <v>77</v>
      </c>
      <c r="J6770" s="38">
        <v>2970000</v>
      </c>
      <c r="K6770" s="85">
        <v>2025</v>
      </c>
      <c r="L6770" s="85">
        <v>9</v>
      </c>
      <c r="N6770" s="1" t="s">
        <v>44</v>
      </c>
    </row>
    <row r="6771" spans="1:14">
      <c r="A6771" s="36" t="s">
        <v>32</v>
      </c>
      <c r="B6771" s="37">
        <v>45945</v>
      </c>
      <c r="C6771" s="36" t="s">
        <v>3137</v>
      </c>
      <c r="D6771" s="36" t="s">
        <v>3156</v>
      </c>
      <c r="E6771" s="36" t="s">
        <v>77</v>
      </c>
      <c r="J6771" s="38">
        <v>4950000</v>
      </c>
      <c r="K6771" s="85">
        <v>2025</v>
      </c>
      <c r="L6771" s="85">
        <v>9</v>
      </c>
      <c r="N6771" s="1" t="s">
        <v>44</v>
      </c>
    </row>
    <row r="6772" spans="1:14">
      <c r="A6772" s="36" t="s">
        <v>32</v>
      </c>
      <c r="B6772" s="37">
        <v>45950</v>
      </c>
      <c r="C6772" s="36" t="s">
        <v>1198</v>
      </c>
      <c r="D6772" s="36" t="s">
        <v>3067</v>
      </c>
      <c r="E6772" s="36" t="s">
        <v>3084</v>
      </c>
      <c r="J6772" s="87">
        <v>7550730</v>
      </c>
      <c r="K6772" s="85">
        <v>2025</v>
      </c>
      <c r="L6772" s="85">
        <v>9</v>
      </c>
      <c r="N6772" s="1" t="s">
        <v>44</v>
      </c>
    </row>
    <row r="6773" spans="1:14">
      <c r="A6773" s="36" t="s">
        <v>32</v>
      </c>
      <c r="B6773" s="37">
        <v>45947</v>
      </c>
      <c r="C6773" s="36" t="s">
        <v>2166</v>
      </c>
      <c r="D6773" s="36" t="s">
        <v>2836</v>
      </c>
      <c r="E6773" s="36" t="s">
        <v>3160</v>
      </c>
      <c r="J6773" s="87">
        <v>41074132</v>
      </c>
      <c r="K6773" s="85">
        <v>2025</v>
      </c>
      <c r="L6773" s="85">
        <v>8</v>
      </c>
      <c r="M6773" s="36" t="s">
        <v>3089</v>
      </c>
      <c r="N6773" s="1" t="s">
        <v>44</v>
      </c>
    </row>
    <row r="6774" spans="1:14">
      <c r="A6774" s="36" t="s">
        <v>32</v>
      </c>
      <c r="B6774" s="37">
        <v>45946</v>
      </c>
      <c r="C6774" s="36" t="s">
        <v>2005</v>
      </c>
      <c r="D6774" s="36" t="s">
        <v>3009</v>
      </c>
      <c r="E6774" s="36" t="s">
        <v>3161</v>
      </c>
      <c r="J6774" s="38">
        <v>7150000</v>
      </c>
      <c r="K6774" s="85">
        <v>2025</v>
      </c>
      <c r="L6774" s="85">
        <v>8</v>
      </c>
      <c r="N6774" s="1" t="s">
        <v>44</v>
      </c>
    </row>
    <row r="6775" spans="1:14">
      <c r="A6775" s="36" t="s">
        <v>32</v>
      </c>
      <c r="B6775" s="37">
        <v>45946</v>
      </c>
      <c r="C6775" s="36" t="s">
        <v>2005</v>
      </c>
      <c r="D6775" s="36" t="s">
        <v>3009</v>
      </c>
      <c r="E6775" s="36" t="s">
        <v>3161</v>
      </c>
      <c r="J6775" s="38">
        <v>1100000</v>
      </c>
      <c r="K6775" s="85">
        <v>2025</v>
      </c>
      <c r="L6775" s="85">
        <v>8</v>
      </c>
      <c r="N6775" s="1" t="s">
        <v>44</v>
      </c>
    </row>
    <row r="6776" spans="1:14">
      <c r="A6776" s="36" t="s">
        <v>32</v>
      </c>
      <c r="B6776" s="37">
        <v>45958</v>
      </c>
      <c r="C6776" s="36" t="s">
        <v>2477</v>
      </c>
      <c r="D6776" s="36" t="s">
        <v>2485</v>
      </c>
      <c r="E6776" s="36" t="s">
        <v>148</v>
      </c>
      <c r="J6776" s="87">
        <v>28459376</v>
      </c>
      <c r="K6776" s="85">
        <v>2025</v>
      </c>
      <c r="L6776" s="85">
        <v>9</v>
      </c>
      <c r="N6776" s="1" t="s">
        <v>44</v>
      </c>
    </row>
    <row r="6777" spans="1:14">
      <c r="A6777" s="36" t="s">
        <v>32</v>
      </c>
      <c r="B6777" s="37">
        <v>45959</v>
      </c>
      <c r="C6777" s="36" t="s">
        <v>2674</v>
      </c>
      <c r="D6777" s="36" t="s">
        <v>2687</v>
      </c>
      <c r="E6777" s="36" t="s">
        <v>148</v>
      </c>
      <c r="J6777" s="87">
        <v>3830750</v>
      </c>
      <c r="K6777" s="85">
        <v>2025</v>
      </c>
      <c r="L6777" s="85">
        <v>9</v>
      </c>
      <c r="N6777" s="1" t="s">
        <v>44</v>
      </c>
    </row>
    <row r="6778" spans="1:14">
      <c r="A6778" s="36" t="s">
        <v>33</v>
      </c>
      <c r="B6778" s="37">
        <v>45961</v>
      </c>
      <c r="C6778" s="36" t="s">
        <v>2016</v>
      </c>
      <c r="D6778" s="36" t="s">
        <v>3000</v>
      </c>
      <c r="E6778" s="36" t="s">
        <v>148</v>
      </c>
      <c r="J6778" s="87">
        <v>63855000</v>
      </c>
      <c r="K6778" s="85">
        <v>2025</v>
      </c>
      <c r="L6778" s="85">
        <v>9</v>
      </c>
      <c r="N6778" s="1" t="s">
        <v>44</v>
      </c>
    </row>
    <row r="6779" spans="1:14">
      <c r="A6779" s="36" t="s">
        <v>33</v>
      </c>
      <c r="B6779" s="37">
        <v>45961</v>
      </c>
      <c r="C6779" s="36" t="s">
        <v>2016</v>
      </c>
      <c r="D6779" s="36" t="s">
        <v>2468</v>
      </c>
      <c r="E6779" s="36" t="s">
        <v>148</v>
      </c>
      <c r="J6779" s="87">
        <v>73821000</v>
      </c>
      <c r="K6779" s="85">
        <v>2025</v>
      </c>
      <c r="L6779" s="85">
        <v>9</v>
      </c>
      <c r="N6779" s="1" t="s">
        <v>44</v>
      </c>
    </row>
    <row r="6780" spans="1:14">
      <c r="A6780" s="36" t="s">
        <v>32</v>
      </c>
      <c r="B6780" s="37">
        <v>45961</v>
      </c>
      <c r="C6780" s="36" t="s">
        <v>2868</v>
      </c>
      <c r="D6780" s="36" t="s">
        <v>2875</v>
      </c>
      <c r="E6780" s="36" t="s">
        <v>148</v>
      </c>
      <c r="J6780" s="87">
        <v>9900000</v>
      </c>
      <c r="K6780" s="85">
        <v>2025</v>
      </c>
      <c r="L6780" s="85">
        <v>9</v>
      </c>
      <c r="N6780" s="1" t="s">
        <v>44</v>
      </c>
    </row>
    <row r="6781" spans="1:14">
      <c r="A6781" s="36" t="s">
        <v>32</v>
      </c>
      <c r="B6781" s="37">
        <v>45961</v>
      </c>
      <c r="C6781" s="36" t="s">
        <v>3135</v>
      </c>
      <c r="D6781" s="36" t="s">
        <v>3141</v>
      </c>
      <c r="E6781" s="36" t="s">
        <v>148</v>
      </c>
      <c r="J6781" s="87">
        <v>4098160</v>
      </c>
      <c r="K6781" s="85">
        <v>2025</v>
      </c>
      <c r="L6781" s="85">
        <v>9</v>
      </c>
      <c r="N6781" s="1" t="s">
        <v>44</v>
      </c>
    </row>
    <row r="6782" spans="1:14">
      <c r="A6782" s="36" t="s">
        <v>32</v>
      </c>
      <c r="B6782" s="37">
        <v>45961</v>
      </c>
      <c r="C6782" s="36" t="s">
        <v>2822</v>
      </c>
      <c r="D6782" s="36" t="s">
        <v>3019</v>
      </c>
      <c r="E6782" s="36" t="s">
        <v>148</v>
      </c>
      <c r="J6782" s="87">
        <v>891000</v>
      </c>
      <c r="K6782" s="85">
        <v>2025</v>
      </c>
      <c r="L6782" s="85">
        <v>9</v>
      </c>
      <c r="N6782" s="1" t="s">
        <v>44</v>
      </c>
    </row>
    <row r="6783" spans="1:14">
      <c r="A6783" s="36" t="s">
        <v>32</v>
      </c>
      <c r="B6783" s="37">
        <v>45961</v>
      </c>
      <c r="C6783" s="36" t="s">
        <v>2824</v>
      </c>
      <c r="D6783" s="36" t="s">
        <v>2832</v>
      </c>
      <c r="E6783" s="36" t="s">
        <v>148</v>
      </c>
      <c r="J6783" s="87">
        <v>80528800</v>
      </c>
      <c r="K6783" s="85">
        <v>2025</v>
      </c>
      <c r="L6783" s="85">
        <v>9</v>
      </c>
      <c r="N6783" s="1" t="s">
        <v>44</v>
      </c>
    </row>
    <row r="6784" spans="1:14">
      <c r="A6784" s="36" t="s">
        <v>32</v>
      </c>
      <c r="B6784" s="37">
        <v>45961</v>
      </c>
      <c r="C6784" s="36" t="s">
        <v>264</v>
      </c>
      <c r="D6784" s="36" t="s">
        <v>3149</v>
      </c>
      <c r="E6784" s="36" t="s">
        <v>148</v>
      </c>
      <c r="J6784" s="87">
        <v>11000000</v>
      </c>
      <c r="K6784" s="85">
        <v>2025</v>
      </c>
      <c r="L6784" s="85">
        <v>9</v>
      </c>
      <c r="N6784" s="1" t="s">
        <v>44</v>
      </c>
    </row>
    <row r="6785" spans="1:14">
      <c r="A6785" s="36" t="s">
        <v>33</v>
      </c>
      <c r="B6785" s="37">
        <v>45961</v>
      </c>
      <c r="C6785" s="36" t="s">
        <v>2540</v>
      </c>
      <c r="D6785" s="36" t="s">
        <v>2541</v>
      </c>
      <c r="E6785" s="36" t="s">
        <v>148</v>
      </c>
      <c r="J6785" s="38">
        <v>141350</v>
      </c>
      <c r="K6785" s="85">
        <v>2025</v>
      </c>
      <c r="L6785" s="85">
        <v>8</v>
      </c>
      <c r="N6785" s="1" t="s">
        <v>44</v>
      </c>
    </row>
    <row r="6786" spans="1:14">
      <c r="A6786" s="36" t="s">
        <v>33</v>
      </c>
      <c r="B6786" s="37">
        <v>45961</v>
      </c>
      <c r="C6786" s="36" t="s">
        <v>3110</v>
      </c>
      <c r="D6786" s="36" t="s">
        <v>3069</v>
      </c>
      <c r="E6786" s="36" t="s">
        <v>148</v>
      </c>
      <c r="J6786" s="38">
        <v>352000</v>
      </c>
      <c r="K6786" s="85">
        <v>2025</v>
      </c>
      <c r="L6786" s="85">
        <v>9</v>
      </c>
      <c r="N6786" s="1" t="s">
        <v>44</v>
      </c>
    </row>
    <row r="6787" spans="1:14">
      <c r="A6787" s="36" t="s">
        <v>33</v>
      </c>
      <c r="B6787" s="37">
        <v>45961</v>
      </c>
      <c r="C6787" s="36" t="s">
        <v>3119</v>
      </c>
      <c r="D6787" s="36" t="s">
        <v>3069</v>
      </c>
      <c r="E6787" s="36" t="s">
        <v>148</v>
      </c>
      <c r="J6787" s="38">
        <v>198000</v>
      </c>
      <c r="K6787" s="85">
        <v>2025</v>
      </c>
      <c r="L6787" s="85">
        <v>9</v>
      </c>
      <c r="N6787" s="1" t="s">
        <v>44</v>
      </c>
    </row>
    <row r="6788" spans="1:14">
      <c r="A6788" s="36" t="s">
        <v>33</v>
      </c>
      <c r="B6788" s="37">
        <v>45961</v>
      </c>
      <c r="C6788" s="36" t="s">
        <v>2188</v>
      </c>
      <c r="D6788" s="36" t="s">
        <v>2980</v>
      </c>
      <c r="E6788" s="36" t="s">
        <v>3025</v>
      </c>
      <c r="J6788" s="38">
        <v>62700</v>
      </c>
      <c r="K6788" s="85">
        <v>2025</v>
      </c>
      <c r="L6788" s="85">
        <v>9</v>
      </c>
      <c r="N6788" s="1" t="s">
        <v>44</v>
      </c>
    </row>
    <row r="6789" spans="1:14">
      <c r="A6789" s="36" t="s">
        <v>33</v>
      </c>
      <c r="B6789" s="37">
        <v>45961</v>
      </c>
      <c r="C6789" s="36" t="s">
        <v>2540</v>
      </c>
      <c r="D6789" s="36" t="s">
        <v>2541</v>
      </c>
      <c r="E6789" s="36" t="s">
        <v>148</v>
      </c>
      <c r="J6789" s="38">
        <v>520850</v>
      </c>
      <c r="K6789" s="85">
        <v>2025</v>
      </c>
      <c r="L6789" s="85">
        <v>9</v>
      </c>
      <c r="N6789" s="1" t="s">
        <v>44</v>
      </c>
    </row>
    <row r="6790" spans="1:14">
      <c r="A6790" s="36" t="s">
        <v>33</v>
      </c>
      <c r="B6790" s="37">
        <v>45961</v>
      </c>
      <c r="C6790" s="36" t="s">
        <v>2896</v>
      </c>
      <c r="D6790" s="36" t="s">
        <v>3126</v>
      </c>
      <c r="E6790" s="36" t="s">
        <v>148</v>
      </c>
      <c r="J6790" s="38">
        <v>977900</v>
      </c>
      <c r="K6790" s="85">
        <v>2025</v>
      </c>
      <c r="L6790" s="85">
        <v>9</v>
      </c>
      <c r="N6790" s="1" t="s">
        <v>44</v>
      </c>
    </row>
    <row r="6791" spans="1:14">
      <c r="A6791" s="36" t="s">
        <v>33</v>
      </c>
      <c r="B6791" s="37">
        <v>45961</v>
      </c>
      <c r="C6791" s="36" t="s">
        <v>81</v>
      </c>
      <c r="D6791" s="36" t="s">
        <v>2860</v>
      </c>
      <c r="E6791" s="36" t="s">
        <v>2919</v>
      </c>
      <c r="J6791" s="38">
        <v>66550</v>
      </c>
      <c r="K6791" s="85">
        <v>2025</v>
      </c>
      <c r="L6791" s="85">
        <v>9</v>
      </c>
      <c r="N6791" s="1" t="s">
        <v>44</v>
      </c>
    </row>
    <row r="6792" spans="1:14">
      <c r="A6792" s="36" t="s">
        <v>33</v>
      </c>
      <c r="B6792" s="37">
        <v>45961</v>
      </c>
      <c r="C6792" s="36" t="s">
        <v>81</v>
      </c>
      <c r="D6792" s="36" t="s">
        <v>3127</v>
      </c>
      <c r="E6792" s="36" t="s">
        <v>3163</v>
      </c>
      <c r="J6792" s="38">
        <v>1933250</v>
      </c>
      <c r="K6792" s="85">
        <v>2025</v>
      </c>
      <c r="L6792" s="85">
        <v>9</v>
      </c>
      <c r="N6792" s="1" t="s">
        <v>44</v>
      </c>
    </row>
    <row r="6793" spans="1:14">
      <c r="A6793" s="36" t="s">
        <v>33</v>
      </c>
      <c r="B6793" s="37">
        <v>45961</v>
      </c>
      <c r="C6793" s="36" t="s">
        <v>2116</v>
      </c>
      <c r="D6793" s="36" t="s">
        <v>2117</v>
      </c>
      <c r="E6793" s="36" t="s">
        <v>148</v>
      </c>
      <c r="J6793" s="38">
        <v>1070300</v>
      </c>
      <c r="K6793" s="85">
        <v>2025</v>
      </c>
      <c r="L6793" s="85">
        <v>9</v>
      </c>
      <c r="N6793" s="1" t="s">
        <v>44</v>
      </c>
    </row>
    <row r="6794" spans="1:14">
      <c r="A6794" s="36" t="s">
        <v>33</v>
      </c>
      <c r="B6794" s="37">
        <v>45961</v>
      </c>
      <c r="C6794" s="36" t="s">
        <v>2188</v>
      </c>
      <c r="D6794" s="36" t="s">
        <v>3162</v>
      </c>
      <c r="E6794" s="36" t="s">
        <v>3164</v>
      </c>
      <c r="J6794" s="38">
        <v>130680</v>
      </c>
      <c r="K6794" s="85">
        <v>2025</v>
      </c>
      <c r="L6794" s="85">
        <v>9</v>
      </c>
      <c r="N6794" s="1" t="s">
        <v>44</v>
      </c>
    </row>
    <row r="6795" spans="1:14">
      <c r="A6795" s="36" t="s">
        <v>33</v>
      </c>
      <c r="B6795" s="37">
        <v>45961</v>
      </c>
      <c r="C6795" s="36" t="s">
        <v>2997</v>
      </c>
      <c r="D6795" s="36" t="s">
        <v>2998</v>
      </c>
      <c r="E6795" s="36" t="s">
        <v>148</v>
      </c>
      <c r="J6795" s="38">
        <v>311999.59999999998</v>
      </c>
      <c r="K6795" s="85">
        <v>2025</v>
      </c>
      <c r="L6795" s="85">
        <v>9</v>
      </c>
      <c r="N6795" s="1" t="s">
        <v>44</v>
      </c>
    </row>
    <row r="6796" spans="1:14">
      <c r="A6796" s="36" t="s">
        <v>33</v>
      </c>
      <c r="B6796" s="37">
        <v>45961</v>
      </c>
      <c r="C6796" s="36" t="s">
        <v>2587</v>
      </c>
      <c r="D6796" s="36" t="s">
        <v>2588</v>
      </c>
      <c r="E6796" s="36" t="s">
        <v>148</v>
      </c>
      <c r="J6796" s="38">
        <v>2965600</v>
      </c>
      <c r="K6796" s="85">
        <v>2025</v>
      </c>
      <c r="L6796" s="85">
        <v>9</v>
      </c>
      <c r="N6796" s="1" t="s">
        <v>44</v>
      </c>
    </row>
    <row r="6797" spans="1:14">
      <c r="A6797" s="36" t="s">
        <v>33</v>
      </c>
      <c r="B6797" s="37">
        <v>45961</v>
      </c>
      <c r="C6797" s="36" t="s">
        <v>1250</v>
      </c>
      <c r="D6797" s="36" t="s">
        <v>3132</v>
      </c>
      <c r="E6797" s="36" t="s">
        <v>148</v>
      </c>
      <c r="J6797" s="38">
        <v>462000</v>
      </c>
      <c r="K6797" s="85">
        <v>2025</v>
      </c>
      <c r="L6797" s="85">
        <v>9</v>
      </c>
      <c r="N6797" s="1" t="s">
        <v>44</v>
      </c>
    </row>
    <row r="6798" spans="1:14">
      <c r="A6798" s="36" t="s">
        <v>33</v>
      </c>
      <c r="B6798" s="37">
        <v>45931</v>
      </c>
      <c r="C6798" s="36" t="s">
        <v>2016</v>
      </c>
      <c r="D6798" s="36" t="s">
        <v>2621</v>
      </c>
      <c r="E6798" s="36" t="s">
        <v>2621</v>
      </c>
      <c r="F6798" s="87">
        <v>58050000</v>
      </c>
      <c r="I6798" s="38"/>
      <c r="J6798" s="87">
        <v>21000000</v>
      </c>
      <c r="K6798" s="85">
        <v>2025</v>
      </c>
      <c r="L6798" s="85">
        <v>10</v>
      </c>
      <c r="M6798" s="1"/>
      <c r="N6798" s="1" t="s">
        <v>44</v>
      </c>
    </row>
    <row r="6799" spans="1:14">
      <c r="A6799" s="36" t="s">
        <v>32</v>
      </c>
      <c r="B6799" s="37">
        <v>45961</v>
      </c>
      <c r="C6799" s="36" t="s">
        <v>661</v>
      </c>
      <c r="D6799" s="36" t="s">
        <v>2783</v>
      </c>
      <c r="E6799" s="36" t="s">
        <v>3165</v>
      </c>
      <c r="J6799" s="87">
        <v>1150600</v>
      </c>
      <c r="K6799" s="85">
        <v>2025</v>
      </c>
      <c r="L6799" s="85">
        <v>5</v>
      </c>
      <c r="N6799" s="1" t="s">
        <v>44</v>
      </c>
    </row>
    <row r="6800" spans="1:14">
      <c r="A6800" s="36" t="s">
        <v>32</v>
      </c>
      <c r="B6800" s="37">
        <v>45961</v>
      </c>
      <c r="C6800" s="36" t="s">
        <v>3134</v>
      </c>
      <c r="D6800" s="36" t="s">
        <v>3140</v>
      </c>
      <c r="E6800" s="36" t="s">
        <v>3165</v>
      </c>
      <c r="J6800" s="87">
        <v>6722375</v>
      </c>
      <c r="K6800" s="85">
        <v>2025</v>
      </c>
      <c r="L6800" s="85">
        <v>9</v>
      </c>
      <c r="M6800" s="36" t="s">
        <v>3166</v>
      </c>
      <c r="N6800" s="1" t="s">
        <v>44</v>
      </c>
    </row>
    <row r="6801" spans="1:14">
      <c r="A6801" s="36" t="s">
        <v>32</v>
      </c>
      <c r="B6801" s="37">
        <v>45961</v>
      </c>
      <c r="C6801" s="36" t="s">
        <v>2772</v>
      </c>
      <c r="D6801" s="36" t="s">
        <v>3145</v>
      </c>
      <c r="E6801" s="36" t="s">
        <v>3167</v>
      </c>
      <c r="J6801" s="87">
        <v>9460000</v>
      </c>
      <c r="K6801" s="85">
        <v>2025</v>
      </c>
      <c r="L6801" s="85">
        <v>9</v>
      </c>
      <c r="N6801" s="1" t="s">
        <v>44</v>
      </c>
    </row>
    <row r="6802" spans="1:14">
      <c r="A6802" s="36" t="s">
        <v>32</v>
      </c>
      <c r="B6802" s="37">
        <v>45961</v>
      </c>
      <c r="C6802" s="36" t="s">
        <v>1218</v>
      </c>
      <c r="D6802" s="36" t="s">
        <v>3012</v>
      </c>
      <c r="E6802" s="36" t="s">
        <v>3049</v>
      </c>
      <c r="J6802" s="87">
        <v>660000</v>
      </c>
      <c r="K6802" s="85">
        <v>2025</v>
      </c>
      <c r="L6802" s="85">
        <v>9</v>
      </c>
      <c r="N6802" s="1" t="s">
        <v>44</v>
      </c>
    </row>
    <row r="6803" spans="1:14">
      <c r="A6803" s="36" t="s">
        <v>32</v>
      </c>
      <c r="B6803" s="37">
        <v>45961</v>
      </c>
      <c r="C6803" s="36" t="s">
        <v>2673</v>
      </c>
      <c r="D6803" s="36" t="s">
        <v>2686</v>
      </c>
      <c r="E6803" s="36" t="s">
        <v>3165</v>
      </c>
      <c r="J6803" s="87">
        <v>1382480</v>
      </c>
      <c r="K6803" s="85">
        <v>2025</v>
      </c>
      <c r="L6803" s="85">
        <v>9</v>
      </c>
      <c r="N6803" s="1" t="s">
        <v>44</v>
      </c>
    </row>
    <row r="6804" spans="1:14">
      <c r="A6804" s="36" t="s">
        <v>32</v>
      </c>
      <c r="B6804" s="37">
        <v>45964</v>
      </c>
      <c r="C6804" s="36" t="s">
        <v>654</v>
      </c>
      <c r="D6804" s="36" t="s">
        <v>3064</v>
      </c>
      <c r="E6804" s="36" t="s">
        <v>3168</v>
      </c>
      <c r="J6804" s="87">
        <v>3696000</v>
      </c>
      <c r="K6804" s="85">
        <v>2025</v>
      </c>
      <c r="L6804" s="85">
        <v>8</v>
      </c>
      <c r="N6804" s="1" t="s">
        <v>44</v>
      </c>
    </row>
    <row r="6805" spans="1:14">
      <c r="A6805" s="36" t="s">
        <v>32</v>
      </c>
      <c r="B6805" s="37">
        <v>45964</v>
      </c>
      <c r="C6805" s="36" t="s">
        <v>654</v>
      </c>
      <c r="D6805" s="36" t="s">
        <v>2588</v>
      </c>
      <c r="E6805" s="36" t="s">
        <v>3169</v>
      </c>
      <c r="J6805" s="302">
        <v>11646096</v>
      </c>
      <c r="K6805" s="85">
        <v>2025</v>
      </c>
      <c r="L6805" s="85">
        <v>9</v>
      </c>
      <c r="M6805" s="36" t="s">
        <v>3171</v>
      </c>
      <c r="N6805" s="1" t="s">
        <v>44</v>
      </c>
    </row>
    <row r="6806" spans="1:14">
      <c r="A6806" s="36" t="s">
        <v>32</v>
      </c>
      <c r="B6806" s="37">
        <v>45964</v>
      </c>
      <c r="C6806" s="36" t="s">
        <v>654</v>
      </c>
      <c r="D6806" s="36" t="s">
        <v>2588</v>
      </c>
      <c r="E6806" s="36" t="s">
        <v>3170</v>
      </c>
      <c r="J6806" s="310">
        <v>6956400</v>
      </c>
      <c r="K6806" s="85">
        <v>2025</v>
      </c>
      <c r="M6806" s="36" t="s">
        <v>3171</v>
      </c>
      <c r="N6806" s="1" t="s">
        <v>44</v>
      </c>
    </row>
    <row r="6807" spans="1:14">
      <c r="A6807" s="36" t="s">
        <v>33</v>
      </c>
      <c r="B6807" s="37">
        <v>45955</v>
      </c>
      <c r="C6807" s="36" t="s">
        <v>3060</v>
      </c>
      <c r="D6807" s="36" t="s">
        <v>3061</v>
      </c>
      <c r="E6807" s="36" t="s">
        <v>3061</v>
      </c>
      <c r="G6807" s="87">
        <v>50264</v>
      </c>
      <c r="H6807" s="87">
        <v>5026</v>
      </c>
      <c r="I6807" s="87">
        <v>55290</v>
      </c>
      <c r="K6807" s="85">
        <v>2025</v>
      </c>
      <c r="L6807" s="85">
        <v>10</v>
      </c>
      <c r="N6807" s="1" t="s">
        <v>44</v>
      </c>
    </row>
    <row r="6808" spans="1:14">
      <c r="A6808" s="36" t="s">
        <v>33</v>
      </c>
      <c r="B6808" s="37">
        <v>45960</v>
      </c>
      <c r="C6808" s="36" t="s">
        <v>126</v>
      </c>
      <c r="D6808" s="36" t="s">
        <v>3172</v>
      </c>
      <c r="E6808" s="36" t="s">
        <v>3173</v>
      </c>
      <c r="G6808" s="87">
        <v>650000</v>
      </c>
      <c r="H6808" s="87">
        <v>65000</v>
      </c>
      <c r="I6808" s="87">
        <v>715000</v>
      </c>
      <c r="K6808" s="85">
        <v>2025</v>
      </c>
      <c r="L6808" s="85">
        <v>10</v>
      </c>
      <c r="N6808" s="1" t="s">
        <v>44</v>
      </c>
    </row>
    <row r="6809" spans="1:14">
      <c r="A6809" s="36" t="s">
        <v>33</v>
      </c>
      <c r="B6809" s="37">
        <v>45960</v>
      </c>
      <c r="C6809" s="36" t="s">
        <v>126</v>
      </c>
      <c r="D6809" s="36" t="s">
        <v>3174</v>
      </c>
      <c r="E6809" s="36" t="s">
        <v>3175</v>
      </c>
      <c r="G6809" s="87">
        <v>1100000</v>
      </c>
      <c r="H6809" s="87">
        <v>110000</v>
      </c>
      <c r="I6809" s="87">
        <v>1210000</v>
      </c>
      <c r="K6809" s="85">
        <v>2025</v>
      </c>
      <c r="L6809" s="85">
        <v>10</v>
      </c>
      <c r="N6809" s="1" t="s">
        <v>44</v>
      </c>
    </row>
    <row r="6810" spans="1:14">
      <c r="A6810" s="36" t="s">
        <v>33</v>
      </c>
      <c r="B6810" s="37">
        <v>45961</v>
      </c>
      <c r="C6810" s="36" t="s">
        <v>81</v>
      </c>
      <c r="D6810" s="36" t="s">
        <v>3174</v>
      </c>
      <c r="E6810" s="36" t="s">
        <v>3176</v>
      </c>
      <c r="G6810" s="87">
        <v>2290500</v>
      </c>
      <c r="H6810" s="87">
        <v>229050</v>
      </c>
      <c r="I6810" s="87">
        <v>2519550</v>
      </c>
      <c r="K6810" s="85">
        <v>2025</v>
      </c>
      <c r="L6810" s="85">
        <v>10</v>
      </c>
      <c r="N6810" s="1" t="s">
        <v>44</v>
      </c>
    </row>
    <row r="6811" spans="1:14">
      <c r="A6811" s="36" t="s">
        <v>33</v>
      </c>
      <c r="B6811" s="37">
        <v>45961</v>
      </c>
      <c r="C6811" s="36" t="s">
        <v>81</v>
      </c>
      <c r="D6811" s="36" t="s">
        <v>3127</v>
      </c>
      <c r="E6811" s="36" t="s">
        <v>3176</v>
      </c>
      <c r="G6811" s="87">
        <v>5046500</v>
      </c>
      <c r="H6811" s="87">
        <v>504650</v>
      </c>
      <c r="I6811" s="87">
        <v>5551150</v>
      </c>
      <c r="K6811" s="85">
        <v>2025</v>
      </c>
      <c r="L6811" s="85">
        <v>10</v>
      </c>
      <c r="N6811" s="1" t="s">
        <v>44</v>
      </c>
    </row>
    <row r="6812" spans="1:14">
      <c r="A6812" s="36" t="s">
        <v>33</v>
      </c>
      <c r="B6812" s="37">
        <v>45962</v>
      </c>
      <c r="C6812" s="36" t="s">
        <v>81</v>
      </c>
      <c r="D6812" s="36" t="s">
        <v>2271</v>
      </c>
      <c r="E6812" s="36" t="s">
        <v>3176</v>
      </c>
      <c r="G6812" s="87">
        <v>3000000</v>
      </c>
      <c r="H6812" s="87">
        <v>300000</v>
      </c>
      <c r="I6812" s="87">
        <v>3300000</v>
      </c>
      <c r="K6812" s="85">
        <v>2025</v>
      </c>
      <c r="L6812" s="85">
        <v>10</v>
      </c>
      <c r="N6812" s="1" t="s">
        <v>44</v>
      </c>
    </row>
    <row r="6813" spans="1:14">
      <c r="A6813" s="36" t="s">
        <v>33</v>
      </c>
      <c r="B6813" s="37">
        <v>45961</v>
      </c>
      <c r="C6813" s="36" t="s">
        <v>2858</v>
      </c>
      <c r="D6813" s="36" t="s">
        <v>3177</v>
      </c>
      <c r="E6813" s="36" t="s">
        <v>3178</v>
      </c>
      <c r="G6813" s="87">
        <v>600000</v>
      </c>
      <c r="H6813" s="87">
        <v>60000</v>
      </c>
      <c r="I6813" s="87">
        <v>660000</v>
      </c>
      <c r="K6813" s="85">
        <v>2025</v>
      </c>
      <c r="L6813" s="85">
        <v>10</v>
      </c>
      <c r="N6813" s="1" t="s">
        <v>44</v>
      </c>
    </row>
    <row r="6814" spans="1:14">
      <c r="A6814" s="36" t="s">
        <v>33</v>
      </c>
      <c r="B6814" s="37">
        <v>45961</v>
      </c>
      <c r="C6814" s="36" t="s">
        <v>2540</v>
      </c>
      <c r="D6814" s="36" t="s">
        <v>2541</v>
      </c>
      <c r="E6814" s="36" t="s">
        <v>469</v>
      </c>
      <c r="G6814" s="87">
        <v>135000</v>
      </c>
      <c r="H6814" s="87">
        <v>13500</v>
      </c>
      <c r="I6814" s="87">
        <v>148500</v>
      </c>
      <c r="K6814" s="85">
        <v>2025</v>
      </c>
      <c r="L6814" s="85">
        <v>10</v>
      </c>
      <c r="N6814" s="1" t="s">
        <v>44</v>
      </c>
    </row>
    <row r="6815" spans="1:14">
      <c r="A6815" s="36" t="s">
        <v>32</v>
      </c>
      <c r="B6815" s="37">
        <v>45967</v>
      </c>
      <c r="C6815" s="36" t="s">
        <v>3005</v>
      </c>
      <c r="D6815" s="36" t="s">
        <v>3014</v>
      </c>
      <c r="E6815" s="36" t="s">
        <v>3179</v>
      </c>
      <c r="J6815" s="87">
        <v>3384700</v>
      </c>
      <c r="K6815" s="85">
        <v>2025</v>
      </c>
      <c r="L6815" s="85">
        <v>7</v>
      </c>
      <c r="N6815" s="1" t="s">
        <v>44</v>
      </c>
    </row>
    <row r="6816" spans="1:14">
      <c r="A6816" s="36" t="s">
        <v>33</v>
      </c>
      <c r="B6816" s="37">
        <v>45968</v>
      </c>
      <c r="C6816" s="36" t="s">
        <v>1569</v>
      </c>
      <c r="D6816" s="36" t="s">
        <v>2936</v>
      </c>
      <c r="E6816" s="36" t="s">
        <v>3180</v>
      </c>
      <c r="J6816" s="87">
        <v>1628880</v>
      </c>
      <c r="K6816" s="85">
        <v>2025</v>
      </c>
      <c r="L6816" s="85">
        <v>8</v>
      </c>
      <c r="N6816" s="1" t="s">
        <v>44</v>
      </c>
    </row>
    <row r="6817" spans="1:14">
      <c r="A6817" s="36" t="s">
        <v>33</v>
      </c>
      <c r="B6817" s="37">
        <v>45968</v>
      </c>
      <c r="C6817" s="36" t="s">
        <v>1569</v>
      </c>
      <c r="D6817" s="36" t="s">
        <v>2936</v>
      </c>
      <c r="E6817" s="36" t="s">
        <v>3181</v>
      </c>
      <c r="J6817" s="87">
        <v>1628880</v>
      </c>
      <c r="K6817" s="85">
        <v>2025</v>
      </c>
      <c r="L6817" s="85">
        <v>9</v>
      </c>
      <c r="N6817" s="1" t="s">
        <v>44</v>
      </c>
    </row>
    <row r="6818" spans="1:14">
      <c r="A6818" s="36" t="s">
        <v>33</v>
      </c>
      <c r="B6818" s="37">
        <v>45961</v>
      </c>
      <c r="C6818" s="36" t="s">
        <v>2587</v>
      </c>
      <c r="D6818" s="36" t="s">
        <v>2588</v>
      </c>
      <c r="E6818" s="36" t="s">
        <v>2115</v>
      </c>
      <c r="G6818" s="87">
        <v>1545500</v>
      </c>
      <c r="H6818" s="87">
        <v>154550</v>
      </c>
      <c r="I6818" s="87">
        <v>1700050</v>
      </c>
      <c r="K6818" s="85">
        <v>2025</v>
      </c>
      <c r="L6818" s="85">
        <v>10</v>
      </c>
      <c r="N6818" s="1" t="s">
        <v>44</v>
      </c>
    </row>
    <row r="6819" spans="1:14">
      <c r="A6819" s="36" t="s">
        <v>33</v>
      </c>
      <c r="B6819" s="37">
        <v>45961</v>
      </c>
      <c r="C6819" s="36" t="s">
        <v>2188</v>
      </c>
      <c r="D6819" s="36" t="s">
        <v>2980</v>
      </c>
      <c r="E6819" s="36" t="s">
        <v>3182</v>
      </c>
      <c r="G6819" s="87">
        <v>58900</v>
      </c>
      <c r="H6819" s="87">
        <v>5890</v>
      </c>
      <c r="I6819" s="87">
        <v>64790</v>
      </c>
      <c r="K6819" s="85">
        <v>2025</v>
      </c>
      <c r="L6819" s="85">
        <v>10</v>
      </c>
      <c r="N6819" s="1" t="s">
        <v>44</v>
      </c>
    </row>
    <row r="6820" spans="1:14">
      <c r="A6820" s="36" t="s">
        <v>33</v>
      </c>
      <c r="B6820" s="37">
        <v>45961</v>
      </c>
      <c r="C6820" s="36" t="s">
        <v>3183</v>
      </c>
      <c r="D6820" s="36" t="s">
        <v>2763</v>
      </c>
      <c r="E6820" s="36" t="s">
        <v>2115</v>
      </c>
      <c r="G6820" s="87">
        <v>749000</v>
      </c>
      <c r="H6820" s="87">
        <v>74900</v>
      </c>
      <c r="I6820" s="87">
        <v>823900</v>
      </c>
      <c r="K6820" s="85">
        <v>2025</v>
      </c>
      <c r="L6820" s="85">
        <v>10</v>
      </c>
      <c r="N6820" s="1" t="s">
        <v>44</v>
      </c>
    </row>
    <row r="6821" spans="1:14">
      <c r="A6821" s="36" t="s">
        <v>33</v>
      </c>
      <c r="B6821" s="37">
        <v>45961</v>
      </c>
      <c r="C6821" s="36" t="s">
        <v>3184</v>
      </c>
      <c r="D6821" s="36" t="s">
        <v>3185</v>
      </c>
      <c r="E6821" s="36" t="s">
        <v>97</v>
      </c>
      <c r="G6821" s="87">
        <v>640000</v>
      </c>
      <c r="H6821" s="87">
        <v>64000</v>
      </c>
      <c r="I6821" s="87">
        <v>704000</v>
      </c>
      <c r="K6821" s="85">
        <v>2025</v>
      </c>
      <c r="L6821" s="85">
        <v>10</v>
      </c>
      <c r="N6821" s="1" t="s">
        <v>44</v>
      </c>
    </row>
    <row r="6822" spans="1:14">
      <c r="A6822" s="36" t="s">
        <v>33</v>
      </c>
      <c r="B6822" s="37">
        <v>45961</v>
      </c>
      <c r="C6822" s="36" t="s">
        <v>2116</v>
      </c>
      <c r="D6822" s="36" t="s">
        <v>2117</v>
      </c>
      <c r="E6822" s="36" t="s">
        <v>2118</v>
      </c>
      <c r="G6822" s="87">
        <v>931000</v>
      </c>
      <c r="H6822" s="87">
        <v>93100</v>
      </c>
      <c r="I6822" s="87">
        <v>1024100</v>
      </c>
      <c r="K6822" s="85">
        <v>2025</v>
      </c>
      <c r="L6822" s="85">
        <v>10</v>
      </c>
      <c r="N6822" s="1" t="s">
        <v>44</v>
      </c>
    </row>
    <row r="6823" spans="1:14">
      <c r="A6823" s="36" t="s">
        <v>33</v>
      </c>
      <c r="B6823" s="37">
        <v>45968</v>
      </c>
      <c r="C6823" s="36" t="s">
        <v>2223</v>
      </c>
      <c r="D6823" s="36" t="s">
        <v>3187</v>
      </c>
      <c r="E6823" s="36" t="s">
        <v>1278</v>
      </c>
      <c r="G6823" s="87">
        <v>2314380</v>
      </c>
      <c r="H6823" s="87">
        <v>231438</v>
      </c>
      <c r="I6823" s="87">
        <v>2545818</v>
      </c>
      <c r="K6823" s="85">
        <v>2025</v>
      </c>
      <c r="L6823" s="85">
        <v>10</v>
      </c>
      <c r="N6823" s="1" t="s">
        <v>44</v>
      </c>
    </row>
    <row r="6824" spans="1:14">
      <c r="A6824" s="36" t="s">
        <v>33</v>
      </c>
      <c r="B6824" s="37">
        <v>45968</v>
      </c>
      <c r="C6824" s="36" t="s">
        <v>2223</v>
      </c>
      <c r="D6824" s="36" t="s">
        <v>3186</v>
      </c>
      <c r="E6824" s="36" t="s">
        <v>1278</v>
      </c>
      <c r="G6824" s="87">
        <v>2092700</v>
      </c>
      <c r="H6824" s="87">
        <v>209270</v>
      </c>
      <c r="I6824" s="87">
        <v>2301970</v>
      </c>
      <c r="K6824" s="85">
        <v>2025</v>
      </c>
      <c r="L6824" s="85">
        <v>10</v>
      </c>
      <c r="N6824" s="1" t="s">
        <v>44</v>
      </c>
    </row>
    <row r="6825" spans="1:14">
      <c r="A6825" s="36" t="s">
        <v>33</v>
      </c>
      <c r="B6825" s="37">
        <v>45968</v>
      </c>
      <c r="C6825" s="36" t="s">
        <v>2223</v>
      </c>
      <c r="D6825" s="36" t="s">
        <v>3064</v>
      </c>
      <c r="E6825" s="36" t="s">
        <v>1278</v>
      </c>
      <c r="G6825" s="87">
        <v>2600000</v>
      </c>
      <c r="H6825" s="87">
        <v>260000</v>
      </c>
      <c r="I6825" s="87">
        <v>2860000</v>
      </c>
      <c r="K6825" s="85">
        <v>2025</v>
      </c>
      <c r="L6825" s="85">
        <v>10</v>
      </c>
      <c r="N6825" s="1" t="s">
        <v>44</v>
      </c>
    </row>
    <row r="6826" spans="1:14">
      <c r="A6826" s="36" t="s">
        <v>33</v>
      </c>
      <c r="B6826" s="37">
        <v>45971</v>
      </c>
      <c r="C6826" s="36" t="s">
        <v>188</v>
      </c>
      <c r="D6826" s="36" t="s">
        <v>3123</v>
      </c>
      <c r="E6826" s="36" t="s">
        <v>3188</v>
      </c>
      <c r="J6826" s="87">
        <v>2299000</v>
      </c>
      <c r="K6826" s="85">
        <v>2025</v>
      </c>
      <c r="L6826" s="85">
        <v>9</v>
      </c>
      <c r="N6826" s="1" t="s">
        <v>44</v>
      </c>
    </row>
    <row r="6827" spans="1:14">
      <c r="A6827" s="36" t="s">
        <v>33</v>
      </c>
      <c r="B6827" s="37">
        <v>45955</v>
      </c>
      <c r="C6827" s="36" t="s">
        <v>1569</v>
      </c>
      <c r="D6827" s="36" t="s">
        <v>3189</v>
      </c>
      <c r="E6827" s="36" t="s">
        <v>3192</v>
      </c>
      <c r="G6827" s="87">
        <v>3830400</v>
      </c>
      <c r="H6827" s="87">
        <v>383040</v>
      </c>
      <c r="I6827" s="87">
        <v>4213440</v>
      </c>
      <c r="K6827" s="85">
        <v>2025</v>
      </c>
      <c r="L6827" s="85">
        <v>10</v>
      </c>
      <c r="N6827" s="1" t="s">
        <v>44</v>
      </c>
    </row>
    <row r="6828" spans="1:14">
      <c r="A6828" s="36" t="s">
        <v>33</v>
      </c>
      <c r="B6828" s="37">
        <v>45955</v>
      </c>
      <c r="C6828" s="36" t="s">
        <v>1569</v>
      </c>
      <c r="D6828" s="36" t="s">
        <v>3190</v>
      </c>
      <c r="E6828" s="36" t="s">
        <v>3191</v>
      </c>
      <c r="G6828" s="87">
        <v>3859000</v>
      </c>
      <c r="H6828" s="87">
        <v>385900</v>
      </c>
      <c r="I6828" s="87">
        <v>4244900</v>
      </c>
      <c r="K6828" s="85">
        <v>2025</v>
      </c>
      <c r="L6828" s="85">
        <v>10</v>
      </c>
      <c r="N6828" s="1" t="s">
        <v>44</v>
      </c>
    </row>
    <row r="6829" spans="1:14">
      <c r="A6829" s="36" t="s">
        <v>33</v>
      </c>
      <c r="B6829" s="37">
        <v>45955</v>
      </c>
      <c r="C6829" s="36" t="s">
        <v>1569</v>
      </c>
      <c r="D6829" s="36" t="s">
        <v>3130</v>
      </c>
      <c r="E6829" s="36" t="s">
        <v>3193</v>
      </c>
      <c r="G6829" s="87">
        <v>898600</v>
      </c>
      <c r="H6829" s="87">
        <v>89860</v>
      </c>
      <c r="I6829" s="87">
        <v>988460</v>
      </c>
      <c r="K6829" s="85">
        <v>2025</v>
      </c>
      <c r="L6829" s="85">
        <v>10</v>
      </c>
      <c r="N6829" s="1" t="s">
        <v>44</v>
      </c>
    </row>
    <row r="6830" spans="1:14">
      <c r="A6830" s="36" t="s">
        <v>33</v>
      </c>
      <c r="B6830" s="37">
        <v>45961</v>
      </c>
      <c r="C6830" s="36" t="s">
        <v>1250</v>
      </c>
      <c r="D6830" s="36" t="s">
        <v>3132</v>
      </c>
      <c r="E6830" s="36" t="s">
        <v>3194</v>
      </c>
      <c r="G6830" s="87">
        <v>560000</v>
      </c>
      <c r="H6830" s="87">
        <v>56000</v>
      </c>
      <c r="I6830" s="87">
        <v>616000</v>
      </c>
      <c r="K6830" s="85">
        <v>2025</v>
      </c>
      <c r="L6830" s="85">
        <v>10</v>
      </c>
      <c r="N6830" s="1" t="s">
        <v>44</v>
      </c>
    </row>
    <row r="6831" spans="1:14">
      <c r="A6831" s="36" t="s">
        <v>33</v>
      </c>
      <c r="B6831" s="37">
        <v>45961</v>
      </c>
      <c r="C6831" s="36" t="s">
        <v>188</v>
      </c>
      <c r="D6831" s="36" t="s">
        <v>3123</v>
      </c>
      <c r="E6831" s="36" t="s">
        <v>1492</v>
      </c>
      <c r="G6831" s="87">
        <v>2090000</v>
      </c>
      <c r="H6831" s="87">
        <v>209000</v>
      </c>
      <c r="I6831" s="87">
        <v>2299000</v>
      </c>
      <c r="K6831" s="85">
        <v>2025</v>
      </c>
      <c r="L6831" s="85">
        <v>10</v>
      </c>
      <c r="N6831" s="1" t="s">
        <v>44</v>
      </c>
    </row>
    <row r="6832" spans="1:14">
      <c r="A6832" s="36" t="s">
        <v>33</v>
      </c>
      <c r="B6832" s="37">
        <v>45940</v>
      </c>
      <c r="C6832" s="36" t="s">
        <v>2016</v>
      </c>
      <c r="D6832" s="36" t="s">
        <v>2621</v>
      </c>
      <c r="E6832" s="36" t="s">
        <v>2621</v>
      </c>
      <c r="G6832" s="87">
        <v>27200000</v>
      </c>
      <c r="H6832" s="87">
        <v>2720000</v>
      </c>
      <c r="I6832" s="87">
        <v>29920000</v>
      </c>
      <c r="K6832" s="85">
        <v>2025</v>
      </c>
      <c r="L6832" s="85">
        <v>10</v>
      </c>
      <c r="N6832" s="1" t="s">
        <v>44</v>
      </c>
    </row>
    <row r="6833" spans="1:14">
      <c r="A6833" s="36" t="s">
        <v>33</v>
      </c>
      <c r="B6833" s="37">
        <v>45961</v>
      </c>
      <c r="C6833" s="36" t="s">
        <v>2016</v>
      </c>
      <c r="D6833" s="36" t="s">
        <v>2622</v>
      </c>
      <c r="E6833" s="36" t="s">
        <v>2622</v>
      </c>
      <c r="G6833" s="87">
        <v>67500000</v>
      </c>
      <c r="H6833" s="87">
        <v>6750000</v>
      </c>
      <c r="I6833" s="87">
        <v>74250000</v>
      </c>
      <c r="K6833" s="85">
        <v>2025</v>
      </c>
      <c r="L6833" s="85">
        <v>10</v>
      </c>
      <c r="N6833" s="1" t="s">
        <v>44</v>
      </c>
    </row>
    <row r="6834" spans="1:14">
      <c r="A6834" s="36" t="s">
        <v>33</v>
      </c>
      <c r="B6834" s="37">
        <v>45971</v>
      </c>
      <c r="C6834" s="36" t="s">
        <v>2016</v>
      </c>
      <c r="D6834" s="36" t="s">
        <v>2621</v>
      </c>
      <c r="E6834" s="36" t="s">
        <v>2621</v>
      </c>
      <c r="F6834" s="87"/>
      <c r="H6834" s="38"/>
      <c r="J6834" s="87">
        <v>8920000</v>
      </c>
      <c r="K6834" s="85">
        <v>2025</v>
      </c>
      <c r="L6834" s="85">
        <v>10</v>
      </c>
      <c r="M6834" s="1"/>
      <c r="N6834" s="1" t="s">
        <v>44</v>
      </c>
    </row>
    <row r="6835" spans="1:14">
      <c r="A6835" s="36" t="s">
        <v>32</v>
      </c>
      <c r="B6835" s="37">
        <v>45931</v>
      </c>
      <c r="C6835" s="36" t="s">
        <v>3196</v>
      </c>
      <c r="D6835" s="36" t="s">
        <v>3198</v>
      </c>
      <c r="E6835" s="36" t="s">
        <v>1492</v>
      </c>
      <c r="G6835" s="87">
        <v>2677000</v>
      </c>
      <c r="H6835" s="87">
        <v>267700</v>
      </c>
      <c r="I6835" s="87">
        <v>2944700</v>
      </c>
      <c r="K6835" s="85">
        <v>2025</v>
      </c>
      <c r="L6835" s="85">
        <v>10</v>
      </c>
      <c r="N6835" s="1" t="s">
        <v>44</v>
      </c>
    </row>
    <row r="6836" spans="1:14">
      <c r="A6836" s="36" t="s">
        <v>32</v>
      </c>
      <c r="B6836" s="37">
        <v>45931</v>
      </c>
      <c r="C6836" s="36" t="s">
        <v>3196</v>
      </c>
      <c r="D6836" s="36" t="s">
        <v>3199</v>
      </c>
      <c r="E6836" s="36" t="s">
        <v>1492</v>
      </c>
      <c r="G6836" s="87">
        <v>7433000</v>
      </c>
      <c r="H6836" s="87">
        <v>743300</v>
      </c>
      <c r="I6836" s="87">
        <v>8176300</v>
      </c>
      <c r="K6836" s="85">
        <v>2025</v>
      </c>
      <c r="L6836" s="85">
        <v>10</v>
      </c>
      <c r="N6836" s="1" t="s">
        <v>44</v>
      </c>
    </row>
    <row r="6837" spans="1:14">
      <c r="A6837" s="36" t="s">
        <v>32</v>
      </c>
      <c r="B6837" s="37">
        <v>45961</v>
      </c>
      <c r="C6837" s="36" t="s">
        <v>1396</v>
      </c>
      <c r="D6837" s="36" t="s">
        <v>3200</v>
      </c>
      <c r="E6837" s="36" t="s">
        <v>78</v>
      </c>
      <c r="G6837" s="87">
        <v>7370000</v>
      </c>
      <c r="H6837" s="87">
        <v>737000</v>
      </c>
      <c r="I6837" s="87">
        <v>8107000</v>
      </c>
      <c r="K6837" s="85">
        <v>2025</v>
      </c>
      <c r="L6837" s="85">
        <v>10</v>
      </c>
      <c r="N6837" s="1" t="s">
        <v>44</v>
      </c>
    </row>
    <row r="6838" spans="1:14">
      <c r="A6838" s="36" t="s">
        <v>32</v>
      </c>
      <c r="B6838" s="37">
        <v>45961</v>
      </c>
      <c r="C6838" s="36" t="s">
        <v>3212</v>
      </c>
      <c r="D6838" s="36" t="s">
        <v>3174</v>
      </c>
      <c r="E6838" s="36" t="s">
        <v>78</v>
      </c>
      <c r="G6838" s="87">
        <v>25923941</v>
      </c>
      <c r="H6838" s="87">
        <v>2592394.1</v>
      </c>
      <c r="I6838" s="87">
        <v>28516335.100000001</v>
      </c>
      <c r="K6838" s="85">
        <v>2025</v>
      </c>
      <c r="L6838" s="85">
        <v>10</v>
      </c>
      <c r="N6838" s="1" t="s">
        <v>44</v>
      </c>
    </row>
    <row r="6839" spans="1:14">
      <c r="A6839" s="36" t="s">
        <v>32</v>
      </c>
      <c r="B6839" s="37">
        <v>45961</v>
      </c>
      <c r="C6839" s="36" t="s">
        <v>654</v>
      </c>
      <c r="D6839" s="36" t="s">
        <v>3203</v>
      </c>
      <c r="E6839" s="36" t="s">
        <v>76</v>
      </c>
      <c r="G6839" s="87">
        <v>17750880</v>
      </c>
      <c r="H6839" s="87">
        <v>1775088</v>
      </c>
      <c r="I6839" s="87">
        <v>19525968</v>
      </c>
      <c r="K6839" s="85">
        <v>2025</v>
      </c>
      <c r="L6839" s="85">
        <v>10</v>
      </c>
      <c r="N6839" s="1" t="s">
        <v>44</v>
      </c>
    </row>
    <row r="6840" spans="1:14">
      <c r="A6840" s="36" t="s">
        <v>32</v>
      </c>
      <c r="B6840" s="37">
        <v>45961</v>
      </c>
      <c r="C6840" s="36" t="s">
        <v>654</v>
      </c>
      <c r="D6840" s="36" t="s">
        <v>3203</v>
      </c>
      <c r="E6840" s="36" t="s">
        <v>76</v>
      </c>
      <c r="G6840" s="87">
        <v>-16724880</v>
      </c>
      <c r="H6840" s="87">
        <v>-1672488</v>
      </c>
      <c r="I6840" s="87">
        <v>-18397368</v>
      </c>
      <c r="K6840" s="85">
        <v>2025</v>
      </c>
      <c r="L6840" s="85">
        <v>10</v>
      </c>
      <c r="N6840" s="1" t="s">
        <v>44</v>
      </c>
    </row>
    <row r="6841" spans="1:14">
      <c r="A6841" s="36" t="s">
        <v>32</v>
      </c>
      <c r="B6841" s="37">
        <v>45961</v>
      </c>
      <c r="C6841" s="36" t="s">
        <v>654</v>
      </c>
      <c r="D6841" s="36" t="s">
        <v>3064</v>
      </c>
      <c r="E6841" s="36" t="s">
        <v>76</v>
      </c>
      <c r="G6841" s="87">
        <v>28302180</v>
      </c>
      <c r="H6841" s="87">
        <v>2830218</v>
      </c>
      <c r="I6841" s="87">
        <v>31132398</v>
      </c>
      <c r="K6841" s="85">
        <v>2025</v>
      </c>
      <c r="L6841" s="85">
        <v>10</v>
      </c>
      <c r="N6841" s="1" t="s">
        <v>44</v>
      </c>
    </row>
    <row r="6842" spans="1:14">
      <c r="A6842" s="36" t="s">
        <v>32</v>
      </c>
      <c r="B6842" s="37">
        <v>45961</v>
      </c>
      <c r="C6842" s="36" t="s">
        <v>654</v>
      </c>
      <c r="D6842" s="36" t="s">
        <v>3203</v>
      </c>
      <c r="E6842" s="36" t="s">
        <v>76</v>
      </c>
      <c r="G6842" s="87">
        <v>16724880</v>
      </c>
      <c r="H6842" s="87">
        <v>1672488</v>
      </c>
      <c r="I6842" s="87">
        <v>18397368</v>
      </c>
      <c r="K6842" s="85">
        <v>2025</v>
      </c>
      <c r="L6842" s="85">
        <v>10</v>
      </c>
      <c r="N6842" s="1" t="s">
        <v>44</v>
      </c>
    </row>
    <row r="6843" spans="1:14">
      <c r="A6843" s="36" t="s">
        <v>32</v>
      </c>
      <c r="B6843" s="37">
        <v>45961</v>
      </c>
      <c r="C6843" s="36" t="s">
        <v>1179</v>
      </c>
      <c r="D6843" s="36" t="s">
        <v>3204</v>
      </c>
      <c r="E6843" s="36" t="s">
        <v>78</v>
      </c>
      <c r="G6843" s="87">
        <v>1071400</v>
      </c>
      <c r="H6843" s="87">
        <v>107140</v>
      </c>
      <c r="I6843" s="87">
        <v>1178540</v>
      </c>
      <c r="K6843" s="85">
        <v>2025</v>
      </c>
      <c r="L6843" s="85">
        <v>10</v>
      </c>
      <c r="N6843" s="1" t="s">
        <v>44</v>
      </c>
    </row>
    <row r="6844" spans="1:14">
      <c r="A6844" s="36" t="s">
        <v>32</v>
      </c>
      <c r="B6844" s="37">
        <v>45961</v>
      </c>
      <c r="C6844" s="36" t="s">
        <v>188</v>
      </c>
      <c r="D6844" s="36" t="s">
        <v>3147</v>
      </c>
      <c r="E6844" s="36" t="s">
        <v>78</v>
      </c>
      <c r="G6844" s="87">
        <v>8840000</v>
      </c>
      <c r="H6844" s="87">
        <v>884000</v>
      </c>
      <c r="I6844" s="87">
        <v>9724000</v>
      </c>
      <c r="K6844" s="85">
        <v>2025</v>
      </c>
      <c r="L6844" s="85">
        <v>10</v>
      </c>
      <c r="N6844" s="1" t="s">
        <v>44</v>
      </c>
    </row>
    <row r="6845" spans="1:14">
      <c r="A6845" s="36" t="s">
        <v>32</v>
      </c>
      <c r="B6845" s="37">
        <v>45961</v>
      </c>
      <c r="C6845" s="36" t="s">
        <v>3139</v>
      </c>
      <c r="D6845" s="36" t="s">
        <v>3158</v>
      </c>
      <c r="E6845" s="36" t="s">
        <v>76</v>
      </c>
      <c r="G6845" s="87">
        <v>7389000</v>
      </c>
      <c r="H6845" s="87">
        <v>738900</v>
      </c>
      <c r="I6845" s="87">
        <v>8127900</v>
      </c>
      <c r="K6845" s="85">
        <v>2025</v>
      </c>
      <c r="L6845" s="85">
        <v>10</v>
      </c>
      <c r="N6845" s="1" t="s">
        <v>44</v>
      </c>
    </row>
    <row r="6846" spans="1:14">
      <c r="A6846" s="36" t="s">
        <v>32</v>
      </c>
      <c r="B6846" s="37">
        <v>45961</v>
      </c>
      <c r="C6846" s="36" t="s">
        <v>2166</v>
      </c>
      <c r="D6846" s="36" t="s">
        <v>2836</v>
      </c>
      <c r="E6846" s="36" t="s">
        <v>78</v>
      </c>
      <c r="G6846" s="87">
        <v>17535920</v>
      </c>
      <c r="H6846" s="87">
        <v>1753592</v>
      </c>
      <c r="I6846" s="87">
        <v>19289512</v>
      </c>
      <c r="K6846" s="85">
        <v>2025</v>
      </c>
      <c r="L6846" s="85">
        <v>10</v>
      </c>
      <c r="N6846" s="1" t="s">
        <v>44</v>
      </c>
    </row>
    <row r="6847" spans="1:14">
      <c r="A6847" s="36" t="s">
        <v>32</v>
      </c>
      <c r="B6847" s="37">
        <v>45961</v>
      </c>
      <c r="C6847" s="36" t="s">
        <v>3135</v>
      </c>
      <c r="D6847" s="36" t="s">
        <v>3141</v>
      </c>
      <c r="E6847" s="36" t="s">
        <v>76</v>
      </c>
      <c r="G6847" s="87">
        <v>7315200</v>
      </c>
      <c r="H6847" s="87">
        <v>731520</v>
      </c>
      <c r="I6847" s="87">
        <v>8046720</v>
      </c>
      <c r="K6847" s="85">
        <v>2025</v>
      </c>
      <c r="L6847" s="85">
        <v>10</v>
      </c>
      <c r="N6847" s="1" t="s">
        <v>44</v>
      </c>
    </row>
    <row r="6848" spans="1:14">
      <c r="A6848" s="36" t="s">
        <v>32</v>
      </c>
      <c r="B6848" s="37">
        <v>45961</v>
      </c>
      <c r="C6848" s="36" t="s">
        <v>3137</v>
      </c>
      <c r="D6848" s="36" t="s">
        <v>3205</v>
      </c>
      <c r="E6848" s="36" t="s">
        <v>78</v>
      </c>
      <c r="G6848" s="87">
        <v>8775000</v>
      </c>
      <c r="H6848" s="87">
        <v>877500</v>
      </c>
      <c r="I6848" s="87">
        <v>9652500</v>
      </c>
      <c r="K6848" s="85">
        <v>2025</v>
      </c>
      <c r="L6848" s="85">
        <v>10</v>
      </c>
      <c r="N6848" s="1" t="s">
        <v>44</v>
      </c>
    </row>
    <row r="6849" spans="1:14">
      <c r="A6849" s="36" t="s">
        <v>32</v>
      </c>
      <c r="B6849" s="37">
        <v>45961</v>
      </c>
      <c r="C6849" s="36" t="s">
        <v>3195</v>
      </c>
      <c r="D6849" s="36" t="s">
        <v>3206</v>
      </c>
      <c r="E6849" s="36" t="s">
        <v>78</v>
      </c>
      <c r="G6849" s="87">
        <v>6862800</v>
      </c>
      <c r="H6849" s="87">
        <v>686280</v>
      </c>
      <c r="I6849" s="87">
        <v>7549080</v>
      </c>
      <c r="K6849" s="85">
        <v>2025</v>
      </c>
      <c r="L6849" s="85">
        <v>10</v>
      </c>
      <c r="N6849" s="1" t="s">
        <v>44</v>
      </c>
    </row>
    <row r="6850" spans="1:14">
      <c r="A6850" s="36" t="s">
        <v>32</v>
      </c>
      <c r="B6850" s="37">
        <v>45961</v>
      </c>
      <c r="C6850" s="36" t="s">
        <v>654</v>
      </c>
      <c r="D6850" s="36" t="s">
        <v>2588</v>
      </c>
      <c r="E6850" s="36" t="s">
        <v>76</v>
      </c>
      <c r="G6850" s="87">
        <v>12332560</v>
      </c>
      <c r="H6850" s="87">
        <v>1233256</v>
      </c>
      <c r="I6850" s="87">
        <v>13565816</v>
      </c>
      <c r="K6850" s="85">
        <v>2025</v>
      </c>
      <c r="L6850" s="85">
        <v>10</v>
      </c>
      <c r="N6850" s="1" t="s">
        <v>44</v>
      </c>
    </row>
    <row r="6851" spans="1:14">
      <c r="A6851" s="36" t="s">
        <v>32</v>
      </c>
      <c r="B6851" s="37">
        <v>45961</v>
      </c>
      <c r="C6851" s="36" t="s">
        <v>3213</v>
      </c>
      <c r="D6851" s="36" t="s">
        <v>3207</v>
      </c>
      <c r="E6851" s="36" t="s">
        <v>78</v>
      </c>
      <c r="G6851" s="87">
        <v>1440000</v>
      </c>
      <c r="H6851" s="87">
        <v>144000</v>
      </c>
      <c r="I6851" s="87">
        <v>1584000</v>
      </c>
      <c r="K6851" s="85">
        <v>2025</v>
      </c>
      <c r="L6851" s="85">
        <v>10</v>
      </c>
      <c r="N6851" s="1" t="s">
        <v>44</v>
      </c>
    </row>
    <row r="6852" spans="1:14">
      <c r="A6852" s="36" t="s">
        <v>32</v>
      </c>
      <c r="B6852" s="37">
        <v>45961</v>
      </c>
      <c r="C6852" s="36" t="s">
        <v>264</v>
      </c>
      <c r="D6852" s="36" t="s">
        <v>3070</v>
      </c>
      <c r="E6852" s="36" t="s">
        <v>76</v>
      </c>
      <c r="G6852" s="87">
        <v>14300000</v>
      </c>
      <c r="H6852" s="87">
        <v>1430000</v>
      </c>
      <c r="I6852" s="87">
        <v>15730000</v>
      </c>
      <c r="K6852" s="85">
        <v>2025</v>
      </c>
      <c r="L6852" s="85">
        <v>10</v>
      </c>
      <c r="N6852" s="1" t="s">
        <v>44</v>
      </c>
    </row>
    <row r="6853" spans="1:14">
      <c r="A6853" s="36" t="s">
        <v>32</v>
      </c>
      <c r="B6853" s="37">
        <v>45961</v>
      </c>
      <c r="C6853" s="36" t="s">
        <v>3211</v>
      </c>
      <c r="D6853" s="36" t="s">
        <v>3201</v>
      </c>
      <c r="E6853" s="36" t="s">
        <v>78</v>
      </c>
      <c r="G6853" s="87">
        <v>7671000</v>
      </c>
      <c r="H6853" s="87">
        <v>767100</v>
      </c>
      <c r="I6853" s="87">
        <v>8438100</v>
      </c>
      <c r="K6853" s="85">
        <v>2025</v>
      </c>
      <c r="L6853" s="85">
        <v>10</v>
      </c>
      <c r="N6853" s="1" t="s">
        <v>44</v>
      </c>
    </row>
    <row r="6854" spans="1:14">
      <c r="A6854" s="36" t="s">
        <v>32</v>
      </c>
      <c r="B6854" s="37">
        <v>45961</v>
      </c>
      <c r="C6854" s="36" t="s">
        <v>3197</v>
      </c>
      <c r="D6854" s="36" t="s">
        <v>2875</v>
      </c>
      <c r="E6854" s="36" t="s">
        <v>76</v>
      </c>
      <c r="G6854" s="87">
        <v>30000000</v>
      </c>
      <c r="H6854" s="87">
        <v>3000000</v>
      </c>
      <c r="I6854" s="87">
        <v>33000000</v>
      </c>
      <c r="K6854" s="85">
        <v>2025</v>
      </c>
      <c r="L6854" s="85">
        <v>10</v>
      </c>
      <c r="N6854" s="1" t="s">
        <v>44</v>
      </c>
    </row>
    <row r="6855" spans="1:14">
      <c r="A6855" s="36" t="s">
        <v>32</v>
      </c>
      <c r="B6855" s="37">
        <v>45961</v>
      </c>
      <c r="C6855" s="36" t="s">
        <v>3134</v>
      </c>
      <c r="D6855" s="36" t="s">
        <v>3140</v>
      </c>
      <c r="E6855" s="36" t="s">
        <v>78</v>
      </c>
      <c r="G6855" s="87">
        <v>6111250</v>
      </c>
      <c r="H6855" s="87">
        <v>611125</v>
      </c>
      <c r="I6855" s="87">
        <v>6722375</v>
      </c>
      <c r="K6855" s="85">
        <v>2025</v>
      </c>
      <c r="L6855" s="85">
        <v>10</v>
      </c>
      <c r="N6855" s="1" t="s">
        <v>44</v>
      </c>
    </row>
    <row r="6856" spans="1:14">
      <c r="A6856" s="36" t="s">
        <v>32</v>
      </c>
      <c r="B6856" s="37">
        <v>45961</v>
      </c>
      <c r="C6856" s="36" t="s">
        <v>2822</v>
      </c>
      <c r="D6856" s="36" t="s">
        <v>3019</v>
      </c>
      <c r="E6856" s="36" t="s">
        <v>78</v>
      </c>
      <c r="G6856" s="87">
        <v>7477500</v>
      </c>
      <c r="H6856" s="87">
        <v>747750</v>
      </c>
      <c r="I6856" s="87">
        <v>8225250</v>
      </c>
      <c r="K6856" s="85">
        <v>2025</v>
      </c>
      <c r="L6856" s="85">
        <v>10</v>
      </c>
      <c r="N6856" s="1" t="s">
        <v>44</v>
      </c>
    </row>
    <row r="6857" spans="1:14">
      <c r="A6857" s="36" t="s">
        <v>32</v>
      </c>
      <c r="B6857" s="37">
        <v>45961</v>
      </c>
      <c r="C6857" s="36" t="s">
        <v>1218</v>
      </c>
      <c r="D6857" s="36" t="s">
        <v>3208</v>
      </c>
      <c r="E6857" s="36" t="s">
        <v>78</v>
      </c>
      <c r="G6857" s="87">
        <v>1890000</v>
      </c>
      <c r="H6857" s="87">
        <v>189000</v>
      </c>
      <c r="I6857" s="87">
        <v>2079000</v>
      </c>
      <c r="K6857" s="85">
        <v>2025</v>
      </c>
      <c r="L6857" s="85">
        <v>10</v>
      </c>
      <c r="N6857" s="1" t="s">
        <v>44</v>
      </c>
    </row>
    <row r="6858" spans="1:14">
      <c r="A6858" s="36" t="s">
        <v>32</v>
      </c>
      <c r="B6858" s="37">
        <v>45961</v>
      </c>
      <c r="C6858" s="36" t="s">
        <v>1218</v>
      </c>
      <c r="D6858" s="36" t="s">
        <v>3202</v>
      </c>
      <c r="E6858" s="36" t="s">
        <v>76</v>
      </c>
      <c r="G6858" s="87">
        <v>2160000</v>
      </c>
      <c r="H6858" s="87">
        <v>216000</v>
      </c>
      <c r="I6858" s="87">
        <v>2376000</v>
      </c>
      <c r="K6858" s="85">
        <v>2025</v>
      </c>
      <c r="L6858" s="85">
        <v>10</v>
      </c>
      <c r="N6858" s="1" t="s">
        <v>44</v>
      </c>
    </row>
    <row r="6859" spans="1:14">
      <c r="A6859" s="36" t="s">
        <v>32</v>
      </c>
      <c r="B6859" s="37">
        <v>45961</v>
      </c>
      <c r="C6859" s="36" t="s">
        <v>3209</v>
      </c>
      <c r="D6859" s="36" t="s">
        <v>2832</v>
      </c>
      <c r="E6859" s="36" t="s">
        <v>76</v>
      </c>
      <c r="G6859" s="87">
        <v>76997000</v>
      </c>
      <c r="H6859" s="87">
        <v>7699700</v>
      </c>
      <c r="I6859" s="87">
        <v>84696700</v>
      </c>
      <c r="K6859" s="85">
        <v>2025</v>
      </c>
      <c r="L6859" s="85">
        <v>10</v>
      </c>
      <c r="N6859" s="1" t="s">
        <v>44</v>
      </c>
    </row>
    <row r="6860" spans="1:14">
      <c r="A6860" s="36" t="s">
        <v>32</v>
      </c>
      <c r="B6860" s="37">
        <v>45968</v>
      </c>
      <c r="C6860" s="36" t="s">
        <v>3196</v>
      </c>
      <c r="D6860" s="36" t="s">
        <v>3198</v>
      </c>
      <c r="E6860" s="36" t="s">
        <v>77</v>
      </c>
      <c r="J6860" s="87">
        <v>2944700</v>
      </c>
      <c r="K6860" s="85">
        <v>2025</v>
      </c>
      <c r="L6860" s="85">
        <v>10</v>
      </c>
      <c r="N6860" s="1" t="s">
        <v>44</v>
      </c>
    </row>
    <row r="6861" spans="1:14">
      <c r="A6861" s="36" t="s">
        <v>32</v>
      </c>
      <c r="B6861" s="37">
        <v>45968</v>
      </c>
      <c r="C6861" s="36" t="s">
        <v>3196</v>
      </c>
      <c r="D6861" s="36" t="s">
        <v>3199</v>
      </c>
      <c r="E6861" s="36" t="s">
        <v>77</v>
      </c>
      <c r="J6861" s="87">
        <v>8176300</v>
      </c>
      <c r="K6861" s="85">
        <v>2025</v>
      </c>
      <c r="L6861" s="85">
        <v>10</v>
      </c>
      <c r="N6861" s="1" t="s">
        <v>44</v>
      </c>
    </row>
    <row r="6862" spans="1:14">
      <c r="A6862" s="36" t="s">
        <v>33</v>
      </c>
      <c r="B6862" s="37">
        <v>45900</v>
      </c>
      <c r="C6862" s="36" t="s">
        <v>3060</v>
      </c>
      <c r="D6862" s="36" t="s">
        <v>3061</v>
      </c>
      <c r="E6862" s="36" t="s">
        <v>3214</v>
      </c>
      <c r="J6862" s="87">
        <v>125999.5</v>
      </c>
      <c r="K6862" s="85">
        <v>2025</v>
      </c>
      <c r="L6862" s="85">
        <v>8</v>
      </c>
      <c r="N6862" s="1" t="s">
        <v>44</v>
      </c>
    </row>
    <row r="6863" spans="1:14">
      <c r="A6863" s="36" t="s">
        <v>33</v>
      </c>
      <c r="B6863" s="37">
        <v>45930</v>
      </c>
      <c r="C6863" s="36" t="s">
        <v>3060</v>
      </c>
      <c r="D6863" s="36" t="s">
        <v>3061</v>
      </c>
      <c r="E6863" s="36" t="s">
        <v>3214</v>
      </c>
      <c r="J6863" s="87">
        <v>110579.7</v>
      </c>
      <c r="K6863" s="85">
        <v>2025</v>
      </c>
      <c r="L6863" s="85">
        <v>9</v>
      </c>
      <c r="N6863" s="1" t="s">
        <v>44</v>
      </c>
    </row>
    <row r="6864" spans="1:14">
      <c r="A6864" s="36" t="s">
        <v>33</v>
      </c>
      <c r="B6864" s="37">
        <v>45955</v>
      </c>
      <c r="C6864" s="36" t="s">
        <v>3060</v>
      </c>
      <c r="D6864" s="36" t="s">
        <v>3061</v>
      </c>
      <c r="E6864" s="36" t="s">
        <v>3214</v>
      </c>
      <c r="J6864" s="87">
        <v>55290</v>
      </c>
      <c r="K6864" s="85">
        <v>2025</v>
      </c>
      <c r="L6864" s="85">
        <v>10</v>
      </c>
      <c r="N6864" s="1" t="s">
        <v>44</v>
      </c>
    </row>
    <row r="6865" spans="1:14">
      <c r="A6865" s="36" t="s">
        <v>32</v>
      </c>
      <c r="B6865" s="37">
        <v>45972</v>
      </c>
      <c r="C6865" s="36" t="s">
        <v>3138</v>
      </c>
      <c r="D6865" s="36" t="s">
        <v>3071</v>
      </c>
      <c r="E6865" s="36" t="s">
        <v>3215</v>
      </c>
      <c r="J6865" s="87">
        <v>3895584</v>
      </c>
      <c r="K6865" s="85">
        <v>2025</v>
      </c>
      <c r="L6865" s="85">
        <v>8</v>
      </c>
      <c r="N6865" s="1" t="s">
        <v>44</v>
      </c>
    </row>
    <row r="6866" spans="1:14">
      <c r="A6866" s="36" t="s">
        <v>32</v>
      </c>
      <c r="B6866" s="37">
        <v>45971</v>
      </c>
      <c r="C6866" s="36" t="s">
        <v>2870</v>
      </c>
      <c r="D6866" s="36" t="s">
        <v>2882</v>
      </c>
      <c r="E6866" s="36" t="s">
        <v>3215</v>
      </c>
      <c r="J6866" s="87">
        <v>7700000</v>
      </c>
      <c r="K6866" s="85">
        <v>2025</v>
      </c>
      <c r="L6866" s="85">
        <v>9</v>
      </c>
      <c r="N6866" s="1" t="s">
        <v>44</v>
      </c>
    </row>
    <row r="6867" spans="1:14">
      <c r="A6867" s="36" t="s">
        <v>33</v>
      </c>
      <c r="B6867" s="37">
        <v>45976</v>
      </c>
      <c r="C6867" s="36" t="s">
        <v>2983</v>
      </c>
      <c r="D6867" s="36" t="s">
        <v>2996</v>
      </c>
      <c r="E6867" s="36" t="s">
        <v>3217</v>
      </c>
      <c r="G6867" s="87">
        <v>1190000</v>
      </c>
      <c r="H6867" s="87">
        <v>119000</v>
      </c>
      <c r="I6867" s="87">
        <v>1309000</v>
      </c>
      <c r="K6867" s="85">
        <v>2025</v>
      </c>
      <c r="L6867" s="85">
        <v>11</v>
      </c>
      <c r="N6867" s="1" t="s">
        <v>44</v>
      </c>
    </row>
    <row r="6868" spans="1:14">
      <c r="A6868" s="36" t="s">
        <v>32</v>
      </c>
      <c r="B6868" s="37">
        <v>45980</v>
      </c>
      <c r="C6868" s="36" t="s">
        <v>334</v>
      </c>
      <c r="D6868" s="36" t="s">
        <v>3068</v>
      </c>
      <c r="E6868" s="36" t="s">
        <v>3218</v>
      </c>
      <c r="J6868" s="87">
        <v>3300000</v>
      </c>
      <c r="K6868" s="85">
        <v>2025</v>
      </c>
      <c r="L6868" s="85">
        <v>9</v>
      </c>
      <c r="N6868" s="1" t="s">
        <v>44</v>
      </c>
    </row>
    <row r="6869" spans="1:14">
      <c r="A6869" s="36" t="s">
        <v>32</v>
      </c>
      <c r="B6869" s="37">
        <v>45980</v>
      </c>
      <c r="C6869" s="36" t="s">
        <v>334</v>
      </c>
      <c r="D6869" s="36" t="s">
        <v>3157</v>
      </c>
      <c r="E6869" s="36" t="s">
        <v>3219</v>
      </c>
      <c r="J6869" s="87">
        <v>4250730</v>
      </c>
      <c r="K6869" s="85">
        <v>2025</v>
      </c>
      <c r="L6869" s="85">
        <v>9</v>
      </c>
      <c r="N6869" s="1" t="s">
        <v>44</v>
      </c>
    </row>
    <row r="6870" spans="1:14">
      <c r="A6870" s="36" t="s">
        <v>33</v>
      </c>
      <c r="B6870" s="37">
        <v>45974</v>
      </c>
      <c r="C6870" s="36" t="s">
        <v>2985</v>
      </c>
      <c r="D6870" s="36" t="s">
        <v>2996</v>
      </c>
      <c r="E6870" s="36" t="s">
        <v>165</v>
      </c>
      <c r="G6870" s="87">
        <v>1600000</v>
      </c>
      <c r="H6870" s="87">
        <v>160000</v>
      </c>
      <c r="I6870" s="87">
        <v>1760000</v>
      </c>
      <c r="K6870" s="85">
        <v>2025</v>
      </c>
      <c r="L6870" s="85">
        <v>11</v>
      </c>
      <c r="N6870" s="1" t="s">
        <v>44</v>
      </c>
    </row>
  </sheetData>
  <sortState xmlns:xlrd2="http://schemas.microsoft.com/office/spreadsheetml/2017/richdata2" ref="A2:O4224">
    <sortCondition ref="B2:B4224"/>
    <sortCondition ref="C2:C4224"/>
    <sortCondition ref="L2:L4224"/>
  </sortState>
  <phoneticPr fontId="2" type="noConversion"/>
  <conditionalFormatting sqref="E3067">
    <cfRule type="expression" dxfId="33" priority="3">
      <formula>FIND("발행",$M3067,1)=1</formula>
    </cfRule>
    <cfRule type="expression" dxfId="32" priority="4">
      <formula>FIND("대기",$M3067,1)=1</formula>
    </cfRule>
  </conditionalFormatting>
  <conditionalFormatting sqref="E5890">
    <cfRule type="expression" dxfId="31" priority="1">
      <formula>FIND("대기",$O5890,1)=1</formula>
    </cfRule>
    <cfRule type="expression" dxfId="30" priority="2">
      <formula>FIND("발행",$O5890,1)=1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A4A12-E205-42FD-B7D8-13F9619D0F7A}">
  <sheetPr codeName="Sheet6">
    <tabColor rgb="FFFFFF00"/>
    <pageSetUpPr fitToPage="1"/>
  </sheetPr>
  <dimension ref="A1:Q118"/>
  <sheetViews>
    <sheetView showGridLines="0" showZeros="0" tabSelected="1" zoomScaleNormal="100" zoomScaleSheetLayoutView="100" workbookViewId="0">
      <pane ySplit="9" topLeftCell="A10" activePane="bottomLeft" state="frozen"/>
      <selection pane="bottomLeft" activeCell="C8" sqref="C8"/>
    </sheetView>
  </sheetViews>
  <sheetFormatPr defaultColWidth="9" defaultRowHeight="13.5"/>
  <cols>
    <col min="1" max="1" width="12.875" style="116" customWidth="1"/>
    <col min="2" max="2" width="17.875" style="120" customWidth="1"/>
    <col min="3" max="3" width="33.75" style="120" customWidth="1"/>
    <col min="4" max="4" width="14.625" style="114" customWidth="1"/>
    <col min="5" max="5" width="21.25" style="165" customWidth="1"/>
    <col min="6" max="6" width="20.25" style="165" customWidth="1"/>
    <col min="7" max="7" width="17.875" style="165" customWidth="1"/>
    <col min="8" max="8" width="10.875" style="160" customWidth="1"/>
    <col min="9" max="9" width="19.5" style="165" bestFit="1" customWidth="1"/>
    <col min="10" max="10" width="19.5" style="165" customWidth="1"/>
    <col min="11" max="11" width="16.375" style="157" customWidth="1"/>
    <col min="12" max="12" width="9" style="115"/>
    <col min="13" max="13" width="9" style="11"/>
    <col min="14" max="14" width="9.25" style="11" bestFit="1" customWidth="1"/>
    <col min="15" max="16384" width="9" style="11"/>
  </cols>
  <sheetData>
    <row r="1" spans="1:16" ht="27" customHeight="1" thickBot="1">
      <c r="A1" s="312" t="s">
        <v>2586</v>
      </c>
      <c r="B1" s="312"/>
      <c r="C1" s="312"/>
      <c r="D1" s="312"/>
      <c r="E1" s="312"/>
      <c r="F1" s="312"/>
      <c r="G1" s="312"/>
      <c r="H1" s="312"/>
      <c r="I1" s="312"/>
      <c r="J1" s="312"/>
      <c r="K1" s="312"/>
      <c r="L1" s="312"/>
    </row>
    <row r="2" spans="1:16" ht="17.25" customHeight="1" thickBot="1">
      <c r="A2" s="184" t="s">
        <v>89</v>
      </c>
      <c r="B2" s="185" t="s">
        <v>2585</v>
      </c>
      <c r="C2" s="311" t="s">
        <v>3223</v>
      </c>
    </row>
    <row r="3" spans="1:16" ht="17.25" customHeight="1">
      <c r="A3" s="108" t="s">
        <v>90</v>
      </c>
      <c r="B3" s="185">
        <v>1</v>
      </c>
      <c r="D3" s="196"/>
      <c r="M3" s="12"/>
      <c r="N3" s="12"/>
    </row>
    <row r="4" spans="1:16" ht="16.5">
      <c r="A4" s="109" t="s">
        <v>91</v>
      </c>
      <c r="B4" s="186">
        <v>12</v>
      </c>
      <c r="D4" s="206"/>
      <c r="E4" s="187"/>
      <c r="F4" s="11"/>
      <c r="G4" s="11"/>
      <c r="H4" s="11"/>
      <c r="I4" s="11"/>
      <c r="J4" s="11"/>
      <c r="K4" s="11"/>
      <c r="L4" s="11"/>
    </row>
    <row r="5" spans="1:16" ht="17.25" customHeight="1">
      <c r="A5" s="110" t="s">
        <v>39</v>
      </c>
      <c r="B5" s="49"/>
      <c r="C5" s="311" t="s">
        <v>3226</v>
      </c>
      <c r="D5" s="206"/>
      <c r="E5" s="207"/>
      <c r="F5" s="207"/>
      <c r="G5" s="207"/>
      <c r="H5" s="207"/>
      <c r="I5" s="11"/>
      <c r="J5" s="11"/>
      <c r="K5" s="11"/>
      <c r="L5" s="11"/>
    </row>
    <row r="6" spans="1:16" ht="17.25" customHeight="1">
      <c r="A6" s="110" t="s">
        <v>36</v>
      </c>
      <c r="B6" s="49" t="s">
        <v>24</v>
      </c>
      <c r="C6" s="311" t="s">
        <v>3222</v>
      </c>
      <c r="D6" s="199"/>
      <c r="E6" s="187"/>
      <c r="F6" s="11"/>
      <c r="G6" s="11"/>
      <c r="H6" s="11"/>
      <c r="I6" s="11"/>
      <c r="J6" s="11"/>
      <c r="K6" s="11"/>
      <c r="L6" s="11"/>
    </row>
    <row r="7" spans="1:16" ht="17.25" thickBot="1">
      <c r="A7" s="111" t="s">
        <v>10</v>
      </c>
      <c r="B7" s="50"/>
      <c r="C7" s="311" t="s">
        <v>3225</v>
      </c>
      <c r="D7" s="199"/>
      <c r="E7" s="187"/>
      <c r="F7" s="11"/>
      <c r="G7" s="11"/>
      <c r="H7" s="11"/>
      <c r="I7" s="11"/>
      <c r="J7" s="11"/>
      <c r="K7" s="11"/>
      <c r="L7" s="11"/>
    </row>
    <row r="8" spans="1:16" ht="17.25" customHeight="1">
      <c r="C8" s="311" t="s">
        <v>3227</v>
      </c>
      <c r="D8" s="197"/>
      <c r="E8" s="166"/>
      <c r="F8" s="166"/>
      <c r="G8" s="166"/>
      <c r="H8" s="161"/>
      <c r="I8" s="166"/>
      <c r="J8" s="166"/>
      <c r="M8" s="12"/>
      <c r="N8" s="12"/>
      <c r="O8" s="12"/>
      <c r="P8" s="12"/>
    </row>
    <row r="9" spans="1:16" ht="16.5">
      <c r="A9" s="154">
        <v>0</v>
      </c>
      <c r="B9" s="155" t="s">
        <v>25</v>
      </c>
      <c r="C9" s="155" t="s">
        <v>8</v>
      </c>
      <c r="D9" s="156" t="s">
        <v>1087</v>
      </c>
      <c r="E9" s="164" t="s">
        <v>3</v>
      </c>
      <c r="F9" s="164" t="s">
        <v>354</v>
      </c>
      <c r="G9" s="164" t="s">
        <v>16</v>
      </c>
      <c r="H9" s="159" t="s">
        <v>1088</v>
      </c>
      <c r="I9" s="164" t="s">
        <v>1089</v>
      </c>
      <c r="J9" s="164" t="s">
        <v>87</v>
      </c>
      <c r="K9" s="155" t="s">
        <v>5</v>
      </c>
      <c r="L9" s="155" t="s">
        <v>38</v>
      </c>
    </row>
    <row r="10" spans="1:16" s="12" customFormat="1" ht="17.25" customHeight="1">
      <c r="A10" s="285">
        <v>1</v>
      </c>
      <c r="B10" s="286" t="s">
        <v>1400</v>
      </c>
      <c r="C10" s="270" t="s">
        <v>1190</v>
      </c>
      <c r="D10" s="260">
        <v>45077</v>
      </c>
      <c r="E10" s="271">
        <v>4852600</v>
      </c>
      <c r="F10" s="261">
        <v>485260</v>
      </c>
      <c r="G10" s="261">
        <v>5337860</v>
      </c>
      <c r="H10" s="262"/>
      <c r="I10" s="261">
        <v>3000000</v>
      </c>
      <c r="J10" s="287">
        <v>2337860</v>
      </c>
      <c r="K10" s="288"/>
      <c r="L10" s="256" t="s">
        <v>44</v>
      </c>
    </row>
    <row r="11" spans="1:16" ht="17.25" customHeight="1">
      <c r="A11" s="285">
        <v>2</v>
      </c>
      <c r="B11" s="280" t="s">
        <v>1462</v>
      </c>
      <c r="C11" s="270" t="s">
        <v>1471</v>
      </c>
      <c r="D11" s="260">
        <v>45103</v>
      </c>
      <c r="E11" s="271">
        <v>22575150</v>
      </c>
      <c r="F11" s="261">
        <v>2257515</v>
      </c>
      <c r="G11" s="261">
        <v>24832665</v>
      </c>
      <c r="H11" s="262"/>
      <c r="I11" s="261">
        <v>20000000</v>
      </c>
      <c r="J11" s="261">
        <v>4832665</v>
      </c>
      <c r="K11" s="256"/>
      <c r="L11" s="256" t="s">
        <v>44</v>
      </c>
    </row>
    <row r="12" spans="1:16" ht="17.25" customHeight="1">
      <c r="A12" s="285">
        <v>3</v>
      </c>
      <c r="B12" s="280" t="s">
        <v>672</v>
      </c>
      <c r="C12" s="270" t="s">
        <v>1596</v>
      </c>
      <c r="D12" s="260">
        <v>45169</v>
      </c>
      <c r="E12" s="271">
        <v>14000000</v>
      </c>
      <c r="F12" s="261">
        <v>1400000</v>
      </c>
      <c r="G12" s="261">
        <v>15400000</v>
      </c>
      <c r="H12" s="262"/>
      <c r="I12" s="261">
        <v>4350000</v>
      </c>
      <c r="J12" s="261">
        <v>11050000</v>
      </c>
      <c r="K12" s="256"/>
      <c r="L12" s="256" t="s">
        <v>44</v>
      </c>
    </row>
    <row r="13" spans="1:16" ht="17.25" customHeight="1">
      <c r="A13" s="285">
        <v>4</v>
      </c>
      <c r="B13" s="280" t="s">
        <v>1790</v>
      </c>
      <c r="C13" s="270" t="s">
        <v>1792</v>
      </c>
      <c r="D13" s="260">
        <v>45260</v>
      </c>
      <c r="E13" s="271">
        <v>12476000</v>
      </c>
      <c r="F13" s="261">
        <v>1247600</v>
      </c>
      <c r="G13" s="261">
        <v>13723600</v>
      </c>
      <c r="H13" s="262"/>
      <c r="I13" s="261">
        <v>10000000</v>
      </c>
      <c r="J13" s="261">
        <v>3723600</v>
      </c>
      <c r="K13" s="256"/>
      <c r="L13" s="256" t="s">
        <v>44</v>
      </c>
    </row>
    <row r="14" spans="1:16" s="12" customFormat="1" ht="17.25" customHeight="1">
      <c r="A14" s="285">
        <v>5</v>
      </c>
      <c r="B14" s="280" t="s">
        <v>1531</v>
      </c>
      <c r="C14" s="270" t="s">
        <v>2187</v>
      </c>
      <c r="D14" s="260">
        <v>45351</v>
      </c>
      <c r="E14" s="271">
        <v>14875200</v>
      </c>
      <c r="F14" s="261">
        <v>1487520</v>
      </c>
      <c r="G14" s="261">
        <v>16362720</v>
      </c>
      <c r="H14" s="262"/>
      <c r="I14" s="261">
        <v>12181360</v>
      </c>
      <c r="J14" s="261">
        <v>4181360</v>
      </c>
      <c r="K14" s="256"/>
      <c r="L14" s="256" t="s">
        <v>44</v>
      </c>
    </row>
    <row r="15" spans="1:16" s="12" customFormat="1" ht="17.25" customHeight="1">
      <c r="A15" s="285">
        <v>6</v>
      </c>
      <c r="B15" s="112" t="s">
        <v>1531</v>
      </c>
      <c r="C15" s="113" t="s">
        <v>2187</v>
      </c>
      <c r="D15" s="114">
        <v>45412</v>
      </c>
      <c r="E15" s="168">
        <v>6211200</v>
      </c>
      <c r="F15" s="167">
        <v>621120</v>
      </c>
      <c r="G15" s="167">
        <v>6832320</v>
      </c>
      <c r="H15" s="143"/>
      <c r="I15" s="167">
        <v>0</v>
      </c>
      <c r="J15" s="167">
        <v>6832320</v>
      </c>
      <c r="K15" s="115"/>
      <c r="L15" s="115" t="s">
        <v>44</v>
      </c>
    </row>
    <row r="16" spans="1:16" s="12" customFormat="1" ht="17.25" customHeight="1">
      <c r="A16" s="285">
        <v>7</v>
      </c>
      <c r="B16" s="112" t="s">
        <v>1933</v>
      </c>
      <c r="C16" s="113" t="s">
        <v>2304</v>
      </c>
      <c r="D16" s="114">
        <v>45443</v>
      </c>
      <c r="E16" s="168">
        <v>18195000</v>
      </c>
      <c r="F16" s="168">
        <v>1819500</v>
      </c>
      <c r="G16" s="168">
        <v>20014500</v>
      </c>
      <c r="H16" s="262"/>
      <c r="I16" s="168">
        <v>10000000</v>
      </c>
      <c r="J16" s="168">
        <v>10014500</v>
      </c>
      <c r="K16" s="115"/>
      <c r="L16" s="115" t="s">
        <v>44</v>
      </c>
    </row>
    <row r="17" spans="1:17" s="12" customFormat="1" ht="17.25" customHeight="1">
      <c r="A17" s="285">
        <v>8</v>
      </c>
      <c r="B17" s="112" t="s">
        <v>1531</v>
      </c>
      <c r="C17" s="113" t="s">
        <v>2187</v>
      </c>
      <c r="D17" s="114">
        <v>45443</v>
      </c>
      <c r="E17" s="168">
        <v>7716000</v>
      </c>
      <c r="F17" s="167">
        <v>771600</v>
      </c>
      <c r="G17" s="167">
        <v>8487600</v>
      </c>
      <c r="H17" s="143"/>
      <c r="I17" s="167">
        <v>0</v>
      </c>
      <c r="J17" s="167">
        <v>8487600</v>
      </c>
      <c r="K17" s="115"/>
      <c r="L17" s="115" t="s">
        <v>44</v>
      </c>
    </row>
    <row r="18" spans="1:17" s="12" customFormat="1" ht="17.25" customHeight="1">
      <c r="A18" s="285">
        <v>9</v>
      </c>
      <c r="B18" s="112" t="s">
        <v>2170</v>
      </c>
      <c r="C18" s="113" t="s">
        <v>2184</v>
      </c>
      <c r="D18" s="114">
        <v>45443</v>
      </c>
      <c r="E18" s="168">
        <v>657600</v>
      </c>
      <c r="F18" s="167">
        <v>65760</v>
      </c>
      <c r="G18" s="167">
        <v>723360</v>
      </c>
      <c r="H18" s="143"/>
      <c r="I18" s="167">
        <v>0</v>
      </c>
      <c r="J18" s="167">
        <v>723360</v>
      </c>
      <c r="K18" s="115"/>
      <c r="L18" s="115" t="s">
        <v>44</v>
      </c>
    </row>
    <row r="19" spans="1:17" s="12" customFormat="1" ht="17.25" customHeight="1">
      <c r="A19" s="285">
        <v>10</v>
      </c>
      <c r="B19" s="145" t="s">
        <v>1933</v>
      </c>
      <c r="C19" s="113" t="s">
        <v>2304</v>
      </c>
      <c r="D19" s="114">
        <v>45473</v>
      </c>
      <c r="E19" s="168">
        <v>28282465</v>
      </c>
      <c r="F19" s="167">
        <v>2828246.5</v>
      </c>
      <c r="G19" s="167">
        <v>31110711.5</v>
      </c>
      <c r="H19" s="143"/>
      <c r="I19" s="167">
        <v>0</v>
      </c>
      <c r="J19" s="167">
        <v>31110711.5</v>
      </c>
      <c r="K19" s="115"/>
      <c r="L19" s="115" t="s">
        <v>44</v>
      </c>
    </row>
    <row r="20" spans="1:17" s="12" customFormat="1" ht="17.25" customHeight="1">
      <c r="A20" s="285">
        <v>11</v>
      </c>
      <c r="B20" s="112" t="s">
        <v>307</v>
      </c>
      <c r="C20" s="113" t="s">
        <v>1752</v>
      </c>
      <c r="D20" s="114">
        <v>45473</v>
      </c>
      <c r="E20" s="168">
        <v>7793500</v>
      </c>
      <c r="F20" s="167">
        <v>779350</v>
      </c>
      <c r="G20" s="167">
        <v>8572850</v>
      </c>
      <c r="H20" s="143"/>
      <c r="I20" s="167">
        <v>2000000</v>
      </c>
      <c r="J20" s="167">
        <v>6572850</v>
      </c>
      <c r="K20" s="115"/>
      <c r="L20" s="115" t="s">
        <v>44</v>
      </c>
    </row>
    <row r="21" spans="1:17" s="12" customFormat="1" ht="17.25" customHeight="1">
      <c r="A21" s="285">
        <v>12</v>
      </c>
      <c r="B21" s="112" t="s">
        <v>174</v>
      </c>
      <c r="C21" s="113" t="s">
        <v>2480</v>
      </c>
      <c r="D21" s="114">
        <v>45626</v>
      </c>
      <c r="E21" s="168">
        <v>25490000</v>
      </c>
      <c r="F21" s="167">
        <v>2549000</v>
      </c>
      <c r="G21" s="167">
        <v>28039000</v>
      </c>
      <c r="H21" s="143"/>
      <c r="I21" s="167">
        <v>10000000</v>
      </c>
      <c r="J21" s="167">
        <v>18039000</v>
      </c>
      <c r="K21" s="115"/>
      <c r="L21" s="115" t="s">
        <v>44</v>
      </c>
      <c r="Q21" s="28"/>
    </row>
    <row r="22" spans="1:17" s="12" customFormat="1" ht="17.25" customHeight="1">
      <c r="A22" s="285">
        <v>13</v>
      </c>
      <c r="B22" s="112" t="s">
        <v>334</v>
      </c>
      <c r="C22" s="113" t="s">
        <v>2490</v>
      </c>
      <c r="D22" s="114">
        <v>45657</v>
      </c>
      <c r="E22" s="168">
        <v>5000000</v>
      </c>
      <c r="F22" s="167">
        <v>500000</v>
      </c>
      <c r="G22" s="167">
        <v>5500000</v>
      </c>
      <c r="H22" s="143"/>
      <c r="I22" s="167">
        <v>0</v>
      </c>
      <c r="J22" s="167">
        <v>5500000</v>
      </c>
      <c r="K22" s="115"/>
      <c r="L22" s="115" t="s">
        <v>44</v>
      </c>
    </row>
    <row r="23" spans="1:17" s="12" customFormat="1" ht="17.25" customHeight="1">
      <c r="A23" s="285">
        <v>14</v>
      </c>
      <c r="B23" s="117" t="s">
        <v>2546</v>
      </c>
      <c r="C23" s="113" t="s">
        <v>2557</v>
      </c>
      <c r="D23" s="114">
        <v>45657</v>
      </c>
      <c r="E23" s="168">
        <v>8400000</v>
      </c>
      <c r="F23" s="167">
        <v>840000</v>
      </c>
      <c r="G23" s="167">
        <v>9240000</v>
      </c>
      <c r="H23" s="143"/>
      <c r="I23" s="167">
        <v>0</v>
      </c>
      <c r="J23" s="167">
        <v>9240000</v>
      </c>
      <c r="K23" s="115"/>
      <c r="L23" s="115" t="s">
        <v>44</v>
      </c>
    </row>
    <row r="24" spans="1:17" s="12" customFormat="1" ht="17.25" customHeight="1">
      <c r="A24" s="285">
        <v>15</v>
      </c>
      <c r="B24" s="112" t="s">
        <v>288</v>
      </c>
      <c r="C24" s="113" t="s">
        <v>1414</v>
      </c>
      <c r="D24" s="114">
        <v>45657</v>
      </c>
      <c r="E24" s="168">
        <v>17383900</v>
      </c>
      <c r="F24" s="167">
        <v>1738390</v>
      </c>
      <c r="G24" s="167">
        <v>19122290</v>
      </c>
      <c r="H24" s="143"/>
      <c r="I24" s="167">
        <v>15400000</v>
      </c>
      <c r="J24" s="167">
        <v>3722290</v>
      </c>
      <c r="K24" s="115"/>
      <c r="L24" s="115" t="s">
        <v>44</v>
      </c>
    </row>
    <row r="25" spans="1:17" s="12" customFormat="1" ht="17.25" customHeight="1">
      <c r="A25" s="285">
        <v>16</v>
      </c>
      <c r="B25" s="280" t="s">
        <v>188</v>
      </c>
      <c r="C25" s="270" t="s">
        <v>2578</v>
      </c>
      <c r="D25" s="260">
        <v>45663</v>
      </c>
      <c r="E25" s="271">
        <v>6500000</v>
      </c>
      <c r="F25" s="261">
        <v>650000</v>
      </c>
      <c r="G25" s="261">
        <v>7150000</v>
      </c>
      <c r="H25" s="262"/>
      <c r="I25" s="261">
        <v>0</v>
      </c>
      <c r="J25" s="261">
        <v>7150000</v>
      </c>
      <c r="K25" s="256"/>
      <c r="L25" s="256" t="s">
        <v>44</v>
      </c>
    </row>
    <row r="26" spans="1:17" s="12" customFormat="1" ht="17.25" customHeight="1">
      <c r="A26" s="285">
        <v>17</v>
      </c>
      <c r="B26" s="112" t="s">
        <v>307</v>
      </c>
      <c r="C26" s="113" t="s">
        <v>2641</v>
      </c>
      <c r="D26" s="114">
        <v>45688</v>
      </c>
      <c r="E26" s="168">
        <v>2520000</v>
      </c>
      <c r="F26" s="167">
        <v>252000</v>
      </c>
      <c r="G26" s="167">
        <v>2772000</v>
      </c>
      <c r="H26" s="143"/>
      <c r="I26" s="167">
        <v>0</v>
      </c>
      <c r="J26" s="167">
        <v>2772000</v>
      </c>
      <c r="K26" s="115"/>
      <c r="L26" s="115" t="s">
        <v>44</v>
      </c>
    </row>
    <row r="27" spans="1:17" s="12" customFormat="1" ht="17.25" customHeight="1">
      <c r="A27" s="285">
        <v>18</v>
      </c>
      <c r="B27" s="112" t="s">
        <v>2474</v>
      </c>
      <c r="C27" s="113" t="s">
        <v>2691</v>
      </c>
      <c r="D27" s="114">
        <v>45735</v>
      </c>
      <c r="E27" s="168">
        <v>1620000</v>
      </c>
      <c r="F27" s="168">
        <v>162000</v>
      </c>
      <c r="G27" s="168">
        <v>1782000</v>
      </c>
      <c r="H27" s="262"/>
      <c r="I27" s="168">
        <v>0</v>
      </c>
      <c r="J27" s="168">
        <v>1782000</v>
      </c>
      <c r="K27" s="115"/>
      <c r="L27" s="115" t="s">
        <v>44</v>
      </c>
    </row>
    <row r="28" spans="1:17" s="12" customFormat="1" ht="17.25" customHeight="1">
      <c r="A28" s="285">
        <v>19</v>
      </c>
      <c r="B28" s="112" t="s">
        <v>1462</v>
      </c>
      <c r="C28" s="113" t="s">
        <v>2962</v>
      </c>
      <c r="D28" s="114">
        <v>45747</v>
      </c>
      <c r="E28" s="168">
        <v>4117205</v>
      </c>
      <c r="F28" s="167">
        <v>411720.5</v>
      </c>
      <c r="G28" s="167">
        <v>4528925.5</v>
      </c>
      <c r="H28" s="143"/>
      <c r="I28" s="167">
        <v>912478</v>
      </c>
      <c r="J28" s="167">
        <v>3616447.5</v>
      </c>
      <c r="K28" s="115"/>
      <c r="L28" s="115" t="s">
        <v>44</v>
      </c>
    </row>
    <row r="29" spans="1:17" s="12" customFormat="1" ht="17.25" customHeight="1">
      <c r="A29" s="285">
        <v>20</v>
      </c>
      <c r="B29" s="112" t="s">
        <v>2823</v>
      </c>
      <c r="C29" s="113" t="s">
        <v>2830</v>
      </c>
      <c r="D29" s="114">
        <v>45777</v>
      </c>
      <c r="E29" s="168">
        <v>1600000</v>
      </c>
      <c r="F29" s="167">
        <v>160000</v>
      </c>
      <c r="G29" s="167">
        <v>1760000</v>
      </c>
      <c r="H29" s="143"/>
      <c r="I29" s="167">
        <v>0</v>
      </c>
      <c r="J29" s="167">
        <v>1760000</v>
      </c>
      <c r="K29" s="115"/>
      <c r="L29" s="115" t="s">
        <v>44</v>
      </c>
    </row>
    <row r="30" spans="1:17" s="12" customFormat="1" ht="17.25" customHeight="1">
      <c r="A30" s="285">
        <v>21</v>
      </c>
      <c r="B30" s="145" t="s">
        <v>1462</v>
      </c>
      <c r="C30" s="113" t="s">
        <v>2962</v>
      </c>
      <c r="D30" s="114">
        <v>45777</v>
      </c>
      <c r="E30" s="168">
        <v>9094762</v>
      </c>
      <c r="F30" s="167">
        <v>909476.20000000007</v>
      </c>
      <c r="G30" s="167">
        <v>10004238.200000001</v>
      </c>
      <c r="H30" s="143"/>
      <c r="I30" s="167">
        <v>0</v>
      </c>
      <c r="J30" s="167">
        <v>10004238.200000001</v>
      </c>
      <c r="K30" s="115"/>
      <c r="L30" s="115" t="s">
        <v>44</v>
      </c>
    </row>
    <row r="31" spans="1:17" s="12" customFormat="1" ht="17.25" customHeight="1">
      <c r="A31" s="285">
        <v>22</v>
      </c>
      <c r="B31" s="112" t="s">
        <v>1198</v>
      </c>
      <c r="C31" s="113" t="s">
        <v>2888</v>
      </c>
      <c r="D31" s="114">
        <v>45808</v>
      </c>
      <c r="E31" s="168">
        <v>6044000</v>
      </c>
      <c r="F31" s="167">
        <v>604400</v>
      </c>
      <c r="G31" s="167">
        <v>6648400</v>
      </c>
      <c r="H31" s="143"/>
      <c r="I31" s="167">
        <v>0</v>
      </c>
      <c r="J31" s="167">
        <v>6648400</v>
      </c>
      <c r="K31" s="115"/>
      <c r="L31" s="115" t="s">
        <v>44</v>
      </c>
    </row>
    <row r="32" spans="1:17" ht="17.25" customHeight="1">
      <c r="A32" s="285">
        <v>23</v>
      </c>
      <c r="B32" s="112" t="s">
        <v>2766</v>
      </c>
      <c r="C32" s="113" t="s">
        <v>2890</v>
      </c>
      <c r="D32" s="114">
        <v>45808</v>
      </c>
      <c r="E32" s="168">
        <v>2400000</v>
      </c>
      <c r="F32" s="167">
        <v>240000</v>
      </c>
      <c r="G32" s="167">
        <v>2640000</v>
      </c>
      <c r="H32" s="143"/>
      <c r="I32" s="167">
        <v>0</v>
      </c>
      <c r="J32" s="167">
        <v>2640000</v>
      </c>
      <c r="K32" s="115"/>
      <c r="L32" s="115" t="s">
        <v>44</v>
      </c>
    </row>
    <row r="33" spans="1:12" ht="17.25" customHeight="1">
      <c r="A33" s="285">
        <v>24</v>
      </c>
      <c r="B33" s="112" t="s">
        <v>188</v>
      </c>
      <c r="C33" s="113" t="s">
        <v>2937</v>
      </c>
      <c r="D33" s="114">
        <v>45838</v>
      </c>
      <c r="E33" s="168">
        <v>13126701</v>
      </c>
      <c r="F33" s="167">
        <v>1312670.1000000001</v>
      </c>
      <c r="G33" s="167">
        <v>14439371.1</v>
      </c>
      <c r="H33" s="143"/>
      <c r="I33" s="167">
        <v>0</v>
      </c>
      <c r="J33" s="167">
        <v>14439371.1</v>
      </c>
      <c r="K33" s="115"/>
      <c r="L33" s="115" t="s">
        <v>44</v>
      </c>
    </row>
    <row r="34" spans="1:12" ht="17.25" customHeight="1">
      <c r="A34" s="285">
        <v>25</v>
      </c>
      <c r="B34" s="117" t="s">
        <v>2545</v>
      </c>
      <c r="C34" s="113" t="s">
        <v>3007</v>
      </c>
      <c r="D34" s="114">
        <v>45853</v>
      </c>
      <c r="E34" s="168">
        <v>5000000</v>
      </c>
      <c r="F34" s="167">
        <v>500000</v>
      </c>
      <c r="G34" s="167">
        <v>5500000</v>
      </c>
      <c r="H34" s="143"/>
      <c r="I34" s="167">
        <v>0</v>
      </c>
      <c r="J34" s="167">
        <v>5500000</v>
      </c>
      <c r="K34" s="115"/>
      <c r="L34" s="115" t="s">
        <v>44</v>
      </c>
    </row>
    <row r="35" spans="1:12" ht="17.25" customHeight="1">
      <c r="A35" s="285">
        <v>26</v>
      </c>
      <c r="B35" s="112" t="s">
        <v>3002</v>
      </c>
      <c r="C35" s="113" t="s">
        <v>3016</v>
      </c>
      <c r="D35" s="114">
        <v>45869</v>
      </c>
      <c r="E35" s="168">
        <v>10540000</v>
      </c>
      <c r="F35" s="167">
        <v>1054000</v>
      </c>
      <c r="G35" s="167">
        <v>11594000</v>
      </c>
      <c r="H35" s="143"/>
      <c r="I35" s="167">
        <v>0</v>
      </c>
      <c r="J35" s="167">
        <v>11594000</v>
      </c>
      <c r="K35" s="115"/>
      <c r="L35" s="115" t="s">
        <v>44</v>
      </c>
    </row>
    <row r="36" spans="1:12" ht="17.25" customHeight="1">
      <c r="A36" s="285">
        <v>27</v>
      </c>
      <c r="B36" s="112" t="s">
        <v>1198</v>
      </c>
      <c r="C36" s="113" t="s">
        <v>2889</v>
      </c>
      <c r="D36" s="114">
        <v>45869</v>
      </c>
      <c r="E36" s="168">
        <v>882000</v>
      </c>
      <c r="F36" s="167">
        <v>88200</v>
      </c>
      <c r="G36" s="167">
        <v>970200</v>
      </c>
      <c r="H36" s="143"/>
      <c r="I36" s="167">
        <v>0</v>
      </c>
      <c r="J36" s="167">
        <v>970200</v>
      </c>
      <c r="K36" s="115"/>
      <c r="L36" s="115" t="s">
        <v>44</v>
      </c>
    </row>
    <row r="37" spans="1:12" ht="17.25" customHeight="1">
      <c r="A37" s="285">
        <v>28</v>
      </c>
      <c r="B37" s="112" t="s">
        <v>654</v>
      </c>
      <c r="C37" s="113" t="s">
        <v>2541</v>
      </c>
      <c r="D37" s="114">
        <v>45900</v>
      </c>
      <c r="E37" s="168">
        <v>12313000</v>
      </c>
      <c r="F37" s="167">
        <v>1231300</v>
      </c>
      <c r="G37" s="167">
        <v>13544300</v>
      </c>
      <c r="H37" s="143"/>
      <c r="I37" s="167">
        <v>9884728</v>
      </c>
      <c r="J37" s="167">
        <v>3659572</v>
      </c>
      <c r="K37" s="115"/>
      <c r="L37" s="115" t="s">
        <v>44</v>
      </c>
    </row>
    <row r="38" spans="1:12" ht="17.25" customHeight="1">
      <c r="A38" s="285">
        <v>29</v>
      </c>
      <c r="B38" s="112" t="s">
        <v>2868</v>
      </c>
      <c r="C38" s="113" t="s">
        <v>2875</v>
      </c>
      <c r="D38" s="114">
        <v>45901</v>
      </c>
      <c r="E38" s="168">
        <v>65000000</v>
      </c>
      <c r="F38" s="167">
        <v>6500000</v>
      </c>
      <c r="G38" s="167">
        <v>71500000</v>
      </c>
      <c r="H38" s="143"/>
      <c r="I38" s="167">
        <v>9900000</v>
      </c>
      <c r="J38" s="167">
        <v>61600000</v>
      </c>
      <c r="K38" s="115"/>
      <c r="L38" s="115" t="s">
        <v>44</v>
      </c>
    </row>
    <row r="39" spans="1:12" ht="17.25" customHeight="1">
      <c r="A39" s="285">
        <v>30</v>
      </c>
      <c r="B39" s="112" t="s">
        <v>334</v>
      </c>
      <c r="C39" s="113" t="s">
        <v>2490</v>
      </c>
      <c r="D39" s="114">
        <v>45930</v>
      </c>
      <c r="E39" s="168">
        <v>5000000</v>
      </c>
      <c r="F39" s="167">
        <v>500000</v>
      </c>
      <c r="G39" s="167">
        <v>5500000</v>
      </c>
      <c r="H39" s="143"/>
      <c r="I39" s="167">
        <v>0</v>
      </c>
      <c r="J39" s="167">
        <v>5500000</v>
      </c>
      <c r="K39" s="115"/>
      <c r="L39" s="115" t="s">
        <v>44</v>
      </c>
    </row>
    <row r="40" spans="1:12" ht="17.25" customHeight="1">
      <c r="A40" s="285">
        <v>31</v>
      </c>
      <c r="B40" s="112" t="s">
        <v>654</v>
      </c>
      <c r="C40" s="113" t="s">
        <v>3064</v>
      </c>
      <c r="D40" s="114">
        <v>45930</v>
      </c>
      <c r="E40" s="168">
        <v>11942120</v>
      </c>
      <c r="F40" s="167">
        <v>1194212</v>
      </c>
      <c r="G40" s="167">
        <v>13136332</v>
      </c>
      <c r="H40" s="143"/>
      <c r="I40" s="167">
        <v>0</v>
      </c>
      <c r="J40" s="167">
        <v>13136332</v>
      </c>
      <c r="K40" s="115"/>
      <c r="L40" s="115" t="s">
        <v>44</v>
      </c>
    </row>
    <row r="41" spans="1:12" ht="17.25" customHeight="1">
      <c r="A41" s="285">
        <v>32</v>
      </c>
      <c r="B41" s="117" t="s">
        <v>654</v>
      </c>
      <c r="C41" s="113" t="s">
        <v>3216</v>
      </c>
      <c r="D41" s="114">
        <v>45930</v>
      </c>
      <c r="E41" s="168">
        <v>26752800</v>
      </c>
      <c r="F41" s="167">
        <v>2675280</v>
      </c>
      <c r="G41" s="167">
        <v>29428080</v>
      </c>
      <c r="H41" s="143"/>
      <c r="I41" s="167">
        <v>0</v>
      </c>
      <c r="J41" s="167">
        <v>29428080</v>
      </c>
      <c r="K41" s="115"/>
      <c r="L41" s="115" t="s">
        <v>44</v>
      </c>
    </row>
    <row r="42" spans="1:12" ht="17.25" customHeight="1">
      <c r="A42" s="285">
        <v>33</v>
      </c>
      <c r="B42" s="117" t="s">
        <v>654</v>
      </c>
      <c r="C42" s="113" t="s">
        <v>2541</v>
      </c>
      <c r="D42" s="114">
        <v>45930</v>
      </c>
      <c r="E42" s="168">
        <v>5000000</v>
      </c>
      <c r="F42" s="167">
        <v>500000</v>
      </c>
      <c r="G42" s="167">
        <v>5500000</v>
      </c>
      <c r="H42" s="143"/>
      <c r="I42" s="167">
        <v>0</v>
      </c>
      <c r="J42" s="167">
        <v>5500000</v>
      </c>
      <c r="K42" s="118"/>
      <c r="L42" s="115" t="s">
        <v>44</v>
      </c>
    </row>
    <row r="43" spans="1:12" ht="17.25" customHeight="1">
      <c r="A43" s="285">
        <v>34</v>
      </c>
      <c r="B43" s="119" t="s">
        <v>188</v>
      </c>
      <c r="C43" s="113" t="s">
        <v>3147</v>
      </c>
      <c r="D43" s="114">
        <v>45930</v>
      </c>
      <c r="E43" s="168">
        <v>11182600</v>
      </c>
      <c r="F43" s="167">
        <v>1118260</v>
      </c>
      <c r="G43" s="167">
        <v>12300860</v>
      </c>
      <c r="H43" s="143"/>
      <c r="I43" s="167">
        <v>0</v>
      </c>
      <c r="J43" s="167">
        <v>12300860</v>
      </c>
      <c r="K43" s="118"/>
      <c r="L43" s="115" t="s">
        <v>44</v>
      </c>
    </row>
    <row r="44" spans="1:12" ht="17.25" customHeight="1">
      <c r="A44" s="285">
        <v>35</v>
      </c>
      <c r="B44" s="120" t="s">
        <v>2166</v>
      </c>
      <c r="C44" s="113" t="s">
        <v>3150</v>
      </c>
      <c r="D44" s="114">
        <v>45930</v>
      </c>
      <c r="E44" s="168">
        <v>11070520</v>
      </c>
      <c r="F44" s="167">
        <v>1107052</v>
      </c>
      <c r="G44" s="167">
        <v>12177572</v>
      </c>
      <c r="H44" s="143"/>
      <c r="I44" s="167">
        <v>0</v>
      </c>
      <c r="J44" s="167">
        <v>12177572</v>
      </c>
      <c r="K44" s="118"/>
      <c r="L44" s="115" t="s">
        <v>44</v>
      </c>
    </row>
    <row r="45" spans="1:12" ht="17.25" customHeight="1">
      <c r="A45" s="285">
        <v>36</v>
      </c>
      <c r="B45" s="113" t="s">
        <v>1396</v>
      </c>
      <c r="C45" s="113" t="s">
        <v>3151</v>
      </c>
      <c r="D45" s="114">
        <v>45930</v>
      </c>
      <c r="E45" s="168">
        <v>2215800</v>
      </c>
      <c r="F45" s="167">
        <v>221580</v>
      </c>
      <c r="G45" s="167">
        <v>2437380</v>
      </c>
      <c r="H45" s="143"/>
      <c r="I45" s="167">
        <v>0</v>
      </c>
      <c r="J45" s="301">
        <v>2437380</v>
      </c>
      <c r="K45" s="158"/>
      <c r="L45" s="115" t="s">
        <v>44</v>
      </c>
    </row>
    <row r="46" spans="1:12" ht="17.25" customHeight="1">
      <c r="A46" s="285">
        <v>37</v>
      </c>
      <c r="B46" s="113" t="s">
        <v>1396</v>
      </c>
      <c r="C46" s="113" t="s">
        <v>3152</v>
      </c>
      <c r="D46" s="114">
        <v>45930</v>
      </c>
      <c r="E46" s="168">
        <v>2210000</v>
      </c>
      <c r="F46" s="167">
        <v>221000</v>
      </c>
      <c r="G46" s="167">
        <v>2431000</v>
      </c>
      <c r="H46" s="143"/>
      <c r="I46" s="167">
        <v>0</v>
      </c>
      <c r="J46" s="167">
        <v>2431000</v>
      </c>
      <c r="K46" s="189"/>
      <c r="L46" s="115" t="s">
        <v>44</v>
      </c>
    </row>
    <row r="47" spans="1:12" ht="17.25" customHeight="1">
      <c r="A47" s="285">
        <v>38</v>
      </c>
      <c r="B47" s="120" t="s">
        <v>1396</v>
      </c>
      <c r="C47" s="120" t="s">
        <v>3153</v>
      </c>
      <c r="D47" s="114">
        <v>45930</v>
      </c>
      <c r="E47" s="190">
        <v>1730000</v>
      </c>
      <c r="F47" s="190">
        <v>173000</v>
      </c>
      <c r="G47" s="190">
        <v>1903000</v>
      </c>
      <c r="H47" s="191"/>
      <c r="I47" s="190">
        <v>0</v>
      </c>
      <c r="J47" s="190">
        <v>1903000</v>
      </c>
      <c r="L47" s="115" t="s">
        <v>44</v>
      </c>
    </row>
    <row r="48" spans="1:12" ht="17.25" customHeight="1">
      <c r="A48" s="285">
        <v>39</v>
      </c>
      <c r="B48" s="120" t="s">
        <v>1396</v>
      </c>
      <c r="C48" s="120" t="s">
        <v>3154</v>
      </c>
      <c r="D48" s="114">
        <v>45930</v>
      </c>
      <c r="E48" s="190">
        <v>6180000</v>
      </c>
      <c r="F48" s="190">
        <v>618000</v>
      </c>
      <c r="G48" s="190">
        <v>6798000</v>
      </c>
      <c r="H48" s="191"/>
      <c r="I48" s="190">
        <v>0</v>
      </c>
      <c r="J48" s="190">
        <v>6798000</v>
      </c>
      <c r="L48" s="115" t="s">
        <v>44</v>
      </c>
    </row>
    <row r="49" spans="1:12" ht="17.25" customHeight="1">
      <c r="A49" s="285">
        <v>40</v>
      </c>
      <c r="B49" s="120" t="s">
        <v>334</v>
      </c>
      <c r="C49" s="189" t="s">
        <v>3068</v>
      </c>
      <c r="D49" s="114">
        <v>45930</v>
      </c>
      <c r="E49" s="190">
        <v>3000000</v>
      </c>
      <c r="F49" s="190">
        <v>300000</v>
      </c>
      <c r="G49" s="190">
        <v>3300000</v>
      </c>
      <c r="H49" s="191"/>
      <c r="I49" s="190">
        <v>0</v>
      </c>
      <c r="J49" s="190">
        <v>3300000</v>
      </c>
      <c r="L49" s="115" t="s">
        <v>44</v>
      </c>
    </row>
    <row r="50" spans="1:12" ht="17.25" customHeight="1">
      <c r="A50" s="285">
        <v>41</v>
      </c>
      <c r="B50" s="120" t="s">
        <v>334</v>
      </c>
      <c r="C50" s="120" t="s">
        <v>3157</v>
      </c>
      <c r="D50" s="114">
        <v>45930</v>
      </c>
      <c r="E50" s="190">
        <v>3864300</v>
      </c>
      <c r="F50" s="190">
        <v>386430</v>
      </c>
      <c r="G50" s="190">
        <v>4250730</v>
      </c>
      <c r="H50" s="191"/>
      <c r="I50" s="190">
        <v>0</v>
      </c>
      <c r="J50" s="190">
        <v>4250730</v>
      </c>
      <c r="L50" s="115" t="s">
        <v>44</v>
      </c>
    </row>
    <row r="51" spans="1:12" ht="17.25" customHeight="1">
      <c r="A51" s="285">
        <v>42</v>
      </c>
      <c r="B51" s="120" t="s">
        <v>1198</v>
      </c>
      <c r="C51" s="120" t="s">
        <v>2887</v>
      </c>
      <c r="D51" s="114">
        <v>45930</v>
      </c>
      <c r="E51" s="167">
        <v>3035600</v>
      </c>
      <c r="F51" s="167">
        <v>303560</v>
      </c>
      <c r="G51" s="167">
        <v>3339160</v>
      </c>
      <c r="H51" s="143"/>
      <c r="I51" s="167">
        <v>0</v>
      </c>
      <c r="J51" s="167">
        <v>3339160</v>
      </c>
      <c r="L51" s="115" t="s">
        <v>44</v>
      </c>
    </row>
    <row r="52" spans="1:12" ht="17.25" customHeight="1">
      <c r="A52" s="300">
        <v>43</v>
      </c>
      <c r="B52" s="120" t="s">
        <v>1198</v>
      </c>
      <c r="C52" s="120" t="s">
        <v>2955</v>
      </c>
      <c r="D52" s="114">
        <v>45930</v>
      </c>
      <c r="E52" s="167">
        <v>4616700</v>
      </c>
      <c r="F52" s="167">
        <v>461670</v>
      </c>
      <c r="G52" s="167">
        <v>5078370</v>
      </c>
      <c r="H52" s="143"/>
      <c r="I52" s="167">
        <v>0</v>
      </c>
      <c r="J52" s="167">
        <v>5078370</v>
      </c>
      <c r="L52" s="115" t="s">
        <v>44</v>
      </c>
    </row>
    <row r="53" spans="1:12" ht="17.25" customHeight="1">
      <c r="A53" s="285">
        <v>44</v>
      </c>
      <c r="B53" s="259" t="s">
        <v>3138</v>
      </c>
      <c r="C53" s="259" t="s">
        <v>3071</v>
      </c>
      <c r="D53" s="260">
        <v>45930</v>
      </c>
      <c r="E53" s="261">
        <v>2360960</v>
      </c>
      <c r="F53" s="261">
        <v>236096</v>
      </c>
      <c r="G53" s="261">
        <v>2597056</v>
      </c>
      <c r="H53" s="262"/>
      <c r="I53" s="261">
        <v>0</v>
      </c>
      <c r="J53" s="261">
        <v>2597056</v>
      </c>
      <c r="K53" s="263"/>
      <c r="L53" s="256" t="s">
        <v>44</v>
      </c>
    </row>
    <row r="54" spans="1:12" ht="17.25" customHeight="1">
      <c r="A54" s="285">
        <v>45</v>
      </c>
      <c r="B54" s="259" t="s">
        <v>3139</v>
      </c>
      <c r="C54" s="270" t="s">
        <v>3158</v>
      </c>
      <c r="D54" s="260">
        <v>45930</v>
      </c>
      <c r="E54" s="261">
        <v>5131900</v>
      </c>
      <c r="F54" s="261">
        <v>513190</v>
      </c>
      <c r="G54" s="261">
        <v>5645090</v>
      </c>
      <c r="H54" s="262"/>
      <c r="I54" s="261">
        <v>0</v>
      </c>
      <c r="J54" s="261">
        <v>5645090</v>
      </c>
      <c r="K54" s="263"/>
      <c r="L54" s="256" t="s">
        <v>44</v>
      </c>
    </row>
    <row r="55" spans="1:12" ht="17.25" customHeight="1">
      <c r="A55" s="285">
        <v>46</v>
      </c>
      <c r="B55" s="259" t="s">
        <v>3005</v>
      </c>
      <c r="C55" s="259" t="s">
        <v>3014</v>
      </c>
      <c r="D55" s="260">
        <v>45930</v>
      </c>
      <c r="E55" s="261">
        <v>1298000</v>
      </c>
      <c r="F55" s="261">
        <v>129800</v>
      </c>
      <c r="G55" s="261">
        <v>1427800</v>
      </c>
      <c r="H55" s="262"/>
      <c r="I55" s="261">
        <v>0</v>
      </c>
      <c r="J55" s="261">
        <v>1427800</v>
      </c>
      <c r="K55" s="263"/>
      <c r="L55" s="256" t="s">
        <v>44</v>
      </c>
    </row>
    <row r="56" spans="1:12" ht="17.25" customHeight="1">
      <c r="A56" s="285">
        <v>47</v>
      </c>
      <c r="B56" s="259" t="s">
        <v>1179</v>
      </c>
      <c r="C56" s="259" t="s">
        <v>3159</v>
      </c>
      <c r="D56" s="260">
        <v>45930</v>
      </c>
      <c r="E56" s="289">
        <v>19563000</v>
      </c>
      <c r="F56" s="289">
        <v>1956300</v>
      </c>
      <c r="G56" s="289">
        <v>21519300</v>
      </c>
      <c r="H56" s="290"/>
      <c r="I56" s="289">
        <v>0</v>
      </c>
      <c r="J56" s="261">
        <v>21519300</v>
      </c>
      <c r="K56" s="263"/>
      <c r="L56" s="256" t="s">
        <v>44</v>
      </c>
    </row>
    <row r="57" spans="1:12" ht="17.25" customHeight="1">
      <c r="A57" s="285">
        <v>48</v>
      </c>
      <c r="B57" s="259" t="s">
        <v>1396</v>
      </c>
      <c r="C57" s="259" t="s">
        <v>3200</v>
      </c>
      <c r="D57" s="260">
        <v>45961</v>
      </c>
      <c r="E57" s="289">
        <v>7370000</v>
      </c>
      <c r="F57" s="289">
        <v>737000</v>
      </c>
      <c r="G57" s="289">
        <v>8107000</v>
      </c>
      <c r="H57" s="290"/>
      <c r="I57" s="289">
        <v>0</v>
      </c>
      <c r="J57" s="289">
        <v>8107000</v>
      </c>
      <c r="K57" s="263"/>
      <c r="L57" s="256" t="s">
        <v>44</v>
      </c>
    </row>
    <row r="58" spans="1:12" ht="17.25" customHeight="1">
      <c r="A58" s="285">
        <v>49</v>
      </c>
      <c r="B58" s="259" t="s">
        <v>3212</v>
      </c>
      <c r="C58" s="259" t="s">
        <v>3174</v>
      </c>
      <c r="D58" s="260">
        <v>45961</v>
      </c>
      <c r="E58" s="289">
        <v>25923941</v>
      </c>
      <c r="F58" s="289">
        <v>2592394.1</v>
      </c>
      <c r="G58" s="289">
        <v>28516335.100000001</v>
      </c>
      <c r="H58" s="290"/>
      <c r="I58" s="289">
        <v>0</v>
      </c>
      <c r="J58" s="289">
        <v>28516335.100000001</v>
      </c>
      <c r="K58" s="263"/>
      <c r="L58" s="256" t="s">
        <v>44</v>
      </c>
    </row>
    <row r="59" spans="1:12" ht="17.25" customHeight="1">
      <c r="A59" s="285">
        <v>50</v>
      </c>
      <c r="B59" s="259" t="s">
        <v>654</v>
      </c>
      <c r="C59" s="259" t="s">
        <v>3203</v>
      </c>
      <c r="D59" s="260">
        <v>45961</v>
      </c>
      <c r="E59" s="289">
        <v>17750880</v>
      </c>
      <c r="F59" s="289">
        <v>1775088</v>
      </c>
      <c r="G59" s="289">
        <v>19525968</v>
      </c>
      <c r="H59" s="290"/>
      <c r="I59" s="289">
        <v>0</v>
      </c>
      <c r="J59" s="289">
        <v>19525968</v>
      </c>
      <c r="K59" s="263"/>
      <c r="L59" s="256" t="s">
        <v>44</v>
      </c>
    </row>
    <row r="60" spans="1:12" ht="17.25" customHeight="1">
      <c r="A60" s="285">
        <v>51</v>
      </c>
      <c r="B60" s="259" t="s">
        <v>654</v>
      </c>
      <c r="C60" s="259" t="s">
        <v>3064</v>
      </c>
      <c r="D60" s="260">
        <v>45961</v>
      </c>
      <c r="E60" s="289">
        <v>28302180</v>
      </c>
      <c r="F60" s="289">
        <v>2830218</v>
      </c>
      <c r="G60" s="289">
        <v>31132398</v>
      </c>
      <c r="H60" s="290"/>
      <c r="I60" s="289">
        <v>0</v>
      </c>
      <c r="J60" s="289">
        <v>31132398</v>
      </c>
      <c r="K60" s="263"/>
      <c r="L60" s="256" t="s">
        <v>44</v>
      </c>
    </row>
    <row r="61" spans="1:12" ht="17.25" customHeight="1">
      <c r="A61" s="285">
        <v>52</v>
      </c>
      <c r="B61" s="259" t="s">
        <v>1179</v>
      </c>
      <c r="C61" s="259" t="s">
        <v>3204</v>
      </c>
      <c r="D61" s="260">
        <v>45961</v>
      </c>
      <c r="E61" s="289">
        <v>1071400</v>
      </c>
      <c r="F61" s="289">
        <v>107140</v>
      </c>
      <c r="G61" s="289">
        <v>1178540</v>
      </c>
      <c r="H61" s="290"/>
      <c r="I61" s="289">
        <v>0</v>
      </c>
      <c r="J61" s="289">
        <v>1178540</v>
      </c>
      <c r="K61" s="263"/>
      <c r="L61" s="256" t="s">
        <v>44</v>
      </c>
    </row>
    <row r="62" spans="1:12" ht="17.25" customHeight="1">
      <c r="A62" s="285">
        <v>53</v>
      </c>
      <c r="B62" s="259" t="s">
        <v>188</v>
      </c>
      <c r="C62" s="259" t="s">
        <v>3147</v>
      </c>
      <c r="D62" s="260">
        <v>45961</v>
      </c>
      <c r="E62" s="289">
        <v>8840000</v>
      </c>
      <c r="F62" s="289">
        <v>884000</v>
      </c>
      <c r="G62" s="289">
        <v>9724000</v>
      </c>
      <c r="H62" s="290"/>
      <c r="I62" s="289">
        <v>0</v>
      </c>
      <c r="J62" s="289">
        <v>9724000</v>
      </c>
      <c r="K62" s="263"/>
      <c r="L62" s="256" t="s">
        <v>44</v>
      </c>
    </row>
    <row r="63" spans="1:12" ht="17.25" customHeight="1">
      <c r="A63" s="285">
        <v>54</v>
      </c>
      <c r="B63" s="259" t="s">
        <v>3139</v>
      </c>
      <c r="C63" s="259" t="s">
        <v>3158</v>
      </c>
      <c r="D63" s="260">
        <v>45961</v>
      </c>
      <c r="E63" s="289">
        <v>7389000</v>
      </c>
      <c r="F63" s="289">
        <v>738900</v>
      </c>
      <c r="G63" s="289">
        <v>8127900</v>
      </c>
      <c r="H63" s="290"/>
      <c r="I63" s="289">
        <v>0</v>
      </c>
      <c r="J63" s="289">
        <v>8127900</v>
      </c>
      <c r="K63" s="263"/>
      <c r="L63" s="256" t="s">
        <v>44</v>
      </c>
    </row>
    <row r="64" spans="1:12" ht="17.25" customHeight="1">
      <c r="A64" s="285">
        <v>55</v>
      </c>
      <c r="B64" s="259" t="s">
        <v>2166</v>
      </c>
      <c r="C64" s="259" t="s">
        <v>2836</v>
      </c>
      <c r="D64" s="260">
        <v>45961</v>
      </c>
      <c r="E64" s="289">
        <v>17535920</v>
      </c>
      <c r="F64" s="289">
        <v>1753592</v>
      </c>
      <c r="G64" s="289">
        <v>19289512</v>
      </c>
      <c r="H64" s="290"/>
      <c r="I64" s="289">
        <v>0</v>
      </c>
      <c r="J64" s="289">
        <v>19289512</v>
      </c>
      <c r="K64" s="263"/>
      <c r="L64" s="256" t="s">
        <v>44</v>
      </c>
    </row>
    <row r="65" spans="1:17" ht="17.25" customHeight="1">
      <c r="A65" s="285">
        <v>56</v>
      </c>
      <c r="B65" s="259" t="s">
        <v>3135</v>
      </c>
      <c r="C65" s="259" t="s">
        <v>3141</v>
      </c>
      <c r="D65" s="260">
        <v>45961</v>
      </c>
      <c r="E65" s="289">
        <v>7315200</v>
      </c>
      <c r="F65" s="289">
        <v>731520</v>
      </c>
      <c r="G65" s="289">
        <v>8046720</v>
      </c>
      <c r="H65" s="290"/>
      <c r="I65" s="289">
        <v>0</v>
      </c>
      <c r="J65" s="289">
        <v>8046720</v>
      </c>
      <c r="K65" s="263"/>
      <c r="L65" s="256" t="s">
        <v>44</v>
      </c>
    </row>
    <row r="66" spans="1:17" ht="17.25" customHeight="1">
      <c r="A66" s="285">
        <v>57</v>
      </c>
      <c r="B66" s="259" t="s">
        <v>3137</v>
      </c>
      <c r="C66" s="259" t="s">
        <v>3205</v>
      </c>
      <c r="D66" s="260">
        <v>45961</v>
      </c>
      <c r="E66" s="289">
        <v>8775000</v>
      </c>
      <c r="F66" s="289">
        <v>877500</v>
      </c>
      <c r="G66" s="289">
        <v>9652500</v>
      </c>
      <c r="H66" s="290"/>
      <c r="I66" s="289">
        <v>0</v>
      </c>
      <c r="J66" s="289">
        <v>9652500</v>
      </c>
      <c r="K66" s="263"/>
      <c r="L66" s="256" t="s">
        <v>44</v>
      </c>
    </row>
    <row r="67" spans="1:17" ht="17.25" customHeight="1">
      <c r="A67" s="285">
        <v>58</v>
      </c>
      <c r="B67" s="259" t="s">
        <v>3195</v>
      </c>
      <c r="C67" s="259" t="s">
        <v>3206</v>
      </c>
      <c r="D67" s="260">
        <v>45961</v>
      </c>
      <c r="E67" s="289">
        <v>6862800</v>
      </c>
      <c r="F67" s="289">
        <v>686280</v>
      </c>
      <c r="G67" s="289">
        <v>7549080</v>
      </c>
      <c r="H67" s="290"/>
      <c r="I67" s="289">
        <v>0</v>
      </c>
      <c r="J67" s="289">
        <v>7549080</v>
      </c>
      <c r="K67" s="263"/>
      <c r="L67" s="256" t="s">
        <v>44</v>
      </c>
    </row>
    <row r="68" spans="1:17" ht="17.25" customHeight="1">
      <c r="A68" s="285">
        <v>59</v>
      </c>
      <c r="B68" s="259" t="s">
        <v>654</v>
      </c>
      <c r="C68" s="259" t="s">
        <v>2588</v>
      </c>
      <c r="D68" s="260">
        <v>45961</v>
      </c>
      <c r="E68" s="289">
        <v>12332560</v>
      </c>
      <c r="F68" s="289">
        <v>1233256</v>
      </c>
      <c r="G68" s="289">
        <v>13565816</v>
      </c>
      <c r="H68" s="290"/>
      <c r="I68" s="289">
        <v>0</v>
      </c>
      <c r="J68" s="289">
        <v>13565816</v>
      </c>
      <c r="K68" s="263"/>
      <c r="L68" s="256" t="s">
        <v>44</v>
      </c>
    </row>
    <row r="69" spans="1:17" ht="17.25" customHeight="1">
      <c r="A69" s="291">
        <v>60</v>
      </c>
      <c r="B69" s="120" t="s">
        <v>3213</v>
      </c>
      <c r="C69" s="120" t="s">
        <v>3207</v>
      </c>
      <c r="D69" s="114">
        <v>45961</v>
      </c>
      <c r="E69" s="165">
        <v>1440000</v>
      </c>
      <c r="F69" s="165">
        <v>144000</v>
      </c>
      <c r="G69" s="165">
        <v>1584000</v>
      </c>
      <c r="I69" s="165">
        <v>0</v>
      </c>
      <c r="J69" s="165">
        <v>1584000</v>
      </c>
      <c r="L69" s="115" t="s">
        <v>44</v>
      </c>
    </row>
    <row r="70" spans="1:17" ht="17.25" customHeight="1">
      <c r="A70" s="285">
        <v>61</v>
      </c>
      <c r="B70" s="120" t="s">
        <v>264</v>
      </c>
      <c r="C70" s="120" t="s">
        <v>3070</v>
      </c>
      <c r="D70" s="114">
        <v>45961</v>
      </c>
      <c r="E70" s="165">
        <v>14300000</v>
      </c>
      <c r="F70" s="165">
        <v>1430000</v>
      </c>
      <c r="G70" s="165">
        <v>15730000</v>
      </c>
      <c r="I70" s="165">
        <v>0</v>
      </c>
      <c r="J70" s="165">
        <v>15730000</v>
      </c>
      <c r="L70" s="115" t="s">
        <v>44</v>
      </c>
    </row>
    <row r="71" spans="1:17" ht="17.25" customHeight="1">
      <c r="A71" s="285">
        <v>62</v>
      </c>
      <c r="B71" s="120" t="s">
        <v>3210</v>
      </c>
      <c r="C71" s="120" t="s">
        <v>3201</v>
      </c>
      <c r="D71" s="114">
        <v>45961</v>
      </c>
      <c r="E71" s="165">
        <v>7671000</v>
      </c>
      <c r="F71" s="165">
        <v>767100</v>
      </c>
      <c r="G71" s="165">
        <v>8438100</v>
      </c>
      <c r="I71" s="165">
        <v>0</v>
      </c>
      <c r="J71" s="165">
        <v>8438100</v>
      </c>
      <c r="L71" s="115" t="s">
        <v>44</v>
      </c>
    </row>
    <row r="72" spans="1:17" ht="17.25" customHeight="1">
      <c r="A72" s="285">
        <v>63</v>
      </c>
      <c r="B72" s="120" t="s">
        <v>3197</v>
      </c>
      <c r="C72" s="120" t="s">
        <v>2875</v>
      </c>
      <c r="D72" s="114">
        <v>45961</v>
      </c>
      <c r="E72" s="165">
        <v>33375320</v>
      </c>
      <c r="F72" s="165">
        <v>3337532</v>
      </c>
      <c r="G72" s="165">
        <v>36712852</v>
      </c>
      <c r="I72" s="165">
        <v>0</v>
      </c>
      <c r="J72" s="165">
        <v>36712852</v>
      </c>
      <c r="L72" s="115" t="s">
        <v>44</v>
      </c>
    </row>
    <row r="73" spans="1:17" ht="17.25" customHeight="1">
      <c r="A73" s="285">
        <v>64</v>
      </c>
      <c r="B73" s="120" t="s">
        <v>3134</v>
      </c>
      <c r="C73" s="120" t="s">
        <v>3140</v>
      </c>
      <c r="D73" s="114">
        <v>45961</v>
      </c>
      <c r="E73" s="165">
        <v>6111250</v>
      </c>
      <c r="F73" s="165">
        <v>611125</v>
      </c>
      <c r="G73" s="165">
        <v>6722375</v>
      </c>
      <c r="I73" s="165">
        <v>0</v>
      </c>
      <c r="J73" s="165">
        <v>6722375</v>
      </c>
      <c r="L73" s="115" t="s">
        <v>44</v>
      </c>
    </row>
    <row r="74" spans="1:17" s="157" customFormat="1" ht="17.25" customHeight="1">
      <c r="A74" s="285">
        <v>65</v>
      </c>
      <c r="B74" s="120" t="s">
        <v>2822</v>
      </c>
      <c r="C74" s="120" t="s">
        <v>3019</v>
      </c>
      <c r="D74" s="114">
        <v>45961</v>
      </c>
      <c r="E74" s="165">
        <v>7477500</v>
      </c>
      <c r="F74" s="165">
        <v>747750</v>
      </c>
      <c r="G74" s="165">
        <v>8225250</v>
      </c>
      <c r="H74" s="160"/>
      <c r="I74" s="165">
        <v>0</v>
      </c>
      <c r="J74" s="165">
        <v>8225250</v>
      </c>
      <c r="L74" s="115" t="s">
        <v>44</v>
      </c>
      <c r="M74" s="11"/>
      <c r="N74" s="11"/>
      <c r="O74" s="11"/>
      <c r="P74" s="11"/>
      <c r="Q74" s="11"/>
    </row>
    <row r="75" spans="1:17" ht="17.25" customHeight="1">
      <c r="A75" s="285">
        <v>66</v>
      </c>
      <c r="B75" s="120" t="s">
        <v>1218</v>
      </c>
      <c r="C75" s="120" t="s">
        <v>3208</v>
      </c>
      <c r="D75" s="114">
        <v>45961</v>
      </c>
      <c r="E75" s="165">
        <v>1890000</v>
      </c>
      <c r="F75" s="165">
        <v>189000</v>
      </c>
      <c r="G75" s="165">
        <v>2079000</v>
      </c>
      <c r="I75" s="165">
        <v>0</v>
      </c>
      <c r="J75" s="165">
        <v>2079000</v>
      </c>
      <c r="L75" s="115" t="s">
        <v>44</v>
      </c>
    </row>
    <row r="76" spans="1:17" ht="17.25" customHeight="1">
      <c r="A76" s="285">
        <v>67</v>
      </c>
      <c r="B76" s="120" t="s">
        <v>1218</v>
      </c>
      <c r="C76" s="120" t="s">
        <v>3202</v>
      </c>
      <c r="D76" s="114">
        <v>45961</v>
      </c>
      <c r="E76" s="165">
        <v>2160000</v>
      </c>
      <c r="F76" s="165">
        <v>216000</v>
      </c>
      <c r="G76" s="165">
        <v>2376000</v>
      </c>
      <c r="I76" s="165">
        <v>0</v>
      </c>
      <c r="J76" s="165">
        <v>2376000</v>
      </c>
      <c r="L76" s="115" t="s">
        <v>44</v>
      </c>
    </row>
    <row r="77" spans="1:17" ht="17.25" customHeight="1">
      <c r="A77" s="285">
        <v>68</v>
      </c>
      <c r="B77" s="120" t="s">
        <v>2824</v>
      </c>
      <c r="C77" s="120" t="s">
        <v>2832</v>
      </c>
      <c r="D77" s="114">
        <v>45961</v>
      </c>
      <c r="E77" s="165">
        <v>76997000</v>
      </c>
      <c r="F77" s="165">
        <v>7699700</v>
      </c>
      <c r="G77" s="165">
        <v>84696700</v>
      </c>
      <c r="I77" s="165">
        <v>0</v>
      </c>
      <c r="J77" s="165">
        <v>84696700</v>
      </c>
      <c r="L77" s="115" t="s">
        <v>44</v>
      </c>
    </row>
    <row r="78" spans="1:17" ht="17.25" customHeight="1">
      <c r="D78" s="114" t="s">
        <v>22</v>
      </c>
      <c r="E78" s="165">
        <f>SUM(E10:E77)</f>
        <v>761711534</v>
      </c>
      <c r="F78" s="165">
        <f t="shared" ref="F78:J78" si="0">SUM(F10:F77)</f>
        <v>76171153.400000006</v>
      </c>
      <c r="G78" s="165">
        <f t="shared" si="0"/>
        <v>837882687.39999998</v>
      </c>
      <c r="H78" s="165">
        <f t="shared" si="0"/>
        <v>0</v>
      </c>
      <c r="I78" s="165">
        <f t="shared" si="0"/>
        <v>107628566</v>
      </c>
      <c r="J78" s="165">
        <f t="shared" si="0"/>
        <v>730254121.39999998</v>
      </c>
    </row>
    <row r="79" spans="1:17" ht="17.25" customHeight="1"/>
    <row r="80" spans="1:17"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sheetData>
  <autoFilter ref="A9:L78" xr:uid="{00000000-0001-0000-0200-000000000000}"/>
  <mergeCells count="1">
    <mergeCell ref="A1:L1"/>
  </mergeCells>
  <phoneticPr fontId="2" type="noConversion"/>
  <conditionalFormatting sqref="A10:L10 B12:L13 A79:L1625 A12 A14 A16 A18 A20 A22 A24 A26 A28 A30 A32 A34 A36 A38 A40 A42 A44 A46 A48 A50 A52 A54 A56 A58 A60 A62 A64 A66 A68 A70 A72 A74 A76">
    <cfRule type="expression" dxfId="29" priority="379">
      <formula>AND($A10="",$E10&gt;0)</formula>
    </cfRule>
    <cfRule type="expression" dxfId="28" priority="380">
      <formula>$D10="합 계"</formula>
    </cfRule>
    <cfRule type="expression" dxfId="27" priority="381">
      <formula>$B9&lt;&gt;""</formula>
    </cfRule>
  </conditionalFormatting>
  <conditionalFormatting sqref="A11:L11 A13 A15 A17 A19 A21 A23 A25 A27 A29 A31 A33 A35 A37 A39 A41 A43 A45 A47 A49 A51 A53 A55 A57 A59 A61 A63 A65 A67 A69 A71 A73 A75 A77">
    <cfRule type="expression" dxfId="26" priority="565">
      <formula>AND($A11="",$E11&gt;0)</formula>
    </cfRule>
    <cfRule type="expression" dxfId="25" priority="566">
      <formula>$D11="합 계"</formula>
    </cfRule>
    <cfRule type="expression" dxfId="24" priority="567">
      <formula>#REF!&lt;&gt;""</formula>
    </cfRule>
  </conditionalFormatting>
  <conditionalFormatting sqref="B15:L15 B17:L24 B16:G16 I16:L16">
    <cfRule type="expression" dxfId="23" priority="34">
      <formula>AND($A15="",$E15&gt;0)</formula>
    </cfRule>
    <cfRule type="expression" dxfId="22" priority="35">
      <formula>$D15="합 계"</formula>
    </cfRule>
    <cfRule type="expression" dxfId="21" priority="36">
      <formula>$B14&lt;&gt;""</formula>
    </cfRule>
  </conditionalFormatting>
  <conditionalFormatting sqref="B14:L14">
    <cfRule type="expression" dxfId="20" priority="37">
      <formula>AND($A14="",$E14&gt;0)</formula>
    </cfRule>
    <cfRule type="expression" dxfId="19" priority="38">
      <formula>$D14="합 계"</formula>
    </cfRule>
    <cfRule type="expression" dxfId="18" priority="39">
      <formula>#REF!&lt;&gt;""</formula>
    </cfRule>
  </conditionalFormatting>
  <conditionalFormatting sqref="H16">
    <cfRule type="expression" dxfId="17" priority="31">
      <formula>AND($A16="",$E16&gt;0)</formula>
    </cfRule>
    <cfRule type="expression" dxfId="16" priority="32">
      <formula>$D16="합 계"</formula>
    </cfRule>
    <cfRule type="expression" dxfId="15" priority="33">
      <formula>#REF!&lt;&gt;""</formula>
    </cfRule>
  </conditionalFormatting>
  <conditionalFormatting sqref="B54:L61 B47:L52 B45:I46 K45:L46 B26:L26 B28:L44 B27:G27 I27:L27 B63:L77 A78:L78">
    <cfRule type="expression" dxfId="14" priority="4">
      <formula>AND($A26="",$E26&gt;0)</formula>
    </cfRule>
    <cfRule type="expression" dxfId="13" priority="5">
      <formula>$D26="합 계"</formula>
    </cfRule>
    <cfRule type="expression" dxfId="12" priority="6">
      <formula>$B25&lt;&gt;""</formula>
    </cfRule>
  </conditionalFormatting>
  <conditionalFormatting sqref="B53:L53 B62:L62">
    <cfRule type="expression" dxfId="11" priority="7">
      <formula>AND($A53="",$E53&gt;0)</formula>
    </cfRule>
    <cfRule type="expression" dxfId="10" priority="8">
      <formula>$D53="합 계"</formula>
    </cfRule>
    <cfRule type="expression" dxfId="9" priority="9">
      <formula>#REF!&lt;&gt;""</formula>
    </cfRule>
  </conditionalFormatting>
  <conditionalFormatting sqref="J46">
    <cfRule type="expression" dxfId="8" priority="10">
      <formula>AND($A45="",$E45&gt;0)</formula>
    </cfRule>
    <cfRule type="expression" dxfId="7" priority="11">
      <formula>$D45="합 계"</formula>
    </cfRule>
    <cfRule type="expression" dxfId="6" priority="12">
      <formula>$B44&lt;&gt;""</formula>
    </cfRule>
  </conditionalFormatting>
  <conditionalFormatting sqref="B25:L25">
    <cfRule type="expression" dxfId="5" priority="13">
      <formula>AND($A25="",$E25&gt;0)</formula>
    </cfRule>
    <cfRule type="expression" dxfId="4" priority="14">
      <formula>$D25="합 계"</formula>
    </cfRule>
    <cfRule type="expression" dxfId="3" priority="15">
      <formula>#REF!&lt;&gt;""</formula>
    </cfRule>
  </conditionalFormatting>
  <conditionalFormatting sqref="H27">
    <cfRule type="expression" dxfId="2" priority="1">
      <formula>AND($A27="",$E27&gt;0)</formula>
    </cfRule>
    <cfRule type="expression" dxfId="1" priority="2">
      <formula>$D27="합 계"</formula>
    </cfRule>
    <cfRule type="expression" dxfId="0" priority="3">
      <formula>#REF!&lt;&gt;""</formula>
    </cfRule>
  </conditionalFormatting>
  <dataValidations disablePrompts="1" count="1">
    <dataValidation type="list" allowBlank="1" showInputMessage="1" showErrorMessage="1" sqref="B6" xr:uid="{F3F5B621-E9A0-47D9-8321-0AC2F98969AA}">
      <formula1>"매입,매출,미수금,미지급금"</formula1>
    </dataValidation>
  </dataValidations>
  <printOptions horizontalCentered="1"/>
  <pageMargins left="0.70866141732283472" right="0.70866141732283472" top="0.74803149606299213" bottom="0.55118110236220474" header="0.11811023622047245" footer="0.11811023622047245"/>
  <pageSetup paperSize="9" scale="56" fitToHeight="0" orientation="landscape" r:id="rId1"/>
  <headerFooter>
    <oddFooter>&amp;L&amp;B 기밀&amp;B&amp;C&amp;D&amp;R&amp;P페이지</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M1213"/>
  <sheetViews>
    <sheetView topLeftCell="CG1" workbookViewId="0">
      <selection activeCell="CH16" sqref="CH16"/>
    </sheetView>
  </sheetViews>
  <sheetFormatPr defaultRowHeight="16.5"/>
  <cols>
    <col min="1" max="2" width="11.875" customWidth="1"/>
    <col min="3" max="4" width="12.25" style="1" customWidth="1"/>
    <col min="5" max="5" width="15.125" style="1" bestFit="1" customWidth="1"/>
    <col min="6" max="6" width="15.875" style="1" bestFit="1" customWidth="1"/>
    <col min="7" max="9" width="1" customWidth="1"/>
    <col min="10" max="10" width="11.125" style="83" bestFit="1" customWidth="1"/>
    <col min="11" max="11" width="35.5" bestFit="1" customWidth="1"/>
    <col min="12" max="12" width="13.125" customWidth="1"/>
    <col min="13" max="13" width="13" customWidth="1"/>
    <col min="14" max="14" width="15.875" bestFit="1" customWidth="1"/>
    <col min="15" max="15" width="19.5" customWidth="1"/>
    <col min="16" max="17" width="10.75" customWidth="1"/>
    <col min="19" max="19" width="9" style="1"/>
    <col min="25" max="25" width="8" customWidth="1"/>
    <col min="26" max="26" width="11.375" customWidth="1"/>
    <col min="27" max="27" width="5.25" bestFit="1" customWidth="1"/>
    <col min="28" max="28" width="8" bestFit="1" customWidth="1"/>
    <col min="29" max="29" width="6.375" bestFit="1" customWidth="1"/>
    <col min="30" max="30" width="11.125" style="83" bestFit="1" customWidth="1"/>
    <col min="31" max="32" width="23.75" bestFit="1" customWidth="1"/>
    <col min="33" max="35" width="12.875" style="16" customWidth="1"/>
    <col min="36" max="36" width="15.25" style="153" customWidth="1"/>
    <col min="37" max="37" width="12.875" style="162" customWidth="1"/>
    <col min="38" max="38" width="12.875" style="16" customWidth="1"/>
    <col min="39" max="39" width="17.875" customWidth="1"/>
    <col min="41" max="41" width="11.125" style="83" bestFit="1" customWidth="1"/>
    <col min="42" max="42" width="19.25" bestFit="1" customWidth="1"/>
    <col min="43" max="43" width="23.75" bestFit="1" customWidth="1"/>
    <col min="44" max="44" width="19.125" customWidth="1"/>
    <col min="46" max="46" width="11" bestFit="1" customWidth="1"/>
    <col min="47" max="47" width="9.875" bestFit="1" customWidth="1"/>
    <col min="48" max="48" width="11" bestFit="1" customWidth="1"/>
    <col min="49" max="49" width="11.875" bestFit="1" customWidth="1"/>
    <col min="59" max="59" width="11.125" bestFit="1" customWidth="1"/>
    <col min="66" max="66" width="14.75" customWidth="1"/>
    <col min="71" max="72" width="9" style="1"/>
    <col min="73" max="73" width="15.875" style="1" bestFit="1" customWidth="1"/>
    <col min="74" max="74" width="13.125" style="1" bestFit="1" customWidth="1"/>
    <col min="75" max="76" width="11" style="1" bestFit="1" customWidth="1"/>
    <col min="77" max="77" width="9" style="1"/>
    <col min="78" max="78" width="8.75" style="1" customWidth="1"/>
    <col min="80" max="80" width="11.125" bestFit="1" customWidth="1"/>
    <col min="81" max="81" width="19.25" bestFit="1" customWidth="1"/>
    <col min="82" max="82" width="23.75" bestFit="1" customWidth="1"/>
    <col min="83" max="83" width="23.5" customWidth="1"/>
    <col min="85" max="88" width="12.625" customWidth="1"/>
    <col min="93" max="93" width="10.125" customWidth="1"/>
    <col min="94" max="94" width="11.125" bestFit="1" customWidth="1"/>
    <col min="95" max="95" width="23" customWidth="1"/>
    <col min="96" max="96" width="15.625" style="16" customWidth="1"/>
    <col min="97" max="97" width="15.5" customWidth="1"/>
    <col min="98" max="98" width="1.875" customWidth="1"/>
    <col min="99" max="99" width="17.25" bestFit="1" customWidth="1"/>
    <col min="100" max="100" width="11.125" bestFit="1" customWidth="1"/>
    <col min="101" max="101" width="23" customWidth="1"/>
    <col min="102" max="102" width="13.75" customWidth="1"/>
    <col min="103" max="103" width="17.25" bestFit="1" customWidth="1"/>
    <col min="108" max="108" width="11.125" bestFit="1" customWidth="1"/>
    <col min="112" max="113" width="11.875" bestFit="1" customWidth="1"/>
    <col min="115" max="115" width="11.25" customWidth="1"/>
    <col min="116" max="116" width="10.375" customWidth="1"/>
  </cols>
  <sheetData>
    <row r="1" spans="1:117" ht="18" thickBot="1">
      <c r="A1" s="39" t="s">
        <v>46</v>
      </c>
      <c r="B1" s="39" t="s">
        <v>46</v>
      </c>
      <c r="C1" s="41" t="s">
        <v>51</v>
      </c>
      <c r="D1" s="41" t="s">
        <v>49</v>
      </c>
      <c r="E1" s="41" t="s">
        <v>53</v>
      </c>
      <c r="F1" s="42" t="s">
        <v>4</v>
      </c>
      <c r="J1" s="92" t="s">
        <v>45</v>
      </c>
      <c r="K1" s="93" t="s">
        <v>54</v>
      </c>
      <c r="L1" s="94" t="s">
        <v>56</v>
      </c>
      <c r="M1" s="94" t="s">
        <v>11</v>
      </c>
      <c r="N1" s="91" t="s">
        <v>8</v>
      </c>
      <c r="O1" s="90" t="s">
        <v>57</v>
      </c>
      <c r="P1" s="90" t="s">
        <v>38</v>
      </c>
      <c r="S1" s="130" t="s">
        <v>87</v>
      </c>
      <c r="T1" s="34" t="s">
        <v>29</v>
      </c>
      <c r="U1" s="34" t="s">
        <v>29</v>
      </c>
      <c r="V1" s="41" t="s">
        <v>53</v>
      </c>
      <c r="W1" s="41" t="s">
        <v>51</v>
      </c>
      <c r="X1" s="41" t="s">
        <v>49</v>
      </c>
      <c r="Y1" s="33" t="s">
        <v>28</v>
      </c>
      <c r="AA1" s="106" t="s">
        <v>48</v>
      </c>
      <c r="AB1" s="106" t="s">
        <v>28</v>
      </c>
      <c r="AC1" s="106" t="s">
        <v>29</v>
      </c>
      <c r="AD1" s="163" t="s">
        <v>45</v>
      </c>
      <c r="AE1" s="106" t="s">
        <v>52</v>
      </c>
      <c r="AF1" s="103" t="s">
        <v>4</v>
      </c>
      <c r="AG1" s="103" t="s">
        <v>50</v>
      </c>
      <c r="AH1" s="183" t="s">
        <v>22</v>
      </c>
      <c r="AI1" s="183" t="s">
        <v>2</v>
      </c>
      <c r="AJ1" s="183" t="s">
        <v>6</v>
      </c>
      <c r="AK1" s="105" t="s">
        <v>64</v>
      </c>
      <c r="AL1" s="183" t="s">
        <v>23</v>
      </c>
      <c r="AM1" s="183" t="s">
        <v>24</v>
      </c>
      <c r="AN1" s="30" t="s">
        <v>66</v>
      </c>
      <c r="AO1" s="30" t="s">
        <v>67</v>
      </c>
      <c r="AP1" s="30" t="s">
        <v>52</v>
      </c>
      <c r="AQ1" s="30" t="s">
        <v>4</v>
      </c>
      <c r="AR1" s="31" t="s">
        <v>47</v>
      </c>
      <c r="AS1" s="88" t="s">
        <v>59</v>
      </c>
      <c r="AT1" s="86" t="s">
        <v>2</v>
      </c>
      <c r="AU1" s="86" t="s">
        <v>60</v>
      </c>
      <c r="AV1" s="86" t="s">
        <v>55</v>
      </c>
      <c r="AW1" s="32" t="s">
        <v>58</v>
      </c>
      <c r="AX1" s="33" t="s">
        <v>28</v>
      </c>
      <c r="AY1" s="34" t="s">
        <v>29</v>
      </c>
      <c r="AZ1" s="35" t="s">
        <v>30</v>
      </c>
      <c r="BA1" s="29" t="s">
        <v>50</v>
      </c>
      <c r="BS1" s="4" t="s">
        <v>74</v>
      </c>
      <c r="BT1" s="4" t="s">
        <v>65</v>
      </c>
      <c r="BU1" s="133" t="s">
        <v>71</v>
      </c>
      <c r="BV1" s="134" t="s">
        <v>69</v>
      </c>
      <c r="BW1" s="134" t="s">
        <v>61</v>
      </c>
      <c r="BX1" s="133" t="s">
        <v>70</v>
      </c>
      <c r="BY1" s="4" t="s">
        <v>65</v>
      </c>
      <c r="BZ1" s="4" t="s">
        <v>74</v>
      </c>
      <c r="CA1" s="132" t="s">
        <v>66</v>
      </c>
      <c r="CB1" s="30" t="s">
        <v>67</v>
      </c>
      <c r="CC1" s="30" t="s">
        <v>52</v>
      </c>
      <c r="CD1" s="30" t="s">
        <v>4</v>
      </c>
      <c r="CE1" s="31" t="s">
        <v>47</v>
      </c>
      <c r="CF1" s="88" t="s">
        <v>59</v>
      </c>
      <c r="CG1" s="86" t="s">
        <v>2</v>
      </c>
      <c r="CH1" s="86" t="s">
        <v>60</v>
      </c>
      <c r="CI1" s="86" t="s">
        <v>55</v>
      </c>
      <c r="CJ1" s="32" t="s">
        <v>58</v>
      </c>
      <c r="CK1" s="33" t="s">
        <v>28</v>
      </c>
      <c r="CL1" s="34" t="s">
        <v>29</v>
      </c>
      <c r="CM1" s="35" t="s">
        <v>30</v>
      </c>
      <c r="CN1" s="29" t="s">
        <v>50</v>
      </c>
      <c r="CO1" s="131" t="s">
        <v>88</v>
      </c>
      <c r="CP1" s="130" t="s">
        <v>72</v>
      </c>
      <c r="CQ1" s="131" t="s">
        <v>47</v>
      </c>
      <c r="CR1" s="136">
        <v>0</v>
      </c>
      <c r="CU1" s="130" t="s">
        <v>363</v>
      </c>
      <c r="CV1" s="130" t="s">
        <v>361</v>
      </c>
      <c r="CW1" s="131" t="s">
        <v>362</v>
      </c>
      <c r="CX1" s="135" t="s">
        <v>366</v>
      </c>
      <c r="CY1" s="130" t="s">
        <v>363</v>
      </c>
      <c r="DA1" s="106" t="s">
        <v>48</v>
      </c>
      <c r="DB1" s="106" t="s">
        <v>28</v>
      </c>
      <c r="DC1" s="106" t="s">
        <v>29</v>
      </c>
      <c r="DD1" s="106" t="s">
        <v>45</v>
      </c>
      <c r="DE1" s="106" t="s">
        <v>52</v>
      </c>
      <c r="DF1" s="103" t="s">
        <v>4</v>
      </c>
      <c r="DG1" s="103" t="s">
        <v>50</v>
      </c>
      <c r="DH1" s="104" t="s">
        <v>22</v>
      </c>
      <c r="DI1" s="104" t="s">
        <v>2</v>
      </c>
      <c r="DJ1" s="104" t="s">
        <v>6</v>
      </c>
      <c r="DK1" s="105" t="s">
        <v>64</v>
      </c>
      <c r="DL1" s="104" t="s">
        <v>23</v>
      </c>
      <c r="DM1" s="104" t="s">
        <v>24</v>
      </c>
    </row>
    <row r="2" spans="1:117">
      <c r="A2" t="str">
        <f>"&gt;="&amp;'조회(매출,매입거래장)'!$B$3</f>
        <v>&gt;=43466</v>
      </c>
      <c r="B2" t="str">
        <f>"&lt;="&amp;'조회(매출,매입거래장)'!$B$4</f>
        <v>&lt;=46022</v>
      </c>
      <c r="C2" s="1" t="str">
        <f>IF('조회(매출,매입거래장)'!$B$5="","&lt;&gt;0",'조회(매출,매입거래장)'!$B$5)</f>
        <v>&lt;&gt;0</v>
      </c>
      <c r="D2" s="1" t="str">
        <f>IF('조회(매출,매입거래장)'!$B$6="","&lt;&gt;0",'조회(매출,매입거래장)'!$B$6)</f>
        <v>매출</v>
      </c>
      <c r="E2" s="1" t="str">
        <f>IF('조회(매출,매입거래장)'!$B$7="","&lt;&gt;0",'조회(매출,매입거래장)'!$B$7)</f>
        <v>고이건설</v>
      </c>
      <c r="F2" s="1" t="str">
        <f>IF('조회(매출,매입거래장)'!$B$8="","&lt;&gt;0",'조회(매출,매입거래장)'!$B$8)</f>
        <v>&lt;&gt;0</v>
      </c>
      <c r="J2" s="37">
        <v>45869</v>
      </c>
      <c r="K2" s="36" t="s">
        <v>2986</v>
      </c>
      <c r="L2" s="87">
        <v>3740000</v>
      </c>
      <c r="M2" s="38"/>
      <c r="N2" s="36" t="s">
        <v>2988</v>
      </c>
      <c r="O2" s="36"/>
      <c r="P2" s="1" t="s">
        <v>44</v>
      </c>
      <c r="S2" s="1" t="str">
        <f>"&gt;1"</f>
        <v>&gt;1</v>
      </c>
      <c r="T2" t="str">
        <f>"&gt;="&amp;'전체 조회'!$B$3</f>
        <v>&gt;=1</v>
      </c>
      <c r="U2" t="str">
        <f>"&lt;="&amp;'전체 조회'!$B$4</f>
        <v>&lt;=12</v>
      </c>
      <c r="V2" s="1" t="str">
        <f>IF('전체 조회'!$B$7="","&lt;&gt;0",'전체 조회'!$B$7)</f>
        <v>&lt;&gt;0</v>
      </c>
      <c r="W2" s="1" t="str">
        <f>IF('전체 조회'!$B$5="","&lt;&gt;0",'전체 조회'!$B$5)</f>
        <v>&lt;&gt;0</v>
      </c>
      <c r="X2" s="1" t="str">
        <f>IF('전체 조회'!$B$6="","&lt;&gt;0",IF('전체 조회'!$B$6="미수금","매출",IF('전체 조회'!$B$6="미지급금","매입",'전체 조회'!$B$6)))</f>
        <v>매출</v>
      </c>
      <c r="Y2" s="1">
        <f>'전체 조회'!B2</f>
        <v>2025</v>
      </c>
      <c r="AA2" s="36" t="s">
        <v>32</v>
      </c>
      <c r="AB2" s="85">
        <v>2025</v>
      </c>
      <c r="AC2" s="85">
        <v>1</v>
      </c>
      <c r="AD2" s="37">
        <v>45659</v>
      </c>
      <c r="AE2" s="36" t="s">
        <v>2476</v>
      </c>
      <c r="AF2" s="36" t="s">
        <v>2573</v>
      </c>
      <c r="AG2" s="1" t="s">
        <v>44</v>
      </c>
      <c r="AH2" s="16">
        <f>SUMIFS(DB!$I:$I,DB!$C:$C,$AE2,DB!$D:$D,$AF2,DB!$K:$K,$AB2,DB!$L:$L,$AC2)</f>
        <v>11028600</v>
      </c>
      <c r="AI2" s="16">
        <v>10026000</v>
      </c>
      <c r="AJ2" s="153">
        <v>1002600</v>
      </c>
      <c r="AK2" s="162">
        <v>45874</v>
      </c>
      <c r="AL2" s="16">
        <v>11028600</v>
      </c>
      <c r="AM2" s="107">
        <v>0</v>
      </c>
      <c r="AN2" s="36" t="s">
        <v>32</v>
      </c>
      <c r="AO2" s="37">
        <v>45659</v>
      </c>
      <c r="AP2" s="36" t="s">
        <v>2476</v>
      </c>
      <c r="AQ2" s="36" t="s">
        <v>2573</v>
      </c>
      <c r="AR2" s="36" t="s">
        <v>76</v>
      </c>
      <c r="AS2" s="89"/>
      <c r="AT2" s="87">
        <v>10026000</v>
      </c>
      <c r="AU2" s="87">
        <v>1002600</v>
      </c>
      <c r="AV2" s="87">
        <v>11028600</v>
      </c>
      <c r="AW2" s="38"/>
      <c r="AX2" s="85">
        <v>2025</v>
      </c>
      <c r="AY2" s="85">
        <v>1</v>
      </c>
      <c r="AZ2" s="36"/>
      <c r="BA2" s="1" t="s">
        <v>44</v>
      </c>
      <c r="BD2" s="36"/>
      <c r="BE2" s="84"/>
      <c r="BF2" s="85"/>
      <c r="BG2" s="37"/>
      <c r="BH2" s="36"/>
      <c r="BI2" s="36"/>
      <c r="BJ2" s="1"/>
      <c r="BK2" s="16"/>
      <c r="BL2" s="16"/>
      <c r="BM2" s="153"/>
      <c r="BN2" s="16"/>
      <c r="BO2" s="16"/>
      <c r="BP2" s="107"/>
      <c r="BS2" s="4" t="str">
        <f>"&gt;0"</f>
        <v>&gt;0</v>
      </c>
      <c r="BT2" s="4" t="s">
        <v>73</v>
      </c>
      <c r="BU2" s="4" t="str">
        <f>IF('현장별 원가계산'!$C$7="","&lt;&gt;0",'현장별 원가계산'!$C$7)</f>
        <v>가산동 송림와이에스건설</v>
      </c>
      <c r="BV2" s="4" t="str">
        <f>"&gt;="&amp;'현장별 원가계산'!$C$4</f>
        <v>&gt;=43831</v>
      </c>
      <c r="BW2" s="4" t="str">
        <f>"&lt;="&amp;'현장별 원가계산'!$C$5</f>
        <v>&lt;=44926</v>
      </c>
      <c r="BX2" s="4" t="str">
        <f>IF('현장별 원가계산'!$C$6="","&lt;&gt;0",'현장별 원가계산'!$C$6)</f>
        <v>&lt;&gt;0</v>
      </c>
      <c r="BY2" s="4" t="s">
        <v>68</v>
      </c>
      <c r="BZ2" s="4" t="str">
        <f>"&gt;0"</f>
        <v>&gt;0</v>
      </c>
      <c r="CA2" s="36" t="s">
        <v>32</v>
      </c>
      <c r="CB2" s="37">
        <v>44439</v>
      </c>
      <c r="CC2" s="36" t="s">
        <v>511</v>
      </c>
      <c r="CD2" s="36" t="s">
        <v>512</v>
      </c>
      <c r="CE2" s="36" t="s">
        <v>76</v>
      </c>
      <c r="CF2" s="89"/>
      <c r="CG2" s="87">
        <v>2163000</v>
      </c>
      <c r="CH2" s="87">
        <v>216300</v>
      </c>
      <c r="CI2" s="87">
        <v>2379300</v>
      </c>
      <c r="CJ2" s="38"/>
      <c r="CK2" s="85">
        <v>2021</v>
      </c>
      <c r="CL2" s="85">
        <v>8</v>
      </c>
      <c r="CM2" s="36"/>
      <c r="CN2" s="208" t="s">
        <v>44</v>
      </c>
      <c r="CO2" s="89"/>
      <c r="CP2" s="37">
        <v>44439</v>
      </c>
      <c r="CQ2" s="36" t="s">
        <v>76</v>
      </c>
      <c r="CR2" s="16">
        <v>2163000</v>
      </c>
      <c r="CU2" s="36"/>
      <c r="CV2" s="37"/>
      <c r="CW2" s="36"/>
      <c r="CX2" s="16"/>
      <c r="CY2" s="128"/>
      <c r="DA2" s="36" t="s">
        <v>32</v>
      </c>
      <c r="DB2" s="85">
        <v>2025</v>
      </c>
      <c r="DC2" s="85">
        <v>1</v>
      </c>
      <c r="DD2" s="37">
        <v>45663</v>
      </c>
      <c r="DE2" s="36" t="s">
        <v>188</v>
      </c>
      <c r="DF2" s="36" t="s">
        <v>2578</v>
      </c>
      <c r="DG2" s="1" t="s">
        <v>44</v>
      </c>
      <c r="DH2" s="16">
        <v>7150000</v>
      </c>
      <c r="DI2" s="16">
        <v>6500000</v>
      </c>
      <c r="DJ2" s="153">
        <v>650000</v>
      </c>
      <c r="DK2" s="162"/>
      <c r="DL2" s="16">
        <v>0</v>
      </c>
      <c r="DM2" s="107">
        <v>7150000</v>
      </c>
    </row>
    <row r="3" spans="1:117">
      <c r="J3" s="37">
        <v>45883</v>
      </c>
      <c r="K3" s="36" t="s">
        <v>148</v>
      </c>
      <c r="L3" s="87"/>
      <c r="M3" s="38">
        <v>3740000</v>
      </c>
      <c r="N3" s="36" t="s">
        <v>2988</v>
      </c>
      <c r="O3" s="36"/>
      <c r="P3" s="1" t="s">
        <v>44</v>
      </c>
      <c r="Z3" s="36"/>
      <c r="AA3" s="36" t="s">
        <v>32</v>
      </c>
      <c r="AB3" s="85">
        <v>2025</v>
      </c>
      <c r="AC3" s="85">
        <v>1</v>
      </c>
      <c r="AD3" s="37">
        <v>45660</v>
      </c>
      <c r="AE3" s="36" t="s">
        <v>654</v>
      </c>
      <c r="AF3" s="36" t="s">
        <v>2574</v>
      </c>
      <c r="AG3" s="1" t="s">
        <v>44</v>
      </c>
      <c r="AH3" s="16">
        <f>SUMIFS(DB!$I:$I,DB!$C:$C,$AE3,DB!$D:$D,$AF3,DB!$K:$K,$AB3,DB!$L:$L,$AC3)</f>
        <v>27963760</v>
      </c>
      <c r="AI3" s="16">
        <v>25421600</v>
      </c>
      <c r="AJ3" s="153">
        <v>2542160</v>
      </c>
      <c r="AK3" s="162">
        <v>45961</v>
      </c>
      <c r="AL3" s="16">
        <v>27963760</v>
      </c>
      <c r="AM3" s="107">
        <v>0</v>
      </c>
      <c r="AN3" s="36" t="s">
        <v>32</v>
      </c>
      <c r="AO3" s="37">
        <v>45660</v>
      </c>
      <c r="AP3" s="36" t="s">
        <v>654</v>
      </c>
      <c r="AQ3" s="36" t="s">
        <v>2574</v>
      </c>
      <c r="AR3" s="36" t="s">
        <v>76</v>
      </c>
      <c r="AS3" s="89"/>
      <c r="AT3" s="87">
        <v>25421600</v>
      </c>
      <c r="AU3" s="87">
        <v>2542160</v>
      </c>
      <c r="AV3" s="87">
        <v>27963760</v>
      </c>
      <c r="AW3" s="38"/>
      <c r="AX3" s="85">
        <v>2025</v>
      </c>
      <c r="AY3" s="85">
        <v>1</v>
      </c>
      <c r="AZ3" s="36"/>
      <c r="BA3" s="1" t="s">
        <v>44</v>
      </c>
      <c r="BT3" s="137" t="s">
        <v>75</v>
      </c>
      <c r="BU3" s="138" t="s">
        <v>71</v>
      </c>
      <c r="BV3" s="139" t="s">
        <v>69</v>
      </c>
      <c r="BW3" s="139" t="s">
        <v>61</v>
      </c>
      <c r="BX3" s="138" t="s">
        <v>70</v>
      </c>
      <c r="BY3" s="137" t="s">
        <v>65</v>
      </c>
      <c r="BZ3" s="137" t="s">
        <v>74</v>
      </c>
      <c r="CA3" s="36" t="s">
        <v>32</v>
      </c>
      <c r="CB3" s="37">
        <v>44455</v>
      </c>
      <c r="CC3" s="36" t="s">
        <v>511</v>
      </c>
      <c r="CD3" s="36" t="s">
        <v>512</v>
      </c>
      <c r="CE3" s="36" t="s">
        <v>148</v>
      </c>
      <c r="CF3" s="89"/>
      <c r="CG3" s="87"/>
      <c r="CH3" s="87"/>
      <c r="CI3" s="87"/>
      <c r="CJ3" s="87">
        <v>2379300</v>
      </c>
      <c r="CK3" s="85">
        <v>2021</v>
      </c>
      <c r="CL3" s="85">
        <v>8</v>
      </c>
      <c r="CM3" s="36"/>
      <c r="CN3" s="208" t="s">
        <v>44</v>
      </c>
      <c r="CO3" s="89"/>
      <c r="CP3" s="37">
        <v>44469</v>
      </c>
      <c r="CQ3" s="36" t="s">
        <v>76</v>
      </c>
      <c r="CR3" s="16">
        <v>2163000</v>
      </c>
      <c r="CU3" s="36"/>
      <c r="CV3" s="37"/>
      <c r="CW3" s="36"/>
      <c r="CX3" s="16"/>
      <c r="CY3" s="128"/>
      <c r="DA3" s="36" t="s">
        <v>32</v>
      </c>
      <c r="DB3" s="85">
        <v>2025</v>
      </c>
      <c r="DC3" s="85">
        <v>1</v>
      </c>
      <c r="DD3" s="37">
        <v>45688</v>
      </c>
      <c r="DE3" s="36" t="s">
        <v>307</v>
      </c>
      <c r="DF3" s="36" t="s">
        <v>2641</v>
      </c>
      <c r="DG3" s="1" t="s">
        <v>44</v>
      </c>
      <c r="DH3" s="16">
        <v>2772000</v>
      </c>
      <c r="DI3" s="16">
        <v>2520000</v>
      </c>
      <c r="DJ3" s="153">
        <v>252000</v>
      </c>
      <c r="DK3" s="162"/>
      <c r="DL3" s="16">
        <v>0</v>
      </c>
      <c r="DM3" s="107">
        <v>2772000</v>
      </c>
    </row>
    <row r="4" spans="1:117">
      <c r="J4" s="37"/>
      <c r="K4" s="36"/>
      <c r="L4" s="87"/>
      <c r="M4" s="38"/>
      <c r="N4" s="36"/>
      <c r="O4" s="36"/>
      <c r="P4" s="1"/>
      <c r="Z4" s="36"/>
      <c r="AA4" s="36" t="s">
        <v>32</v>
      </c>
      <c r="AB4" s="85">
        <v>2025</v>
      </c>
      <c r="AC4" s="85">
        <v>1</v>
      </c>
      <c r="AD4" s="37">
        <v>45660</v>
      </c>
      <c r="AE4" s="36" t="s">
        <v>654</v>
      </c>
      <c r="AF4" s="36" t="s">
        <v>2575</v>
      </c>
      <c r="AG4" s="1" t="s">
        <v>44</v>
      </c>
      <c r="AH4" s="16">
        <f>SUMIFS(DB!$I:$I,DB!$C:$C,$AE4,DB!$D:$D,$AF4,DB!$K:$K,$AB4,DB!$L:$L,$AC4)</f>
        <v>37108236</v>
      </c>
      <c r="AI4" s="16">
        <v>33734760</v>
      </c>
      <c r="AJ4" s="153">
        <v>3373476</v>
      </c>
      <c r="AK4" s="162">
        <v>45961</v>
      </c>
      <c r="AL4" s="16">
        <v>37108236</v>
      </c>
      <c r="AM4" s="107">
        <v>0</v>
      </c>
      <c r="AN4" s="36" t="s">
        <v>32</v>
      </c>
      <c r="AO4" s="37">
        <v>45660</v>
      </c>
      <c r="AP4" s="36" t="s">
        <v>654</v>
      </c>
      <c r="AQ4" s="36" t="s">
        <v>2575</v>
      </c>
      <c r="AR4" s="36" t="s">
        <v>76</v>
      </c>
      <c r="AS4" s="89"/>
      <c r="AT4" s="87">
        <v>33734760</v>
      </c>
      <c r="AU4" s="87">
        <v>3373476</v>
      </c>
      <c r="AV4" s="87">
        <v>37108236</v>
      </c>
      <c r="AW4" s="38"/>
      <c r="AX4" s="85">
        <v>2025</v>
      </c>
      <c r="AY4" s="85">
        <v>1</v>
      </c>
      <c r="AZ4" s="36"/>
      <c r="BA4" s="1" t="s">
        <v>44</v>
      </c>
      <c r="BT4" s="4" t="str">
        <f>"&lt;&gt;0"</f>
        <v>&lt;&gt;0</v>
      </c>
      <c r="BU4" s="4" t="str">
        <f>IF('현장별 원가계산'!$C$7="","&lt;&gt;0",'현장별 원가계산'!$C$7)</f>
        <v>가산동 송림와이에스건설</v>
      </c>
      <c r="BV4" s="4" t="str">
        <f>"&gt;="&amp;'현장별 원가계산'!$C$4</f>
        <v>&gt;=43831</v>
      </c>
      <c r="BW4" s="4" t="str">
        <f>"&lt;="&amp;'현장별 원가계산'!$C$5</f>
        <v>&lt;=44926</v>
      </c>
      <c r="BX4" s="4" t="str">
        <f>IF('현장별 원가계산'!$C$6="","&lt;&gt;0",'현장별 원가계산'!$C$6)</f>
        <v>&lt;&gt;0</v>
      </c>
      <c r="BY4" s="4" t="s">
        <v>68</v>
      </c>
      <c r="BZ4" s="4" t="str">
        <f>"&gt;0"</f>
        <v>&gt;0</v>
      </c>
      <c r="CA4" s="36" t="s">
        <v>32</v>
      </c>
      <c r="CB4" s="37">
        <v>44469</v>
      </c>
      <c r="CC4" s="36" t="s">
        <v>511</v>
      </c>
      <c r="CD4" s="36" t="s">
        <v>512</v>
      </c>
      <c r="CE4" s="36" t="s">
        <v>76</v>
      </c>
      <c r="CF4" s="89"/>
      <c r="CG4" s="87">
        <v>2163000</v>
      </c>
      <c r="CH4" s="87">
        <v>216300</v>
      </c>
      <c r="CI4" s="87">
        <v>2379300</v>
      </c>
      <c r="CJ4" s="38"/>
      <c r="CK4" s="85">
        <v>2021</v>
      </c>
      <c r="CL4" s="85">
        <v>9</v>
      </c>
      <c r="CM4" s="36" t="s">
        <v>547</v>
      </c>
      <c r="CN4" s="208" t="s">
        <v>44</v>
      </c>
      <c r="CO4" s="89"/>
      <c r="CP4" s="37">
        <v>44470</v>
      </c>
      <c r="CQ4" s="36" t="s">
        <v>76</v>
      </c>
      <c r="CR4" s="16">
        <v>1980300</v>
      </c>
      <c r="CU4" s="36"/>
      <c r="CV4" s="37"/>
      <c r="CW4" s="36"/>
      <c r="CX4" s="16"/>
      <c r="DA4" s="36" t="s">
        <v>32</v>
      </c>
      <c r="DB4" s="85">
        <v>2025</v>
      </c>
      <c r="DC4" s="85">
        <v>3</v>
      </c>
      <c r="DD4" s="37">
        <v>45735</v>
      </c>
      <c r="DE4" s="36" t="s">
        <v>2474</v>
      </c>
      <c r="DF4" s="36" t="s">
        <v>2691</v>
      </c>
      <c r="DG4" s="1" t="s">
        <v>44</v>
      </c>
      <c r="DH4" s="16">
        <v>1782000</v>
      </c>
      <c r="DI4" s="16">
        <v>1620000</v>
      </c>
      <c r="DJ4" s="153">
        <v>162000</v>
      </c>
      <c r="DK4" s="162"/>
      <c r="DL4" s="16">
        <v>0</v>
      </c>
      <c r="DM4" s="107">
        <v>1782000</v>
      </c>
    </row>
    <row r="5" spans="1:117">
      <c r="J5" s="37"/>
      <c r="K5" s="36"/>
      <c r="L5" s="87"/>
      <c r="M5" s="87"/>
      <c r="N5" s="36"/>
      <c r="O5" s="36"/>
      <c r="P5" s="1"/>
      <c r="Z5" s="36"/>
      <c r="AA5" s="36" t="s">
        <v>32</v>
      </c>
      <c r="AB5" s="85">
        <v>2025</v>
      </c>
      <c r="AC5" s="85">
        <v>1</v>
      </c>
      <c r="AD5" s="37">
        <v>45659</v>
      </c>
      <c r="AE5" s="36" t="s">
        <v>654</v>
      </c>
      <c r="AF5" s="36" t="s">
        <v>2576</v>
      </c>
      <c r="AG5" s="1" t="s">
        <v>44</v>
      </c>
      <c r="AH5" s="16">
        <f>SUMIFS(DB!$I:$I,DB!$C:$C,$AE5,DB!$D:$D,$AF5,DB!$K:$K,$AB5,DB!$L:$L,$AC5)</f>
        <v>22183282</v>
      </c>
      <c r="AI5" s="16">
        <v>20166620</v>
      </c>
      <c r="AJ5" s="153">
        <v>2016662</v>
      </c>
      <c r="AK5" s="162">
        <v>45961</v>
      </c>
      <c r="AL5" s="16">
        <v>22183282</v>
      </c>
      <c r="AM5" s="107">
        <v>0</v>
      </c>
      <c r="AN5" s="36" t="s">
        <v>32</v>
      </c>
      <c r="AO5" s="37">
        <v>45659</v>
      </c>
      <c r="AP5" s="36" t="s">
        <v>654</v>
      </c>
      <c r="AQ5" s="36" t="s">
        <v>2576</v>
      </c>
      <c r="AR5" s="36" t="s">
        <v>76</v>
      </c>
      <c r="AS5" s="89"/>
      <c r="AT5" s="87">
        <v>20166620</v>
      </c>
      <c r="AU5" s="87">
        <v>2016662</v>
      </c>
      <c r="AV5" s="87">
        <v>22183282</v>
      </c>
      <c r="AW5" s="38"/>
      <c r="AX5" s="85">
        <v>2025</v>
      </c>
      <c r="AY5" s="85">
        <v>1</v>
      </c>
      <c r="AZ5" s="36"/>
      <c r="BA5" s="1" t="s">
        <v>44</v>
      </c>
      <c r="CA5" s="36" t="s">
        <v>32</v>
      </c>
      <c r="CB5" s="37">
        <v>44470</v>
      </c>
      <c r="CC5" s="36" t="s">
        <v>511</v>
      </c>
      <c r="CD5" s="36" t="s">
        <v>512</v>
      </c>
      <c r="CE5" s="36" t="s">
        <v>76</v>
      </c>
      <c r="CF5" s="89"/>
      <c r="CG5" s="87">
        <v>-2163000</v>
      </c>
      <c r="CH5" s="87">
        <v>-216300</v>
      </c>
      <c r="CI5" s="87">
        <v>-2379300</v>
      </c>
      <c r="CJ5" s="38"/>
      <c r="CK5" s="85">
        <v>2021</v>
      </c>
      <c r="CL5" s="85">
        <v>9</v>
      </c>
      <c r="CM5" s="36"/>
      <c r="CN5" s="208" t="s">
        <v>44</v>
      </c>
      <c r="CO5" s="89"/>
      <c r="CP5" s="37">
        <v>44500</v>
      </c>
      <c r="CQ5" s="36" t="s">
        <v>76</v>
      </c>
      <c r="CR5" s="16">
        <v>10474100</v>
      </c>
      <c r="CU5" s="36"/>
      <c r="CV5" s="37"/>
      <c r="CW5" s="36"/>
      <c r="CX5" s="16"/>
      <c r="DA5" s="36" t="s">
        <v>32</v>
      </c>
      <c r="DB5" s="85">
        <v>2025</v>
      </c>
      <c r="DC5" s="85">
        <v>3</v>
      </c>
      <c r="DD5" s="37">
        <v>45747</v>
      </c>
      <c r="DE5" s="36" t="s">
        <v>1462</v>
      </c>
      <c r="DF5" s="36" t="s">
        <v>2962</v>
      </c>
      <c r="DG5" s="1" t="s">
        <v>44</v>
      </c>
      <c r="DH5" s="16">
        <v>4528925.5</v>
      </c>
      <c r="DI5" s="16">
        <v>4117205</v>
      </c>
      <c r="DJ5" s="153">
        <v>411720.5</v>
      </c>
      <c r="DK5" s="162">
        <v>45869</v>
      </c>
      <c r="DL5" s="16">
        <v>912478</v>
      </c>
      <c r="DM5" s="107">
        <v>3616447.5</v>
      </c>
    </row>
    <row r="6" spans="1:117">
      <c r="J6" s="37"/>
      <c r="K6" s="36"/>
      <c r="L6" s="87"/>
      <c r="M6" s="38"/>
      <c r="N6" s="36"/>
      <c r="O6" s="36"/>
      <c r="P6" s="1"/>
      <c r="Z6" s="36"/>
      <c r="AA6" s="36" t="s">
        <v>32</v>
      </c>
      <c r="AB6" s="85">
        <v>2025</v>
      </c>
      <c r="AC6" s="85">
        <v>1</v>
      </c>
      <c r="AD6" s="37">
        <v>45660</v>
      </c>
      <c r="AE6" s="36" t="s">
        <v>654</v>
      </c>
      <c r="AF6" s="36" t="s">
        <v>2577</v>
      </c>
      <c r="AG6" s="1" t="s">
        <v>44</v>
      </c>
      <c r="AH6" s="16">
        <f>SUMIFS(DB!$I:$I,DB!$C:$C,$AE6,DB!$D:$D,$AF6,DB!$K:$K,$AB6,DB!$L:$L,$AC6)</f>
        <v>9523800</v>
      </c>
      <c r="AI6" s="16">
        <v>8658000</v>
      </c>
      <c r="AJ6" s="153">
        <v>865800</v>
      </c>
      <c r="AK6" s="162">
        <v>45961</v>
      </c>
      <c r="AL6" s="16">
        <v>9523800</v>
      </c>
      <c r="AM6" s="107">
        <v>0</v>
      </c>
      <c r="AN6" s="36" t="s">
        <v>32</v>
      </c>
      <c r="AO6" s="37">
        <v>45660</v>
      </c>
      <c r="AP6" s="36" t="s">
        <v>654</v>
      </c>
      <c r="AQ6" s="36" t="s">
        <v>2577</v>
      </c>
      <c r="AR6" s="36" t="s">
        <v>76</v>
      </c>
      <c r="AS6" s="89"/>
      <c r="AT6" s="87">
        <v>8658000</v>
      </c>
      <c r="AU6" s="87">
        <v>865800</v>
      </c>
      <c r="AV6" s="87">
        <v>9523800</v>
      </c>
      <c r="AW6" s="38"/>
      <c r="AX6" s="85">
        <v>2025</v>
      </c>
      <c r="AY6" s="85">
        <v>1</v>
      </c>
      <c r="AZ6" s="36"/>
      <c r="BA6" s="1" t="s">
        <v>44</v>
      </c>
      <c r="CA6" s="36" t="s">
        <v>32</v>
      </c>
      <c r="CB6" s="37">
        <v>44470</v>
      </c>
      <c r="CC6" s="36" t="s">
        <v>511</v>
      </c>
      <c r="CD6" s="36" t="s">
        <v>512</v>
      </c>
      <c r="CE6" s="36" t="s">
        <v>76</v>
      </c>
      <c r="CF6" s="89"/>
      <c r="CG6" s="87">
        <v>4143300</v>
      </c>
      <c r="CH6" s="87">
        <v>414330</v>
      </c>
      <c r="CI6" s="87">
        <v>4557630</v>
      </c>
      <c r="CJ6" s="38"/>
      <c r="CK6" s="85">
        <v>2021</v>
      </c>
      <c r="CL6" s="85">
        <v>10</v>
      </c>
      <c r="CM6" s="36" t="s">
        <v>571</v>
      </c>
      <c r="CN6" s="208" t="s">
        <v>44</v>
      </c>
      <c r="CO6" s="89"/>
      <c r="CP6" s="37">
        <v>44530</v>
      </c>
      <c r="CQ6" s="36" t="s">
        <v>76</v>
      </c>
      <c r="CR6" s="16">
        <v>7536700</v>
      </c>
      <c r="CU6" s="36"/>
      <c r="CV6" s="37"/>
      <c r="CW6" s="36"/>
      <c r="CX6" s="16"/>
      <c r="DA6" s="36" t="s">
        <v>32</v>
      </c>
      <c r="DB6" s="85">
        <v>2025</v>
      </c>
      <c r="DC6" s="85">
        <v>4</v>
      </c>
      <c r="DD6" s="37">
        <v>45777</v>
      </c>
      <c r="DE6" s="36" t="s">
        <v>2823</v>
      </c>
      <c r="DF6" s="36" t="s">
        <v>2830</v>
      </c>
      <c r="DG6" s="1" t="s">
        <v>44</v>
      </c>
      <c r="DH6" s="16">
        <v>1760000</v>
      </c>
      <c r="DI6" s="16">
        <v>1600000</v>
      </c>
      <c r="DJ6" s="153">
        <v>160000</v>
      </c>
      <c r="DK6" s="162"/>
      <c r="DL6" s="16">
        <v>0</v>
      </c>
      <c r="DM6" s="107">
        <v>1760000</v>
      </c>
    </row>
    <row r="7" spans="1:117">
      <c r="J7" s="37"/>
      <c r="K7" s="36"/>
      <c r="L7" s="87"/>
      <c r="M7" s="38"/>
      <c r="N7" s="36"/>
      <c r="O7" s="36"/>
      <c r="P7" s="1"/>
      <c r="Z7" s="36"/>
      <c r="AA7" s="36" t="s">
        <v>32</v>
      </c>
      <c r="AB7" s="85">
        <v>2025</v>
      </c>
      <c r="AC7" s="85">
        <v>1</v>
      </c>
      <c r="AD7" s="37">
        <v>45663</v>
      </c>
      <c r="AE7" s="36" t="s">
        <v>188</v>
      </c>
      <c r="AF7" s="36" t="s">
        <v>2578</v>
      </c>
      <c r="AG7" s="1" t="s">
        <v>44</v>
      </c>
      <c r="AH7" s="16">
        <f>SUMIFS(DB!$I:$I,DB!$C:$C,$AE7,DB!$D:$D,$AF7,DB!$K:$K,$AB7,DB!$L:$L,$AC7)</f>
        <v>7150000</v>
      </c>
      <c r="AI7" s="16">
        <v>6500000</v>
      </c>
      <c r="AJ7" s="153">
        <v>650000</v>
      </c>
      <c r="AL7" s="16">
        <v>0</v>
      </c>
      <c r="AM7" s="107">
        <v>7150000</v>
      </c>
      <c r="AN7" s="36" t="s">
        <v>32</v>
      </c>
      <c r="AO7" s="37">
        <v>45663</v>
      </c>
      <c r="AP7" s="36" t="s">
        <v>188</v>
      </c>
      <c r="AQ7" s="36" t="s">
        <v>2578</v>
      </c>
      <c r="AR7" s="36" t="s">
        <v>267</v>
      </c>
      <c r="AS7" s="89"/>
      <c r="AT7" s="87">
        <v>6500000</v>
      </c>
      <c r="AU7" s="87">
        <v>650000</v>
      </c>
      <c r="AV7" s="87">
        <v>7150000</v>
      </c>
      <c r="AW7" s="38"/>
      <c r="AX7" s="85">
        <v>2025</v>
      </c>
      <c r="AY7" s="85">
        <v>1</v>
      </c>
      <c r="AZ7" s="36"/>
      <c r="BA7" s="1" t="s">
        <v>44</v>
      </c>
      <c r="CA7" s="36" t="s">
        <v>32</v>
      </c>
      <c r="CB7" s="37">
        <v>44498</v>
      </c>
      <c r="CC7" s="36" t="s">
        <v>511</v>
      </c>
      <c r="CD7" s="36" t="s">
        <v>512</v>
      </c>
      <c r="CE7" s="36" t="s">
        <v>148</v>
      </c>
      <c r="CF7" s="89"/>
      <c r="CG7" s="87"/>
      <c r="CH7" s="87"/>
      <c r="CI7" s="87"/>
      <c r="CJ7" s="87">
        <v>2379300</v>
      </c>
      <c r="CK7" s="85">
        <v>2021</v>
      </c>
      <c r="CL7" s="85">
        <v>10</v>
      </c>
      <c r="CM7" s="36"/>
      <c r="CN7" s="208" t="s">
        <v>44</v>
      </c>
      <c r="CO7" s="89"/>
      <c r="CP7" s="37">
        <v>44561</v>
      </c>
      <c r="CQ7" s="36" t="s">
        <v>76</v>
      </c>
      <c r="CR7" s="16">
        <v>20140900</v>
      </c>
      <c r="CU7" s="36"/>
      <c r="CV7" s="37"/>
      <c r="CW7" s="36"/>
      <c r="CX7" s="16"/>
      <c r="DA7" s="36" t="s">
        <v>32</v>
      </c>
      <c r="DB7" s="85">
        <v>2025</v>
      </c>
      <c r="DC7" s="85">
        <v>4</v>
      </c>
      <c r="DD7" s="37">
        <v>45777</v>
      </c>
      <c r="DE7" s="36" t="s">
        <v>1462</v>
      </c>
      <c r="DF7" s="36" t="s">
        <v>2962</v>
      </c>
      <c r="DG7" s="1" t="s">
        <v>44</v>
      </c>
      <c r="DH7" s="16">
        <v>10004238.200000001</v>
      </c>
      <c r="DI7" s="16">
        <v>9094762</v>
      </c>
      <c r="DJ7" s="153">
        <v>909476.20000000007</v>
      </c>
      <c r="DK7" s="162"/>
      <c r="DL7" s="16">
        <v>0</v>
      </c>
      <c r="DM7" s="107">
        <v>10004238.200000001</v>
      </c>
    </row>
    <row r="8" spans="1:117">
      <c r="J8" s="37"/>
      <c r="K8" s="36"/>
      <c r="L8" s="87"/>
      <c r="M8" s="38"/>
      <c r="N8" s="36"/>
      <c r="O8" s="36"/>
      <c r="P8" s="1"/>
      <c r="Z8" s="36"/>
      <c r="AA8" s="36" t="s">
        <v>32</v>
      </c>
      <c r="AB8" s="85">
        <v>2025</v>
      </c>
      <c r="AC8" s="85">
        <v>1</v>
      </c>
      <c r="AD8" s="37">
        <v>45659</v>
      </c>
      <c r="AE8" s="36" t="s">
        <v>2279</v>
      </c>
      <c r="AF8" s="36" t="s">
        <v>2579</v>
      </c>
      <c r="AG8" s="1" t="s">
        <v>44</v>
      </c>
      <c r="AH8" s="16">
        <f>SUMIFS(DB!$I:$I,DB!$C:$C,$AE8,DB!$D:$D,$AF8,DB!$K:$K,$AB8,DB!$L:$L,$AC8)</f>
        <v>51128000</v>
      </c>
      <c r="AI8" s="16">
        <v>46480000</v>
      </c>
      <c r="AJ8" s="153">
        <v>4648000</v>
      </c>
      <c r="AK8" s="162">
        <v>45740</v>
      </c>
      <c r="AL8" s="16">
        <v>51128000</v>
      </c>
      <c r="AM8" s="107">
        <v>0</v>
      </c>
      <c r="AN8" s="36" t="s">
        <v>32</v>
      </c>
      <c r="AO8" s="37">
        <v>45659</v>
      </c>
      <c r="AP8" s="36" t="s">
        <v>2279</v>
      </c>
      <c r="AQ8" s="36" t="s">
        <v>2579</v>
      </c>
      <c r="AR8" s="36" t="s">
        <v>76</v>
      </c>
      <c r="AS8" s="89"/>
      <c r="AT8" s="87">
        <v>42280000</v>
      </c>
      <c r="AU8" s="87">
        <v>4228000</v>
      </c>
      <c r="AV8" s="87">
        <v>46508000</v>
      </c>
      <c r="AW8" s="38"/>
      <c r="AX8" s="85">
        <v>2025</v>
      </c>
      <c r="AY8" s="85">
        <v>1</v>
      </c>
      <c r="AZ8" s="36"/>
      <c r="BA8" s="1" t="s">
        <v>44</v>
      </c>
      <c r="CA8" s="36" t="s">
        <v>32</v>
      </c>
      <c r="CB8" s="37">
        <v>44500</v>
      </c>
      <c r="CC8" s="36" t="s">
        <v>511</v>
      </c>
      <c r="CD8" s="36" t="s">
        <v>512</v>
      </c>
      <c r="CE8" s="36" t="s">
        <v>76</v>
      </c>
      <c r="CF8" s="89"/>
      <c r="CG8" s="87">
        <v>10474100</v>
      </c>
      <c r="CH8" s="87">
        <v>1047410</v>
      </c>
      <c r="CI8" s="87">
        <v>11521510</v>
      </c>
      <c r="CJ8" s="38"/>
      <c r="CK8" s="85">
        <v>2021</v>
      </c>
      <c r="CL8" s="85">
        <v>10</v>
      </c>
      <c r="CM8" s="36"/>
      <c r="CN8" s="208" t="s">
        <v>44</v>
      </c>
      <c r="CO8" s="89"/>
      <c r="CP8" s="37">
        <v>44592</v>
      </c>
      <c r="CQ8" s="36" t="s">
        <v>76</v>
      </c>
      <c r="CR8" s="16">
        <v>8346800</v>
      </c>
      <c r="CU8" s="36"/>
      <c r="CV8" s="37"/>
      <c r="CW8" s="36"/>
      <c r="CX8" s="16"/>
      <c r="DA8" s="36" t="s">
        <v>32</v>
      </c>
      <c r="DB8" s="85">
        <v>2025</v>
      </c>
      <c r="DC8" s="85">
        <v>5</v>
      </c>
      <c r="DD8" s="37">
        <v>45808</v>
      </c>
      <c r="DE8" s="36" t="s">
        <v>1198</v>
      </c>
      <c r="DF8" s="36" t="s">
        <v>2888</v>
      </c>
      <c r="DG8" s="1" t="s">
        <v>44</v>
      </c>
      <c r="DH8" s="16">
        <v>6648400</v>
      </c>
      <c r="DI8" s="16">
        <v>6044000</v>
      </c>
      <c r="DJ8" s="153">
        <v>604400</v>
      </c>
      <c r="DK8" s="162"/>
      <c r="DL8" s="16">
        <v>0</v>
      </c>
      <c r="DM8" s="107">
        <v>6648400</v>
      </c>
    </row>
    <row r="9" spans="1:117">
      <c r="J9" s="37"/>
      <c r="K9" s="36"/>
      <c r="L9" s="87"/>
      <c r="M9" s="87"/>
      <c r="N9" s="36"/>
      <c r="O9" s="36"/>
      <c r="P9" s="1"/>
      <c r="Z9" s="36"/>
      <c r="AA9" s="36" t="s">
        <v>32</v>
      </c>
      <c r="AB9" s="85">
        <v>2025</v>
      </c>
      <c r="AC9" s="85">
        <v>1</v>
      </c>
      <c r="AD9" s="37">
        <v>45665</v>
      </c>
      <c r="AE9" s="36" t="s">
        <v>2572</v>
      </c>
      <c r="AF9" s="36" t="s">
        <v>2580</v>
      </c>
      <c r="AG9" s="1" t="s">
        <v>44</v>
      </c>
      <c r="AH9" s="16">
        <f>SUMIFS(DB!$I:$I,DB!$C:$C,$AE9,DB!$D:$D,$AF9,DB!$K:$K,$AB9,DB!$L:$L,$AC9)</f>
        <v>22000000</v>
      </c>
      <c r="AI9" s="16">
        <v>20000000</v>
      </c>
      <c r="AJ9" s="153">
        <v>2000000</v>
      </c>
      <c r="AK9" s="162">
        <v>45681</v>
      </c>
      <c r="AL9" s="16">
        <v>22000000</v>
      </c>
      <c r="AM9" s="107">
        <v>0</v>
      </c>
      <c r="AN9" s="36" t="s">
        <v>32</v>
      </c>
      <c r="AO9" s="37">
        <v>45665</v>
      </c>
      <c r="AP9" s="36" t="s">
        <v>2572</v>
      </c>
      <c r="AQ9" s="36" t="s">
        <v>2580</v>
      </c>
      <c r="AR9" s="36" t="s">
        <v>1492</v>
      </c>
      <c r="AS9" s="89"/>
      <c r="AT9" s="87">
        <v>20000000</v>
      </c>
      <c r="AU9" s="87">
        <v>2000000</v>
      </c>
      <c r="AV9" s="87">
        <v>22000000</v>
      </c>
      <c r="AW9" s="38"/>
      <c r="AX9" s="85">
        <v>2025</v>
      </c>
      <c r="AY9" s="85">
        <v>1</v>
      </c>
      <c r="AZ9" s="36"/>
      <c r="BA9" s="1" t="s">
        <v>44</v>
      </c>
      <c r="CA9" s="36" t="s">
        <v>32</v>
      </c>
      <c r="CB9" s="37">
        <v>44530</v>
      </c>
      <c r="CC9" s="36" t="s">
        <v>511</v>
      </c>
      <c r="CD9" s="36" t="s">
        <v>512</v>
      </c>
      <c r="CE9" s="36" t="s">
        <v>148</v>
      </c>
      <c r="CF9" s="89"/>
      <c r="CG9" s="87"/>
      <c r="CH9" s="87"/>
      <c r="CI9" s="87"/>
      <c r="CJ9" s="87">
        <v>11521510</v>
      </c>
      <c r="CK9" s="85">
        <v>2021</v>
      </c>
      <c r="CL9" s="85">
        <v>10</v>
      </c>
      <c r="CM9" s="36" t="s">
        <v>614</v>
      </c>
      <c r="CN9" s="208" t="s">
        <v>44</v>
      </c>
      <c r="CO9" s="89"/>
      <c r="CP9" s="37">
        <v>44620</v>
      </c>
      <c r="CQ9" s="36" t="s">
        <v>246</v>
      </c>
      <c r="CR9" s="16">
        <v>11363700</v>
      </c>
      <c r="CU9" s="36"/>
      <c r="CV9" s="37"/>
      <c r="CW9" s="36"/>
      <c r="CX9" s="16"/>
      <c r="DA9" s="36" t="s">
        <v>32</v>
      </c>
      <c r="DB9" s="85">
        <v>2025</v>
      </c>
      <c r="DC9" s="85">
        <v>5</v>
      </c>
      <c r="DD9" s="37">
        <v>45808</v>
      </c>
      <c r="DE9" s="36" t="s">
        <v>2766</v>
      </c>
      <c r="DF9" s="36" t="s">
        <v>2890</v>
      </c>
      <c r="DG9" s="1" t="s">
        <v>44</v>
      </c>
      <c r="DH9" s="16">
        <v>2640000</v>
      </c>
      <c r="DI9" s="16">
        <v>2400000</v>
      </c>
      <c r="DJ9" s="153">
        <v>240000</v>
      </c>
      <c r="DK9" s="162"/>
      <c r="DL9" s="16">
        <v>0</v>
      </c>
      <c r="DM9" s="107">
        <v>2640000</v>
      </c>
    </row>
    <row r="10" spans="1:117">
      <c r="J10" s="37"/>
      <c r="K10" s="36"/>
      <c r="L10" s="87"/>
      <c r="M10" s="38"/>
      <c r="N10" s="36"/>
      <c r="O10" s="36"/>
      <c r="P10" s="1"/>
      <c r="Z10" s="36"/>
      <c r="AA10" s="36" t="s">
        <v>32</v>
      </c>
      <c r="AB10" s="85">
        <v>2025</v>
      </c>
      <c r="AC10" s="85">
        <v>1</v>
      </c>
      <c r="AD10" s="37">
        <v>45659</v>
      </c>
      <c r="AE10" s="36" t="s">
        <v>2393</v>
      </c>
      <c r="AF10" s="36" t="s">
        <v>2561</v>
      </c>
      <c r="AG10" s="1" t="s">
        <v>44</v>
      </c>
      <c r="AH10" s="16">
        <f>SUMIFS(DB!$I:$I,DB!$C:$C,$AE10,DB!$D:$D,$AF10,DB!$K:$K,$AB10,DB!$L:$L,$AC10)</f>
        <v>2808696</v>
      </c>
      <c r="AI10" s="16">
        <v>2553360</v>
      </c>
      <c r="AJ10" s="153">
        <v>255336</v>
      </c>
      <c r="AK10" s="162">
        <v>45818</v>
      </c>
      <c r="AL10" s="16">
        <v>2808696</v>
      </c>
      <c r="AM10" s="107">
        <v>0</v>
      </c>
      <c r="AN10" s="36" t="s">
        <v>32</v>
      </c>
      <c r="AO10" s="37">
        <v>45659</v>
      </c>
      <c r="AP10" s="36" t="s">
        <v>2393</v>
      </c>
      <c r="AQ10" s="36" t="s">
        <v>2561</v>
      </c>
      <c r="AR10" s="36" t="s">
        <v>267</v>
      </c>
      <c r="AS10" s="89"/>
      <c r="AT10" s="87">
        <v>2553360</v>
      </c>
      <c r="AU10" s="87">
        <v>255336</v>
      </c>
      <c r="AV10" s="87">
        <v>2808696</v>
      </c>
      <c r="AW10" s="38"/>
      <c r="AX10" s="85">
        <v>2025</v>
      </c>
      <c r="AY10" s="85">
        <v>1</v>
      </c>
      <c r="AZ10" s="36"/>
      <c r="BA10" s="1" t="s">
        <v>44</v>
      </c>
      <c r="CA10" s="36" t="s">
        <v>32</v>
      </c>
      <c r="CB10" s="37">
        <v>44530</v>
      </c>
      <c r="CC10" s="36" t="s">
        <v>511</v>
      </c>
      <c r="CD10" s="36" t="s">
        <v>512</v>
      </c>
      <c r="CE10" s="36" t="s">
        <v>76</v>
      </c>
      <c r="CF10" s="89"/>
      <c r="CG10" s="87">
        <v>7536700</v>
      </c>
      <c r="CH10" s="87">
        <v>753670</v>
      </c>
      <c r="CI10" s="87">
        <v>8290370</v>
      </c>
      <c r="CJ10" s="38"/>
      <c r="CK10" s="85">
        <v>2021</v>
      </c>
      <c r="CL10" s="85">
        <v>11</v>
      </c>
      <c r="CM10" s="36"/>
      <c r="CN10" s="208" t="s">
        <v>44</v>
      </c>
      <c r="CO10" s="89"/>
      <c r="CP10" s="37">
        <v>44651</v>
      </c>
      <c r="CQ10" s="36" t="s">
        <v>76</v>
      </c>
      <c r="CR10" s="16">
        <v>10863700</v>
      </c>
      <c r="CV10" s="129"/>
      <c r="CW10" s="128"/>
      <c r="CX10" s="16"/>
      <c r="DA10" s="36" t="s">
        <v>32</v>
      </c>
      <c r="DB10" s="85">
        <v>2025</v>
      </c>
      <c r="DC10" s="85">
        <v>6</v>
      </c>
      <c r="DD10" s="37">
        <v>45838</v>
      </c>
      <c r="DE10" s="36" t="s">
        <v>188</v>
      </c>
      <c r="DF10" s="36" t="s">
        <v>2937</v>
      </c>
      <c r="DG10" s="1" t="s">
        <v>44</v>
      </c>
      <c r="DH10" s="16">
        <v>14439371.1</v>
      </c>
      <c r="DI10" s="16">
        <v>13126701</v>
      </c>
      <c r="DJ10" s="153">
        <v>1312670.1000000001</v>
      </c>
      <c r="DK10" s="162"/>
      <c r="DL10" s="16">
        <v>0</v>
      </c>
      <c r="DM10" s="107">
        <v>14439371.1</v>
      </c>
    </row>
    <row r="11" spans="1:117">
      <c r="J11" s="37"/>
      <c r="K11" s="36"/>
      <c r="L11" s="87"/>
      <c r="M11" s="87"/>
      <c r="N11" s="36"/>
      <c r="O11" s="36"/>
      <c r="P11" s="1"/>
      <c r="Z11" s="36"/>
      <c r="AA11" s="36" t="s">
        <v>32</v>
      </c>
      <c r="AB11" s="85">
        <v>2025</v>
      </c>
      <c r="AC11" s="85">
        <v>1</v>
      </c>
      <c r="AD11" s="37">
        <v>45659</v>
      </c>
      <c r="AE11" s="36" t="s">
        <v>2223</v>
      </c>
      <c r="AF11" s="36" t="s">
        <v>2581</v>
      </c>
      <c r="AG11" s="1" t="s">
        <v>44</v>
      </c>
      <c r="AH11" s="16">
        <f>SUMIFS(DB!$I:$I,DB!$C:$C,$AE11,DB!$D:$D,$AF11,DB!$K:$K,$AB11,DB!$L:$L,$AC11)</f>
        <v>4950000</v>
      </c>
      <c r="AI11" s="16">
        <v>4500000</v>
      </c>
      <c r="AJ11" s="153">
        <v>450000</v>
      </c>
      <c r="AK11" s="162">
        <v>45721</v>
      </c>
      <c r="AL11" s="16">
        <v>4950000</v>
      </c>
      <c r="AM11" s="107">
        <v>0</v>
      </c>
      <c r="AN11" s="36" t="s">
        <v>32</v>
      </c>
      <c r="AO11" s="37">
        <v>45659</v>
      </c>
      <c r="AP11" s="36" t="s">
        <v>2223</v>
      </c>
      <c r="AQ11" s="36" t="s">
        <v>2581</v>
      </c>
      <c r="AR11" s="36" t="s">
        <v>1767</v>
      </c>
      <c r="AS11" s="89"/>
      <c r="AT11" s="87">
        <v>4500000</v>
      </c>
      <c r="AU11" s="87">
        <v>450000</v>
      </c>
      <c r="AV11" s="87">
        <v>4950000</v>
      </c>
      <c r="AW11" s="38"/>
      <c r="AX11" s="85">
        <v>2025</v>
      </c>
      <c r="AY11" s="85">
        <v>1</v>
      </c>
      <c r="AZ11" s="36"/>
      <c r="BA11" s="1" t="s">
        <v>44</v>
      </c>
      <c r="CA11" s="36" t="s">
        <v>32</v>
      </c>
      <c r="CB11" s="37">
        <v>44558</v>
      </c>
      <c r="CC11" s="36" t="s">
        <v>511</v>
      </c>
      <c r="CD11" s="36" t="s">
        <v>512</v>
      </c>
      <c r="CE11" s="36" t="s">
        <v>148</v>
      </c>
      <c r="CF11" s="89"/>
      <c r="CG11" s="87"/>
      <c r="CH11" s="87"/>
      <c r="CI11" s="87"/>
      <c r="CJ11" s="38">
        <v>2178330</v>
      </c>
      <c r="CK11" s="85">
        <v>2021</v>
      </c>
      <c r="CL11" s="85">
        <v>10</v>
      </c>
      <c r="CM11" s="36" t="s">
        <v>638</v>
      </c>
      <c r="CN11" s="208" t="s">
        <v>44</v>
      </c>
      <c r="CO11" s="89"/>
      <c r="CP11" s="37">
        <v>44681</v>
      </c>
      <c r="CQ11" s="36" t="s">
        <v>76</v>
      </c>
      <c r="CR11" s="16">
        <v>16554900</v>
      </c>
      <c r="DA11" s="36" t="s">
        <v>32</v>
      </c>
      <c r="DB11" s="85">
        <v>2025</v>
      </c>
      <c r="DC11" s="85">
        <v>7</v>
      </c>
      <c r="DD11" s="37">
        <v>45853</v>
      </c>
      <c r="DE11" s="36" t="s">
        <v>2545</v>
      </c>
      <c r="DF11" s="36" t="s">
        <v>3007</v>
      </c>
      <c r="DG11" s="1" t="s">
        <v>44</v>
      </c>
      <c r="DH11" s="16">
        <v>5500000</v>
      </c>
      <c r="DI11" s="16">
        <v>5000000</v>
      </c>
      <c r="DJ11" s="153">
        <v>500000</v>
      </c>
      <c r="DK11" s="162"/>
      <c r="DL11" s="16">
        <v>0</v>
      </c>
      <c r="DM11" s="107">
        <v>5500000</v>
      </c>
    </row>
    <row r="12" spans="1:117">
      <c r="J12" s="37"/>
      <c r="K12" s="36"/>
      <c r="L12" s="87"/>
      <c r="M12" s="38"/>
      <c r="N12" s="36"/>
      <c r="O12" s="36"/>
      <c r="P12" s="1"/>
      <c r="Z12" s="36"/>
      <c r="AA12" s="36" t="s">
        <v>32</v>
      </c>
      <c r="AB12" s="85">
        <v>2025</v>
      </c>
      <c r="AC12" s="85">
        <v>1</v>
      </c>
      <c r="AD12" s="37">
        <v>45659</v>
      </c>
      <c r="AE12" s="36" t="s">
        <v>654</v>
      </c>
      <c r="AF12" s="36" t="s">
        <v>2215</v>
      </c>
      <c r="AG12" s="1" t="s">
        <v>44</v>
      </c>
      <c r="AH12" s="16">
        <f>SUMIFS(DB!$I:$I,DB!$C:$C,$AE12,DB!$D:$D,$AF12,DB!$K:$K,$AB12,DB!$L:$L,$AC12)</f>
        <v>26172520</v>
      </c>
      <c r="AI12" s="16">
        <v>23793200</v>
      </c>
      <c r="AJ12" s="153">
        <v>2379320</v>
      </c>
      <c r="AK12" s="162">
        <v>45961</v>
      </c>
      <c r="AL12" s="16">
        <v>26172520</v>
      </c>
      <c r="AM12" s="107">
        <v>0</v>
      </c>
      <c r="AN12" s="36" t="s">
        <v>32</v>
      </c>
      <c r="AO12" s="37">
        <v>45660</v>
      </c>
      <c r="AP12" s="36" t="s">
        <v>2476</v>
      </c>
      <c r="AQ12" s="36" t="s">
        <v>2573</v>
      </c>
      <c r="AR12" s="36" t="s">
        <v>2583</v>
      </c>
      <c r="AS12" s="89"/>
      <c r="AT12" s="87"/>
      <c r="AU12" s="87"/>
      <c r="AV12" s="87"/>
      <c r="AW12" s="38">
        <v>11028600</v>
      </c>
      <c r="AX12" s="85">
        <v>2025</v>
      </c>
      <c r="AY12" s="85">
        <v>1</v>
      </c>
      <c r="AZ12" s="36"/>
      <c r="BA12" s="1" t="s">
        <v>44</v>
      </c>
      <c r="CA12" s="36" t="s">
        <v>32</v>
      </c>
      <c r="CB12" s="37">
        <v>44558</v>
      </c>
      <c r="CC12" s="36" t="s">
        <v>511</v>
      </c>
      <c r="CD12" s="36" t="s">
        <v>512</v>
      </c>
      <c r="CE12" s="36" t="s">
        <v>148</v>
      </c>
      <c r="CF12" s="89"/>
      <c r="CG12" s="87"/>
      <c r="CH12" s="87"/>
      <c r="CI12" s="87"/>
      <c r="CJ12" s="87">
        <v>8290370</v>
      </c>
      <c r="CK12" s="85">
        <v>2021</v>
      </c>
      <c r="CL12" s="85">
        <v>11</v>
      </c>
      <c r="CM12" s="36" t="s">
        <v>638</v>
      </c>
      <c r="CN12" s="208" t="s">
        <v>44</v>
      </c>
      <c r="CO12" s="89"/>
      <c r="CP12" s="37">
        <v>44712</v>
      </c>
      <c r="CQ12" s="36" t="s">
        <v>76</v>
      </c>
      <c r="CR12" s="16">
        <v>12835500</v>
      </c>
      <c r="DA12" s="36" t="s">
        <v>32</v>
      </c>
      <c r="DB12" s="85">
        <v>2025</v>
      </c>
      <c r="DC12" s="85">
        <v>7</v>
      </c>
      <c r="DD12" s="37">
        <v>45869</v>
      </c>
      <c r="DE12" s="36" t="s">
        <v>3002</v>
      </c>
      <c r="DF12" s="36" t="s">
        <v>3016</v>
      </c>
      <c r="DG12" s="1" t="s">
        <v>44</v>
      </c>
      <c r="DH12" s="16">
        <v>11594000</v>
      </c>
      <c r="DI12" s="16">
        <v>10540000</v>
      </c>
      <c r="DJ12" s="153">
        <v>1054000</v>
      </c>
      <c r="DK12" s="162"/>
      <c r="DL12" s="16">
        <v>0</v>
      </c>
      <c r="DM12" s="107">
        <v>11594000</v>
      </c>
    </row>
    <row r="13" spans="1:117">
      <c r="J13" s="37"/>
      <c r="K13" s="36"/>
      <c r="L13" s="87"/>
      <c r="M13" s="38"/>
      <c r="N13" s="36"/>
      <c r="O13" s="36"/>
      <c r="P13" s="1"/>
      <c r="Z13" s="36"/>
      <c r="AA13" s="36" t="s">
        <v>32</v>
      </c>
      <c r="AB13" s="85">
        <v>2025</v>
      </c>
      <c r="AC13" s="85">
        <v>1</v>
      </c>
      <c r="AD13" s="37">
        <v>45659</v>
      </c>
      <c r="AE13" s="36" t="s">
        <v>2395</v>
      </c>
      <c r="AF13" s="36" t="s">
        <v>2369</v>
      </c>
      <c r="AG13" s="1" t="s">
        <v>44</v>
      </c>
      <c r="AH13" s="16">
        <f>SUMIFS(DB!$I:$I,DB!$C:$C,$AE13,DB!$D:$D,$AF13,DB!$K:$K,$AB13,DB!$L:$L,$AC13)</f>
        <v>56383635</v>
      </c>
      <c r="AI13" s="16">
        <v>51257850</v>
      </c>
      <c r="AJ13" s="153">
        <v>5125785</v>
      </c>
      <c r="AK13" s="162">
        <v>45838</v>
      </c>
      <c r="AL13" s="16">
        <v>56383635</v>
      </c>
      <c r="AM13" s="107">
        <v>0</v>
      </c>
      <c r="AN13" s="36" t="s">
        <v>32</v>
      </c>
      <c r="AO13" s="37">
        <v>45660</v>
      </c>
      <c r="AP13" s="36" t="s">
        <v>654</v>
      </c>
      <c r="AQ13" s="36" t="s">
        <v>2574</v>
      </c>
      <c r="AR13" s="36" t="s">
        <v>2582</v>
      </c>
      <c r="AS13" s="89"/>
      <c r="AT13" s="87"/>
      <c r="AU13" s="87"/>
      <c r="AV13" s="87"/>
      <c r="AW13" s="38">
        <v>27963760</v>
      </c>
      <c r="AX13" s="85">
        <v>2025</v>
      </c>
      <c r="AY13" s="85">
        <v>1</v>
      </c>
      <c r="AZ13" s="36"/>
      <c r="BA13" s="1" t="s">
        <v>44</v>
      </c>
      <c r="CA13" s="36" t="s">
        <v>32</v>
      </c>
      <c r="CB13" s="37">
        <v>44561</v>
      </c>
      <c r="CC13" s="36" t="s">
        <v>511</v>
      </c>
      <c r="CD13" s="36" t="s">
        <v>512</v>
      </c>
      <c r="CE13" s="36" t="s">
        <v>76</v>
      </c>
      <c r="CF13" s="89"/>
      <c r="CG13" s="87">
        <v>20140900</v>
      </c>
      <c r="CH13" s="87">
        <v>2014090</v>
      </c>
      <c r="CI13" s="87">
        <v>22154990</v>
      </c>
      <c r="CJ13" s="38"/>
      <c r="CK13" s="85">
        <v>2021</v>
      </c>
      <c r="CL13" s="85">
        <v>12</v>
      </c>
      <c r="CM13" s="36"/>
      <c r="CN13" s="208" t="s">
        <v>44</v>
      </c>
      <c r="CO13" s="89"/>
      <c r="CP13" s="37">
        <v>44742</v>
      </c>
      <c r="CQ13" s="36" t="s">
        <v>76</v>
      </c>
      <c r="CR13" s="16">
        <v>2542800</v>
      </c>
      <c r="DA13" s="36" t="s">
        <v>32</v>
      </c>
      <c r="DB13" s="85">
        <v>2025</v>
      </c>
      <c r="DC13" s="85">
        <v>7</v>
      </c>
      <c r="DD13" s="37">
        <v>45869</v>
      </c>
      <c r="DE13" s="36" t="s">
        <v>1198</v>
      </c>
      <c r="DF13" s="36" t="s">
        <v>2889</v>
      </c>
      <c r="DG13" s="1" t="s">
        <v>44</v>
      </c>
      <c r="DH13" s="16">
        <v>970200</v>
      </c>
      <c r="DI13" s="16">
        <v>882000</v>
      </c>
      <c r="DJ13" s="153">
        <v>88200</v>
      </c>
      <c r="DK13" s="162"/>
      <c r="DL13" s="16">
        <v>0</v>
      </c>
      <c r="DM13" s="107">
        <v>970200</v>
      </c>
    </row>
    <row r="14" spans="1:117">
      <c r="J14" s="37"/>
      <c r="K14" s="36"/>
      <c r="L14" s="87"/>
      <c r="M14" s="38"/>
      <c r="N14" s="36"/>
      <c r="O14" s="36"/>
      <c r="P14" s="1"/>
      <c r="Z14" s="36"/>
      <c r="AA14" s="36" t="s">
        <v>32</v>
      </c>
      <c r="AB14" s="85">
        <v>2025</v>
      </c>
      <c r="AC14" s="85">
        <v>1</v>
      </c>
      <c r="AD14" s="37">
        <v>45688</v>
      </c>
      <c r="AE14" s="36" t="s">
        <v>654</v>
      </c>
      <c r="AF14" s="36" t="s">
        <v>2630</v>
      </c>
      <c r="AG14" s="1" t="s">
        <v>44</v>
      </c>
      <c r="AH14" s="16">
        <f>SUMIFS(DB!$I:$I,DB!$C:$C,$AE14,DB!$D:$D,$AF14,DB!$K:$K,$AB14,DB!$L:$L,$AC14)</f>
        <v>8080248</v>
      </c>
      <c r="AI14" s="16">
        <v>7345680</v>
      </c>
      <c r="AJ14" s="153">
        <v>734568</v>
      </c>
      <c r="AK14" s="162">
        <v>45961</v>
      </c>
      <c r="AL14" s="16">
        <v>8080248</v>
      </c>
      <c r="AM14" s="107">
        <v>0</v>
      </c>
      <c r="AN14" s="36" t="s">
        <v>32</v>
      </c>
      <c r="AO14" s="37">
        <v>45660</v>
      </c>
      <c r="AP14" s="36" t="s">
        <v>654</v>
      </c>
      <c r="AQ14" s="36" t="s">
        <v>2576</v>
      </c>
      <c r="AR14" s="36" t="s">
        <v>2584</v>
      </c>
      <c r="AS14" s="89"/>
      <c r="AT14" s="87"/>
      <c r="AU14" s="87"/>
      <c r="AV14" s="87"/>
      <c r="AW14" s="38">
        <v>22183282</v>
      </c>
      <c r="AX14" s="85">
        <v>2025</v>
      </c>
      <c r="AY14" s="85">
        <v>1</v>
      </c>
      <c r="AZ14" s="36"/>
      <c r="BA14" s="1" t="s">
        <v>44</v>
      </c>
      <c r="CA14" s="36" t="s">
        <v>32</v>
      </c>
      <c r="CB14" s="37">
        <v>44588</v>
      </c>
      <c r="CC14" s="36" t="s">
        <v>511</v>
      </c>
      <c r="CD14" s="36" t="s">
        <v>512</v>
      </c>
      <c r="CE14" s="36" t="s">
        <v>148</v>
      </c>
      <c r="CF14" s="89"/>
      <c r="CG14" s="87"/>
      <c r="CH14" s="87"/>
      <c r="CI14" s="87"/>
      <c r="CJ14" s="87">
        <v>9181480</v>
      </c>
      <c r="CK14" s="85">
        <v>2022</v>
      </c>
      <c r="CL14" s="85">
        <v>1</v>
      </c>
      <c r="CM14" s="36" t="s">
        <v>638</v>
      </c>
      <c r="CN14" s="208" t="s">
        <v>44</v>
      </c>
      <c r="CO14" s="89"/>
      <c r="CP14" s="37">
        <v>44773</v>
      </c>
      <c r="CQ14" s="36" t="s">
        <v>76</v>
      </c>
      <c r="CR14" s="16">
        <v>7264700</v>
      </c>
      <c r="DA14" s="36" t="s">
        <v>32</v>
      </c>
      <c r="DB14" s="85">
        <v>2025</v>
      </c>
      <c r="DC14" s="85">
        <v>8</v>
      </c>
      <c r="DD14" s="37">
        <v>45900</v>
      </c>
      <c r="DE14" s="36" t="s">
        <v>654</v>
      </c>
      <c r="DF14" s="36" t="s">
        <v>2541</v>
      </c>
      <c r="DG14" s="1" t="s">
        <v>44</v>
      </c>
      <c r="DH14" s="16">
        <v>13544300</v>
      </c>
      <c r="DI14" s="16">
        <v>12313000</v>
      </c>
      <c r="DJ14" s="153">
        <v>1231300</v>
      </c>
      <c r="DK14" s="162">
        <v>45961</v>
      </c>
      <c r="DL14" s="16">
        <v>9884728</v>
      </c>
      <c r="DM14" s="107">
        <v>3659572</v>
      </c>
    </row>
    <row r="15" spans="1:117">
      <c r="J15" s="37"/>
      <c r="K15" s="36"/>
      <c r="L15" s="87"/>
      <c r="M15" s="38"/>
      <c r="N15" s="36"/>
      <c r="O15" s="36"/>
      <c r="P15" s="1"/>
      <c r="Z15" s="36"/>
      <c r="AA15" s="36" t="s">
        <v>32</v>
      </c>
      <c r="AB15" s="85">
        <v>2025</v>
      </c>
      <c r="AC15" s="85">
        <v>1</v>
      </c>
      <c r="AD15" s="37">
        <v>45688</v>
      </c>
      <c r="AE15" s="36" t="s">
        <v>654</v>
      </c>
      <c r="AF15" s="36" t="s">
        <v>2631</v>
      </c>
      <c r="AG15" s="1" t="s">
        <v>44</v>
      </c>
      <c r="AH15" s="16">
        <f>SUMIFS(DB!$I:$I,DB!$C:$C,$AE15,DB!$D:$D,$AF15,DB!$K:$K,$AB15,DB!$L:$L,$AC15)</f>
        <v>0</v>
      </c>
      <c r="AI15" s="16">
        <v>0</v>
      </c>
      <c r="AJ15" s="153">
        <v>0</v>
      </c>
      <c r="AL15" s="16">
        <v>0</v>
      </c>
      <c r="AM15" s="107">
        <v>0</v>
      </c>
      <c r="AN15" s="36" t="s">
        <v>32</v>
      </c>
      <c r="AO15" s="37">
        <v>45659</v>
      </c>
      <c r="AP15" s="36" t="s">
        <v>654</v>
      </c>
      <c r="AQ15" s="36" t="s">
        <v>2215</v>
      </c>
      <c r="AR15" s="36" t="s">
        <v>76</v>
      </c>
      <c r="AS15" s="89"/>
      <c r="AT15" s="87">
        <v>23793200</v>
      </c>
      <c r="AU15" s="87">
        <v>2379320</v>
      </c>
      <c r="AV15" s="87">
        <v>26172520</v>
      </c>
      <c r="AW15" s="38"/>
      <c r="AX15" s="85">
        <v>2025</v>
      </c>
      <c r="AY15" s="85">
        <v>1</v>
      </c>
      <c r="AZ15" s="36"/>
      <c r="BA15" s="1" t="s">
        <v>44</v>
      </c>
      <c r="CA15" s="36" t="s">
        <v>32</v>
      </c>
      <c r="CB15" s="37">
        <v>44588</v>
      </c>
      <c r="CC15" s="36" t="s">
        <v>511</v>
      </c>
      <c r="CD15" s="36" t="s">
        <v>512</v>
      </c>
      <c r="CE15" s="36" t="s">
        <v>148</v>
      </c>
      <c r="CF15" s="89"/>
      <c r="CG15" s="87"/>
      <c r="CH15" s="87"/>
      <c r="CI15" s="87"/>
      <c r="CJ15" s="87">
        <v>22154990</v>
      </c>
      <c r="CK15" s="85">
        <v>2021</v>
      </c>
      <c r="CL15" s="85">
        <v>12</v>
      </c>
      <c r="CM15" s="36" t="s">
        <v>638</v>
      </c>
      <c r="CN15" s="208" t="s">
        <v>44</v>
      </c>
      <c r="CO15" s="89"/>
      <c r="CP15" s="37"/>
      <c r="CQ15" s="36"/>
      <c r="DA15" s="36" t="s">
        <v>32</v>
      </c>
      <c r="DB15" s="85">
        <v>2025</v>
      </c>
      <c r="DC15" s="85">
        <v>9</v>
      </c>
      <c r="DD15" s="37">
        <v>45901</v>
      </c>
      <c r="DE15" s="36" t="s">
        <v>2868</v>
      </c>
      <c r="DF15" s="36" t="s">
        <v>2875</v>
      </c>
      <c r="DG15" s="1" t="s">
        <v>44</v>
      </c>
      <c r="DH15" s="16">
        <v>71500000</v>
      </c>
      <c r="DI15" s="16">
        <v>65000000</v>
      </c>
      <c r="DJ15" s="153">
        <v>6500000</v>
      </c>
      <c r="DK15" s="162">
        <v>45961</v>
      </c>
      <c r="DL15" s="16">
        <v>9900000</v>
      </c>
      <c r="DM15" s="107">
        <v>61600000</v>
      </c>
    </row>
    <row r="16" spans="1:117">
      <c r="J16" s="37"/>
      <c r="K16" s="36"/>
      <c r="L16" s="87"/>
      <c r="M16" s="38"/>
      <c r="N16" s="36"/>
      <c r="O16" s="36"/>
      <c r="P16" s="1"/>
      <c r="Z16" s="36"/>
      <c r="AA16" s="36" t="s">
        <v>32</v>
      </c>
      <c r="AB16" s="85">
        <v>2025</v>
      </c>
      <c r="AC16" s="85">
        <v>1</v>
      </c>
      <c r="AD16" s="37">
        <v>45688</v>
      </c>
      <c r="AE16" s="36" t="s">
        <v>654</v>
      </c>
      <c r="AF16" s="36" t="s">
        <v>2632</v>
      </c>
      <c r="AG16" s="1" t="s">
        <v>44</v>
      </c>
      <c r="AH16" s="16">
        <f>SUMIFS(DB!$I:$I,DB!$C:$C,$AE16,DB!$D:$D,$AF16,DB!$K:$K,$AB16,DB!$L:$L,$AC16)</f>
        <v>11102058</v>
      </c>
      <c r="AI16" s="16">
        <v>10092780</v>
      </c>
      <c r="AJ16" s="153">
        <v>1009278</v>
      </c>
      <c r="AK16" s="162">
        <v>45961</v>
      </c>
      <c r="AL16" s="16">
        <v>11102058</v>
      </c>
      <c r="AM16" s="107">
        <v>0</v>
      </c>
      <c r="AN16" s="36" t="s">
        <v>32</v>
      </c>
      <c r="AO16" s="37">
        <v>45677</v>
      </c>
      <c r="AP16" s="36" t="s">
        <v>654</v>
      </c>
      <c r="AQ16" s="36" t="s">
        <v>2215</v>
      </c>
      <c r="AR16" s="36" t="s">
        <v>77</v>
      </c>
      <c r="AS16" s="89"/>
      <c r="AT16" s="87"/>
      <c r="AU16" s="87"/>
      <c r="AV16" s="87"/>
      <c r="AW16" s="38">
        <v>26172520</v>
      </c>
      <c r="AX16" s="85">
        <v>2025</v>
      </c>
      <c r="AY16" s="85">
        <v>1</v>
      </c>
      <c r="AZ16" s="36"/>
      <c r="BA16" s="1" t="s">
        <v>44</v>
      </c>
      <c r="CA16" s="36" t="s">
        <v>32</v>
      </c>
      <c r="CB16" s="37">
        <v>44592</v>
      </c>
      <c r="CC16" s="36" t="s">
        <v>511</v>
      </c>
      <c r="CD16" s="36" t="s">
        <v>512</v>
      </c>
      <c r="CE16" s="36" t="s">
        <v>76</v>
      </c>
      <c r="CF16" s="89"/>
      <c r="CG16" s="87">
        <v>8346800</v>
      </c>
      <c r="CH16" s="87">
        <v>834680</v>
      </c>
      <c r="CI16" s="87">
        <v>9181480</v>
      </c>
      <c r="CJ16" s="38"/>
      <c r="CK16" s="85">
        <v>2022</v>
      </c>
      <c r="CL16" s="85">
        <v>1</v>
      </c>
      <c r="CM16" s="36"/>
      <c r="CN16" s="208" t="s">
        <v>44</v>
      </c>
      <c r="CP16" s="37"/>
      <c r="CQ16" s="36"/>
      <c r="DA16" s="36" t="s">
        <v>32</v>
      </c>
      <c r="DB16" s="85">
        <v>2025</v>
      </c>
      <c r="DC16" s="85">
        <v>9</v>
      </c>
      <c r="DD16" s="37">
        <v>45930</v>
      </c>
      <c r="DE16" s="36" t="s">
        <v>334</v>
      </c>
      <c r="DF16" s="36" t="s">
        <v>2490</v>
      </c>
      <c r="DG16" s="1" t="s">
        <v>44</v>
      </c>
      <c r="DH16" s="16">
        <v>5500000</v>
      </c>
      <c r="DI16" s="16">
        <v>5000000</v>
      </c>
      <c r="DJ16" s="153">
        <v>500000</v>
      </c>
      <c r="DK16" s="162"/>
      <c r="DL16" s="16">
        <v>0</v>
      </c>
      <c r="DM16" s="107">
        <v>5500000</v>
      </c>
    </row>
    <row r="17" spans="10:117">
      <c r="J17" s="37"/>
      <c r="K17" s="36"/>
      <c r="L17" s="87"/>
      <c r="M17" s="38"/>
      <c r="N17" s="36"/>
      <c r="O17" s="36"/>
      <c r="P17" s="1"/>
      <c r="Z17" s="36"/>
      <c r="AA17" s="36" t="s">
        <v>32</v>
      </c>
      <c r="AB17" s="85">
        <v>2025</v>
      </c>
      <c r="AC17" s="85">
        <v>1</v>
      </c>
      <c r="AD17" s="37">
        <v>45688</v>
      </c>
      <c r="AE17" s="36" t="s">
        <v>654</v>
      </c>
      <c r="AF17" s="36" t="s">
        <v>2633</v>
      </c>
      <c r="AG17" s="1" t="s">
        <v>44</v>
      </c>
      <c r="AH17" s="16">
        <f>SUMIFS(DB!$I:$I,DB!$C:$C,$AE17,DB!$D:$D,$AF17,DB!$K:$K,$AB17,DB!$L:$L,$AC17)</f>
        <v>14873452</v>
      </c>
      <c r="AI17" s="16">
        <v>13521320</v>
      </c>
      <c r="AJ17" s="153">
        <v>1352132</v>
      </c>
      <c r="AK17" s="162">
        <v>45961</v>
      </c>
      <c r="AL17" s="16">
        <v>14873452</v>
      </c>
      <c r="AM17" s="107">
        <v>0</v>
      </c>
      <c r="AN17" s="36" t="s">
        <v>32</v>
      </c>
      <c r="AO17" s="37">
        <v>45680</v>
      </c>
      <c r="AP17" s="36" t="s">
        <v>654</v>
      </c>
      <c r="AQ17" s="36" t="s">
        <v>2577</v>
      </c>
      <c r="AR17" s="36" t="s">
        <v>2615</v>
      </c>
      <c r="AS17" s="89"/>
      <c r="AT17" s="87"/>
      <c r="AU17" s="87"/>
      <c r="AV17" s="87"/>
      <c r="AW17" s="87">
        <v>9523800</v>
      </c>
      <c r="AX17" s="85">
        <v>2025</v>
      </c>
      <c r="AY17" s="85">
        <v>1</v>
      </c>
      <c r="AZ17" s="36"/>
      <c r="BA17" s="1" t="s">
        <v>44</v>
      </c>
      <c r="CA17" s="36" t="s">
        <v>18</v>
      </c>
      <c r="CB17" s="37">
        <v>44620</v>
      </c>
      <c r="CC17" s="36" t="s">
        <v>726</v>
      </c>
      <c r="CD17" s="36" t="s">
        <v>727</v>
      </c>
      <c r="CE17" s="36" t="s">
        <v>246</v>
      </c>
      <c r="CF17" s="89"/>
      <c r="CG17" s="87">
        <v>11363700</v>
      </c>
      <c r="CH17" s="87">
        <v>1136370</v>
      </c>
      <c r="CI17" s="87">
        <v>12500070</v>
      </c>
      <c r="CJ17" s="38"/>
      <c r="CK17" s="85">
        <v>2022</v>
      </c>
      <c r="CL17" s="85">
        <v>2</v>
      </c>
      <c r="CM17" s="36"/>
      <c r="CN17" s="208" t="s">
        <v>44</v>
      </c>
      <c r="DA17" s="36" t="s">
        <v>32</v>
      </c>
      <c r="DB17" s="85">
        <v>2025</v>
      </c>
      <c r="DC17" s="85">
        <v>9</v>
      </c>
      <c r="DD17" s="37">
        <v>45930</v>
      </c>
      <c r="DE17" s="36" t="s">
        <v>654</v>
      </c>
      <c r="DF17" s="36" t="s">
        <v>3064</v>
      </c>
      <c r="DG17" s="1" t="s">
        <v>44</v>
      </c>
      <c r="DH17" s="16">
        <v>13136332</v>
      </c>
      <c r="DI17" s="16">
        <v>11942120</v>
      </c>
      <c r="DJ17" s="153">
        <v>1194212</v>
      </c>
      <c r="DK17" s="162"/>
      <c r="DL17" s="16">
        <v>0</v>
      </c>
      <c r="DM17" s="107">
        <v>13136332</v>
      </c>
    </row>
    <row r="18" spans="10:117">
      <c r="J18" s="37"/>
      <c r="K18" s="36"/>
      <c r="L18" s="87"/>
      <c r="M18" s="38"/>
      <c r="N18" s="36"/>
      <c r="O18" s="36"/>
      <c r="P18" s="1"/>
      <c r="Z18" s="36"/>
      <c r="AA18" s="36" t="s">
        <v>32</v>
      </c>
      <c r="AB18" s="85">
        <v>2025</v>
      </c>
      <c r="AC18" s="85">
        <v>1</v>
      </c>
      <c r="AD18" s="37">
        <v>45688</v>
      </c>
      <c r="AE18" s="36" t="s">
        <v>654</v>
      </c>
      <c r="AF18" s="36" t="s">
        <v>2634</v>
      </c>
      <c r="AG18" s="1" t="s">
        <v>44</v>
      </c>
      <c r="AH18" s="16">
        <f>SUMIFS(DB!$I:$I,DB!$C:$C,$AE18,DB!$D:$D,$AF18,DB!$K:$K,$AB18,DB!$L:$L,$AC18)</f>
        <v>10718400</v>
      </c>
      <c r="AI18" s="16">
        <v>9744000</v>
      </c>
      <c r="AJ18" s="153">
        <v>974400</v>
      </c>
      <c r="AK18" s="162">
        <v>45961</v>
      </c>
      <c r="AL18" s="16">
        <v>10718400</v>
      </c>
      <c r="AM18" s="107">
        <v>0</v>
      </c>
      <c r="AN18" s="36" t="s">
        <v>32</v>
      </c>
      <c r="AO18" s="37">
        <v>45681</v>
      </c>
      <c r="AP18" s="36" t="s">
        <v>2572</v>
      </c>
      <c r="AQ18" s="36" t="s">
        <v>2580</v>
      </c>
      <c r="AR18" s="36" t="s">
        <v>148</v>
      </c>
      <c r="AS18" s="89"/>
      <c r="AT18" s="87"/>
      <c r="AU18" s="87"/>
      <c r="AV18" s="87"/>
      <c r="AW18" s="87">
        <v>22000000</v>
      </c>
      <c r="AX18" s="85">
        <v>2025</v>
      </c>
      <c r="AY18" s="85">
        <v>1</v>
      </c>
      <c r="AZ18" s="36"/>
      <c r="BA18" s="1" t="s">
        <v>44</v>
      </c>
      <c r="CA18" s="36" t="s">
        <v>32</v>
      </c>
      <c r="CB18" s="37">
        <v>44651</v>
      </c>
      <c r="CC18" s="36" t="s">
        <v>511</v>
      </c>
      <c r="CD18" s="36" t="s">
        <v>512</v>
      </c>
      <c r="CE18" s="36" t="s">
        <v>148</v>
      </c>
      <c r="CF18" s="89"/>
      <c r="CG18" s="87"/>
      <c r="CH18" s="87"/>
      <c r="CI18" s="87"/>
      <c r="CJ18" s="87">
        <v>12500070</v>
      </c>
      <c r="CK18" s="85">
        <v>2022</v>
      </c>
      <c r="CL18" s="85">
        <v>2</v>
      </c>
      <c r="CM18" s="36"/>
      <c r="CN18" s="208" t="s">
        <v>44</v>
      </c>
      <c r="DA18" s="36" t="s">
        <v>32</v>
      </c>
      <c r="DB18" s="85">
        <v>2025</v>
      </c>
      <c r="DC18" s="85">
        <v>9</v>
      </c>
      <c r="DD18" s="37">
        <v>45930</v>
      </c>
      <c r="DE18" s="36" t="s">
        <v>654</v>
      </c>
      <c r="DF18" s="36" t="s">
        <v>3146</v>
      </c>
      <c r="DG18" s="1" t="s">
        <v>44</v>
      </c>
      <c r="DH18" s="16">
        <v>29428080</v>
      </c>
      <c r="DI18" s="16">
        <v>26752800</v>
      </c>
      <c r="DJ18" s="153">
        <v>2675280</v>
      </c>
      <c r="DK18" s="162"/>
      <c r="DL18" s="16">
        <v>0</v>
      </c>
      <c r="DM18" s="107">
        <v>29428080</v>
      </c>
    </row>
    <row r="19" spans="10:117">
      <c r="J19" s="37"/>
      <c r="K19" s="36"/>
      <c r="L19" s="87"/>
      <c r="M19" s="38"/>
      <c r="N19" s="36"/>
      <c r="O19" s="36"/>
      <c r="P19" s="1"/>
      <c r="Z19" s="36"/>
      <c r="AA19" s="36" t="s">
        <v>32</v>
      </c>
      <c r="AB19" s="85">
        <v>2025</v>
      </c>
      <c r="AC19" s="85">
        <v>1</v>
      </c>
      <c r="AD19" s="37">
        <v>45688</v>
      </c>
      <c r="AE19" s="36" t="s">
        <v>654</v>
      </c>
      <c r="AF19" s="36" t="s">
        <v>2635</v>
      </c>
      <c r="AG19" s="1" t="s">
        <v>44</v>
      </c>
      <c r="AH19" s="16">
        <f>SUMIFS(DB!$I:$I,DB!$C:$C,$AE19,DB!$D:$D,$AF19,DB!$K:$K,$AB19,DB!$L:$L,$AC19)</f>
        <v>0</v>
      </c>
      <c r="AI19" s="16">
        <v>0</v>
      </c>
      <c r="AJ19" s="153">
        <v>0</v>
      </c>
      <c r="AL19" s="16">
        <v>0</v>
      </c>
      <c r="AM19" s="107">
        <v>0</v>
      </c>
      <c r="AN19" s="36" t="s">
        <v>32</v>
      </c>
      <c r="AO19" s="37">
        <v>45677</v>
      </c>
      <c r="AP19" s="36" t="s">
        <v>2223</v>
      </c>
      <c r="AQ19" s="36" t="s">
        <v>2581</v>
      </c>
      <c r="AR19" s="36" t="s">
        <v>148</v>
      </c>
      <c r="AS19" s="89"/>
      <c r="AT19" s="87"/>
      <c r="AU19" s="87"/>
      <c r="AV19" s="87"/>
      <c r="AW19" s="87">
        <v>4950000</v>
      </c>
      <c r="AX19" s="85">
        <v>2025</v>
      </c>
      <c r="AY19" s="85">
        <v>1</v>
      </c>
      <c r="AZ19" s="36"/>
      <c r="BA19" s="1" t="s">
        <v>44</v>
      </c>
      <c r="CA19" s="36" t="s">
        <v>32</v>
      </c>
      <c r="CB19" s="37">
        <v>44651</v>
      </c>
      <c r="CC19" s="36" t="s">
        <v>511</v>
      </c>
      <c r="CD19" s="36" t="s">
        <v>512</v>
      </c>
      <c r="CE19" s="36" t="s">
        <v>76</v>
      </c>
      <c r="CF19" s="89"/>
      <c r="CG19" s="87">
        <v>10863700</v>
      </c>
      <c r="CH19" s="87">
        <v>1086370</v>
      </c>
      <c r="CI19" s="87">
        <v>11950070</v>
      </c>
      <c r="CJ19" s="38"/>
      <c r="CK19" s="85">
        <v>2022</v>
      </c>
      <c r="CL19" s="85">
        <v>3</v>
      </c>
      <c r="CM19" s="36"/>
      <c r="CN19" s="208" t="s">
        <v>44</v>
      </c>
      <c r="DA19" s="36" t="s">
        <v>32</v>
      </c>
      <c r="DB19" s="85">
        <v>2025</v>
      </c>
      <c r="DC19" s="85">
        <v>9</v>
      </c>
      <c r="DD19" s="37">
        <v>45930</v>
      </c>
      <c r="DE19" s="36" t="s">
        <v>654</v>
      </c>
      <c r="DF19" s="36" t="s">
        <v>2541</v>
      </c>
      <c r="DG19" s="1" t="s">
        <v>44</v>
      </c>
      <c r="DH19" s="16">
        <v>5500000</v>
      </c>
      <c r="DI19" s="16">
        <v>5000000</v>
      </c>
      <c r="DJ19" s="153">
        <v>500000</v>
      </c>
      <c r="DK19" s="162"/>
      <c r="DL19" s="16">
        <v>0</v>
      </c>
      <c r="DM19" s="107">
        <v>5500000</v>
      </c>
    </row>
    <row r="20" spans="10:117">
      <c r="J20" s="37"/>
      <c r="K20" s="36"/>
      <c r="L20" s="87"/>
      <c r="M20" s="38"/>
      <c r="N20" s="36"/>
      <c r="O20" s="36"/>
      <c r="P20" s="1"/>
      <c r="Z20" s="36"/>
      <c r="AA20" s="36" t="s">
        <v>32</v>
      </c>
      <c r="AB20" s="85">
        <v>2025</v>
      </c>
      <c r="AC20" s="85">
        <v>1</v>
      </c>
      <c r="AD20" s="37">
        <v>45688</v>
      </c>
      <c r="AE20" s="36" t="s">
        <v>2626</v>
      </c>
      <c r="AF20" s="36" t="s">
        <v>2636</v>
      </c>
      <c r="AG20" s="1" t="s">
        <v>44</v>
      </c>
      <c r="AH20" s="16">
        <f>SUMIFS(DB!$I:$I,DB!$C:$C,$AE20,DB!$D:$D,$AF20,DB!$K:$K,$AB20,DB!$L:$L,$AC20)</f>
        <v>2869856</v>
      </c>
      <c r="AI20" s="16">
        <v>2608960</v>
      </c>
      <c r="AJ20" s="153">
        <v>260896</v>
      </c>
      <c r="AK20" s="162">
        <v>45792</v>
      </c>
      <c r="AL20" s="16">
        <v>2869856</v>
      </c>
      <c r="AM20" s="107">
        <v>0</v>
      </c>
      <c r="AN20" s="36" t="s">
        <v>32</v>
      </c>
      <c r="AO20" s="37">
        <v>45677</v>
      </c>
      <c r="AP20" s="36" t="s">
        <v>2279</v>
      </c>
      <c r="AQ20" s="36" t="s">
        <v>2579</v>
      </c>
      <c r="AR20" s="36" t="s">
        <v>148</v>
      </c>
      <c r="AS20" s="89"/>
      <c r="AT20" s="87"/>
      <c r="AU20" s="87"/>
      <c r="AV20" s="87"/>
      <c r="AW20" s="87">
        <v>46508000</v>
      </c>
      <c r="AX20" s="85">
        <v>2025</v>
      </c>
      <c r="AY20" s="85">
        <v>1</v>
      </c>
      <c r="AZ20" s="36"/>
      <c r="BA20" s="1" t="s">
        <v>44</v>
      </c>
      <c r="CA20" s="36" t="s">
        <v>32</v>
      </c>
      <c r="CB20" s="37">
        <v>44679</v>
      </c>
      <c r="CC20" s="36" t="s">
        <v>511</v>
      </c>
      <c r="CD20" s="36" t="s">
        <v>512</v>
      </c>
      <c r="CE20" s="36" t="s">
        <v>148</v>
      </c>
      <c r="CF20" s="89"/>
      <c r="CG20" s="87"/>
      <c r="CH20" s="87"/>
      <c r="CI20" s="87"/>
      <c r="CJ20" s="87">
        <v>11950070</v>
      </c>
      <c r="CK20" s="85">
        <v>2022</v>
      </c>
      <c r="CL20" s="85">
        <v>3</v>
      </c>
      <c r="CM20" s="36"/>
      <c r="CN20" s="208" t="s">
        <v>44</v>
      </c>
      <c r="DA20" s="36" t="s">
        <v>32</v>
      </c>
      <c r="DB20" s="85">
        <v>2025</v>
      </c>
      <c r="DC20" s="85">
        <v>9</v>
      </c>
      <c r="DD20" s="37">
        <v>45930</v>
      </c>
      <c r="DE20" s="36" t="s">
        <v>188</v>
      </c>
      <c r="DF20" s="36" t="s">
        <v>3147</v>
      </c>
      <c r="DG20" s="1" t="s">
        <v>44</v>
      </c>
      <c r="DH20" s="16">
        <v>12300860</v>
      </c>
      <c r="DI20" s="16">
        <v>11182600</v>
      </c>
      <c r="DJ20" s="153">
        <v>1118260</v>
      </c>
      <c r="DK20" s="162"/>
      <c r="DL20" s="16">
        <v>0</v>
      </c>
      <c r="DM20" s="107">
        <v>12300860</v>
      </c>
    </row>
    <row r="21" spans="10:117">
      <c r="J21" s="37"/>
      <c r="K21" s="36"/>
      <c r="L21" s="87"/>
      <c r="M21" s="87"/>
      <c r="N21" s="36"/>
      <c r="O21" s="36"/>
      <c r="P21" s="1"/>
      <c r="Z21" s="36"/>
      <c r="AA21" s="36" t="s">
        <v>32</v>
      </c>
      <c r="AB21" s="85">
        <v>2025</v>
      </c>
      <c r="AC21" s="85">
        <v>1</v>
      </c>
      <c r="AD21" s="37">
        <v>45688</v>
      </c>
      <c r="AE21" s="36" t="s">
        <v>2627</v>
      </c>
      <c r="AF21" s="36" t="s">
        <v>2589</v>
      </c>
      <c r="AG21" s="1" t="s">
        <v>44</v>
      </c>
      <c r="AH21" s="16">
        <f>SUMIFS(DB!$I:$I,DB!$C:$C,$AE21,DB!$D:$D,$AF21,DB!$K:$K,$AB21,DB!$L:$L,$AC21)</f>
        <v>29194000</v>
      </c>
      <c r="AI21" s="16">
        <v>26540000</v>
      </c>
      <c r="AJ21" s="153">
        <v>2654000</v>
      </c>
      <c r="AK21" s="162">
        <v>45825</v>
      </c>
      <c r="AL21" s="16">
        <v>29194000</v>
      </c>
      <c r="AM21" s="107">
        <v>0</v>
      </c>
      <c r="AN21" s="36" t="s">
        <v>32</v>
      </c>
      <c r="AO21" s="37">
        <v>45659</v>
      </c>
      <c r="AP21" s="36" t="s">
        <v>2395</v>
      </c>
      <c r="AQ21" s="36" t="s">
        <v>2369</v>
      </c>
      <c r="AR21" s="36" t="s">
        <v>267</v>
      </c>
      <c r="AS21" s="89"/>
      <c r="AT21" s="87">
        <v>51257850</v>
      </c>
      <c r="AU21" s="87">
        <v>5125785</v>
      </c>
      <c r="AV21" s="87">
        <v>56383635</v>
      </c>
      <c r="AW21" s="38"/>
      <c r="AX21" s="85">
        <v>2025</v>
      </c>
      <c r="AY21" s="85">
        <v>1</v>
      </c>
      <c r="AZ21" s="36"/>
      <c r="BA21" s="1" t="s">
        <v>44</v>
      </c>
      <c r="CA21" s="36" t="s">
        <v>32</v>
      </c>
      <c r="CB21" s="37">
        <v>44681</v>
      </c>
      <c r="CC21" s="36" t="s">
        <v>511</v>
      </c>
      <c r="CD21" s="36" t="s">
        <v>512</v>
      </c>
      <c r="CE21" s="36" t="s">
        <v>76</v>
      </c>
      <c r="CF21" s="89"/>
      <c r="CG21" s="87">
        <v>16554900</v>
      </c>
      <c r="CH21" s="87">
        <v>1655490</v>
      </c>
      <c r="CI21" s="87">
        <v>18210390</v>
      </c>
      <c r="CJ21" s="38"/>
      <c r="CK21" s="85">
        <v>2022</v>
      </c>
      <c r="CL21" s="85">
        <v>4</v>
      </c>
      <c r="CM21" s="36"/>
      <c r="CN21" s="208" t="s">
        <v>44</v>
      </c>
      <c r="DA21" s="36" t="s">
        <v>32</v>
      </c>
      <c r="DB21" s="85">
        <v>2025</v>
      </c>
      <c r="DC21" s="85">
        <v>9</v>
      </c>
      <c r="DD21" s="37">
        <v>45930</v>
      </c>
      <c r="DE21" s="36" t="s">
        <v>2166</v>
      </c>
      <c r="DF21" s="36" t="s">
        <v>3150</v>
      </c>
      <c r="DG21" s="1" t="s">
        <v>44</v>
      </c>
      <c r="DH21" s="16">
        <v>12177572</v>
      </c>
      <c r="DI21" s="16">
        <v>11070520</v>
      </c>
      <c r="DJ21" s="153">
        <v>1107052</v>
      </c>
      <c r="DK21" s="162"/>
      <c r="DL21" s="16">
        <v>0</v>
      </c>
      <c r="DM21" s="107">
        <v>12177572</v>
      </c>
    </row>
    <row r="22" spans="10:117">
      <c r="J22" s="37"/>
      <c r="K22" s="36"/>
      <c r="L22" s="87"/>
      <c r="M22" s="87"/>
      <c r="N22" s="36"/>
      <c r="O22" s="36"/>
      <c r="P22" s="1"/>
      <c r="Z22" s="36"/>
      <c r="AA22" s="36" t="s">
        <v>32</v>
      </c>
      <c r="AB22" s="85">
        <v>2025</v>
      </c>
      <c r="AC22" s="85">
        <v>1</v>
      </c>
      <c r="AD22" s="37">
        <v>45688</v>
      </c>
      <c r="AE22" s="36" t="s">
        <v>209</v>
      </c>
      <c r="AF22" s="36" t="s">
        <v>2637</v>
      </c>
      <c r="AG22" s="1" t="s">
        <v>44</v>
      </c>
      <c r="AH22" s="16">
        <f>SUMIFS(DB!$I:$I,DB!$C:$C,$AE22,DB!$D:$D,$AF22,DB!$K:$K,$AB22,DB!$L:$L,$AC22)</f>
        <v>55898040</v>
      </c>
      <c r="AI22" s="16">
        <v>50816400</v>
      </c>
      <c r="AJ22" s="153">
        <v>5081640</v>
      </c>
      <c r="AK22" s="162">
        <v>45898</v>
      </c>
      <c r="AL22" s="16">
        <v>55898040</v>
      </c>
      <c r="AM22" s="107">
        <v>0</v>
      </c>
      <c r="AN22" s="36" t="s">
        <v>32</v>
      </c>
      <c r="AO22" s="37">
        <v>45688</v>
      </c>
      <c r="AP22" s="36" t="s">
        <v>654</v>
      </c>
      <c r="AQ22" s="36" t="s">
        <v>2630</v>
      </c>
      <c r="AR22" s="36" t="s">
        <v>76</v>
      </c>
      <c r="AS22" s="89"/>
      <c r="AT22" s="87">
        <v>7345680</v>
      </c>
      <c r="AU22" s="87">
        <v>734568</v>
      </c>
      <c r="AV22" s="87">
        <v>8080248</v>
      </c>
      <c r="AW22" s="38"/>
      <c r="AX22" s="85">
        <v>2025</v>
      </c>
      <c r="AY22" s="85">
        <v>1</v>
      </c>
      <c r="AZ22" s="36"/>
      <c r="BA22" s="1" t="s">
        <v>44</v>
      </c>
      <c r="CA22" s="36" t="s">
        <v>32</v>
      </c>
      <c r="CB22" s="37">
        <v>44712</v>
      </c>
      <c r="CC22" s="36" t="s">
        <v>511</v>
      </c>
      <c r="CD22" s="36" t="s">
        <v>512</v>
      </c>
      <c r="CE22" s="36" t="s">
        <v>148</v>
      </c>
      <c r="CF22" s="89"/>
      <c r="CG22" s="87"/>
      <c r="CH22" s="87"/>
      <c r="CI22" s="87"/>
      <c r="CJ22" s="87">
        <v>18210390</v>
      </c>
      <c r="CK22" s="85">
        <v>2022</v>
      </c>
      <c r="CL22" s="85">
        <v>4</v>
      </c>
      <c r="CM22" s="36"/>
      <c r="CN22" s="208" t="s">
        <v>44</v>
      </c>
      <c r="DA22" s="36" t="s">
        <v>32</v>
      </c>
      <c r="DB22" s="85">
        <v>2025</v>
      </c>
      <c r="DC22" s="85">
        <v>9</v>
      </c>
      <c r="DD22" s="37">
        <v>45930</v>
      </c>
      <c r="DE22" s="36" t="s">
        <v>1396</v>
      </c>
      <c r="DF22" s="36" t="s">
        <v>3151</v>
      </c>
      <c r="DG22" s="1" t="s">
        <v>44</v>
      </c>
      <c r="DH22" s="16">
        <v>2437380</v>
      </c>
      <c r="DI22" s="16">
        <v>2215800</v>
      </c>
      <c r="DJ22" s="153">
        <v>221580</v>
      </c>
      <c r="DK22" s="162"/>
      <c r="DL22" s="16">
        <v>0</v>
      </c>
      <c r="DM22" s="107">
        <v>2437380</v>
      </c>
    </row>
    <row r="23" spans="10:117">
      <c r="J23" s="37"/>
      <c r="K23" s="36"/>
      <c r="L23" s="87"/>
      <c r="M23" s="38"/>
      <c r="N23" s="36"/>
      <c r="O23" s="36"/>
      <c r="P23" s="1"/>
      <c r="Z23" s="36"/>
      <c r="AA23" s="36" t="s">
        <v>32</v>
      </c>
      <c r="AB23" s="85">
        <v>2025</v>
      </c>
      <c r="AC23" s="85">
        <v>1</v>
      </c>
      <c r="AD23" s="37">
        <v>45688</v>
      </c>
      <c r="AE23" s="36" t="s">
        <v>209</v>
      </c>
      <c r="AF23" s="36" t="s">
        <v>2550</v>
      </c>
      <c r="AG23" s="1" t="s">
        <v>44</v>
      </c>
      <c r="AH23" s="16">
        <f>SUMIFS(DB!$I:$I,DB!$C:$C,$AE23,DB!$D:$D,$AF23,DB!$K:$K,$AB23,DB!$L:$L,$AC23)</f>
        <v>11085360</v>
      </c>
      <c r="AI23" s="16">
        <v>10077600</v>
      </c>
      <c r="AJ23" s="153">
        <v>1007760</v>
      </c>
      <c r="AK23" s="162">
        <v>45898</v>
      </c>
      <c r="AL23" s="16">
        <v>11085360</v>
      </c>
      <c r="AM23" s="107">
        <v>0</v>
      </c>
      <c r="AN23" s="36" t="s">
        <v>32</v>
      </c>
      <c r="AO23" s="37">
        <v>45688</v>
      </c>
      <c r="AP23" s="36" t="s">
        <v>654</v>
      </c>
      <c r="AQ23" s="36" t="s">
        <v>2631</v>
      </c>
      <c r="AR23" s="36" t="s">
        <v>2648</v>
      </c>
      <c r="AS23" s="89"/>
      <c r="AT23" s="87">
        <v>7114000</v>
      </c>
      <c r="AU23" s="87">
        <v>711400</v>
      </c>
      <c r="AV23" s="87">
        <v>7825400</v>
      </c>
      <c r="AW23" s="38"/>
      <c r="AX23" s="85">
        <v>2025</v>
      </c>
      <c r="AY23" s="85">
        <v>1</v>
      </c>
      <c r="AZ23" s="36"/>
      <c r="BA23" s="1" t="s">
        <v>44</v>
      </c>
      <c r="CA23" s="36" t="s">
        <v>32</v>
      </c>
      <c r="CB23" s="37">
        <v>44712</v>
      </c>
      <c r="CC23" s="36" t="s">
        <v>511</v>
      </c>
      <c r="CD23" s="36" t="s">
        <v>512</v>
      </c>
      <c r="CE23" s="36" t="s">
        <v>76</v>
      </c>
      <c r="CF23" s="89"/>
      <c r="CG23" s="87">
        <v>12835500</v>
      </c>
      <c r="CH23" s="87">
        <v>1283550</v>
      </c>
      <c r="CI23" s="87">
        <v>14119050</v>
      </c>
      <c r="CJ23" s="38"/>
      <c r="CK23" s="85">
        <v>2022</v>
      </c>
      <c r="CL23" s="85">
        <v>5</v>
      </c>
      <c r="CM23" s="36"/>
      <c r="CN23" s="1" t="s">
        <v>44</v>
      </c>
      <c r="DA23" s="36" t="s">
        <v>32</v>
      </c>
      <c r="DB23" s="85">
        <v>2025</v>
      </c>
      <c r="DC23" s="85">
        <v>9</v>
      </c>
      <c r="DD23" s="37">
        <v>45930</v>
      </c>
      <c r="DE23" s="36" t="s">
        <v>1396</v>
      </c>
      <c r="DF23" s="36" t="s">
        <v>3152</v>
      </c>
      <c r="DG23" s="1" t="s">
        <v>44</v>
      </c>
      <c r="DH23" s="16">
        <v>2431000</v>
      </c>
      <c r="DI23" s="16">
        <v>2210000</v>
      </c>
      <c r="DJ23" s="153">
        <v>221000</v>
      </c>
      <c r="DK23" s="162"/>
      <c r="DL23" s="16">
        <v>0</v>
      </c>
      <c r="DM23" s="107">
        <v>2431000</v>
      </c>
    </row>
    <row r="24" spans="10:117">
      <c r="J24" s="37"/>
      <c r="K24" s="36"/>
      <c r="L24" s="87"/>
      <c r="M24" s="38"/>
      <c r="N24" s="36"/>
      <c r="O24" s="36"/>
      <c r="P24" s="1"/>
      <c r="Z24" s="36"/>
      <c r="AA24" s="36" t="s">
        <v>32</v>
      </c>
      <c r="AB24" s="85">
        <v>2025</v>
      </c>
      <c r="AC24" s="85">
        <v>1</v>
      </c>
      <c r="AD24" s="37">
        <v>45688</v>
      </c>
      <c r="AE24" s="36" t="s">
        <v>206</v>
      </c>
      <c r="AF24" s="36" t="s">
        <v>2638</v>
      </c>
      <c r="AG24" s="1" t="s">
        <v>44</v>
      </c>
      <c r="AH24" s="16">
        <f>SUMIFS(DB!$I:$I,DB!$C:$C,$AE24,DB!$D:$D,$AF24,DB!$K:$K,$AB24,DB!$L:$L,$AC24)</f>
        <v>3237300</v>
      </c>
      <c r="AI24" s="16">
        <v>2943000</v>
      </c>
      <c r="AJ24" s="153">
        <v>294300</v>
      </c>
      <c r="AK24" s="162">
        <v>45789</v>
      </c>
      <c r="AL24" s="16">
        <v>3237300</v>
      </c>
      <c r="AM24" s="107">
        <v>0</v>
      </c>
      <c r="AN24" s="36" t="s">
        <v>32</v>
      </c>
      <c r="AO24" s="37">
        <v>45688</v>
      </c>
      <c r="AP24" s="36" t="s">
        <v>654</v>
      </c>
      <c r="AQ24" s="36" t="s">
        <v>2632</v>
      </c>
      <c r="AR24" s="36" t="s">
        <v>76</v>
      </c>
      <c r="AS24" s="89"/>
      <c r="AT24" s="87">
        <v>10092780</v>
      </c>
      <c r="AU24" s="87">
        <v>1009278</v>
      </c>
      <c r="AV24" s="87">
        <v>11102058</v>
      </c>
      <c r="AW24" s="38"/>
      <c r="AX24" s="85">
        <v>2025</v>
      </c>
      <c r="AY24" s="85">
        <v>1</v>
      </c>
      <c r="AZ24" s="36"/>
      <c r="BA24" s="1" t="s">
        <v>44</v>
      </c>
      <c r="CA24" s="36" t="s">
        <v>32</v>
      </c>
      <c r="CB24" s="37">
        <v>44742</v>
      </c>
      <c r="CC24" s="36" t="s">
        <v>511</v>
      </c>
      <c r="CD24" s="36" t="s">
        <v>512</v>
      </c>
      <c r="CE24" s="36" t="s">
        <v>148</v>
      </c>
      <c r="CF24" s="89"/>
      <c r="CG24" s="87"/>
      <c r="CH24" s="87"/>
      <c r="CI24" s="87"/>
      <c r="CJ24" s="87">
        <v>14119050</v>
      </c>
      <c r="CK24" s="85">
        <v>2022</v>
      </c>
      <c r="CL24" s="85">
        <v>5</v>
      </c>
      <c r="CM24" s="36"/>
      <c r="CN24" s="1" t="s">
        <v>44</v>
      </c>
      <c r="DA24" s="36" t="s">
        <v>32</v>
      </c>
      <c r="DB24" s="85">
        <v>2025</v>
      </c>
      <c r="DC24" s="85">
        <v>9</v>
      </c>
      <c r="DD24" s="37">
        <v>45930</v>
      </c>
      <c r="DE24" s="36" t="s">
        <v>1396</v>
      </c>
      <c r="DF24" s="36" t="s">
        <v>3153</v>
      </c>
      <c r="DG24" s="1" t="s">
        <v>44</v>
      </c>
      <c r="DH24" s="16">
        <v>1903000</v>
      </c>
      <c r="DI24" s="16">
        <v>1730000</v>
      </c>
      <c r="DJ24" s="153">
        <v>173000</v>
      </c>
      <c r="DK24" s="162"/>
      <c r="DL24" s="16">
        <v>0</v>
      </c>
      <c r="DM24" s="107">
        <v>1903000</v>
      </c>
    </row>
    <row r="25" spans="10:117">
      <c r="J25" s="37"/>
      <c r="K25" s="36"/>
      <c r="L25" s="87"/>
      <c r="M25" s="38"/>
      <c r="N25" s="36"/>
      <c r="O25" s="36"/>
      <c r="P25" s="1"/>
      <c r="AA25" s="36" t="s">
        <v>32</v>
      </c>
      <c r="AB25" s="85">
        <v>2025</v>
      </c>
      <c r="AC25" s="85">
        <v>1</v>
      </c>
      <c r="AD25" s="37">
        <v>45688</v>
      </c>
      <c r="AE25" s="36" t="s">
        <v>2628</v>
      </c>
      <c r="AF25" s="36" t="s">
        <v>2639</v>
      </c>
      <c r="AG25" s="1" t="s">
        <v>44</v>
      </c>
      <c r="AH25" s="16">
        <f>SUMIFS(DB!$I:$I,DB!$C:$C,$AE25,DB!$D:$D,$AF25,DB!$K:$K,$AB25,DB!$L:$L,$AC25)</f>
        <v>17035920</v>
      </c>
      <c r="AI25" s="16">
        <v>15487200</v>
      </c>
      <c r="AJ25" s="153">
        <v>1548720</v>
      </c>
      <c r="AK25" s="162">
        <v>45897</v>
      </c>
      <c r="AL25" s="16">
        <v>17035920</v>
      </c>
      <c r="AM25" s="107">
        <v>0</v>
      </c>
      <c r="AN25" s="36" t="s">
        <v>32</v>
      </c>
      <c r="AO25" s="37">
        <v>45688</v>
      </c>
      <c r="AP25" s="36" t="s">
        <v>654</v>
      </c>
      <c r="AQ25" s="36" t="s">
        <v>2633</v>
      </c>
      <c r="AR25" s="36" t="s">
        <v>76</v>
      </c>
      <c r="AS25" s="89"/>
      <c r="AT25" s="87">
        <v>13521320</v>
      </c>
      <c r="AU25" s="87">
        <v>1352132</v>
      </c>
      <c r="AV25" s="87">
        <v>14873452</v>
      </c>
      <c r="AW25" s="38"/>
      <c r="AX25" s="85">
        <v>2025</v>
      </c>
      <c r="AY25" s="85">
        <v>1</v>
      </c>
      <c r="AZ25" s="36"/>
      <c r="BA25" s="1" t="s">
        <v>44</v>
      </c>
      <c r="CA25" s="36" t="s">
        <v>32</v>
      </c>
      <c r="CB25" s="37">
        <v>44742</v>
      </c>
      <c r="CC25" s="36" t="s">
        <v>511</v>
      </c>
      <c r="CD25" s="36" t="s">
        <v>512</v>
      </c>
      <c r="CE25" s="36" t="s">
        <v>76</v>
      </c>
      <c r="CF25" s="89"/>
      <c r="CG25" s="87">
        <v>2542800</v>
      </c>
      <c r="CH25" s="87">
        <v>254280</v>
      </c>
      <c r="CI25" s="87">
        <v>2797080</v>
      </c>
      <c r="CJ25" s="38"/>
      <c r="CK25" s="85">
        <v>2022</v>
      </c>
      <c r="CL25" s="85">
        <v>6</v>
      </c>
      <c r="CM25" s="36"/>
      <c r="CN25" s="1" t="s">
        <v>44</v>
      </c>
      <c r="DA25" s="36" t="s">
        <v>32</v>
      </c>
      <c r="DB25" s="85">
        <v>2025</v>
      </c>
      <c r="DC25" s="85">
        <v>9</v>
      </c>
      <c r="DD25" s="37">
        <v>45930</v>
      </c>
      <c r="DE25" s="36" t="s">
        <v>1396</v>
      </c>
      <c r="DF25" s="36" t="s">
        <v>3154</v>
      </c>
      <c r="DG25" s="1" t="s">
        <v>44</v>
      </c>
      <c r="DH25" s="16">
        <v>6798000</v>
      </c>
      <c r="DI25" s="16">
        <v>6180000</v>
      </c>
      <c r="DJ25" s="153">
        <v>618000</v>
      </c>
      <c r="DK25" s="162"/>
      <c r="DL25" s="16">
        <v>0</v>
      </c>
      <c r="DM25" s="107">
        <v>6798000</v>
      </c>
    </row>
    <row r="26" spans="10:117">
      <c r="J26" s="37"/>
      <c r="K26" s="36"/>
      <c r="L26" s="87"/>
      <c r="M26" s="87"/>
      <c r="N26" s="36"/>
      <c r="O26" s="36"/>
      <c r="P26" s="1"/>
      <c r="AA26" s="36" t="s">
        <v>32</v>
      </c>
      <c r="AB26" s="85">
        <v>2025</v>
      </c>
      <c r="AC26" s="85">
        <v>1</v>
      </c>
      <c r="AD26" s="37">
        <v>45688</v>
      </c>
      <c r="AE26" s="36" t="s">
        <v>2395</v>
      </c>
      <c r="AF26" s="36" t="s">
        <v>2640</v>
      </c>
      <c r="AG26" s="1" t="s">
        <v>44</v>
      </c>
      <c r="AH26" s="16">
        <f>SUMIFS(DB!$I:$I,DB!$C:$C,$AE26,DB!$D:$D,$AF26,DB!$K:$K,$AB26,DB!$L:$L,$AC26)</f>
        <v>13094433</v>
      </c>
      <c r="AI26" s="16">
        <v>11904030</v>
      </c>
      <c r="AJ26" s="153">
        <v>1190403</v>
      </c>
      <c r="AK26" s="162">
        <v>45838</v>
      </c>
      <c r="AL26" s="16">
        <v>13094433</v>
      </c>
      <c r="AM26" s="107">
        <v>0</v>
      </c>
      <c r="AN26" s="36" t="s">
        <v>32</v>
      </c>
      <c r="AO26" s="37">
        <v>45688</v>
      </c>
      <c r="AP26" s="36" t="s">
        <v>654</v>
      </c>
      <c r="AQ26" s="36" t="s">
        <v>2634</v>
      </c>
      <c r="AR26" s="36" t="s">
        <v>76</v>
      </c>
      <c r="AS26" s="89"/>
      <c r="AT26" s="87">
        <v>9744000</v>
      </c>
      <c r="AU26" s="87">
        <v>974400</v>
      </c>
      <c r="AV26" s="87">
        <v>10718400</v>
      </c>
      <c r="AW26" s="38"/>
      <c r="AX26" s="85">
        <v>2025</v>
      </c>
      <c r="AY26" s="85">
        <v>1</v>
      </c>
      <c r="AZ26" s="36"/>
      <c r="BA26" s="1" t="s">
        <v>44</v>
      </c>
      <c r="CA26" s="36" t="s">
        <v>32</v>
      </c>
      <c r="CB26" s="37">
        <v>44773</v>
      </c>
      <c r="CC26" s="36" t="s">
        <v>511</v>
      </c>
      <c r="CD26" s="36" t="s">
        <v>512</v>
      </c>
      <c r="CE26" s="36" t="s">
        <v>76</v>
      </c>
      <c r="CF26" s="89"/>
      <c r="CG26" s="87">
        <v>7264700</v>
      </c>
      <c r="CH26" s="87">
        <v>726470</v>
      </c>
      <c r="CI26" s="87">
        <v>7991170</v>
      </c>
      <c r="CJ26" s="38"/>
      <c r="CK26" s="85">
        <v>2022</v>
      </c>
      <c r="CL26" s="85">
        <v>7</v>
      </c>
      <c r="CM26" s="36"/>
      <c r="CN26" s="1" t="s">
        <v>44</v>
      </c>
      <c r="DA26" s="36" t="s">
        <v>32</v>
      </c>
      <c r="DB26" s="85">
        <v>2025</v>
      </c>
      <c r="DC26" s="85">
        <v>9</v>
      </c>
      <c r="DD26" s="37">
        <v>45930</v>
      </c>
      <c r="DE26" s="36" t="s">
        <v>1198</v>
      </c>
      <c r="DF26" s="36" t="s">
        <v>2887</v>
      </c>
      <c r="DG26" s="1" t="s">
        <v>44</v>
      </c>
      <c r="DH26" s="16">
        <v>3339160</v>
      </c>
      <c r="DI26" s="16">
        <v>3035600</v>
      </c>
      <c r="DJ26" s="153">
        <v>303560</v>
      </c>
      <c r="DK26" s="162"/>
      <c r="DL26" s="16">
        <v>0</v>
      </c>
      <c r="DM26" s="107">
        <v>3339160</v>
      </c>
    </row>
    <row r="27" spans="10:117">
      <c r="J27" s="37"/>
      <c r="K27" s="36"/>
      <c r="L27" s="87"/>
      <c r="M27" s="38"/>
      <c r="N27" s="36"/>
      <c r="O27" s="36"/>
      <c r="P27" s="1"/>
      <c r="AA27" s="36" t="s">
        <v>32</v>
      </c>
      <c r="AB27" s="85">
        <v>2025</v>
      </c>
      <c r="AC27" s="85">
        <v>1</v>
      </c>
      <c r="AD27" s="37">
        <v>45688</v>
      </c>
      <c r="AE27" s="36" t="s">
        <v>334</v>
      </c>
      <c r="AF27" s="36" t="s">
        <v>2723</v>
      </c>
      <c r="AG27" s="1" t="s">
        <v>44</v>
      </c>
      <c r="AH27" s="16">
        <f>SUMIFS(DB!$I:$I,DB!$C:$C,$AE27,DB!$D:$D,$AF27,DB!$K:$K,$AB27,DB!$L:$L,$AC27)</f>
        <v>2200000</v>
      </c>
      <c r="AI27" s="16">
        <v>2000000</v>
      </c>
      <c r="AJ27" s="153">
        <v>200000</v>
      </c>
      <c r="AK27" s="162">
        <v>45980</v>
      </c>
      <c r="AL27" s="16">
        <v>2200000</v>
      </c>
      <c r="AM27" s="107">
        <v>0</v>
      </c>
      <c r="AN27" s="36" t="s">
        <v>32</v>
      </c>
      <c r="AO27" s="37">
        <v>45688</v>
      </c>
      <c r="AP27" s="36" t="s">
        <v>654</v>
      </c>
      <c r="AQ27" s="36" t="s">
        <v>2635</v>
      </c>
      <c r="AR27" s="36" t="s">
        <v>2648</v>
      </c>
      <c r="AS27" s="89"/>
      <c r="AT27" s="87">
        <v>7215000</v>
      </c>
      <c r="AU27" s="87">
        <v>721500</v>
      </c>
      <c r="AV27" s="87">
        <v>7936500</v>
      </c>
      <c r="AW27" s="38"/>
      <c r="AX27" s="85">
        <v>2025</v>
      </c>
      <c r="AY27" s="85">
        <v>1</v>
      </c>
      <c r="AZ27" s="36"/>
      <c r="BA27" s="1" t="s">
        <v>44</v>
      </c>
      <c r="CA27" s="36" t="s">
        <v>32</v>
      </c>
      <c r="CB27" s="37">
        <v>44778</v>
      </c>
      <c r="CC27" s="36" t="s">
        <v>511</v>
      </c>
      <c r="CD27" s="36" t="s">
        <v>512</v>
      </c>
      <c r="CE27" s="36" t="s">
        <v>148</v>
      </c>
      <c r="CF27" s="89"/>
      <c r="CG27" s="87"/>
      <c r="CH27" s="87"/>
      <c r="CI27" s="87"/>
      <c r="CJ27" s="87">
        <v>2797080</v>
      </c>
      <c r="CK27" s="85">
        <v>2022</v>
      </c>
      <c r="CL27" s="85">
        <v>6</v>
      </c>
      <c r="CM27" s="36"/>
      <c r="CN27" s="1" t="s">
        <v>44</v>
      </c>
      <c r="DA27" s="36" t="s">
        <v>32</v>
      </c>
      <c r="DB27" s="85">
        <v>2025</v>
      </c>
      <c r="DC27" s="85">
        <v>9</v>
      </c>
      <c r="DD27" s="37">
        <v>45930</v>
      </c>
      <c r="DE27" s="36" t="s">
        <v>1198</v>
      </c>
      <c r="DF27" s="36" t="s">
        <v>2955</v>
      </c>
      <c r="DG27" s="1" t="s">
        <v>44</v>
      </c>
      <c r="DH27" s="16">
        <v>5078370</v>
      </c>
      <c r="DI27" s="16">
        <v>4616700</v>
      </c>
      <c r="DJ27" s="153">
        <v>461670</v>
      </c>
      <c r="DK27" s="162"/>
      <c r="DL27" s="16">
        <v>0</v>
      </c>
      <c r="DM27" s="107">
        <v>5078370</v>
      </c>
    </row>
    <row r="28" spans="10:117">
      <c r="J28" s="37"/>
      <c r="K28" s="36"/>
      <c r="L28" s="87"/>
      <c r="M28" s="38"/>
      <c r="N28" s="36"/>
      <c r="O28" s="36"/>
      <c r="P28" s="1"/>
      <c r="AA28" s="36" t="s">
        <v>32</v>
      </c>
      <c r="AB28" s="85">
        <v>2025</v>
      </c>
      <c r="AC28" s="85">
        <v>1</v>
      </c>
      <c r="AD28" s="37">
        <v>45688</v>
      </c>
      <c r="AE28" s="36" t="s">
        <v>334</v>
      </c>
      <c r="AF28" s="36" t="s">
        <v>2722</v>
      </c>
      <c r="AG28" s="1" t="s">
        <v>44</v>
      </c>
      <c r="AH28" s="16">
        <f>SUMIFS(DB!$I:$I,DB!$C:$C,$AE28,DB!$D:$D,$AF28,DB!$K:$K,$AB28,DB!$L:$L,$AC28)</f>
        <v>4730000</v>
      </c>
      <c r="AI28" s="16">
        <v>4300000</v>
      </c>
      <c r="AJ28" s="153">
        <v>430000</v>
      </c>
      <c r="AK28" s="162">
        <v>45980</v>
      </c>
      <c r="AL28" s="16">
        <v>4730000</v>
      </c>
      <c r="AM28" s="107">
        <v>0</v>
      </c>
      <c r="AN28" s="36" t="s">
        <v>32</v>
      </c>
      <c r="AO28" s="37">
        <v>45688</v>
      </c>
      <c r="AP28" s="36" t="s">
        <v>2626</v>
      </c>
      <c r="AQ28" s="36" t="s">
        <v>2636</v>
      </c>
      <c r="AR28" s="36" t="s">
        <v>76</v>
      </c>
      <c r="AS28" s="89"/>
      <c r="AT28" s="87">
        <v>2608960</v>
      </c>
      <c r="AU28" s="87">
        <v>260896</v>
      </c>
      <c r="AV28" s="87">
        <v>2869856</v>
      </c>
      <c r="AW28" s="38"/>
      <c r="AX28" s="85">
        <v>2025</v>
      </c>
      <c r="AY28" s="85">
        <v>1</v>
      </c>
      <c r="AZ28" s="36"/>
      <c r="BA28" s="1" t="s">
        <v>44</v>
      </c>
      <c r="CA28" s="36" t="s">
        <v>32</v>
      </c>
      <c r="CB28" s="37">
        <v>44839</v>
      </c>
      <c r="CC28" s="36" t="s">
        <v>511</v>
      </c>
      <c r="CD28" s="36" t="s">
        <v>512</v>
      </c>
      <c r="CE28" s="36" t="s">
        <v>148</v>
      </c>
      <c r="CF28" s="89"/>
      <c r="CG28" s="87"/>
      <c r="CH28" s="87"/>
      <c r="CI28" s="87"/>
      <c r="CJ28" s="87">
        <v>7991170</v>
      </c>
      <c r="CK28" s="85">
        <v>2022</v>
      </c>
      <c r="CL28" s="85">
        <v>7</v>
      </c>
      <c r="CM28" s="36"/>
      <c r="CN28" s="1" t="s">
        <v>44</v>
      </c>
      <c r="DA28" s="36" t="s">
        <v>32</v>
      </c>
      <c r="DB28" s="85">
        <v>2025</v>
      </c>
      <c r="DC28" s="85">
        <v>9</v>
      </c>
      <c r="DD28" s="37">
        <v>45930</v>
      </c>
      <c r="DE28" s="36" t="s">
        <v>3138</v>
      </c>
      <c r="DF28" s="36" t="s">
        <v>3071</v>
      </c>
      <c r="DG28" s="1" t="s">
        <v>44</v>
      </c>
      <c r="DH28" s="16">
        <v>2597056</v>
      </c>
      <c r="DI28" s="16">
        <v>2360960</v>
      </c>
      <c r="DJ28" s="153">
        <v>236096</v>
      </c>
      <c r="DK28" s="162"/>
      <c r="DL28" s="16">
        <v>0</v>
      </c>
      <c r="DM28" s="107">
        <v>2597056</v>
      </c>
    </row>
    <row r="29" spans="10:117">
      <c r="J29" s="37"/>
      <c r="K29" s="36"/>
      <c r="L29" s="87"/>
      <c r="M29" s="38"/>
      <c r="N29" s="36"/>
      <c r="O29" s="36"/>
      <c r="P29" s="1"/>
      <c r="AA29" s="36" t="s">
        <v>32</v>
      </c>
      <c r="AB29" s="85">
        <v>2025</v>
      </c>
      <c r="AC29" s="85">
        <v>1</v>
      </c>
      <c r="AD29" s="37">
        <v>45688</v>
      </c>
      <c r="AE29" s="36" t="s">
        <v>1470</v>
      </c>
      <c r="AF29" s="36" t="s">
        <v>1487</v>
      </c>
      <c r="AG29" s="1" t="s">
        <v>44</v>
      </c>
      <c r="AH29" s="16">
        <f>SUMIFS(DB!$I:$I,DB!$C:$C,$AE29,DB!$D:$D,$AF29,DB!$K:$K,$AB29,DB!$L:$L,$AC29)</f>
        <v>63269690</v>
      </c>
      <c r="AI29" s="16">
        <v>57517900</v>
      </c>
      <c r="AJ29" s="16">
        <v>5751790</v>
      </c>
      <c r="AK29" s="83">
        <v>45869</v>
      </c>
      <c r="AL29">
        <v>63269690</v>
      </c>
      <c r="AM29" s="107">
        <v>0</v>
      </c>
      <c r="AN29" s="36" t="s">
        <v>32</v>
      </c>
      <c r="AO29" s="37">
        <v>45688</v>
      </c>
      <c r="AP29" s="36" t="s">
        <v>2627</v>
      </c>
      <c r="AQ29" s="36" t="s">
        <v>2589</v>
      </c>
      <c r="AR29" s="36" t="s">
        <v>267</v>
      </c>
      <c r="AS29" s="89"/>
      <c r="AT29" s="87">
        <v>26540000</v>
      </c>
      <c r="AU29" s="87">
        <v>2654000</v>
      </c>
      <c r="AV29" s="87">
        <v>29194000</v>
      </c>
      <c r="AW29" s="38"/>
      <c r="AX29" s="85">
        <v>2025</v>
      </c>
      <c r="AY29" s="85">
        <v>1</v>
      </c>
      <c r="AZ29" s="36"/>
      <c r="BA29" s="1" t="s">
        <v>44</v>
      </c>
      <c r="CA29" s="36"/>
      <c r="CB29" s="37"/>
      <c r="CC29" s="36"/>
      <c r="CD29" s="36"/>
      <c r="CE29" s="36"/>
      <c r="CF29" s="89"/>
      <c r="CG29" s="87"/>
      <c r="CH29" s="87"/>
      <c r="CI29" s="87"/>
      <c r="CJ29" s="38"/>
      <c r="CK29" s="85"/>
      <c r="CL29" s="85"/>
      <c r="CM29" s="36"/>
      <c r="CN29" s="208"/>
      <c r="DA29" s="36" t="s">
        <v>32</v>
      </c>
      <c r="DB29" s="85">
        <v>2025</v>
      </c>
      <c r="DC29" s="85">
        <v>9</v>
      </c>
      <c r="DD29" s="37">
        <v>45930</v>
      </c>
      <c r="DE29" s="36" t="s">
        <v>3139</v>
      </c>
      <c r="DF29" s="36" t="s">
        <v>3158</v>
      </c>
      <c r="DG29" s="1" t="s">
        <v>44</v>
      </c>
      <c r="DH29" s="16">
        <v>5645090</v>
      </c>
      <c r="DI29" s="16">
        <v>5131900</v>
      </c>
      <c r="DJ29" s="153">
        <v>513190</v>
      </c>
      <c r="DK29" s="162"/>
      <c r="DL29" s="16">
        <v>0</v>
      </c>
      <c r="DM29" s="107">
        <v>5645090</v>
      </c>
    </row>
    <row r="30" spans="10:117">
      <c r="J30" s="37"/>
      <c r="K30" s="36"/>
      <c r="L30" s="87"/>
      <c r="M30" s="38"/>
      <c r="N30" s="36"/>
      <c r="O30" s="36"/>
      <c r="P30" s="1"/>
      <c r="AA30" s="36" t="s">
        <v>32</v>
      </c>
      <c r="AB30" s="85">
        <v>2025</v>
      </c>
      <c r="AC30" s="85">
        <v>1</v>
      </c>
      <c r="AD30" s="37">
        <v>45688</v>
      </c>
      <c r="AE30" s="36" t="s">
        <v>307</v>
      </c>
      <c r="AF30" s="36" t="s">
        <v>2641</v>
      </c>
      <c r="AG30" s="1" t="s">
        <v>44</v>
      </c>
      <c r="AH30" s="16">
        <f>SUMIFS(DB!$I:$I,DB!$C:$C,$AE30,DB!$D:$D,$AF30,DB!$K:$K,$AB30,DB!$L:$L,$AC30)</f>
        <v>2772000</v>
      </c>
      <c r="AI30" s="16">
        <v>2520000</v>
      </c>
      <c r="AJ30" s="153">
        <v>252000</v>
      </c>
      <c r="AL30" s="16">
        <v>0</v>
      </c>
      <c r="AM30" s="107">
        <v>2772000</v>
      </c>
      <c r="AN30" s="36" t="s">
        <v>32</v>
      </c>
      <c r="AO30" s="37">
        <v>45688</v>
      </c>
      <c r="AP30" s="36" t="s">
        <v>209</v>
      </c>
      <c r="AQ30" s="36" t="s">
        <v>2637</v>
      </c>
      <c r="AR30" s="36" t="s">
        <v>76</v>
      </c>
      <c r="AS30" s="89"/>
      <c r="AT30" s="87">
        <v>50816400</v>
      </c>
      <c r="AU30" s="87">
        <v>5081640</v>
      </c>
      <c r="AV30" s="87">
        <v>55898040</v>
      </c>
      <c r="AW30" s="38"/>
      <c r="AX30" s="85">
        <v>2025</v>
      </c>
      <c r="AY30" s="85">
        <v>1</v>
      </c>
      <c r="AZ30" s="36"/>
      <c r="BA30" s="1" t="s">
        <v>44</v>
      </c>
      <c r="CA30" s="36"/>
      <c r="CB30" s="37"/>
      <c r="CC30" s="36"/>
      <c r="CD30" s="36"/>
      <c r="CE30" s="36"/>
      <c r="CF30" s="89"/>
      <c r="CG30" s="87"/>
      <c r="CH30" s="87"/>
      <c r="CI30" s="87"/>
      <c r="CJ30" s="38"/>
      <c r="CK30" s="85"/>
      <c r="CL30" s="85"/>
      <c r="CM30" s="36"/>
      <c r="CN30" s="208"/>
      <c r="DA30" s="36" t="s">
        <v>32</v>
      </c>
      <c r="DB30" s="85">
        <v>2025</v>
      </c>
      <c r="DC30" s="85">
        <v>9</v>
      </c>
      <c r="DD30" s="37">
        <v>45930</v>
      </c>
      <c r="DE30" s="36" t="s">
        <v>3005</v>
      </c>
      <c r="DF30" s="36" t="s">
        <v>3014</v>
      </c>
      <c r="DG30" s="1" t="s">
        <v>44</v>
      </c>
      <c r="DH30" s="16">
        <v>1427800</v>
      </c>
      <c r="DI30" s="16">
        <v>1298000</v>
      </c>
      <c r="DJ30" s="153">
        <v>129800</v>
      </c>
      <c r="DK30" s="162"/>
      <c r="DL30" s="16">
        <v>0</v>
      </c>
      <c r="DM30" s="107">
        <v>1427800</v>
      </c>
    </row>
    <row r="31" spans="10:117">
      <c r="J31" s="37"/>
      <c r="K31" s="36"/>
      <c r="L31" s="87"/>
      <c r="M31" s="38"/>
      <c r="N31" s="36"/>
      <c r="O31" s="36"/>
      <c r="P31" s="1"/>
      <c r="AA31" s="36" t="s">
        <v>32</v>
      </c>
      <c r="AB31" s="85">
        <v>2025</v>
      </c>
      <c r="AC31" s="85">
        <v>1</v>
      </c>
      <c r="AD31" s="37">
        <v>45688</v>
      </c>
      <c r="AE31" s="36" t="s">
        <v>2392</v>
      </c>
      <c r="AF31" s="36" t="s">
        <v>2483</v>
      </c>
      <c r="AG31" s="1" t="s">
        <v>44</v>
      </c>
      <c r="AH31" s="16">
        <f>SUMIFS(DB!$I:$I,DB!$C:$C,$AE31,DB!$D:$D,$AF31,DB!$K:$K,$AB31,DB!$L:$L,$AC31)</f>
        <v>3070980</v>
      </c>
      <c r="AI31" s="16">
        <v>2791800</v>
      </c>
      <c r="AJ31" s="153">
        <v>279180</v>
      </c>
      <c r="AK31" s="162">
        <v>45915</v>
      </c>
      <c r="AL31" s="16">
        <v>3070980</v>
      </c>
      <c r="AM31" s="107">
        <v>0</v>
      </c>
      <c r="AN31" s="36" t="s">
        <v>32</v>
      </c>
      <c r="AO31" s="37">
        <v>45688</v>
      </c>
      <c r="AP31" s="36" t="s">
        <v>209</v>
      </c>
      <c r="AQ31" s="36" t="s">
        <v>2550</v>
      </c>
      <c r="AR31" s="36" t="s">
        <v>1492</v>
      </c>
      <c r="AS31" s="89"/>
      <c r="AT31" s="87">
        <v>10077600</v>
      </c>
      <c r="AU31" s="87">
        <v>1007760</v>
      </c>
      <c r="AV31" s="87">
        <v>11085360</v>
      </c>
      <c r="AW31" s="38"/>
      <c r="AX31" s="85">
        <v>2025</v>
      </c>
      <c r="AY31" s="85">
        <v>1</v>
      </c>
      <c r="AZ31" s="36"/>
      <c r="BA31" s="1" t="s">
        <v>44</v>
      </c>
      <c r="CA31" s="36"/>
      <c r="CB31" s="37"/>
      <c r="CC31" s="36"/>
      <c r="CD31" s="36"/>
      <c r="CE31" s="36"/>
      <c r="CF31" s="89"/>
      <c r="CG31" s="87"/>
      <c r="CH31" s="87"/>
      <c r="CI31" s="87"/>
      <c r="CJ31" s="38"/>
      <c r="CK31" s="85"/>
      <c r="CL31" s="85"/>
      <c r="CM31" s="36"/>
      <c r="CN31" s="208"/>
      <c r="DA31" s="36" t="s">
        <v>32</v>
      </c>
      <c r="DB31" s="85">
        <v>2025</v>
      </c>
      <c r="DC31" s="85">
        <v>9</v>
      </c>
      <c r="DD31" s="37">
        <v>45930</v>
      </c>
      <c r="DE31" s="36" t="s">
        <v>1179</v>
      </c>
      <c r="DF31" s="36" t="s">
        <v>3159</v>
      </c>
      <c r="DG31" s="1" t="s">
        <v>44</v>
      </c>
      <c r="DH31" s="16">
        <v>21519300</v>
      </c>
      <c r="DI31" s="16">
        <v>19563000</v>
      </c>
      <c r="DJ31" s="153">
        <v>1956300</v>
      </c>
      <c r="DK31" s="162"/>
      <c r="DL31" s="16">
        <v>0</v>
      </c>
      <c r="DM31" s="107">
        <v>21519300</v>
      </c>
    </row>
    <row r="32" spans="10:117">
      <c r="J32" s="37"/>
      <c r="K32" s="36"/>
      <c r="L32" s="87"/>
      <c r="M32" s="38"/>
      <c r="N32" s="36"/>
      <c r="O32" s="36"/>
      <c r="P32" s="1"/>
      <c r="AA32" s="36" t="s">
        <v>32</v>
      </c>
      <c r="AB32" s="85">
        <v>2025</v>
      </c>
      <c r="AC32" s="85">
        <v>1</v>
      </c>
      <c r="AD32" s="37">
        <v>45688</v>
      </c>
      <c r="AE32" s="36" t="s">
        <v>2629</v>
      </c>
      <c r="AF32" s="36" t="s">
        <v>2642</v>
      </c>
      <c r="AG32" s="1" t="s">
        <v>44</v>
      </c>
      <c r="AH32" s="16">
        <f>SUMIFS(DB!$I:$I,DB!$C:$C,$AE32,DB!$D:$D,$AF32,DB!$K:$K,$AB32,DB!$L:$L,$AC32)</f>
        <v>2970000</v>
      </c>
      <c r="AI32" s="16">
        <v>2700000</v>
      </c>
      <c r="AJ32" s="153">
        <v>270000</v>
      </c>
      <c r="AK32" s="162">
        <v>45853</v>
      </c>
      <c r="AL32" s="16">
        <v>2970000</v>
      </c>
      <c r="AM32" s="107">
        <v>0</v>
      </c>
      <c r="AN32" s="36" t="s">
        <v>32</v>
      </c>
      <c r="AO32" s="37">
        <v>45688</v>
      </c>
      <c r="AP32" s="36" t="s">
        <v>206</v>
      </c>
      <c r="AQ32" s="36" t="s">
        <v>2638</v>
      </c>
      <c r="AR32" s="36" t="s">
        <v>76</v>
      </c>
      <c r="AS32" s="89"/>
      <c r="AT32" s="87">
        <v>2943000</v>
      </c>
      <c r="AU32" s="87">
        <v>294300</v>
      </c>
      <c r="AV32" s="87">
        <v>3237300</v>
      </c>
      <c r="AW32" s="38"/>
      <c r="AX32" s="85">
        <v>2025</v>
      </c>
      <c r="AY32" s="85">
        <v>1</v>
      </c>
      <c r="AZ32" s="36"/>
      <c r="BA32" s="1" t="s">
        <v>44</v>
      </c>
      <c r="CA32" s="36"/>
      <c r="CB32" s="37"/>
      <c r="CC32" s="36"/>
      <c r="CD32" s="36"/>
      <c r="CE32" s="36"/>
      <c r="CF32" s="89"/>
      <c r="CG32" s="87"/>
      <c r="CH32" s="87"/>
      <c r="CI32" s="87"/>
      <c r="CJ32" s="38"/>
      <c r="CK32" s="85"/>
      <c r="CL32" s="85"/>
      <c r="CM32" s="36"/>
      <c r="CN32" s="208"/>
      <c r="DA32" s="36" t="s">
        <v>32</v>
      </c>
      <c r="DB32" s="85">
        <v>2025</v>
      </c>
      <c r="DC32" s="85">
        <v>10</v>
      </c>
      <c r="DD32" s="37">
        <v>45961</v>
      </c>
      <c r="DE32" s="36" t="s">
        <v>1396</v>
      </c>
      <c r="DF32" s="36" t="s">
        <v>3200</v>
      </c>
      <c r="DG32" s="1" t="s">
        <v>44</v>
      </c>
      <c r="DH32" s="16">
        <v>8107000</v>
      </c>
      <c r="DI32" s="16">
        <v>7370000</v>
      </c>
      <c r="DJ32" s="153">
        <v>737000</v>
      </c>
      <c r="DK32" s="162"/>
      <c r="DL32" s="16">
        <v>0</v>
      </c>
      <c r="DM32" s="107">
        <v>8107000</v>
      </c>
    </row>
    <row r="33" spans="10:117">
      <c r="J33" s="37"/>
      <c r="K33" s="36"/>
      <c r="L33" s="87"/>
      <c r="M33" s="38"/>
      <c r="N33" s="36"/>
      <c r="O33" s="36"/>
      <c r="P33" s="1"/>
      <c r="AA33" s="36" t="s">
        <v>32</v>
      </c>
      <c r="AB33" s="85">
        <v>2025</v>
      </c>
      <c r="AC33" s="85">
        <v>1</v>
      </c>
      <c r="AD33" s="37">
        <v>45688</v>
      </c>
      <c r="AE33" s="36" t="s">
        <v>2477</v>
      </c>
      <c r="AF33" s="36" t="s">
        <v>2485</v>
      </c>
      <c r="AG33" s="1" t="s">
        <v>44</v>
      </c>
      <c r="AH33" s="16">
        <f>SUMIFS(DB!$I:$I,DB!$C:$C,$AE33,DB!$D:$D,$AF33,DB!$K:$K,$AB33,DB!$L:$L,$AC33)</f>
        <v>10328472</v>
      </c>
      <c r="AI33" s="16">
        <v>9389520</v>
      </c>
      <c r="AJ33" s="153">
        <v>938952</v>
      </c>
      <c r="AK33" s="162">
        <v>45958</v>
      </c>
      <c r="AL33" s="16">
        <v>10328472</v>
      </c>
      <c r="AM33" s="107">
        <v>0</v>
      </c>
      <c r="AN33" s="36" t="s">
        <v>32</v>
      </c>
      <c r="AO33" s="37">
        <v>45688</v>
      </c>
      <c r="AP33" s="36" t="s">
        <v>2628</v>
      </c>
      <c r="AQ33" s="36" t="s">
        <v>2639</v>
      </c>
      <c r="AR33" s="36" t="s">
        <v>76</v>
      </c>
      <c r="AS33" s="89"/>
      <c r="AT33" s="87">
        <v>15487200</v>
      </c>
      <c r="AU33" s="87">
        <v>1548720</v>
      </c>
      <c r="AV33" s="87">
        <v>17035920</v>
      </c>
      <c r="AW33" s="38"/>
      <c r="AX33" s="85">
        <v>2025</v>
      </c>
      <c r="AY33" s="85">
        <v>1</v>
      </c>
      <c r="AZ33" s="36"/>
      <c r="BA33" s="1" t="s">
        <v>44</v>
      </c>
      <c r="CA33" s="36"/>
      <c r="CB33" s="37"/>
      <c r="CC33" s="36"/>
      <c r="CD33" s="36"/>
      <c r="CE33" s="36"/>
      <c r="CF33" s="89"/>
      <c r="CG33" s="87"/>
      <c r="CH33" s="87"/>
      <c r="CI33" s="87"/>
      <c r="CJ33" s="38"/>
      <c r="CK33" s="85"/>
      <c r="CL33" s="85"/>
      <c r="CM33" s="36"/>
      <c r="CN33" s="208"/>
      <c r="DA33" s="36" t="s">
        <v>32</v>
      </c>
      <c r="DB33" s="85">
        <v>2025</v>
      </c>
      <c r="DC33" s="85">
        <v>10</v>
      </c>
      <c r="DD33" s="37">
        <v>45961</v>
      </c>
      <c r="DE33" s="36" t="s">
        <v>3212</v>
      </c>
      <c r="DF33" s="36" t="s">
        <v>3174</v>
      </c>
      <c r="DG33" s="1" t="s">
        <v>44</v>
      </c>
      <c r="DH33" s="16">
        <v>28516335.100000001</v>
      </c>
      <c r="DI33" s="16">
        <v>25923941</v>
      </c>
      <c r="DJ33" s="153">
        <v>2592394.1</v>
      </c>
      <c r="DK33" s="162"/>
      <c r="DL33" s="16">
        <v>0</v>
      </c>
      <c r="DM33" s="107">
        <v>28516335.100000001</v>
      </c>
    </row>
    <row r="34" spans="10:117">
      <c r="J34" s="37"/>
      <c r="K34" s="36"/>
      <c r="L34" s="87"/>
      <c r="M34" s="87"/>
      <c r="N34" s="36"/>
      <c r="O34" s="36"/>
      <c r="P34" s="1"/>
      <c r="AA34" s="36" t="s">
        <v>32</v>
      </c>
      <c r="AB34" s="85">
        <v>2025</v>
      </c>
      <c r="AC34" s="85">
        <v>1</v>
      </c>
      <c r="AD34" s="37">
        <v>45688</v>
      </c>
      <c r="AE34" s="36" t="s">
        <v>291</v>
      </c>
      <c r="AF34" s="36" t="s">
        <v>2643</v>
      </c>
      <c r="AG34" s="1" t="s">
        <v>44</v>
      </c>
      <c r="AH34" s="16">
        <f>SUMIFS(DB!$I:$I,DB!$C:$C,$AE34,DB!$D:$D,$AF34,DB!$K:$K,$AB34,DB!$L:$L,$AC34)</f>
        <v>26551800</v>
      </c>
      <c r="AI34" s="16">
        <v>24138000</v>
      </c>
      <c r="AJ34" s="153">
        <v>2413800</v>
      </c>
      <c r="AK34" s="162">
        <v>45945</v>
      </c>
      <c r="AL34" s="16">
        <v>26551800</v>
      </c>
      <c r="AM34" s="107">
        <v>0</v>
      </c>
      <c r="AN34" s="36" t="s">
        <v>32</v>
      </c>
      <c r="AO34" s="37">
        <v>45688</v>
      </c>
      <c r="AP34" s="36" t="s">
        <v>2395</v>
      </c>
      <c r="AQ34" s="36" t="s">
        <v>2640</v>
      </c>
      <c r="AR34" s="36" t="s">
        <v>267</v>
      </c>
      <c r="AS34" s="89"/>
      <c r="AT34" s="87">
        <v>11904030</v>
      </c>
      <c r="AU34" s="87">
        <v>1190403</v>
      </c>
      <c r="AV34" s="87">
        <v>13094433</v>
      </c>
      <c r="AW34" s="38"/>
      <c r="AX34" s="85">
        <v>2025</v>
      </c>
      <c r="AY34" s="85">
        <v>1</v>
      </c>
      <c r="AZ34" s="36"/>
      <c r="BA34" s="1" t="s">
        <v>44</v>
      </c>
      <c r="CA34" s="36"/>
      <c r="CB34" s="37"/>
      <c r="CC34" s="36"/>
      <c r="CD34" s="36"/>
      <c r="CE34" s="36"/>
      <c r="CF34" s="89"/>
      <c r="CG34" s="87"/>
      <c r="CH34" s="87"/>
      <c r="CI34" s="87"/>
      <c r="CJ34" s="38"/>
      <c r="CK34" s="85"/>
      <c r="CL34" s="85"/>
      <c r="CM34" s="36"/>
      <c r="CN34" s="208"/>
      <c r="DA34" s="36" t="s">
        <v>32</v>
      </c>
      <c r="DB34" s="85">
        <v>2025</v>
      </c>
      <c r="DC34" s="85">
        <v>10</v>
      </c>
      <c r="DD34" s="37">
        <v>45961</v>
      </c>
      <c r="DE34" s="36" t="s">
        <v>654</v>
      </c>
      <c r="DF34" s="36" t="s">
        <v>3203</v>
      </c>
      <c r="DG34" s="1" t="s">
        <v>44</v>
      </c>
      <c r="DH34" s="16">
        <v>19525968</v>
      </c>
      <c r="DI34" s="16">
        <v>17750880</v>
      </c>
      <c r="DJ34" s="153">
        <v>1775088</v>
      </c>
      <c r="DK34" s="162"/>
      <c r="DL34" s="16">
        <v>0</v>
      </c>
      <c r="DM34" s="107">
        <v>19525968</v>
      </c>
    </row>
    <row r="35" spans="10:117">
      <c r="J35" s="37"/>
      <c r="K35" s="36"/>
      <c r="L35" s="87"/>
      <c r="M35" s="38"/>
      <c r="N35" s="36"/>
      <c r="O35" s="36"/>
      <c r="P35" s="1"/>
      <c r="AA35" s="36" t="s">
        <v>32</v>
      </c>
      <c r="AB35" s="85">
        <v>2025</v>
      </c>
      <c r="AC35" s="85">
        <v>1</v>
      </c>
      <c r="AD35" s="37">
        <v>45688</v>
      </c>
      <c r="AE35" s="36" t="s">
        <v>2247</v>
      </c>
      <c r="AF35" s="36" t="s">
        <v>2644</v>
      </c>
      <c r="AG35" s="1" t="s">
        <v>44</v>
      </c>
      <c r="AH35" s="16">
        <f>SUMIFS(DB!$I:$I,DB!$C:$C,$AE35,DB!$D:$D,$AF35,DB!$K:$K,$AB35,DB!$L:$L,$AC35)</f>
        <v>6897000</v>
      </c>
      <c r="AI35" s="16">
        <v>6270000</v>
      </c>
      <c r="AJ35" s="153">
        <v>627000</v>
      </c>
      <c r="AK35" s="162">
        <v>45737</v>
      </c>
      <c r="AL35" s="16">
        <v>6897000</v>
      </c>
      <c r="AM35" s="107">
        <v>0</v>
      </c>
      <c r="AN35" s="36" t="s">
        <v>32</v>
      </c>
      <c r="AO35" s="37">
        <v>45688</v>
      </c>
      <c r="AP35" s="36" t="s">
        <v>334</v>
      </c>
      <c r="AQ35" s="36" t="s">
        <v>2723</v>
      </c>
      <c r="AR35" s="36" t="s">
        <v>267</v>
      </c>
      <c r="AS35" s="89"/>
      <c r="AT35" s="87">
        <v>2000000</v>
      </c>
      <c r="AU35" s="87">
        <v>200000</v>
      </c>
      <c r="AV35" s="87">
        <v>2200000</v>
      </c>
      <c r="AW35" s="38"/>
      <c r="AX35" s="85">
        <v>2025</v>
      </c>
      <c r="AY35" s="85">
        <v>1</v>
      </c>
      <c r="AZ35" s="36"/>
      <c r="BA35" s="1" t="s">
        <v>44</v>
      </c>
      <c r="CA35" s="36"/>
      <c r="CB35" s="37"/>
      <c r="CC35" s="36"/>
      <c r="CD35" s="36"/>
      <c r="CE35" s="36"/>
      <c r="CF35" s="89"/>
      <c r="CG35" s="87"/>
      <c r="CH35" s="87"/>
      <c r="CI35" s="87"/>
      <c r="CJ35" s="87"/>
      <c r="CK35" s="85"/>
      <c r="CL35" s="85"/>
      <c r="CM35" s="36"/>
      <c r="CN35" s="208"/>
      <c r="DA35" s="36" t="s">
        <v>32</v>
      </c>
      <c r="DB35" s="85">
        <v>2025</v>
      </c>
      <c r="DC35" s="85">
        <v>10</v>
      </c>
      <c r="DD35" s="37">
        <v>45961</v>
      </c>
      <c r="DE35" s="36" t="s">
        <v>654</v>
      </c>
      <c r="DF35" s="36" t="s">
        <v>3064</v>
      </c>
      <c r="DG35" s="1" t="s">
        <v>44</v>
      </c>
      <c r="DH35" s="16">
        <v>31132398</v>
      </c>
      <c r="DI35" s="16">
        <v>28302180</v>
      </c>
      <c r="DJ35" s="153">
        <v>2830218</v>
      </c>
      <c r="DK35" s="162"/>
      <c r="DL35" s="16">
        <v>0</v>
      </c>
      <c r="DM35" s="107">
        <v>31132398</v>
      </c>
    </row>
    <row r="36" spans="10:117">
      <c r="J36" s="37"/>
      <c r="K36" s="36"/>
      <c r="L36" s="87"/>
      <c r="M36" s="87"/>
      <c r="N36" s="36"/>
      <c r="O36" s="36"/>
      <c r="P36" s="1"/>
      <c r="AA36" s="36" t="s">
        <v>32</v>
      </c>
      <c r="AB36" s="85">
        <v>2025</v>
      </c>
      <c r="AC36" s="85">
        <v>1</v>
      </c>
      <c r="AD36" s="37">
        <v>45688</v>
      </c>
      <c r="AE36" s="36" t="s">
        <v>264</v>
      </c>
      <c r="AF36" s="36" t="s">
        <v>2645</v>
      </c>
      <c r="AG36" s="1" t="s">
        <v>44</v>
      </c>
      <c r="AH36" s="16">
        <f>SUMIFS(DB!$I:$I,DB!$C:$C,$AE36,DB!$D:$D,$AF36,DB!$K:$K,$AB36,DB!$L:$L,$AC36)</f>
        <v>37840000</v>
      </c>
      <c r="AI36" s="16">
        <v>34400000</v>
      </c>
      <c r="AJ36" s="153">
        <v>3440000</v>
      </c>
      <c r="AK36" s="162">
        <v>45961</v>
      </c>
      <c r="AL36" s="16">
        <v>37840000</v>
      </c>
      <c r="AM36" s="107">
        <v>0</v>
      </c>
      <c r="AN36" s="36" t="s">
        <v>32</v>
      </c>
      <c r="AO36" s="37">
        <v>45688</v>
      </c>
      <c r="AP36" s="36" t="s">
        <v>334</v>
      </c>
      <c r="AQ36" s="36" t="s">
        <v>2722</v>
      </c>
      <c r="AR36" s="36" t="s">
        <v>267</v>
      </c>
      <c r="AS36" s="89"/>
      <c r="AT36" s="87">
        <v>4300000</v>
      </c>
      <c r="AU36" s="87">
        <v>430000</v>
      </c>
      <c r="AV36" s="87">
        <v>4730000</v>
      </c>
      <c r="AW36" s="38"/>
      <c r="AX36" s="85">
        <v>2025</v>
      </c>
      <c r="AY36" s="85">
        <v>1</v>
      </c>
      <c r="AZ36" s="36"/>
      <c r="BA36" s="1" t="s">
        <v>44</v>
      </c>
      <c r="CA36" s="36"/>
      <c r="CB36" s="37"/>
      <c r="CC36" s="36"/>
      <c r="CD36" s="36"/>
      <c r="CE36" s="36"/>
      <c r="CF36" s="89"/>
      <c r="CG36" s="87"/>
      <c r="CH36" s="87"/>
      <c r="CI36" s="87"/>
      <c r="CJ36" s="38"/>
      <c r="CK36" s="85"/>
      <c r="CL36" s="85"/>
      <c r="CM36" s="36"/>
      <c r="CN36" s="208"/>
      <c r="DA36" s="36" t="s">
        <v>32</v>
      </c>
      <c r="DB36" s="85">
        <v>2025</v>
      </c>
      <c r="DC36" s="85">
        <v>10</v>
      </c>
      <c r="DD36" s="37">
        <v>45961</v>
      </c>
      <c r="DE36" s="36" t="s">
        <v>1179</v>
      </c>
      <c r="DF36" s="36" t="s">
        <v>3204</v>
      </c>
      <c r="DG36" s="1" t="s">
        <v>44</v>
      </c>
      <c r="DH36" s="16">
        <v>1178540</v>
      </c>
      <c r="DI36" s="16">
        <v>1071400</v>
      </c>
      <c r="DJ36" s="153">
        <v>107140</v>
      </c>
      <c r="DK36" s="162"/>
      <c r="DL36" s="16">
        <v>0</v>
      </c>
      <c r="DM36" s="107">
        <v>1178540</v>
      </c>
    </row>
    <row r="37" spans="10:117">
      <c r="J37" s="37"/>
      <c r="K37" s="36"/>
      <c r="L37" s="87"/>
      <c r="M37" s="38"/>
      <c r="N37" s="36"/>
      <c r="O37" s="36"/>
      <c r="P37" s="1"/>
      <c r="AA37" s="36" t="s">
        <v>32</v>
      </c>
      <c r="AB37" s="85">
        <v>2025</v>
      </c>
      <c r="AC37" s="85">
        <v>1</v>
      </c>
      <c r="AD37" s="37">
        <v>45688</v>
      </c>
      <c r="AE37" s="36" t="s">
        <v>2223</v>
      </c>
      <c r="AF37" s="36" t="s">
        <v>2646</v>
      </c>
      <c r="AG37" s="1" t="s">
        <v>44</v>
      </c>
      <c r="AH37" s="16">
        <f>SUMIFS(DB!$I:$I,DB!$C:$C,$AE37,DB!$D:$D,$AF37,DB!$K:$K,$AB37,DB!$L:$L,$AC37)</f>
        <v>4984100</v>
      </c>
      <c r="AI37" s="16">
        <v>4531000</v>
      </c>
      <c r="AJ37" s="153">
        <v>453100</v>
      </c>
      <c r="AK37" s="162">
        <v>45688</v>
      </c>
      <c r="AL37" s="16">
        <v>4984100</v>
      </c>
      <c r="AM37" s="107">
        <v>0</v>
      </c>
      <c r="AN37" s="36" t="s">
        <v>32</v>
      </c>
      <c r="AO37" s="37">
        <v>45688</v>
      </c>
      <c r="AP37" s="36" t="s">
        <v>1470</v>
      </c>
      <c r="AQ37" s="36" t="s">
        <v>1487</v>
      </c>
      <c r="AR37" s="36" t="s">
        <v>76</v>
      </c>
      <c r="AS37" s="89"/>
      <c r="AT37" s="87">
        <v>57517900</v>
      </c>
      <c r="AU37" s="87">
        <v>5751790</v>
      </c>
      <c r="AV37" s="87">
        <v>63269690</v>
      </c>
      <c r="AW37" s="38"/>
      <c r="AX37" s="85">
        <v>2025</v>
      </c>
      <c r="AY37" s="85">
        <v>1</v>
      </c>
      <c r="AZ37" s="36"/>
      <c r="BA37" s="1" t="s">
        <v>44</v>
      </c>
      <c r="CA37" s="36"/>
      <c r="CB37" s="37"/>
      <c r="CC37" s="36"/>
      <c r="CD37" s="36"/>
      <c r="CE37" s="36"/>
      <c r="CF37" s="89"/>
      <c r="CG37" s="87"/>
      <c r="CH37" s="87"/>
      <c r="CI37" s="87"/>
      <c r="CJ37" s="38"/>
      <c r="CK37" s="85"/>
      <c r="CL37" s="85"/>
      <c r="CM37" s="36"/>
      <c r="CN37" s="208"/>
      <c r="DA37" s="36" t="s">
        <v>32</v>
      </c>
      <c r="DB37" s="85">
        <v>2025</v>
      </c>
      <c r="DC37" s="85">
        <v>10</v>
      </c>
      <c r="DD37" s="37">
        <v>45961</v>
      </c>
      <c r="DE37" s="36" t="s">
        <v>188</v>
      </c>
      <c r="DF37" s="36" t="s">
        <v>3147</v>
      </c>
      <c r="DG37" s="1" t="s">
        <v>44</v>
      </c>
      <c r="DH37" s="16">
        <v>9724000</v>
      </c>
      <c r="DI37" s="16">
        <v>8840000</v>
      </c>
      <c r="DJ37" s="153">
        <v>884000</v>
      </c>
      <c r="DK37" s="162"/>
      <c r="DL37" s="16">
        <v>0</v>
      </c>
      <c r="DM37" s="107">
        <v>9724000</v>
      </c>
    </row>
    <row r="38" spans="10:117">
      <c r="J38" s="37"/>
      <c r="K38" s="36"/>
      <c r="L38" s="87"/>
      <c r="M38" s="87"/>
      <c r="N38" s="36"/>
      <c r="O38" s="36"/>
      <c r="P38" s="1"/>
      <c r="AA38" s="36" t="s">
        <v>32</v>
      </c>
      <c r="AB38" s="85">
        <v>2025</v>
      </c>
      <c r="AC38" s="85">
        <v>1</v>
      </c>
      <c r="AD38" s="37">
        <v>45708</v>
      </c>
      <c r="AE38" s="36" t="s">
        <v>2623</v>
      </c>
      <c r="AF38" s="36" t="s">
        <v>2621</v>
      </c>
      <c r="AG38" s="208" t="s">
        <v>44</v>
      </c>
      <c r="AH38" s="16">
        <f>SUMIFS(DB!$I:$I,DB!$C:$C,$AE38,DB!$D:$D,$AF38,DB!$K:$K,$AB38,DB!$L:$L,$AC38)</f>
        <v>154902000</v>
      </c>
      <c r="AI38" s="16">
        <v>140820000</v>
      </c>
      <c r="AJ38" s="153">
        <v>14082000</v>
      </c>
      <c r="AK38" s="162">
        <v>45708</v>
      </c>
      <c r="AL38" s="16">
        <v>154902000</v>
      </c>
      <c r="AM38" s="107">
        <v>0</v>
      </c>
      <c r="AN38" s="36" t="s">
        <v>32</v>
      </c>
      <c r="AO38" s="37">
        <v>45688</v>
      </c>
      <c r="AP38" s="36" t="s">
        <v>307</v>
      </c>
      <c r="AQ38" s="36" t="s">
        <v>2641</v>
      </c>
      <c r="AR38" s="36" t="s">
        <v>76</v>
      </c>
      <c r="AS38" s="89"/>
      <c r="AT38" s="87">
        <v>2520000</v>
      </c>
      <c r="AU38" s="87">
        <v>252000</v>
      </c>
      <c r="AV38" s="87">
        <v>2772000</v>
      </c>
      <c r="AW38" s="38"/>
      <c r="AX38" s="85">
        <v>2025</v>
      </c>
      <c r="AY38" s="85">
        <v>1</v>
      </c>
      <c r="AZ38" s="36"/>
      <c r="BA38" s="1" t="s">
        <v>44</v>
      </c>
      <c r="CA38" s="36"/>
      <c r="CB38" s="37"/>
      <c r="CC38" s="36"/>
      <c r="CD38" s="36"/>
      <c r="CE38" s="36"/>
      <c r="CF38" s="89"/>
      <c r="CG38" s="87"/>
      <c r="CH38" s="87"/>
      <c r="CI38" s="87"/>
      <c r="CJ38" s="87"/>
      <c r="CK38" s="85"/>
      <c r="CL38" s="85"/>
      <c r="CM38" s="36"/>
      <c r="CN38" s="208"/>
      <c r="DA38" s="36" t="s">
        <v>32</v>
      </c>
      <c r="DB38" s="85">
        <v>2025</v>
      </c>
      <c r="DC38" s="85">
        <v>10</v>
      </c>
      <c r="DD38" s="37">
        <v>45961</v>
      </c>
      <c r="DE38" s="36" t="s">
        <v>3139</v>
      </c>
      <c r="DF38" s="36" t="s">
        <v>3158</v>
      </c>
      <c r="DG38" s="1" t="s">
        <v>44</v>
      </c>
      <c r="DH38" s="16">
        <v>8127900</v>
      </c>
      <c r="DI38" s="16">
        <v>7389000</v>
      </c>
      <c r="DJ38" s="153">
        <v>738900</v>
      </c>
      <c r="DK38" s="162"/>
      <c r="DL38" s="16">
        <v>0</v>
      </c>
      <c r="DM38" s="107">
        <v>8127900</v>
      </c>
    </row>
    <row r="39" spans="10:117">
      <c r="J39" s="37"/>
      <c r="K39" s="36"/>
      <c r="L39" s="87"/>
      <c r="M39" s="87"/>
      <c r="N39" s="36"/>
      <c r="O39" s="36"/>
      <c r="P39" s="1"/>
      <c r="AA39" s="36" t="s">
        <v>32</v>
      </c>
      <c r="AB39" s="85">
        <v>2025</v>
      </c>
      <c r="AC39" s="85">
        <v>1</v>
      </c>
      <c r="AD39" s="37">
        <v>45716</v>
      </c>
      <c r="AE39" s="36" t="s">
        <v>2623</v>
      </c>
      <c r="AF39" s="36" t="s">
        <v>2467</v>
      </c>
      <c r="AG39" s="208" t="s">
        <v>44</v>
      </c>
      <c r="AH39" s="16">
        <f>SUMIFS(DB!$I:$I,DB!$C:$C,$AE39,DB!$D:$D,$AF39,DB!$K:$K,$AB39,DB!$L:$L,$AC39)</f>
        <v>172977750</v>
      </c>
      <c r="AI39" s="16">
        <v>157252500</v>
      </c>
      <c r="AJ39" s="153">
        <v>15725250</v>
      </c>
      <c r="AK39" s="162">
        <v>45716</v>
      </c>
      <c r="AL39" s="16">
        <v>172977750</v>
      </c>
      <c r="AM39" s="107">
        <v>0</v>
      </c>
      <c r="AN39" s="36" t="s">
        <v>32</v>
      </c>
      <c r="AO39" s="37">
        <v>45688</v>
      </c>
      <c r="AP39" s="36" t="s">
        <v>2392</v>
      </c>
      <c r="AQ39" s="36" t="s">
        <v>2483</v>
      </c>
      <c r="AR39" s="36" t="s">
        <v>267</v>
      </c>
      <c r="AS39" s="89"/>
      <c r="AT39" s="87">
        <v>2791800</v>
      </c>
      <c r="AU39" s="87">
        <v>279180</v>
      </c>
      <c r="AV39" s="87">
        <v>3070980</v>
      </c>
      <c r="AW39" s="38"/>
      <c r="AX39" s="85">
        <v>2025</v>
      </c>
      <c r="AY39" s="85">
        <v>1</v>
      </c>
      <c r="AZ39" s="36"/>
      <c r="BA39" s="1" t="s">
        <v>44</v>
      </c>
      <c r="CA39" s="36"/>
      <c r="CB39" s="37"/>
      <c r="CC39" s="36"/>
      <c r="CD39" s="36"/>
      <c r="CE39" s="36"/>
      <c r="CF39" s="89"/>
      <c r="CG39" s="87"/>
      <c r="CH39" s="87"/>
      <c r="CI39" s="87"/>
      <c r="CJ39" s="87"/>
      <c r="CK39" s="85"/>
      <c r="CL39" s="85"/>
      <c r="CM39" s="36"/>
      <c r="CN39" s="208"/>
      <c r="DA39" s="36" t="s">
        <v>32</v>
      </c>
      <c r="DB39" s="85">
        <v>2025</v>
      </c>
      <c r="DC39" s="85">
        <v>10</v>
      </c>
      <c r="DD39" s="37">
        <v>45961</v>
      </c>
      <c r="DE39" s="36" t="s">
        <v>2166</v>
      </c>
      <c r="DF39" s="36" t="s">
        <v>2836</v>
      </c>
      <c r="DG39" s="1" t="s">
        <v>44</v>
      </c>
      <c r="DH39" s="16">
        <v>19289512</v>
      </c>
      <c r="DI39" s="16">
        <v>17535920</v>
      </c>
      <c r="DJ39" s="153">
        <v>1753592</v>
      </c>
      <c r="DK39" s="162"/>
      <c r="DL39" s="16">
        <v>0</v>
      </c>
      <c r="DM39" s="107">
        <v>19289512</v>
      </c>
    </row>
    <row r="40" spans="10:117">
      <c r="J40" s="37"/>
      <c r="K40" s="36"/>
      <c r="L40" s="87"/>
      <c r="M40" s="38"/>
      <c r="N40" s="36"/>
      <c r="O40" s="36"/>
      <c r="P40" s="1"/>
      <c r="AA40" s="36" t="s">
        <v>32</v>
      </c>
      <c r="AB40" s="85">
        <v>2025</v>
      </c>
      <c r="AC40" s="85">
        <v>2</v>
      </c>
      <c r="AD40" s="37">
        <v>45700</v>
      </c>
      <c r="AE40" s="36" t="s">
        <v>2670</v>
      </c>
      <c r="AF40" s="36" t="s">
        <v>2675</v>
      </c>
      <c r="AG40" s="1" t="s">
        <v>44</v>
      </c>
      <c r="AH40" s="16">
        <f>SUMIFS(DB!$I:$I,DB!$C:$C,$AE40,DB!$D:$D,$AF40,DB!$K:$K,$AB40,DB!$L:$L,$AC40)</f>
        <v>1342000</v>
      </c>
      <c r="AI40" s="16">
        <v>1220000</v>
      </c>
      <c r="AJ40" s="153">
        <v>122000</v>
      </c>
      <c r="AK40" s="162">
        <v>45702</v>
      </c>
      <c r="AL40" s="16">
        <v>1342000</v>
      </c>
      <c r="AM40" s="107">
        <v>0</v>
      </c>
      <c r="AN40" s="36" t="s">
        <v>32</v>
      </c>
      <c r="AO40" s="37">
        <v>45688</v>
      </c>
      <c r="AP40" s="36" t="s">
        <v>2629</v>
      </c>
      <c r="AQ40" s="36" t="s">
        <v>2642</v>
      </c>
      <c r="AR40" s="36" t="s">
        <v>267</v>
      </c>
      <c r="AS40" s="89"/>
      <c r="AT40" s="87">
        <v>2700000</v>
      </c>
      <c r="AU40" s="87">
        <v>270000</v>
      </c>
      <c r="AV40" s="87">
        <v>2970000</v>
      </c>
      <c r="AW40" s="38"/>
      <c r="AX40" s="85">
        <v>2025</v>
      </c>
      <c r="AY40" s="85">
        <v>1</v>
      </c>
      <c r="AZ40" s="36"/>
      <c r="BA40" s="1" t="s">
        <v>44</v>
      </c>
      <c r="CA40" s="36"/>
      <c r="CB40" s="37"/>
      <c r="CC40" s="36"/>
      <c r="CD40" s="36"/>
      <c r="CE40" s="36"/>
      <c r="CF40" s="89"/>
      <c r="CG40" s="87"/>
      <c r="CH40" s="87"/>
      <c r="CI40" s="87"/>
      <c r="CJ40" s="38"/>
      <c r="CK40" s="85"/>
      <c r="CL40" s="85"/>
      <c r="CM40" s="36"/>
      <c r="CN40" s="208"/>
      <c r="DA40" s="36" t="s">
        <v>32</v>
      </c>
      <c r="DB40" s="85">
        <v>2025</v>
      </c>
      <c r="DC40" s="85">
        <v>10</v>
      </c>
      <c r="DD40" s="37">
        <v>45961</v>
      </c>
      <c r="DE40" s="36" t="s">
        <v>3135</v>
      </c>
      <c r="DF40" s="36" t="s">
        <v>3141</v>
      </c>
      <c r="DG40" s="1" t="s">
        <v>44</v>
      </c>
      <c r="DH40" s="16">
        <v>8046720</v>
      </c>
      <c r="DI40" s="16">
        <v>7315200</v>
      </c>
      <c r="DJ40" s="153">
        <v>731520</v>
      </c>
      <c r="DK40" s="162"/>
      <c r="DL40" s="16">
        <v>0</v>
      </c>
      <c r="DM40" s="107">
        <v>8046720</v>
      </c>
    </row>
    <row r="41" spans="10:117">
      <c r="J41" s="37"/>
      <c r="K41" s="36"/>
      <c r="L41" s="87"/>
      <c r="M41" s="38"/>
      <c r="N41" s="36"/>
      <c r="O41" s="36"/>
      <c r="P41" s="1"/>
      <c r="AA41" s="36" t="s">
        <v>32</v>
      </c>
      <c r="AB41" s="85">
        <v>2025</v>
      </c>
      <c r="AC41" s="85">
        <v>2</v>
      </c>
      <c r="AD41" s="37">
        <v>45715</v>
      </c>
      <c r="AE41" s="36" t="s">
        <v>209</v>
      </c>
      <c r="AF41" s="36" t="s">
        <v>2637</v>
      </c>
      <c r="AG41" s="1" t="s">
        <v>44</v>
      </c>
      <c r="AH41" s="16">
        <f>SUMIFS(DB!$I:$I,DB!$C:$C,$AE41,DB!$D:$D,$AF41,DB!$K:$K,$AB41,DB!$L:$L,$AC41)</f>
        <v>41210400</v>
      </c>
      <c r="AI41" s="16">
        <v>37464000</v>
      </c>
      <c r="AJ41" s="153">
        <v>3746400</v>
      </c>
      <c r="AK41" s="162">
        <v>45898</v>
      </c>
      <c r="AL41" s="16">
        <v>41210400</v>
      </c>
      <c r="AM41" s="107">
        <v>0</v>
      </c>
      <c r="AN41" s="36" t="s">
        <v>32</v>
      </c>
      <c r="AO41" s="37">
        <v>45688</v>
      </c>
      <c r="AP41" s="36" t="s">
        <v>2279</v>
      </c>
      <c r="AQ41" s="36" t="s">
        <v>2579</v>
      </c>
      <c r="AR41" s="36" t="s">
        <v>76</v>
      </c>
      <c r="AS41" s="89"/>
      <c r="AT41" s="87">
        <v>4200000</v>
      </c>
      <c r="AU41" s="87">
        <v>420000</v>
      </c>
      <c r="AV41" s="87">
        <v>4620000</v>
      </c>
      <c r="AW41" s="38"/>
      <c r="AX41" s="85">
        <v>2025</v>
      </c>
      <c r="AY41" s="85">
        <v>1</v>
      </c>
      <c r="AZ41" s="36"/>
      <c r="BA41" s="1" t="s">
        <v>44</v>
      </c>
      <c r="CA41" s="36"/>
      <c r="CB41" s="37"/>
      <c r="CC41" s="36"/>
      <c r="CD41" s="36"/>
      <c r="CE41" s="36"/>
      <c r="CF41" s="89"/>
      <c r="CG41" s="87"/>
      <c r="CH41" s="87"/>
      <c r="CI41" s="87"/>
      <c r="CJ41" s="38"/>
      <c r="CK41" s="85"/>
      <c r="CL41" s="85"/>
      <c r="CM41" s="36"/>
      <c r="CN41" s="208"/>
      <c r="DA41" s="36" t="s">
        <v>32</v>
      </c>
      <c r="DB41" s="85">
        <v>2025</v>
      </c>
      <c r="DC41" s="85">
        <v>10</v>
      </c>
      <c r="DD41" s="37">
        <v>45961</v>
      </c>
      <c r="DE41" s="36" t="s">
        <v>3137</v>
      </c>
      <c r="DF41" s="36" t="s">
        <v>3205</v>
      </c>
      <c r="DG41" s="1" t="s">
        <v>44</v>
      </c>
      <c r="DH41" s="16">
        <v>9652500</v>
      </c>
      <c r="DI41" s="16">
        <v>8775000</v>
      </c>
      <c r="DJ41" s="153">
        <v>877500</v>
      </c>
      <c r="DK41" s="162"/>
      <c r="DL41" s="16">
        <v>0</v>
      </c>
      <c r="DM41" s="107">
        <v>9652500</v>
      </c>
    </row>
    <row r="42" spans="10:117">
      <c r="J42" s="37"/>
      <c r="K42" s="36"/>
      <c r="L42" s="87"/>
      <c r="M42" s="38"/>
      <c r="N42" s="36"/>
      <c r="O42" s="36"/>
      <c r="P42" s="1"/>
      <c r="AA42" s="36" t="s">
        <v>32</v>
      </c>
      <c r="AB42" s="85">
        <v>2025</v>
      </c>
      <c r="AC42" s="85">
        <v>2</v>
      </c>
      <c r="AD42" s="37">
        <v>45715</v>
      </c>
      <c r="AE42" s="36" t="s">
        <v>209</v>
      </c>
      <c r="AF42" s="36" t="s">
        <v>2550</v>
      </c>
      <c r="AG42" s="1" t="s">
        <v>44</v>
      </c>
      <c r="AH42" s="16">
        <f>SUMIFS(DB!$I:$I,DB!$C:$C,$AE42,DB!$D:$D,$AF42,DB!$K:$K,$AB42,DB!$L:$L,$AC42)</f>
        <v>6420480</v>
      </c>
      <c r="AI42" s="16">
        <v>5836800</v>
      </c>
      <c r="AJ42" s="153">
        <v>583680</v>
      </c>
      <c r="AK42" s="162">
        <v>45898</v>
      </c>
      <c r="AL42" s="16">
        <v>6420480</v>
      </c>
      <c r="AM42" s="107">
        <v>0</v>
      </c>
      <c r="AN42" s="36" t="s">
        <v>32</v>
      </c>
      <c r="AO42" s="37">
        <v>45688</v>
      </c>
      <c r="AP42" s="36" t="s">
        <v>2477</v>
      </c>
      <c r="AQ42" s="36" t="s">
        <v>2485</v>
      </c>
      <c r="AR42" s="36" t="s">
        <v>267</v>
      </c>
      <c r="AS42" s="89"/>
      <c r="AT42" s="87">
        <v>9389520</v>
      </c>
      <c r="AU42" s="87">
        <v>938952</v>
      </c>
      <c r="AV42" s="87">
        <v>10328472</v>
      </c>
      <c r="AW42" s="38"/>
      <c r="AX42" s="85">
        <v>2025</v>
      </c>
      <c r="AY42" s="85">
        <v>1</v>
      </c>
      <c r="AZ42" s="36"/>
      <c r="BA42" s="1" t="s">
        <v>44</v>
      </c>
      <c r="CA42" s="36"/>
      <c r="CB42" s="37"/>
      <c r="CC42" s="36"/>
      <c r="CD42" s="36"/>
      <c r="CE42" s="36"/>
      <c r="CF42" s="89"/>
      <c r="CG42" s="87"/>
      <c r="CH42" s="87"/>
      <c r="CI42" s="87"/>
      <c r="CJ42" s="87"/>
      <c r="CK42" s="85"/>
      <c r="CL42" s="85"/>
      <c r="CM42" s="36"/>
      <c r="CN42" s="208"/>
      <c r="DA42" s="36" t="s">
        <v>32</v>
      </c>
      <c r="DB42" s="85">
        <v>2025</v>
      </c>
      <c r="DC42" s="85">
        <v>10</v>
      </c>
      <c r="DD42" s="37">
        <v>45961</v>
      </c>
      <c r="DE42" s="36" t="s">
        <v>3195</v>
      </c>
      <c r="DF42" s="36" t="s">
        <v>3206</v>
      </c>
      <c r="DG42" s="1" t="s">
        <v>44</v>
      </c>
      <c r="DH42" s="16">
        <v>7549080</v>
      </c>
      <c r="DI42" s="16">
        <v>6862800</v>
      </c>
      <c r="DJ42" s="153">
        <v>686280</v>
      </c>
      <c r="DK42" s="162"/>
      <c r="DL42" s="16">
        <v>0</v>
      </c>
      <c r="DM42" s="107">
        <v>7549080</v>
      </c>
    </row>
    <row r="43" spans="10:117">
      <c r="J43" s="37"/>
      <c r="K43" s="36"/>
      <c r="L43" s="87"/>
      <c r="M43" s="38"/>
      <c r="N43" s="36"/>
      <c r="O43" s="36"/>
      <c r="P43" s="1"/>
      <c r="AA43" s="36" t="s">
        <v>32</v>
      </c>
      <c r="AB43" s="85">
        <v>2025</v>
      </c>
      <c r="AC43" s="85">
        <v>2</v>
      </c>
      <c r="AD43" s="37">
        <v>45716</v>
      </c>
      <c r="AE43" s="36" t="s">
        <v>654</v>
      </c>
      <c r="AF43" s="36" t="s">
        <v>2676</v>
      </c>
      <c r="AG43" s="1" t="s">
        <v>44</v>
      </c>
      <c r="AH43" s="16">
        <f>SUMIFS(DB!$I:$I,DB!$C:$C,$AE43,DB!$D:$D,$AF43,DB!$K:$K,$AB43,DB!$L:$L,$AC43)</f>
        <v>2109492</v>
      </c>
      <c r="AI43" s="16">
        <v>1917720</v>
      </c>
      <c r="AJ43" s="153">
        <v>191772</v>
      </c>
      <c r="AK43" s="162">
        <v>45961</v>
      </c>
      <c r="AL43" s="16">
        <v>2109492</v>
      </c>
      <c r="AM43" s="107">
        <v>0</v>
      </c>
      <c r="AN43" s="36" t="s">
        <v>32</v>
      </c>
      <c r="AO43" s="37">
        <v>45688</v>
      </c>
      <c r="AP43" s="36" t="s">
        <v>291</v>
      </c>
      <c r="AQ43" s="36" t="s">
        <v>2643</v>
      </c>
      <c r="AR43" s="36" t="s">
        <v>267</v>
      </c>
      <c r="AS43" s="89"/>
      <c r="AT43" s="87">
        <v>24138000</v>
      </c>
      <c r="AU43" s="87">
        <v>2413800</v>
      </c>
      <c r="AV43" s="87">
        <v>26551800</v>
      </c>
      <c r="AW43" s="38"/>
      <c r="AX43" s="85">
        <v>2025</v>
      </c>
      <c r="AY43" s="85">
        <v>1</v>
      </c>
      <c r="AZ43" s="36"/>
      <c r="BA43" s="1" t="s">
        <v>44</v>
      </c>
      <c r="CA43" s="36"/>
      <c r="CB43" s="37"/>
      <c r="CC43" s="36"/>
      <c r="CD43" s="36"/>
      <c r="CE43" s="36"/>
      <c r="CF43" s="89"/>
      <c r="CG43" s="87"/>
      <c r="CH43" s="87"/>
      <c r="CI43" s="87"/>
      <c r="CJ43" s="38"/>
      <c r="CK43" s="85"/>
      <c r="CL43" s="85"/>
      <c r="CM43" s="36"/>
      <c r="CN43" s="208"/>
      <c r="DA43" s="36" t="s">
        <v>32</v>
      </c>
      <c r="DB43" s="85">
        <v>2025</v>
      </c>
      <c r="DC43" s="85">
        <v>10</v>
      </c>
      <c r="DD43" s="37">
        <v>45961</v>
      </c>
      <c r="DE43" s="36" t="s">
        <v>654</v>
      </c>
      <c r="DF43" s="36" t="s">
        <v>2588</v>
      </c>
      <c r="DG43" s="1" t="s">
        <v>44</v>
      </c>
      <c r="DH43" s="16">
        <v>13565816</v>
      </c>
      <c r="DI43" s="16">
        <v>12332560</v>
      </c>
      <c r="DJ43" s="153">
        <v>1233256</v>
      </c>
      <c r="DK43" s="162"/>
      <c r="DL43" s="16">
        <v>0</v>
      </c>
      <c r="DM43" s="107">
        <v>13565816</v>
      </c>
    </row>
    <row r="44" spans="10:117">
      <c r="J44" s="37"/>
      <c r="K44" s="36"/>
      <c r="L44" s="87"/>
      <c r="M44" s="87"/>
      <c r="N44" s="36"/>
      <c r="O44" s="36"/>
      <c r="P44" s="1"/>
      <c r="AA44" s="36" t="s">
        <v>32</v>
      </c>
      <c r="AB44" s="85">
        <v>2025</v>
      </c>
      <c r="AC44" s="85">
        <v>2</v>
      </c>
      <c r="AD44" s="37">
        <v>45716</v>
      </c>
      <c r="AE44" s="36" t="s">
        <v>654</v>
      </c>
      <c r="AF44" s="36" t="s">
        <v>2697</v>
      </c>
      <c r="AG44" s="1" t="s">
        <v>44</v>
      </c>
      <c r="AH44" s="16">
        <f>SUMIFS(DB!$I:$I,DB!$C:$C,$AE44,DB!$D:$D,$AF44,DB!$K:$K,$AB44,DB!$L:$L,$AC44)</f>
        <v>0</v>
      </c>
      <c r="AI44" s="16">
        <v>0</v>
      </c>
      <c r="AJ44" s="153">
        <v>0</v>
      </c>
      <c r="AL44" s="16">
        <v>0</v>
      </c>
      <c r="AM44" s="107">
        <v>0</v>
      </c>
      <c r="AN44" s="36" t="s">
        <v>32</v>
      </c>
      <c r="AO44" s="37">
        <v>45688</v>
      </c>
      <c r="AP44" s="36" t="s">
        <v>2247</v>
      </c>
      <c r="AQ44" s="36" t="s">
        <v>2644</v>
      </c>
      <c r="AR44" s="36" t="s">
        <v>267</v>
      </c>
      <c r="AS44" s="89"/>
      <c r="AT44" s="87">
        <v>6270000</v>
      </c>
      <c r="AU44" s="87">
        <v>627000</v>
      </c>
      <c r="AV44" s="87">
        <v>6897000</v>
      </c>
      <c r="AW44" s="38"/>
      <c r="AX44" s="85">
        <v>2025</v>
      </c>
      <c r="AY44" s="85">
        <v>1</v>
      </c>
      <c r="AZ44" s="36"/>
      <c r="BA44" s="1" t="s">
        <v>44</v>
      </c>
      <c r="CA44" s="36"/>
      <c r="CB44" s="37"/>
      <c r="CC44" s="36"/>
      <c r="CD44" s="36"/>
      <c r="CE44" s="36"/>
      <c r="CF44" s="89"/>
      <c r="CG44" s="87"/>
      <c r="CH44" s="87"/>
      <c r="CI44" s="87"/>
      <c r="CJ44" s="87"/>
      <c r="CK44" s="85"/>
      <c r="CL44" s="85"/>
      <c r="CM44" s="36"/>
      <c r="CN44" s="208"/>
      <c r="DA44" s="36" t="s">
        <v>32</v>
      </c>
      <c r="DB44" s="85">
        <v>2025</v>
      </c>
      <c r="DC44" s="85">
        <v>10</v>
      </c>
      <c r="DD44" s="37">
        <v>45961</v>
      </c>
      <c r="DE44" s="36" t="s">
        <v>3213</v>
      </c>
      <c r="DF44" s="36" t="s">
        <v>3207</v>
      </c>
      <c r="DG44" s="1" t="s">
        <v>44</v>
      </c>
      <c r="DH44" s="16">
        <v>1584000</v>
      </c>
      <c r="DI44" s="16">
        <v>1440000</v>
      </c>
      <c r="DJ44" s="153">
        <v>144000</v>
      </c>
      <c r="DK44" s="162"/>
      <c r="DL44" s="16">
        <v>0</v>
      </c>
      <c r="DM44" s="107">
        <v>1584000</v>
      </c>
    </row>
    <row r="45" spans="10:117">
      <c r="J45" s="37"/>
      <c r="K45" s="36"/>
      <c r="L45" s="87"/>
      <c r="M45" s="38"/>
      <c r="N45" s="36"/>
      <c r="O45" s="36"/>
      <c r="P45" s="1"/>
      <c r="AA45" s="36" t="s">
        <v>32</v>
      </c>
      <c r="AB45" s="85">
        <v>2025</v>
      </c>
      <c r="AC45" s="85">
        <v>2</v>
      </c>
      <c r="AD45" s="37">
        <v>45716</v>
      </c>
      <c r="AE45" s="36" t="s">
        <v>654</v>
      </c>
      <c r="AF45" s="36" t="s">
        <v>2541</v>
      </c>
      <c r="AG45" s="1" t="s">
        <v>44</v>
      </c>
      <c r="AH45" s="16">
        <f>SUMIFS(DB!$I:$I,DB!$C:$C,$AE45,DB!$D:$D,$AF45,DB!$K:$K,$AB45,DB!$L:$L,$AC45)</f>
        <v>24403500</v>
      </c>
      <c r="AI45" s="16">
        <v>22185000</v>
      </c>
      <c r="AJ45" s="153">
        <v>2218500</v>
      </c>
      <c r="AK45" s="162">
        <v>45961</v>
      </c>
      <c r="AL45" s="16">
        <v>24403500</v>
      </c>
      <c r="AM45" s="107">
        <v>0</v>
      </c>
      <c r="AN45" s="36" t="s">
        <v>32</v>
      </c>
      <c r="AO45" s="37">
        <v>45688</v>
      </c>
      <c r="AP45" s="36" t="s">
        <v>264</v>
      </c>
      <c r="AQ45" s="36" t="s">
        <v>2645</v>
      </c>
      <c r="AR45" s="36" t="s">
        <v>76</v>
      </c>
      <c r="AS45" s="89"/>
      <c r="AT45" s="87">
        <v>34400000</v>
      </c>
      <c r="AU45" s="87">
        <v>3440000</v>
      </c>
      <c r="AV45" s="87">
        <v>37840000</v>
      </c>
      <c r="AW45" s="38"/>
      <c r="AX45" s="85">
        <v>2025</v>
      </c>
      <c r="AY45" s="85">
        <v>1</v>
      </c>
      <c r="AZ45" s="36"/>
      <c r="BA45" s="1" t="s">
        <v>44</v>
      </c>
      <c r="CA45" s="36"/>
      <c r="CB45" s="37"/>
      <c r="CC45" s="36"/>
      <c r="CD45" s="36"/>
      <c r="CE45" s="36"/>
      <c r="CF45" s="89"/>
      <c r="CG45" s="87"/>
      <c r="CH45" s="87"/>
      <c r="CI45" s="87"/>
      <c r="CJ45" s="87"/>
      <c r="CK45" s="85"/>
      <c r="CL45" s="85"/>
      <c r="CM45" s="36"/>
      <c r="CN45" s="208"/>
      <c r="DA45" s="36" t="s">
        <v>32</v>
      </c>
      <c r="DB45" s="85">
        <v>2025</v>
      </c>
      <c r="DC45" s="85">
        <v>10</v>
      </c>
      <c r="DD45" s="37">
        <v>45961</v>
      </c>
      <c r="DE45" s="36" t="s">
        <v>264</v>
      </c>
      <c r="DF45" s="36" t="s">
        <v>3070</v>
      </c>
      <c r="DG45" s="1" t="s">
        <v>44</v>
      </c>
      <c r="DH45" s="16">
        <v>15730000</v>
      </c>
      <c r="DI45" s="16">
        <v>14300000</v>
      </c>
      <c r="DJ45" s="153">
        <v>1430000</v>
      </c>
      <c r="DK45" s="162"/>
      <c r="DL45" s="16">
        <v>0</v>
      </c>
      <c r="DM45" s="107">
        <v>15730000</v>
      </c>
    </row>
    <row r="46" spans="10:117">
      <c r="J46" s="37"/>
      <c r="K46" s="36"/>
      <c r="L46" s="87"/>
      <c r="M46" s="38"/>
      <c r="N46" s="36"/>
      <c r="O46" s="36"/>
      <c r="P46" s="1"/>
      <c r="AA46" s="36" t="s">
        <v>32</v>
      </c>
      <c r="AB46" s="85">
        <v>2025</v>
      </c>
      <c r="AC46" s="85">
        <v>2</v>
      </c>
      <c r="AD46" s="37">
        <v>45716</v>
      </c>
      <c r="AE46" s="36" t="s">
        <v>654</v>
      </c>
      <c r="AF46" s="36" t="s">
        <v>1854</v>
      </c>
      <c r="AG46" s="1" t="s">
        <v>44</v>
      </c>
      <c r="AH46" s="16">
        <f>SUMIFS(DB!$I:$I,DB!$C:$C,$AE46,DB!$D:$D,$AF46,DB!$K:$K,$AB46,DB!$L:$L,$AC46)</f>
        <v>1328096</v>
      </c>
      <c r="AI46" s="16">
        <v>1207360</v>
      </c>
      <c r="AJ46" s="153">
        <v>120736</v>
      </c>
      <c r="AK46" s="162">
        <v>45905</v>
      </c>
      <c r="AL46" s="16">
        <v>1328096</v>
      </c>
      <c r="AM46" s="107">
        <v>0</v>
      </c>
      <c r="AN46" s="36" t="s">
        <v>32</v>
      </c>
      <c r="AO46" s="37">
        <v>45688</v>
      </c>
      <c r="AP46" s="36" t="s">
        <v>2223</v>
      </c>
      <c r="AQ46" s="36" t="s">
        <v>2646</v>
      </c>
      <c r="AR46" s="36" t="s">
        <v>2649</v>
      </c>
      <c r="AS46" s="89"/>
      <c r="AT46" s="87">
        <v>4531000</v>
      </c>
      <c r="AU46" s="87">
        <v>453100</v>
      </c>
      <c r="AV46" s="87">
        <v>4984100</v>
      </c>
      <c r="AW46" s="38"/>
      <c r="AX46" s="85">
        <v>2025</v>
      </c>
      <c r="AY46" s="85">
        <v>1</v>
      </c>
      <c r="AZ46" s="36"/>
      <c r="BA46" s="1" t="s">
        <v>44</v>
      </c>
      <c r="CA46" s="36"/>
      <c r="CB46" s="37"/>
      <c r="CC46" s="36"/>
      <c r="CD46" s="36"/>
      <c r="CE46" s="36"/>
      <c r="CF46" s="89"/>
      <c r="CG46" s="87"/>
      <c r="CH46" s="87"/>
      <c r="CI46" s="87"/>
      <c r="CJ46" s="38"/>
      <c r="CK46" s="84"/>
      <c r="CL46" s="85"/>
      <c r="CM46" s="36"/>
      <c r="CN46" s="1"/>
      <c r="DA46" s="36" t="s">
        <v>32</v>
      </c>
      <c r="DB46" s="85">
        <v>2025</v>
      </c>
      <c r="DC46" s="85">
        <v>10</v>
      </c>
      <c r="DD46" s="37">
        <v>45961</v>
      </c>
      <c r="DE46" s="36" t="s">
        <v>3211</v>
      </c>
      <c r="DF46" s="36" t="s">
        <v>3201</v>
      </c>
      <c r="DG46" s="1" t="s">
        <v>44</v>
      </c>
      <c r="DH46" s="16">
        <v>8438100</v>
      </c>
      <c r="DI46" s="16">
        <v>7671000</v>
      </c>
      <c r="DJ46" s="153">
        <v>767100</v>
      </c>
      <c r="DK46" s="162"/>
      <c r="DL46" s="16">
        <v>0</v>
      </c>
      <c r="DM46" s="107">
        <v>8438100</v>
      </c>
    </row>
    <row r="47" spans="10:117">
      <c r="J47" s="37"/>
      <c r="K47" s="36"/>
      <c r="L47" s="87"/>
      <c r="M47" s="87"/>
      <c r="N47" s="36"/>
      <c r="O47" s="36"/>
      <c r="P47" s="1"/>
      <c r="AA47" s="36" t="s">
        <v>32</v>
      </c>
      <c r="AB47" s="85">
        <v>2025</v>
      </c>
      <c r="AC47" s="85">
        <v>2</v>
      </c>
      <c r="AD47" s="37">
        <v>45716</v>
      </c>
      <c r="AE47" s="36" t="s">
        <v>654</v>
      </c>
      <c r="AF47" s="36" t="s">
        <v>2397</v>
      </c>
      <c r="AG47" s="1" t="s">
        <v>44</v>
      </c>
      <c r="AH47" s="16">
        <f>SUMIFS(DB!$I:$I,DB!$C:$C,$AE47,DB!$D:$D,$AF47,DB!$K:$K,$AB47,DB!$L:$L,$AC47)</f>
        <v>2200000</v>
      </c>
      <c r="AI47" s="16">
        <v>2000000</v>
      </c>
      <c r="AJ47" s="153">
        <v>200000</v>
      </c>
      <c r="AK47" s="162">
        <v>45961</v>
      </c>
      <c r="AL47" s="16">
        <v>2200000</v>
      </c>
      <c r="AM47" s="107">
        <v>0</v>
      </c>
      <c r="AN47" s="36" t="s">
        <v>32</v>
      </c>
      <c r="AO47" s="37">
        <v>45698</v>
      </c>
      <c r="AP47" s="36" t="s">
        <v>209</v>
      </c>
      <c r="AQ47" s="36" t="s">
        <v>2637</v>
      </c>
      <c r="AR47" s="36" t="s">
        <v>2647</v>
      </c>
      <c r="AS47" s="89"/>
      <c r="AT47" s="87"/>
      <c r="AU47" s="87"/>
      <c r="AV47" s="87"/>
      <c r="AW47" s="38">
        <v>55898040</v>
      </c>
      <c r="AX47" s="85">
        <v>2025</v>
      </c>
      <c r="AY47" s="85">
        <v>1</v>
      </c>
      <c r="AZ47" s="36"/>
      <c r="BA47" s="1" t="s">
        <v>44</v>
      </c>
      <c r="CA47" s="18"/>
      <c r="CB47" s="122"/>
      <c r="CC47" s="18"/>
      <c r="CD47" s="18"/>
      <c r="CE47" s="36"/>
      <c r="CF47" s="123"/>
      <c r="CG47" s="124"/>
      <c r="CH47" s="124"/>
      <c r="CI47" s="124"/>
      <c r="CJ47" s="125"/>
      <c r="CK47" s="126"/>
      <c r="CL47" s="127"/>
      <c r="CM47" s="36"/>
      <c r="CN47" s="1"/>
      <c r="DA47" s="36" t="s">
        <v>32</v>
      </c>
      <c r="DB47" s="85">
        <v>2025</v>
      </c>
      <c r="DC47" s="85">
        <v>10</v>
      </c>
      <c r="DD47" s="37">
        <v>45961</v>
      </c>
      <c r="DE47" s="36" t="s">
        <v>3197</v>
      </c>
      <c r="DF47" s="36" t="s">
        <v>2875</v>
      </c>
      <c r="DG47" s="1" t="s">
        <v>44</v>
      </c>
      <c r="DH47" s="16">
        <v>33000000</v>
      </c>
      <c r="DI47" s="16">
        <v>30000000</v>
      </c>
      <c r="DJ47" s="153">
        <v>3000000</v>
      </c>
      <c r="DK47" s="162"/>
      <c r="DL47" s="16">
        <v>0</v>
      </c>
      <c r="DM47" s="107">
        <v>33000000</v>
      </c>
    </row>
    <row r="48" spans="10:117">
      <c r="J48" s="37"/>
      <c r="K48" s="36"/>
      <c r="L48" s="87"/>
      <c r="M48" s="38"/>
      <c r="N48" s="36"/>
      <c r="O48" s="36"/>
      <c r="P48" s="1"/>
      <c r="AA48" s="36" t="s">
        <v>32</v>
      </c>
      <c r="AB48" s="85">
        <v>2025</v>
      </c>
      <c r="AC48" s="85">
        <v>2</v>
      </c>
      <c r="AD48" s="37">
        <v>45716</v>
      </c>
      <c r="AE48" s="36" t="s">
        <v>1396</v>
      </c>
      <c r="AF48" s="36" t="s">
        <v>2677</v>
      </c>
      <c r="AG48" s="1" t="s">
        <v>44</v>
      </c>
      <c r="AH48" s="16">
        <f>SUMIFS(DB!$I:$I,DB!$C:$C,$AE48,DB!$D:$D,$AF48,DB!$K:$K,$AB48,DB!$L:$L,$AC48)</f>
        <v>15400000</v>
      </c>
      <c r="AI48" s="16">
        <v>14000000</v>
      </c>
      <c r="AJ48" s="153">
        <v>1400000</v>
      </c>
      <c r="AK48" s="162">
        <v>45961</v>
      </c>
      <c r="AL48" s="16">
        <v>15400000</v>
      </c>
      <c r="AM48" s="107">
        <v>0</v>
      </c>
      <c r="AN48" s="36" t="s">
        <v>32</v>
      </c>
      <c r="AO48" s="37">
        <v>45689</v>
      </c>
      <c r="AP48" s="36" t="s">
        <v>654</v>
      </c>
      <c r="AQ48" s="36" t="s">
        <v>2631</v>
      </c>
      <c r="AR48" s="36" t="s">
        <v>2650</v>
      </c>
      <c r="AS48" s="89"/>
      <c r="AT48" s="87">
        <v>-7114000</v>
      </c>
      <c r="AU48" s="87">
        <v>-711400</v>
      </c>
      <c r="AV48" s="87">
        <v>-7825400</v>
      </c>
      <c r="AW48" s="38"/>
      <c r="AX48" s="85">
        <v>2025</v>
      </c>
      <c r="AY48" s="85">
        <v>1</v>
      </c>
      <c r="AZ48" s="36"/>
      <c r="BA48" s="1" t="s">
        <v>44</v>
      </c>
      <c r="CA48" s="18"/>
      <c r="CB48" s="122"/>
      <c r="CC48" s="18"/>
      <c r="CD48" s="18"/>
      <c r="CE48" s="36"/>
      <c r="CF48" s="123"/>
      <c r="CG48" s="124"/>
      <c r="CH48" s="124"/>
      <c r="CI48" s="124"/>
      <c r="CJ48" s="125"/>
      <c r="CK48" s="126"/>
      <c r="CL48" s="127"/>
      <c r="CM48" s="36"/>
      <c r="CN48" s="1"/>
      <c r="DA48" s="36" t="s">
        <v>32</v>
      </c>
      <c r="DB48" s="85">
        <v>2025</v>
      </c>
      <c r="DC48" s="85">
        <v>10</v>
      </c>
      <c r="DD48" s="37">
        <v>45961</v>
      </c>
      <c r="DE48" s="36" t="s">
        <v>3134</v>
      </c>
      <c r="DF48" s="36" t="s">
        <v>3140</v>
      </c>
      <c r="DG48" s="1" t="s">
        <v>44</v>
      </c>
      <c r="DH48" s="16">
        <v>6722375</v>
      </c>
      <c r="DI48" s="16">
        <v>6111250</v>
      </c>
      <c r="DJ48" s="153">
        <v>611125</v>
      </c>
      <c r="DK48" s="162"/>
      <c r="DL48" s="16">
        <v>0</v>
      </c>
      <c r="DM48" s="107">
        <v>6722375</v>
      </c>
    </row>
    <row r="49" spans="10:117">
      <c r="J49" s="37"/>
      <c r="K49" s="36"/>
      <c r="L49" s="87"/>
      <c r="M49" s="38"/>
      <c r="N49" s="36"/>
      <c r="O49" s="36"/>
      <c r="P49" s="1"/>
      <c r="AA49" s="36" t="s">
        <v>32</v>
      </c>
      <c r="AB49" s="85">
        <v>2025</v>
      </c>
      <c r="AC49" s="85">
        <v>2</v>
      </c>
      <c r="AD49" s="37">
        <v>45716</v>
      </c>
      <c r="AE49" s="36" t="s">
        <v>1396</v>
      </c>
      <c r="AF49" s="36" t="s">
        <v>2678</v>
      </c>
      <c r="AG49" s="1" t="s">
        <v>44</v>
      </c>
      <c r="AH49" s="16">
        <f>SUMIFS(DB!$I:$I,DB!$C:$C,$AE49,DB!$D:$D,$AF49,DB!$K:$K,$AB49,DB!$L:$L,$AC49)</f>
        <v>14080000</v>
      </c>
      <c r="AI49" s="16">
        <v>12800000</v>
      </c>
      <c r="AJ49" s="153">
        <v>1280000</v>
      </c>
      <c r="AK49" s="162">
        <v>45961</v>
      </c>
      <c r="AL49" s="16">
        <v>14080000</v>
      </c>
      <c r="AM49" s="107">
        <v>0</v>
      </c>
      <c r="AN49" s="36" t="s">
        <v>32</v>
      </c>
      <c r="AO49" s="37">
        <v>45689</v>
      </c>
      <c r="AP49" s="36" t="s">
        <v>654</v>
      </c>
      <c r="AQ49" s="36" t="s">
        <v>2635</v>
      </c>
      <c r="AR49" s="36" t="s">
        <v>2650</v>
      </c>
      <c r="AS49" s="89"/>
      <c r="AT49" s="87">
        <v>-7215000</v>
      </c>
      <c r="AU49" s="87">
        <v>-721500</v>
      </c>
      <c r="AV49" s="87">
        <v>-7936500</v>
      </c>
      <c r="AW49" s="38"/>
      <c r="AX49" s="85">
        <v>2025</v>
      </c>
      <c r="AY49" s="85">
        <v>1</v>
      </c>
      <c r="AZ49" s="36"/>
      <c r="BA49" s="1" t="s">
        <v>44</v>
      </c>
      <c r="CA49" s="18"/>
      <c r="CB49" s="122"/>
      <c r="CC49" s="18"/>
      <c r="CD49" s="18"/>
      <c r="CE49" s="36"/>
      <c r="CF49" s="123"/>
      <c r="CG49" s="124"/>
      <c r="CH49" s="124"/>
      <c r="CI49" s="124"/>
      <c r="CJ49" s="125"/>
      <c r="CK49" s="126"/>
      <c r="CL49" s="127"/>
      <c r="CM49" s="36"/>
      <c r="CN49" s="1"/>
      <c r="DA49" s="36" t="s">
        <v>32</v>
      </c>
      <c r="DB49" s="85">
        <v>2025</v>
      </c>
      <c r="DC49" s="85">
        <v>10</v>
      </c>
      <c r="DD49" s="37">
        <v>45961</v>
      </c>
      <c r="DE49" s="36" t="s">
        <v>2822</v>
      </c>
      <c r="DF49" s="36" t="s">
        <v>3019</v>
      </c>
      <c r="DG49" s="1" t="s">
        <v>44</v>
      </c>
      <c r="DH49" s="16">
        <v>8225250</v>
      </c>
      <c r="DI49" s="16">
        <v>7477500</v>
      </c>
      <c r="DJ49" s="153">
        <v>747750</v>
      </c>
      <c r="DK49" s="162"/>
      <c r="DL49" s="16">
        <v>0</v>
      </c>
      <c r="DM49" s="107">
        <v>8225250</v>
      </c>
    </row>
    <row r="50" spans="10:117">
      <c r="J50" s="37"/>
      <c r="K50" s="36"/>
      <c r="L50" s="87"/>
      <c r="M50" s="38"/>
      <c r="N50" s="36"/>
      <c r="O50" s="36"/>
      <c r="P50" s="1"/>
      <c r="AA50" s="36" t="s">
        <v>32</v>
      </c>
      <c r="AB50" s="85">
        <v>2025</v>
      </c>
      <c r="AC50" s="85">
        <v>2</v>
      </c>
      <c r="AD50" s="37">
        <v>45716</v>
      </c>
      <c r="AE50" s="36" t="s">
        <v>1396</v>
      </c>
      <c r="AF50" s="36" t="s">
        <v>2679</v>
      </c>
      <c r="AG50" s="1" t="s">
        <v>44</v>
      </c>
      <c r="AH50" s="16">
        <f>SUMIFS(DB!$I:$I,DB!$C:$C,$AE50,DB!$D:$D,$AF50,DB!$K:$K,$AB50,DB!$L:$L,$AC50)</f>
        <v>10289290</v>
      </c>
      <c r="AI50" s="16">
        <v>9353900</v>
      </c>
      <c r="AJ50" s="153">
        <v>935390</v>
      </c>
      <c r="AK50" s="162">
        <v>45961</v>
      </c>
      <c r="AL50" s="16">
        <v>10289290</v>
      </c>
      <c r="AM50" s="107">
        <v>0</v>
      </c>
      <c r="AN50" s="36" t="s">
        <v>32</v>
      </c>
      <c r="AO50" s="37">
        <v>45705</v>
      </c>
      <c r="AP50" s="36" t="s">
        <v>2395</v>
      </c>
      <c r="AQ50" s="36" t="s">
        <v>2369</v>
      </c>
      <c r="AR50" s="36" t="s">
        <v>148</v>
      </c>
      <c r="AS50" s="89"/>
      <c r="AT50" s="87"/>
      <c r="AU50" s="87"/>
      <c r="AV50" s="87"/>
      <c r="AW50" s="87">
        <v>56383635</v>
      </c>
      <c r="AX50" s="85">
        <v>2025</v>
      </c>
      <c r="AY50" s="85">
        <v>1</v>
      </c>
      <c r="AZ50" s="254" t="s">
        <v>2651</v>
      </c>
      <c r="BA50" s="1" t="s">
        <v>44</v>
      </c>
      <c r="CA50" s="18"/>
      <c r="CB50" s="122"/>
      <c r="CC50" s="18"/>
      <c r="CD50" s="18"/>
      <c r="CE50" s="36"/>
      <c r="CF50" s="123"/>
      <c r="CG50" s="124"/>
      <c r="CH50" s="124"/>
      <c r="CI50" s="124"/>
      <c r="CJ50" s="125"/>
      <c r="CK50" s="126"/>
      <c r="CL50" s="127"/>
      <c r="CM50" s="36"/>
      <c r="CN50" s="1"/>
      <c r="DA50" s="36" t="s">
        <v>32</v>
      </c>
      <c r="DB50" s="85">
        <v>2025</v>
      </c>
      <c r="DC50" s="85">
        <v>10</v>
      </c>
      <c r="DD50" s="37">
        <v>45961</v>
      </c>
      <c r="DE50" s="36" t="s">
        <v>1218</v>
      </c>
      <c r="DF50" s="36" t="s">
        <v>3208</v>
      </c>
      <c r="DG50" s="1" t="s">
        <v>44</v>
      </c>
      <c r="DH50" s="16">
        <v>2079000</v>
      </c>
      <c r="DI50" s="16">
        <v>1890000</v>
      </c>
      <c r="DJ50" s="153">
        <v>189000</v>
      </c>
      <c r="DK50" s="162"/>
      <c r="DL50" s="16">
        <v>0</v>
      </c>
      <c r="DM50" s="107">
        <v>2079000</v>
      </c>
    </row>
    <row r="51" spans="10:117">
      <c r="J51" s="37"/>
      <c r="K51" s="36"/>
      <c r="L51" s="87"/>
      <c r="M51" s="87"/>
      <c r="N51" s="36"/>
      <c r="O51" s="36"/>
      <c r="P51" s="1"/>
      <c r="AA51" s="36" t="s">
        <v>32</v>
      </c>
      <c r="AB51" s="85">
        <v>2025</v>
      </c>
      <c r="AC51" s="85">
        <v>2</v>
      </c>
      <c r="AD51" s="37">
        <v>45716</v>
      </c>
      <c r="AE51" s="36" t="s">
        <v>1396</v>
      </c>
      <c r="AF51" s="36" t="s">
        <v>2680</v>
      </c>
      <c r="AG51" s="1" t="s">
        <v>44</v>
      </c>
      <c r="AH51" s="16">
        <f>SUMIFS(DB!$I:$I,DB!$C:$C,$AE51,DB!$D:$D,$AF51,DB!$K:$K,$AB51,DB!$L:$L,$AC51)</f>
        <v>11655600</v>
      </c>
      <c r="AI51" s="16">
        <v>10596000</v>
      </c>
      <c r="AJ51" s="153">
        <v>1059600</v>
      </c>
      <c r="AK51" s="162">
        <v>45961</v>
      </c>
      <c r="AL51" s="16">
        <v>11655600</v>
      </c>
      <c r="AM51" s="107">
        <v>0</v>
      </c>
      <c r="AN51" s="36" t="s">
        <v>32</v>
      </c>
      <c r="AO51" s="37">
        <v>45705</v>
      </c>
      <c r="AP51" s="36" t="s">
        <v>2395</v>
      </c>
      <c r="AQ51" s="36" t="s">
        <v>2640</v>
      </c>
      <c r="AR51" s="36" t="s">
        <v>148</v>
      </c>
      <c r="AS51" s="89"/>
      <c r="AT51" s="87"/>
      <c r="AU51" s="87"/>
      <c r="AV51" s="87"/>
      <c r="AW51" s="87">
        <v>13094433</v>
      </c>
      <c r="AX51" s="85">
        <v>2025</v>
      </c>
      <c r="AY51" s="85">
        <v>1</v>
      </c>
      <c r="AZ51" s="254" t="s">
        <v>2651</v>
      </c>
      <c r="BA51" s="1" t="s">
        <v>44</v>
      </c>
      <c r="CA51" s="18"/>
      <c r="CB51" s="122"/>
      <c r="CC51" s="18"/>
      <c r="CD51" s="18"/>
      <c r="CE51" s="36"/>
      <c r="CF51" s="123"/>
      <c r="CG51" s="124"/>
      <c r="CH51" s="124"/>
      <c r="CI51" s="124"/>
      <c r="CJ51" s="125"/>
      <c r="CK51" s="126"/>
      <c r="CL51" s="127"/>
      <c r="CM51" s="36"/>
      <c r="CN51" s="1"/>
      <c r="DA51" s="36" t="s">
        <v>32</v>
      </c>
      <c r="DB51" s="85">
        <v>2025</v>
      </c>
      <c r="DC51" s="85">
        <v>10</v>
      </c>
      <c r="DD51" s="37">
        <v>45961</v>
      </c>
      <c r="DE51" s="36" t="s">
        <v>1218</v>
      </c>
      <c r="DF51" s="36" t="s">
        <v>3202</v>
      </c>
      <c r="DG51" s="1" t="s">
        <v>44</v>
      </c>
      <c r="DH51" s="16">
        <v>2376000</v>
      </c>
      <c r="DI51" s="16">
        <v>2160000</v>
      </c>
      <c r="DJ51" s="153">
        <v>216000</v>
      </c>
      <c r="DK51" s="162"/>
      <c r="DL51" s="16">
        <v>0</v>
      </c>
      <c r="DM51" s="107">
        <v>2376000</v>
      </c>
    </row>
    <row r="52" spans="10:117">
      <c r="J52" s="37"/>
      <c r="K52" s="36"/>
      <c r="L52" s="87"/>
      <c r="M52" s="87"/>
      <c r="N52" s="36"/>
      <c r="O52" s="36"/>
      <c r="P52" s="1"/>
      <c r="AA52" s="36" t="s">
        <v>32</v>
      </c>
      <c r="AB52" s="85">
        <v>2025</v>
      </c>
      <c r="AC52" s="85">
        <v>2</v>
      </c>
      <c r="AD52" s="37">
        <v>45716</v>
      </c>
      <c r="AE52" s="36" t="s">
        <v>1396</v>
      </c>
      <c r="AF52" s="36" t="s">
        <v>2681</v>
      </c>
      <c r="AG52" s="1" t="s">
        <v>44</v>
      </c>
      <c r="AH52" s="16">
        <f>SUMIFS(DB!$I:$I,DB!$C:$C,$AE52,DB!$D:$D,$AF52,DB!$K:$K,$AB52,DB!$L:$L,$AC52)</f>
        <v>2200000</v>
      </c>
      <c r="AI52" s="16">
        <v>2000000</v>
      </c>
      <c r="AJ52" s="153">
        <v>200000</v>
      </c>
      <c r="AK52" s="162">
        <v>45961</v>
      </c>
      <c r="AL52" s="16">
        <v>2200000</v>
      </c>
      <c r="AM52" s="107">
        <v>0</v>
      </c>
      <c r="AN52" s="36" t="s">
        <v>32</v>
      </c>
      <c r="AO52" s="37">
        <v>45705</v>
      </c>
      <c r="AP52" s="36" t="s">
        <v>2626</v>
      </c>
      <c r="AQ52" s="36" t="s">
        <v>2636</v>
      </c>
      <c r="AR52" s="36" t="s">
        <v>148</v>
      </c>
      <c r="AS52" s="89"/>
      <c r="AT52" s="87"/>
      <c r="AU52" s="87"/>
      <c r="AV52" s="87"/>
      <c r="AW52" s="87">
        <v>2869856</v>
      </c>
      <c r="AX52" s="85">
        <v>2025</v>
      </c>
      <c r="AY52" s="85">
        <v>1</v>
      </c>
      <c r="AZ52" s="36"/>
      <c r="BA52" s="1" t="s">
        <v>44</v>
      </c>
      <c r="CA52" s="18"/>
      <c r="CB52" s="122"/>
      <c r="CC52" s="18"/>
      <c r="CD52" s="18"/>
      <c r="CE52" s="36"/>
      <c r="CF52" s="123"/>
      <c r="CG52" s="124"/>
      <c r="CH52" s="124"/>
      <c r="CI52" s="124"/>
      <c r="CJ52" s="125"/>
      <c r="CK52" s="126"/>
      <c r="CL52" s="127"/>
      <c r="CM52" s="36"/>
      <c r="CN52" s="1"/>
      <c r="DA52" s="36" t="s">
        <v>32</v>
      </c>
      <c r="DB52" s="85">
        <v>2025</v>
      </c>
      <c r="DC52" s="85">
        <v>10</v>
      </c>
      <c r="DD52" s="37">
        <v>45961</v>
      </c>
      <c r="DE52" s="36" t="s">
        <v>3209</v>
      </c>
      <c r="DF52" s="36" t="s">
        <v>2832</v>
      </c>
      <c r="DG52" s="1" t="s">
        <v>44</v>
      </c>
      <c r="DH52" s="16">
        <v>84696700</v>
      </c>
      <c r="DI52" s="16">
        <v>76997000</v>
      </c>
      <c r="DJ52" s="153">
        <v>7699700</v>
      </c>
      <c r="DK52" s="162"/>
      <c r="DL52" s="16">
        <v>0</v>
      </c>
      <c r="DM52" s="107">
        <v>84696700</v>
      </c>
    </row>
    <row r="53" spans="10:117">
      <c r="J53" s="37"/>
      <c r="K53" s="36"/>
      <c r="L53" s="87"/>
      <c r="M53" s="87"/>
      <c r="N53" s="36"/>
      <c r="O53" s="36"/>
      <c r="P53" s="1"/>
      <c r="AA53" s="36" t="s">
        <v>32</v>
      </c>
      <c r="AB53" s="85">
        <v>2025</v>
      </c>
      <c r="AC53" s="85">
        <v>2</v>
      </c>
      <c r="AD53" s="37">
        <v>45716</v>
      </c>
      <c r="AE53" s="36" t="s">
        <v>2543</v>
      </c>
      <c r="AF53" s="36" t="s">
        <v>2554</v>
      </c>
      <c r="AG53" s="1" t="s">
        <v>44</v>
      </c>
      <c r="AH53" s="16">
        <f>SUMIFS(DB!$I:$I,DB!$C:$C,$AE53,DB!$D:$D,$AF53,DB!$K:$K,$AB53,DB!$L:$L,$AC53)</f>
        <v>0</v>
      </c>
      <c r="AI53" s="16">
        <v>0</v>
      </c>
      <c r="AJ53" s="153">
        <v>0</v>
      </c>
      <c r="AL53" s="16">
        <v>0</v>
      </c>
      <c r="AM53" s="107">
        <v>0</v>
      </c>
      <c r="AN53" s="36" t="s">
        <v>32</v>
      </c>
      <c r="AO53" s="37">
        <v>45709</v>
      </c>
      <c r="AP53" s="36" t="s">
        <v>2477</v>
      </c>
      <c r="AQ53" s="36" t="s">
        <v>2485</v>
      </c>
      <c r="AR53" s="36" t="s">
        <v>148</v>
      </c>
      <c r="AS53" s="89"/>
      <c r="AT53" s="87"/>
      <c r="AU53" s="87"/>
      <c r="AV53" s="87"/>
      <c r="AW53" s="87">
        <v>10328472</v>
      </c>
      <c r="AX53" s="85">
        <v>2025</v>
      </c>
      <c r="AY53" s="85">
        <v>1</v>
      </c>
      <c r="AZ53" s="36" t="s">
        <v>2653</v>
      </c>
      <c r="BA53" s="1" t="s">
        <v>44</v>
      </c>
      <c r="CA53" s="18"/>
      <c r="CB53" s="122"/>
      <c r="CC53" s="18"/>
      <c r="CD53" s="18"/>
      <c r="CE53" s="36"/>
      <c r="CF53" s="123"/>
      <c r="CG53" s="124"/>
      <c r="CH53" s="124"/>
      <c r="CI53" s="124"/>
      <c r="CJ53" s="125"/>
      <c r="CK53" s="126"/>
      <c r="CL53" s="127"/>
      <c r="CM53" s="36"/>
      <c r="CN53" s="1"/>
      <c r="DA53" s="36"/>
      <c r="DB53" s="85"/>
      <c r="DC53" s="85"/>
      <c r="DD53" s="37"/>
      <c r="DE53" s="36"/>
      <c r="DF53" s="36"/>
      <c r="DG53" s="1"/>
      <c r="DH53" s="16"/>
      <c r="DI53" s="16"/>
      <c r="DJ53" s="153"/>
      <c r="DK53" s="162"/>
      <c r="DL53" s="16"/>
      <c r="DM53" s="107"/>
    </row>
    <row r="54" spans="10:117">
      <c r="J54" s="37"/>
      <c r="K54" s="36"/>
      <c r="L54" s="87"/>
      <c r="M54" s="38"/>
      <c r="N54" s="36"/>
      <c r="O54" s="36"/>
      <c r="P54" s="1"/>
      <c r="AA54" s="36" t="s">
        <v>32</v>
      </c>
      <c r="AB54" s="85">
        <v>2025</v>
      </c>
      <c r="AC54" s="85">
        <v>2</v>
      </c>
      <c r="AD54" s="37">
        <v>45716</v>
      </c>
      <c r="AE54" s="36" t="s">
        <v>334</v>
      </c>
      <c r="AF54" s="36" t="s">
        <v>2682</v>
      </c>
      <c r="AG54" s="1" t="s">
        <v>44</v>
      </c>
      <c r="AH54" s="16">
        <f>SUMIFS(DB!$I:$I,DB!$C:$C,$AE54,DB!$D:$D,$AF54,DB!$K:$K,$AB54,DB!$L:$L,$AC54)</f>
        <v>1650000</v>
      </c>
      <c r="AI54" s="16">
        <v>1500000</v>
      </c>
      <c r="AJ54" s="153">
        <v>150000</v>
      </c>
      <c r="AK54" s="162">
        <v>45980</v>
      </c>
      <c r="AL54" s="16">
        <v>1650000</v>
      </c>
      <c r="AM54" s="107">
        <v>0</v>
      </c>
      <c r="AN54" s="36" t="s">
        <v>32</v>
      </c>
      <c r="AO54" s="37">
        <v>45712</v>
      </c>
      <c r="AP54" s="36" t="s">
        <v>2279</v>
      </c>
      <c r="AQ54" s="36" t="s">
        <v>2579</v>
      </c>
      <c r="AR54" s="36" t="s">
        <v>148</v>
      </c>
      <c r="AS54" s="89"/>
      <c r="AT54" s="87"/>
      <c r="AU54" s="87"/>
      <c r="AV54" s="87"/>
      <c r="AW54" s="87">
        <v>4620000</v>
      </c>
      <c r="AX54" s="85">
        <v>2025</v>
      </c>
      <c r="AY54" s="85">
        <v>1</v>
      </c>
      <c r="AZ54" s="36"/>
      <c r="BA54" s="1" t="s">
        <v>44</v>
      </c>
      <c r="CA54" s="18"/>
      <c r="CB54" s="122"/>
      <c r="CC54" s="18"/>
      <c r="CD54" s="18"/>
      <c r="CE54" s="36"/>
      <c r="CF54" s="123"/>
      <c r="CG54" s="124"/>
      <c r="CH54" s="124"/>
      <c r="CI54" s="124"/>
      <c r="CJ54" s="125"/>
      <c r="CK54" s="126"/>
      <c r="CL54" s="127"/>
      <c r="CM54" s="36"/>
      <c r="CN54" s="1"/>
      <c r="DA54" s="36"/>
      <c r="DB54" s="85"/>
      <c r="DC54" s="85"/>
      <c r="DD54" s="37"/>
      <c r="DE54" s="36"/>
      <c r="DF54" s="36"/>
      <c r="DG54" s="1"/>
      <c r="DH54" s="16"/>
      <c r="DI54" s="16"/>
      <c r="DJ54" s="153"/>
      <c r="DK54" s="162"/>
      <c r="DL54" s="16"/>
      <c r="DM54" s="107"/>
    </row>
    <row r="55" spans="10:117">
      <c r="J55" s="37"/>
      <c r="K55" s="36"/>
      <c r="L55" s="87"/>
      <c r="M55" s="38"/>
      <c r="N55" s="36"/>
      <c r="O55" s="36"/>
      <c r="P55" s="1"/>
      <c r="AA55" s="36" t="s">
        <v>32</v>
      </c>
      <c r="AB55" s="85">
        <v>2025</v>
      </c>
      <c r="AC55" s="85">
        <v>2</v>
      </c>
      <c r="AD55" s="37">
        <v>45716</v>
      </c>
      <c r="AE55" s="36" t="s">
        <v>2671</v>
      </c>
      <c r="AF55" s="36" t="s">
        <v>2683</v>
      </c>
      <c r="AG55" s="1" t="s">
        <v>44</v>
      </c>
      <c r="AH55" s="16">
        <f>SUMIFS(DB!$I:$I,DB!$C:$C,$AE55,DB!$D:$D,$AF55,DB!$K:$K,$AB55,DB!$L:$L,$AC55)</f>
        <v>1360705.5</v>
      </c>
      <c r="AI55" s="16">
        <v>1237005</v>
      </c>
      <c r="AJ55" s="153">
        <v>123700.5</v>
      </c>
      <c r="AK55" s="162">
        <v>45869</v>
      </c>
      <c r="AL55" s="16">
        <v>1360705.5</v>
      </c>
      <c r="AM55" s="107">
        <v>0</v>
      </c>
      <c r="AN55" s="36" t="s">
        <v>32</v>
      </c>
      <c r="AO55" s="37">
        <v>45716</v>
      </c>
      <c r="AP55" s="36" t="s">
        <v>209</v>
      </c>
      <c r="AQ55" s="36" t="s">
        <v>2550</v>
      </c>
      <c r="AR55" s="36" t="s">
        <v>2655</v>
      </c>
      <c r="AS55" s="89"/>
      <c r="AT55" s="87"/>
      <c r="AU55" s="87"/>
      <c r="AV55" s="87"/>
      <c r="AW55" s="87">
        <v>11085360</v>
      </c>
      <c r="AX55" s="85">
        <v>2025</v>
      </c>
      <c r="AY55" s="85">
        <v>1</v>
      </c>
      <c r="AZ55" s="36"/>
      <c r="BA55" s="1" t="s">
        <v>44</v>
      </c>
      <c r="DA55" s="36"/>
      <c r="DB55" s="85"/>
      <c r="DC55" s="85"/>
      <c r="DD55" s="37"/>
      <c r="DE55" s="36"/>
      <c r="DF55" s="36"/>
      <c r="DG55" s="1"/>
      <c r="DH55" s="16"/>
      <c r="DI55" s="16"/>
      <c r="DJ55" s="153"/>
      <c r="DK55" s="162"/>
      <c r="DL55" s="16"/>
      <c r="DM55" s="107"/>
    </row>
    <row r="56" spans="10:117">
      <c r="J56" s="37"/>
      <c r="K56" s="36"/>
      <c r="L56" s="87"/>
      <c r="M56" s="38"/>
      <c r="N56" s="36"/>
      <c r="O56" s="36"/>
      <c r="P56" s="1"/>
      <c r="AA56" s="36" t="s">
        <v>32</v>
      </c>
      <c r="AB56" s="85">
        <v>2025</v>
      </c>
      <c r="AC56" s="85">
        <v>2</v>
      </c>
      <c r="AD56" s="37">
        <v>45716</v>
      </c>
      <c r="AE56" s="36" t="s">
        <v>2696</v>
      </c>
      <c r="AF56" s="36" t="s">
        <v>2684</v>
      </c>
      <c r="AG56" s="1" t="s">
        <v>44</v>
      </c>
      <c r="AH56" s="16">
        <f>SUMIFS(DB!$I:$I,DB!$C:$C,$AE56,DB!$D:$D,$AF56,DB!$K:$K,$AB56,DB!$L:$L,$AC56)</f>
        <v>2288000</v>
      </c>
      <c r="AI56" s="16">
        <v>2080000</v>
      </c>
      <c r="AJ56" s="153">
        <v>208000</v>
      </c>
      <c r="AK56" s="162">
        <v>45961</v>
      </c>
      <c r="AL56" s="16">
        <v>2288000</v>
      </c>
      <c r="AM56" s="107">
        <v>0</v>
      </c>
      <c r="AN56" s="36" t="s">
        <v>32</v>
      </c>
      <c r="AO56" s="37">
        <v>45715</v>
      </c>
      <c r="AP56" s="36" t="s">
        <v>2628</v>
      </c>
      <c r="AQ56" s="36" t="s">
        <v>2639</v>
      </c>
      <c r="AR56" s="36" t="s">
        <v>148</v>
      </c>
      <c r="AS56" s="89"/>
      <c r="AT56" s="87"/>
      <c r="AU56" s="87"/>
      <c r="AV56" s="87"/>
      <c r="AW56" s="87">
        <v>17035920</v>
      </c>
      <c r="AX56" s="85">
        <v>2025</v>
      </c>
      <c r="AY56" s="85">
        <v>1</v>
      </c>
      <c r="AZ56" s="36"/>
      <c r="BA56" s="1" t="s">
        <v>44</v>
      </c>
      <c r="DA56" s="36"/>
      <c r="DB56" s="85"/>
      <c r="DC56" s="85"/>
      <c r="DD56" s="37"/>
      <c r="DE56" s="36"/>
      <c r="DF56" s="36"/>
      <c r="DG56" s="1"/>
      <c r="DH56" s="16"/>
      <c r="DI56" s="16"/>
      <c r="DJ56" s="153"/>
      <c r="DK56" s="162"/>
      <c r="DL56" s="16"/>
      <c r="DM56" s="107"/>
    </row>
    <row r="57" spans="10:117">
      <c r="J57" s="37"/>
      <c r="K57" s="36"/>
      <c r="L57" s="87"/>
      <c r="M57" s="38"/>
      <c r="N57" s="36"/>
      <c r="O57" s="36"/>
      <c r="P57" s="1"/>
      <c r="AA57" s="36" t="s">
        <v>32</v>
      </c>
      <c r="AB57" s="85">
        <v>2025</v>
      </c>
      <c r="AC57" s="85">
        <v>2</v>
      </c>
      <c r="AD57" s="37">
        <v>45716</v>
      </c>
      <c r="AE57" s="36" t="s">
        <v>1462</v>
      </c>
      <c r="AF57" s="36" t="s">
        <v>2962</v>
      </c>
      <c r="AG57" s="1" t="s">
        <v>44</v>
      </c>
      <c r="AH57" s="16">
        <f>SUMIFS(DB!$I:$I,DB!$C:$C,$AE57,DB!$D:$D,$AF57,DB!$K:$K,$AB57,DB!$L:$L,$AC57)</f>
        <v>4087521.9</v>
      </c>
      <c r="AI57" s="16">
        <v>3715929</v>
      </c>
      <c r="AJ57" s="153">
        <v>371592.9</v>
      </c>
      <c r="AK57" s="162">
        <v>45869</v>
      </c>
      <c r="AL57" s="16">
        <v>4087521.9</v>
      </c>
      <c r="AM57" s="107">
        <v>0</v>
      </c>
      <c r="AN57" s="36" t="s">
        <v>32</v>
      </c>
      <c r="AO57" s="37">
        <v>45707</v>
      </c>
      <c r="AP57" s="36" t="s">
        <v>2627</v>
      </c>
      <c r="AQ57" s="36" t="s">
        <v>2589</v>
      </c>
      <c r="AR57" s="36" t="s">
        <v>2609</v>
      </c>
      <c r="AS57" s="89"/>
      <c r="AT57" s="87"/>
      <c r="AU57" s="87"/>
      <c r="AV57" s="87"/>
      <c r="AW57" s="87">
        <v>29194000</v>
      </c>
      <c r="AX57" s="85">
        <v>2025</v>
      </c>
      <c r="AY57" s="85">
        <v>1</v>
      </c>
      <c r="AZ57" s="36"/>
      <c r="BA57" s="1" t="s">
        <v>44</v>
      </c>
      <c r="DA57" s="36"/>
      <c r="DB57" s="85"/>
      <c r="DC57" s="85"/>
      <c r="DD57" s="37"/>
      <c r="DE57" s="36"/>
      <c r="DF57" s="36"/>
      <c r="DG57" s="1"/>
      <c r="DH57" s="16"/>
      <c r="DI57" s="16"/>
      <c r="DJ57" s="153"/>
      <c r="DK57" s="162"/>
      <c r="DL57" s="16"/>
      <c r="DM57" s="107"/>
    </row>
    <row r="58" spans="10:117">
      <c r="J58" s="37"/>
      <c r="K58" s="36"/>
      <c r="L58" s="87"/>
      <c r="M58" s="38"/>
      <c r="N58" s="36"/>
      <c r="O58" s="36"/>
      <c r="P58" s="1"/>
      <c r="AA58" s="36" t="s">
        <v>32</v>
      </c>
      <c r="AB58" s="85">
        <v>2025</v>
      </c>
      <c r="AC58" s="85">
        <v>2</v>
      </c>
      <c r="AD58" s="37">
        <v>45716</v>
      </c>
      <c r="AE58" s="36" t="s">
        <v>2474</v>
      </c>
      <c r="AF58" s="36" t="s">
        <v>2691</v>
      </c>
      <c r="AG58" s="1" t="s">
        <v>44</v>
      </c>
      <c r="AH58" s="16">
        <f>SUMIFS(DB!$I:$I,DB!$C:$C,$AE58,DB!$D:$D,$AF58,DB!$K:$K,$AB58,DB!$L:$L,$AC58)</f>
        <v>1485000</v>
      </c>
      <c r="AI58" s="16">
        <v>1350000</v>
      </c>
      <c r="AJ58" s="153">
        <v>135000</v>
      </c>
      <c r="AK58" s="162">
        <v>45776</v>
      </c>
      <c r="AL58" s="16">
        <v>1485000</v>
      </c>
      <c r="AM58" s="107">
        <v>0</v>
      </c>
      <c r="AN58" s="36" t="s">
        <v>32</v>
      </c>
      <c r="AO58" s="37">
        <v>45715</v>
      </c>
      <c r="AP58" s="36" t="s">
        <v>654</v>
      </c>
      <c r="AQ58" s="36" t="s">
        <v>2634</v>
      </c>
      <c r="AR58" s="36" t="s">
        <v>2661</v>
      </c>
      <c r="AS58" s="89"/>
      <c r="AT58" s="87"/>
      <c r="AU58" s="87"/>
      <c r="AV58" s="87"/>
      <c r="AW58" s="87">
        <v>10718400</v>
      </c>
      <c r="AX58" s="85">
        <v>2025</v>
      </c>
      <c r="AY58" s="85">
        <v>1</v>
      </c>
      <c r="AZ58" s="36" t="s">
        <v>2660</v>
      </c>
      <c r="BA58" s="1" t="s">
        <v>44</v>
      </c>
      <c r="DA58" s="36"/>
      <c r="DB58" s="85"/>
      <c r="DC58" s="85"/>
      <c r="DD58" s="37"/>
      <c r="DE58" s="36"/>
      <c r="DF58" s="36"/>
      <c r="DG58" s="1"/>
      <c r="DH58" s="16"/>
      <c r="DI58" s="16"/>
      <c r="DJ58" s="153"/>
      <c r="DK58" s="162"/>
      <c r="DL58" s="16"/>
      <c r="DM58" s="107"/>
    </row>
    <row r="59" spans="10:117">
      <c r="J59" s="37"/>
      <c r="K59" s="36"/>
      <c r="L59" s="87"/>
      <c r="M59" s="38"/>
      <c r="N59" s="36"/>
      <c r="O59" s="36"/>
      <c r="P59" s="1"/>
      <c r="AA59" s="36" t="s">
        <v>32</v>
      </c>
      <c r="AB59" s="85">
        <v>2025</v>
      </c>
      <c r="AC59" s="85">
        <v>2</v>
      </c>
      <c r="AD59" s="37">
        <v>45716</v>
      </c>
      <c r="AE59" s="36" t="s">
        <v>2672</v>
      </c>
      <c r="AF59" s="36" t="s">
        <v>2685</v>
      </c>
      <c r="AG59" s="1" t="s">
        <v>44</v>
      </c>
      <c r="AH59" s="16">
        <f>SUMIFS(DB!$I:$I,DB!$C:$C,$AE59,DB!$D:$D,$AF59,DB!$K:$K,$AB59,DB!$L:$L,$AC59)</f>
        <v>1386000</v>
      </c>
      <c r="AI59" s="16">
        <v>1260000</v>
      </c>
      <c r="AJ59" s="153">
        <v>126000</v>
      </c>
      <c r="AK59" s="162">
        <v>45716</v>
      </c>
      <c r="AL59" s="16">
        <v>1386000</v>
      </c>
      <c r="AM59" s="107">
        <v>0</v>
      </c>
      <c r="AN59" s="36" t="s">
        <v>32</v>
      </c>
      <c r="AO59" s="37">
        <v>45715</v>
      </c>
      <c r="AP59" s="36" t="s">
        <v>654</v>
      </c>
      <c r="AQ59" s="36" t="s">
        <v>2630</v>
      </c>
      <c r="AR59" s="36" t="s">
        <v>2662</v>
      </c>
      <c r="AS59" s="89"/>
      <c r="AT59" s="87"/>
      <c r="AU59" s="87"/>
      <c r="AV59" s="87"/>
      <c r="AW59" s="87">
        <v>8080248</v>
      </c>
      <c r="AX59" s="85">
        <v>2025</v>
      </c>
      <c r="AY59" s="85">
        <v>1</v>
      </c>
      <c r="AZ59" s="36" t="s">
        <v>2660</v>
      </c>
      <c r="BA59" s="1" t="s">
        <v>44</v>
      </c>
      <c r="DA59" s="36"/>
      <c r="DB59" s="85"/>
      <c r="DC59" s="85"/>
      <c r="DD59" s="37"/>
      <c r="DE59" s="36"/>
      <c r="DF59" s="36"/>
      <c r="DG59" s="1"/>
      <c r="DH59" s="16"/>
      <c r="DI59" s="16"/>
      <c r="DJ59" s="153"/>
      <c r="DK59" s="162"/>
      <c r="DL59" s="16"/>
      <c r="DM59" s="107"/>
    </row>
    <row r="60" spans="10:117">
      <c r="J60" s="37"/>
      <c r="K60" s="36"/>
      <c r="L60" s="87"/>
      <c r="M60" s="38"/>
      <c r="N60" s="36"/>
      <c r="O60" s="36"/>
      <c r="P60" s="1"/>
      <c r="AA60" s="36" t="s">
        <v>32</v>
      </c>
      <c r="AB60" s="85">
        <v>2025</v>
      </c>
      <c r="AC60" s="85">
        <v>2</v>
      </c>
      <c r="AD60" s="37">
        <v>45716</v>
      </c>
      <c r="AE60" s="36" t="s">
        <v>2477</v>
      </c>
      <c r="AF60" s="36" t="s">
        <v>2485</v>
      </c>
      <c r="AG60" s="1" t="s">
        <v>44</v>
      </c>
      <c r="AH60" s="16">
        <f>SUMIFS(DB!$I:$I,DB!$C:$C,$AE60,DB!$D:$D,$AF60,DB!$K:$K,$AB60,DB!$L:$L,$AC60)</f>
        <v>23399310</v>
      </c>
      <c r="AI60" s="16">
        <v>21272100</v>
      </c>
      <c r="AJ60" s="153">
        <v>2127210</v>
      </c>
      <c r="AK60" s="162">
        <v>45958</v>
      </c>
      <c r="AL60" s="16">
        <v>23399310</v>
      </c>
      <c r="AM60" s="107">
        <v>0</v>
      </c>
      <c r="AN60" s="36" t="s">
        <v>32</v>
      </c>
      <c r="AO60" s="37">
        <v>45716</v>
      </c>
      <c r="AP60" s="36" t="s">
        <v>1470</v>
      </c>
      <c r="AQ60" s="36" t="s">
        <v>1487</v>
      </c>
      <c r="AR60" s="36" t="s">
        <v>148</v>
      </c>
      <c r="AS60" s="89"/>
      <c r="AT60" s="87"/>
      <c r="AU60" s="87"/>
      <c r="AV60" s="87"/>
      <c r="AW60" s="87">
        <v>63269690</v>
      </c>
      <c r="AX60" s="85">
        <v>2025</v>
      </c>
      <c r="AY60" s="85">
        <v>1</v>
      </c>
      <c r="AZ60" s="36"/>
      <c r="BA60" s="1" t="s">
        <v>44</v>
      </c>
      <c r="DA60" s="36"/>
      <c r="DB60" s="85"/>
      <c r="DC60" s="85"/>
      <c r="DD60" s="37"/>
      <c r="DE60" s="36"/>
      <c r="DF60" s="36"/>
      <c r="DG60" s="1"/>
      <c r="DH60" s="16"/>
      <c r="DI60" s="16"/>
      <c r="DJ60" s="153"/>
      <c r="DK60" s="162"/>
      <c r="DL60" s="16"/>
      <c r="DM60" s="107"/>
    </row>
    <row r="61" spans="10:117">
      <c r="J61" s="37"/>
      <c r="K61" s="36"/>
      <c r="L61" s="87"/>
      <c r="M61" s="87"/>
      <c r="N61" s="36"/>
      <c r="O61" s="36"/>
      <c r="P61" s="1"/>
      <c r="AA61" s="36" t="s">
        <v>32</v>
      </c>
      <c r="AB61" s="85">
        <v>2025</v>
      </c>
      <c r="AC61" s="85">
        <v>2</v>
      </c>
      <c r="AD61" s="37">
        <v>45716</v>
      </c>
      <c r="AE61" s="36" t="s">
        <v>2627</v>
      </c>
      <c r="AF61" s="36" t="s">
        <v>2589</v>
      </c>
      <c r="AG61" s="1" t="s">
        <v>44</v>
      </c>
      <c r="AH61" s="16">
        <f>SUMIFS(DB!$I:$I,DB!$C:$C,$AE61,DB!$D:$D,$AF61,DB!$K:$K,$AB61,DB!$L:$L,$AC61)</f>
        <v>3712500</v>
      </c>
      <c r="AI61" s="16">
        <v>3375000</v>
      </c>
      <c r="AJ61" s="153">
        <v>337500</v>
      </c>
      <c r="AK61" s="162">
        <v>45825</v>
      </c>
      <c r="AL61" s="16">
        <v>3712500</v>
      </c>
      <c r="AM61" s="107">
        <v>0</v>
      </c>
      <c r="AN61" s="36" t="s">
        <v>32</v>
      </c>
      <c r="AO61" s="37">
        <v>45708</v>
      </c>
      <c r="AP61" s="36" t="s">
        <v>2623</v>
      </c>
      <c r="AQ61" s="36" t="s">
        <v>2621</v>
      </c>
      <c r="AR61" s="36" t="s">
        <v>148</v>
      </c>
      <c r="AS61" s="89"/>
      <c r="AT61" s="87"/>
      <c r="AU61" s="87"/>
      <c r="AV61" s="87"/>
      <c r="AW61" s="38">
        <v>74902000</v>
      </c>
      <c r="AX61" s="85">
        <v>2025</v>
      </c>
      <c r="AY61" s="85">
        <v>1</v>
      </c>
      <c r="AZ61" s="36"/>
      <c r="BA61" s="208" t="s">
        <v>44</v>
      </c>
      <c r="DA61" s="36"/>
      <c r="DB61" s="85"/>
      <c r="DC61" s="85"/>
      <c r="DD61" s="37"/>
      <c r="DE61" s="36"/>
      <c r="DF61" s="36"/>
      <c r="DG61" s="1"/>
      <c r="DH61" s="16"/>
      <c r="DI61" s="16"/>
      <c r="DJ61" s="153"/>
      <c r="DK61" s="162"/>
      <c r="DL61" s="16"/>
      <c r="DM61" s="107"/>
    </row>
    <row r="62" spans="10:117">
      <c r="J62" s="37"/>
      <c r="K62" s="36"/>
      <c r="L62" s="87"/>
      <c r="M62" s="87"/>
      <c r="N62" s="36"/>
      <c r="O62" s="36"/>
      <c r="P62" s="1"/>
      <c r="AA62" s="36" t="s">
        <v>32</v>
      </c>
      <c r="AB62" s="85">
        <v>2025</v>
      </c>
      <c r="AC62" s="85">
        <v>2</v>
      </c>
      <c r="AD62" s="37">
        <v>45716</v>
      </c>
      <c r="AE62" s="36" t="s">
        <v>2673</v>
      </c>
      <c r="AF62" s="36" t="s">
        <v>2686</v>
      </c>
      <c r="AG62" s="1" t="s">
        <v>44</v>
      </c>
      <c r="AH62" s="16">
        <f>SUMIFS(DB!$I:$I,DB!$C:$C,$AE62,DB!$D:$D,$AF62,DB!$K:$K,$AB62,DB!$L:$L,$AC62)</f>
        <v>4488000</v>
      </c>
      <c r="AI62" s="16">
        <v>4080000</v>
      </c>
      <c r="AJ62" s="153">
        <v>408000</v>
      </c>
      <c r="AK62" s="162">
        <v>45961</v>
      </c>
      <c r="AL62" s="16">
        <v>4488000</v>
      </c>
      <c r="AM62" s="107">
        <v>0</v>
      </c>
      <c r="AN62" s="36" t="s">
        <v>32</v>
      </c>
      <c r="AO62" s="37">
        <v>45716</v>
      </c>
      <c r="AP62" s="36" t="s">
        <v>2623</v>
      </c>
      <c r="AQ62" s="36" t="s">
        <v>2467</v>
      </c>
      <c r="AR62" s="36" t="s">
        <v>148</v>
      </c>
      <c r="AS62" s="89"/>
      <c r="AT62" s="87"/>
      <c r="AU62" s="87"/>
      <c r="AV62" s="87"/>
      <c r="AW62" s="87">
        <v>172977750</v>
      </c>
      <c r="AX62" s="85">
        <v>2025</v>
      </c>
      <c r="AY62" s="85">
        <v>1</v>
      </c>
      <c r="AZ62" s="36"/>
      <c r="BA62" s="208" t="s">
        <v>44</v>
      </c>
      <c r="DA62" s="36"/>
      <c r="DB62" s="85"/>
      <c r="DC62" s="85"/>
      <c r="DD62" s="37"/>
      <c r="DE62" s="36"/>
      <c r="DF62" s="36"/>
      <c r="DG62" s="1"/>
      <c r="DH62" s="16"/>
      <c r="DI62" s="16"/>
      <c r="DJ62" s="153"/>
      <c r="DK62" s="162"/>
      <c r="DL62" s="16"/>
      <c r="DM62" s="107"/>
    </row>
    <row r="63" spans="10:117">
      <c r="J63" s="37"/>
      <c r="K63" s="36"/>
      <c r="L63" s="87"/>
      <c r="M63" s="38"/>
      <c r="N63" s="36"/>
      <c r="O63" s="36"/>
      <c r="P63" s="1"/>
      <c r="AA63" s="36" t="s">
        <v>32</v>
      </c>
      <c r="AB63" s="85">
        <v>2025</v>
      </c>
      <c r="AC63" s="85">
        <v>2</v>
      </c>
      <c r="AD63" s="37">
        <v>45716</v>
      </c>
      <c r="AE63" s="36" t="s">
        <v>2674</v>
      </c>
      <c r="AF63" s="36" t="s">
        <v>2687</v>
      </c>
      <c r="AG63" s="1" t="s">
        <v>44</v>
      </c>
      <c r="AH63" s="16">
        <f>SUMIFS(DB!$I:$I,DB!$C:$C,$AE63,DB!$D:$D,$AF63,DB!$K:$K,$AB63,DB!$L:$L,$AC63)</f>
        <v>16544000</v>
      </c>
      <c r="AI63" s="16">
        <v>15040000</v>
      </c>
      <c r="AJ63" s="153">
        <v>1504000</v>
      </c>
      <c r="AK63" s="162">
        <v>45959</v>
      </c>
      <c r="AL63" s="16">
        <v>16544000</v>
      </c>
      <c r="AM63" s="107">
        <v>0</v>
      </c>
      <c r="AN63" s="36" t="s">
        <v>32</v>
      </c>
      <c r="AO63" s="37">
        <v>45716</v>
      </c>
      <c r="AP63" s="36" t="s">
        <v>2393</v>
      </c>
      <c r="AQ63" s="36" t="s">
        <v>2561</v>
      </c>
      <c r="AR63" s="36" t="s">
        <v>2666</v>
      </c>
      <c r="AS63" s="89"/>
      <c r="AT63" s="87"/>
      <c r="AU63" s="87"/>
      <c r="AV63" s="87"/>
      <c r="AW63" s="87">
        <v>2808696</v>
      </c>
      <c r="AX63" s="85">
        <v>2025</v>
      </c>
      <c r="AY63" s="85">
        <v>1</v>
      </c>
      <c r="AZ63" s="36"/>
      <c r="BA63" s="1" t="s">
        <v>44</v>
      </c>
      <c r="DA63" s="36"/>
      <c r="DB63" s="85"/>
      <c r="DC63" s="85"/>
      <c r="DD63" s="37"/>
      <c r="DE63" s="36"/>
      <c r="DF63" s="36"/>
      <c r="DG63" s="1"/>
      <c r="DH63" s="16"/>
      <c r="DI63" s="16"/>
      <c r="DJ63" s="153"/>
      <c r="DK63" s="162"/>
      <c r="DL63" s="16"/>
      <c r="DM63" s="107"/>
    </row>
    <row r="64" spans="10:117">
      <c r="J64" s="37"/>
      <c r="K64" s="36"/>
      <c r="L64" s="87"/>
      <c r="M64" s="38"/>
      <c r="N64" s="36"/>
      <c r="O64" s="36"/>
      <c r="P64" s="1"/>
      <c r="AA64" s="36" t="s">
        <v>32</v>
      </c>
      <c r="AB64" s="85">
        <v>2025</v>
      </c>
      <c r="AC64" s="85">
        <v>2</v>
      </c>
      <c r="AD64" s="37">
        <v>45716</v>
      </c>
      <c r="AE64" s="36" t="s">
        <v>264</v>
      </c>
      <c r="AF64" s="36" t="s">
        <v>2688</v>
      </c>
      <c r="AG64" s="1" t="s">
        <v>44</v>
      </c>
      <c r="AH64" s="16">
        <f>SUMIFS(DB!$I:$I,DB!$C:$C,$AE64,DB!$D:$D,$AF64,DB!$K:$K,$AB64,DB!$L:$L,$AC64)</f>
        <v>17820000</v>
      </c>
      <c r="AI64" s="16">
        <v>16200000</v>
      </c>
      <c r="AJ64" s="153">
        <v>1620000</v>
      </c>
      <c r="AK64" s="162">
        <v>45961</v>
      </c>
      <c r="AL64" s="16">
        <v>17820000</v>
      </c>
      <c r="AM64" s="107">
        <v>0</v>
      </c>
      <c r="AN64" s="36" t="s">
        <v>32</v>
      </c>
      <c r="AO64" s="37">
        <v>45716</v>
      </c>
      <c r="AP64" s="36" t="s">
        <v>206</v>
      </c>
      <c r="AQ64" s="36" t="s">
        <v>2638</v>
      </c>
      <c r="AR64" s="36" t="s">
        <v>2667</v>
      </c>
      <c r="AS64" s="89"/>
      <c r="AT64" s="87"/>
      <c r="AU64" s="87"/>
      <c r="AV64" s="87"/>
      <c r="AW64" s="87">
        <v>3237300</v>
      </c>
      <c r="AX64" s="85">
        <v>2025</v>
      </c>
      <c r="AY64" s="85">
        <v>1</v>
      </c>
      <c r="AZ64" s="36"/>
      <c r="BA64" s="1" t="s">
        <v>44</v>
      </c>
      <c r="DA64" s="36"/>
      <c r="DB64" s="85"/>
      <c r="DC64" s="85"/>
      <c r="DD64" s="37"/>
      <c r="DE64" s="36"/>
      <c r="DF64" s="36"/>
      <c r="DG64" s="1"/>
      <c r="DH64" s="16"/>
      <c r="DI64" s="16"/>
      <c r="DJ64" s="153"/>
      <c r="DK64" s="162"/>
      <c r="DL64" s="16"/>
      <c r="DM64" s="107"/>
    </row>
    <row r="65" spans="10:117">
      <c r="J65" s="37"/>
      <c r="K65" s="36"/>
      <c r="L65" s="87"/>
      <c r="M65" s="38"/>
      <c r="N65" s="36"/>
      <c r="O65" s="36"/>
      <c r="P65" s="1"/>
      <c r="AA65" s="36" t="s">
        <v>32</v>
      </c>
      <c r="AB65" s="85">
        <v>2025</v>
      </c>
      <c r="AC65" s="85">
        <v>2</v>
      </c>
      <c r="AD65" s="37">
        <v>45716</v>
      </c>
      <c r="AE65" s="36" t="s">
        <v>2005</v>
      </c>
      <c r="AF65" s="36" t="s">
        <v>2689</v>
      </c>
      <c r="AG65" s="1" t="s">
        <v>44</v>
      </c>
      <c r="AH65" s="16">
        <f>SUMIFS(DB!$I:$I,DB!$C:$C,$AE65,DB!$D:$D,$AF65,DB!$K:$K,$AB65,DB!$L:$L,$AC65)</f>
        <v>36300000</v>
      </c>
      <c r="AI65" s="16">
        <v>33000000</v>
      </c>
      <c r="AJ65" s="153">
        <v>3300000</v>
      </c>
      <c r="AK65" s="162">
        <v>45824</v>
      </c>
      <c r="AL65" s="16">
        <v>36300000</v>
      </c>
      <c r="AM65" s="107">
        <v>0</v>
      </c>
      <c r="AN65" s="36" t="s">
        <v>32</v>
      </c>
      <c r="AO65" s="37">
        <v>45720</v>
      </c>
      <c r="AP65" s="36" t="s">
        <v>264</v>
      </c>
      <c r="AQ65" s="36" t="s">
        <v>2645</v>
      </c>
      <c r="AR65" s="36" t="s">
        <v>148</v>
      </c>
      <c r="AS65" s="89"/>
      <c r="AT65" s="87"/>
      <c r="AU65" s="87"/>
      <c r="AV65" s="87"/>
      <c r="AW65" s="87">
        <v>37840000</v>
      </c>
      <c r="AX65" s="85">
        <v>2025</v>
      </c>
      <c r="AY65" s="85">
        <v>1</v>
      </c>
      <c r="AZ65" s="36"/>
      <c r="BA65" s="1" t="s">
        <v>44</v>
      </c>
      <c r="DA65" s="36"/>
      <c r="DB65" s="85"/>
      <c r="DC65" s="85"/>
      <c r="DD65" s="37"/>
      <c r="DE65" s="36"/>
      <c r="DF65" s="36"/>
      <c r="DG65" s="1"/>
      <c r="DH65" s="16"/>
      <c r="DI65" s="16"/>
      <c r="DJ65" s="153"/>
      <c r="DK65" s="162"/>
      <c r="DL65" s="16"/>
      <c r="DM65" s="107"/>
    </row>
    <row r="66" spans="10:117">
      <c r="J66" s="37"/>
      <c r="K66" s="36"/>
      <c r="L66" s="87"/>
      <c r="M66" s="87"/>
      <c r="N66" s="36"/>
      <c r="O66" s="36"/>
      <c r="P66" s="1"/>
      <c r="AA66" s="36" t="s">
        <v>32</v>
      </c>
      <c r="AB66" s="85">
        <v>2025</v>
      </c>
      <c r="AC66" s="85">
        <v>2</v>
      </c>
      <c r="AD66" s="37">
        <v>45716</v>
      </c>
      <c r="AE66" s="36" t="s">
        <v>291</v>
      </c>
      <c r="AF66" s="36" t="s">
        <v>2690</v>
      </c>
      <c r="AG66" s="1" t="s">
        <v>44</v>
      </c>
      <c r="AH66" s="16">
        <f>SUMIFS(DB!$I:$I,DB!$C:$C,$AE66,DB!$D:$D,$AF66,DB!$K:$K,$AB66,DB!$L:$L,$AC66)</f>
        <v>1100000</v>
      </c>
      <c r="AI66" s="16">
        <v>1000000</v>
      </c>
      <c r="AJ66" s="153">
        <v>100000</v>
      </c>
      <c r="AK66" s="162">
        <v>45945</v>
      </c>
      <c r="AL66" s="16">
        <v>1100000</v>
      </c>
      <c r="AM66" s="107">
        <v>0</v>
      </c>
      <c r="AN66" s="36" t="s">
        <v>32</v>
      </c>
      <c r="AO66" s="37">
        <v>45721</v>
      </c>
      <c r="AP66" s="36" t="s">
        <v>2223</v>
      </c>
      <c r="AQ66" s="36" t="s">
        <v>2646</v>
      </c>
      <c r="AR66" s="36" t="s">
        <v>148</v>
      </c>
      <c r="AS66" s="89"/>
      <c r="AT66" s="87"/>
      <c r="AU66" s="87"/>
      <c r="AV66" s="87"/>
      <c r="AW66" s="87">
        <v>4984100</v>
      </c>
      <c r="AX66" s="85">
        <v>2025</v>
      </c>
      <c r="AY66" s="85">
        <v>1</v>
      </c>
      <c r="AZ66" s="36"/>
      <c r="BA66" s="1" t="s">
        <v>44</v>
      </c>
      <c r="DA66" s="36"/>
      <c r="DB66" s="85"/>
      <c r="DC66" s="85"/>
      <c r="DD66" s="37"/>
      <c r="DE66" s="36"/>
      <c r="DF66" s="36"/>
      <c r="DG66" s="1"/>
      <c r="DH66" s="16"/>
      <c r="DI66" s="16"/>
      <c r="DJ66" s="153"/>
      <c r="DK66" s="162"/>
      <c r="DL66" s="16"/>
      <c r="DM66" s="107"/>
    </row>
    <row r="67" spans="10:117">
      <c r="J67" s="37"/>
      <c r="K67" s="36"/>
      <c r="L67" s="87"/>
      <c r="M67" s="87"/>
      <c r="N67" s="36"/>
      <c r="O67" s="36"/>
      <c r="P67" s="1"/>
      <c r="AA67" s="36" t="s">
        <v>32</v>
      </c>
      <c r="AB67" s="85">
        <v>2025</v>
      </c>
      <c r="AC67" s="85">
        <v>2</v>
      </c>
      <c r="AD67" s="37">
        <v>45716</v>
      </c>
      <c r="AE67" s="36" t="s">
        <v>1470</v>
      </c>
      <c r="AF67" s="36" t="s">
        <v>1487</v>
      </c>
      <c r="AG67" s="1" t="s">
        <v>44</v>
      </c>
      <c r="AH67" s="16">
        <f>SUMIFS(DB!$I:$I,DB!$C:$C,$AE67,DB!$D:$D,$AF67,DB!$K:$K,$AB67,DB!$L:$L,$AC67)</f>
        <v>48668290</v>
      </c>
      <c r="AI67" s="16">
        <v>44243900</v>
      </c>
      <c r="AJ67" s="153">
        <v>4424390</v>
      </c>
      <c r="AK67" s="162">
        <v>45869</v>
      </c>
      <c r="AL67" s="16">
        <v>48668290</v>
      </c>
      <c r="AM67" s="107">
        <v>0</v>
      </c>
      <c r="AN67" s="36" t="s">
        <v>32</v>
      </c>
      <c r="AO67" s="37">
        <v>45722</v>
      </c>
      <c r="AP67" s="36" t="s">
        <v>334</v>
      </c>
      <c r="AQ67" s="36" t="s">
        <v>2723</v>
      </c>
      <c r="AR67" s="36" t="s">
        <v>2669</v>
      </c>
      <c r="AS67" s="89"/>
      <c r="AT67" s="87"/>
      <c r="AU67" s="87"/>
      <c r="AV67" s="87"/>
      <c r="AW67" s="87">
        <v>2200000</v>
      </c>
      <c r="AX67" s="85">
        <v>2025</v>
      </c>
      <c r="AY67" s="85">
        <v>1</v>
      </c>
      <c r="AZ67" s="36"/>
      <c r="BA67" s="1" t="s">
        <v>44</v>
      </c>
      <c r="DA67" s="36"/>
      <c r="DB67" s="85"/>
      <c r="DC67" s="85"/>
      <c r="DD67" s="37"/>
      <c r="DE67" s="36"/>
      <c r="DF67" s="36"/>
      <c r="DG67" s="1"/>
      <c r="DH67" s="16"/>
      <c r="DI67" s="16"/>
      <c r="DJ67" s="153"/>
      <c r="DK67" s="162"/>
      <c r="DL67" s="16"/>
      <c r="DM67" s="107"/>
    </row>
    <row r="68" spans="10:117">
      <c r="J68" s="37"/>
      <c r="K68" s="36"/>
      <c r="L68" s="87"/>
      <c r="M68" s="38"/>
      <c r="N68" s="36"/>
      <c r="O68" s="36"/>
      <c r="P68" s="1"/>
      <c r="AA68" s="36" t="s">
        <v>32</v>
      </c>
      <c r="AB68" s="85">
        <v>2025</v>
      </c>
      <c r="AC68" s="85">
        <v>2</v>
      </c>
      <c r="AD68" s="37">
        <v>45716</v>
      </c>
      <c r="AE68" s="36" t="s">
        <v>1569</v>
      </c>
      <c r="AF68" s="36" t="s">
        <v>1492</v>
      </c>
      <c r="AG68" s="1" t="s">
        <v>44</v>
      </c>
      <c r="AH68" s="16">
        <f>SUMIFS(DB!$I:$I,DB!$C:$C,$AE68,DB!$D:$D,$AF68,DB!$K:$K,$AB68,DB!$L:$L,$AC68)</f>
        <v>6302560</v>
      </c>
      <c r="AI68" s="16">
        <v>5729600</v>
      </c>
      <c r="AJ68" s="153">
        <v>572960</v>
      </c>
      <c r="AK68" s="162">
        <v>45820</v>
      </c>
      <c r="AL68" s="16">
        <v>6302560</v>
      </c>
      <c r="AM68" s="107">
        <v>0</v>
      </c>
      <c r="AN68" s="36" t="s">
        <v>32</v>
      </c>
      <c r="AO68" s="37">
        <v>45700</v>
      </c>
      <c r="AP68" s="36" t="s">
        <v>2670</v>
      </c>
      <c r="AQ68" s="36" t="s">
        <v>2675</v>
      </c>
      <c r="AR68" s="36" t="s">
        <v>2234</v>
      </c>
      <c r="AS68" s="89"/>
      <c r="AT68" s="87">
        <v>1220000</v>
      </c>
      <c r="AU68" s="87">
        <v>122000</v>
      </c>
      <c r="AV68" s="87">
        <v>1342000</v>
      </c>
      <c r="AW68" s="38"/>
      <c r="AX68" s="85">
        <v>2025</v>
      </c>
      <c r="AY68" s="85">
        <v>2</v>
      </c>
      <c r="AZ68" s="36"/>
      <c r="BA68" s="1" t="s">
        <v>44</v>
      </c>
      <c r="DA68" s="36"/>
      <c r="DB68" s="85"/>
      <c r="DC68" s="85"/>
      <c r="DD68" s="37"/>
      <c r="DE68" s="36"/>
      <c r="DF68" s="36"/>
      <c r="DG68" s="1"/>
      <c r="DH68" s="16"/>
      <c r="DI68" s="16"/>
      <c r="DJ68" s="153"/>
      <c r="DK68" s="162"/>
      <c r="DL68" s="16"/>
      <c r="DM68" s="107"/>
    </row>
    <row r="69" spans="10:117">
      <c r="J69" s="37"/>
      <c r="K69" s="36"/>
      <c r="L69" s="87"/>
      <c r="M69" s="38"/>
      <c r="N69" s="36"/>
      <c r="O69" s="36"/>
      <c r="P69" s="1"/>
      <c r="AA69" s="36" t="s">
        <v>32</v>
      </c>
      <c r="AB69" s="85">
        <v>2025</v>
      </c>
      <c r="AC69" s="85">
        <v>2</v>
      </c>
      <c r="AD69" s="37">
        <v>45716</v>
      </c>
      <c r="AE69" s="36" t="s">
        <v>2395</v>
      </c>
      <c r="AF69" s="36" t="s">
        <v>2369</v>
      </c>
      <c r="AG69" s="1" t="s">
        <v>44</v>
      </c>
      <c r="AH69" s="16">
        <f>SUMIFS(DB!$I:$I,DB!$C:$C,$AE69,DB!$D:$D,$AF69,DB!$K:$K,$AB69,DB!$L:$L,$AC69)</f>
        <v>79478630</v>
      </c>
      <c r="AI69" s="16">
        <v>72253300</v>
      </c>
      <c r="AJ69" s="153">
        <v>7225330</v>
      </c>
      <c r="AK69" s="162">
        <v>45838</v>
      </c>
      <c r="AL69" s="16">
        <v>79478630</v>
      </c>
      <c r="AM69" s="107">
        <v>0</v>
      </c>
      <c r="AN69" s="36" t="s">
        <v>32</v>
      </c>
      <c r="AO69" s="37">
        <v>45715</v>
      </c>
      <c r="AP69" s="36" t="s">
        <v>209</v>
      </c>
      <c r="AQ69" s="36" t="s">
        <v>2637</v>
      </c>
      <c r="AR69" s="36" t="s">
        <v>76</v>
      </c>
      <c r="AS69" s="89"/>
      <c r="AT69" s="87">
        <v>37464000</v>
      </c>
      <c r="AU69" s="87">
        <v>3746400</v>
      </c>
      <c r="AV69" s="87">
        <v>41210400</v>
      </c>
      <c r="AW69" s="38"/>
      <c r="AX69" s="85">
        <v>2025</v>
      </c>
      <c r="AY69" s="85">
        <v>2</v>
      </c>
      <c r="AZ69" s="36"/>
      <c r="BA69" s="1" t="s">
        <v>44</v>
      </c>
      <c r="DA69" s="36"/>
      <c r="DB69" s="85"/>
      <c r="DC69" s="85"/>
      <c r="DD69" s="37"/>
      <c r="DE69" s="36"/>
      <c r="DF69" s="36"/>
      <c r="DG69" s="1"/>
      <c r="DH69" s="16"/>
      <c r="DI69" s="16"/>
      <c r="DJ69" s="153"/>
      <c r="DK69" s="162"/>
      <c r="DL69" s="16"/>
      <c r="DM69" s="107"/>
    </row>
    <row r="70" spans="10:117">
      <c r="J70" s="37"/>
      <c r="K70" s="36"/>
      <c r="L70" s="87"/>
      <c r="M70" s="38"/>
      <c r="N70" s="36"/>
      <c r="O70" s="36"/>
      <c r="P70" s="1"/>
      <c r="AA70" s="36" t="s">
        <v>32</v>
      </c>
      <c r="AB70" s="85">
        <v>2025</v>
      </c>
      <c r="AC70" s="85">
        <v>3</v>
      </c>
      <c r="AD70" s="37">
        <v>45717</v>
      </c>
      <c r="AE70" s="36" t="s">
        <v>2279</v>
      </c>
      <c r="AF70" s="36" t="s">
        <v>2579</v>
      </c>
      <c r="AG70" s="1" t="s">
        <v>44</v>
      </c>
      <c r="AH70" s="16">
        <f>SUMIFS(DB!$I:$I,DB!$C:$C,$AE70,DB!$D:$D,$AF70,DB!$K:$K,$AB70,DB!$L:$L,$AC70)</f>
        <v>3542000</v>
      </c>
      <c r="AI70" s="16">
        <v>3220000</v>
      </c>
      <c r="AJ70" s="153">
        <v>322000</v>
      </c>
      <c r="AK70" s="162">
        <v>45740</v>
      </c>
      <c r="AL70" s="16">
        <v>3542000</v>
      </c>
      <c r="AM70" s="107">
        <v>0</v>
      </c>
      <c r="AN70" s="36" t="s">
        <v>32</v>
      </c>
      <c r="AO70" s="37">
        <v>45715</v>
      </c>
      <c r="AP70" s="36" t="s">
        <v>209</v>
      </c>
      <c r="AQ70" s="36" t="s">
        <v>2550</v>
      </c>
      <c r="AR70" s="36" t="s">
        <v>2550</v>
      </c>
      <c r="AS70" s="89"/>
      <c r="AT70" s="87">
        <v>5836800</v>
      </c>
      <c r="AU70" s="87">
        <v>583680</v>
      </c>
      <c r="AV70" s="87">
        <v>6420480</v>
      </c>
      <c r="AW70" s="38"/>
      <c r="AX70" s="85">
        <v>2025</v>
      </c>
      <c r="AY70" s="85">
        <v>2</v>
      </c>
      <c r="AZ70" s="36"/>
      <c r="BA70" s="1" t="s">
        <v>44</v>
      </c>
      <c r="DA70" s="36"/>
      <c r="DB70" s="85"/>
      <c r="DC70" s="85"/>
      <c r="DD70" s="37"/>
      <c r="DE70" s="36"/>
      <c r="DF70" s="36"/>
      <c r="DG70" s="1"/>
      <c r="DH70" s="16"/>
      <c r="DI70" s="16"/>
      <c r="DJ70" s="153"/>
      <c r="DK70" s="162"/>
      <c r="DL70" s="16"/>
      <c r="DM70" s="107"/>
    </row>
    <row r="71" spans="10:117">
      <c r="J71" s="37"/>
      <c r="K71" s="36"/>
      <c r="L71" s="87"/>
      <c r="M71" s="38"/>
      <c r="N71" s="36"/>
      <c r="O71" s="36"/>
      <c r="P71" s="1"/>
      <c r="AA71" s="36" t="s">
        <v>32</v>
      </c>
      <c r="AB71" s="85">
        <v>2025</v>
      </c>
      <c r="AC71" s="85">
        <v>3</v>
      </c>
      <c r="AD71" s="37">
        <v>45735</v>
      </c>
      <c r="AE71" s="36" t="s">
        <v>209</v>
      </c>
      <c r="AF71" s="36" t="s">
        <v>2494</v>
      </c>
      <c r="AG71" s="1" t="s">
        <v>44</v>
      </c>
      <c r="AH71" s="16">
        <f>SUMIFS(DB!$I:$I,DB!$C:$C,$AE71,DB!$D:$D,$AF71,DB!$K:$K,$AB71,DB!$L:$L,$AC71)</f>
        <v>2095720</v>
      </c>
      <c r="AI71" s="16">
        <v>1905200</v>
      </c>
      <c r="AJ71" s="153">
        <v>190520</v>
      </c>
      <c r="AK71" s="162">
        <v>45898</v>
      </c>
      <c r="AL71" s="16">
        <v>2095720</v>
      </c>
      <c r="AM71" s="107">
        <v>0</v>
      </c>
      <c r="AN71" s="36" t="s">
        <v>32</v>
      </c>
      <c r="AO71" s="37">
        <v>45716</v>
      </c>
      <c r="AP71" s="36" t="s">
        <v>654</v>
      </c>
      <c r="AQ71" s="36" t="s">
        <v>2676</v>
      </c>
      <c r="AR71" s="36" t="s">
        <v>76</v>
      </c>
      <c r="AS71" s="89"/>
      <c r="AT71" s="87">
        <v>1917720</v>
      </c>
      <c r="AU71" s="87">
        <v>191772</v>
      </c>
      <c r="AV71" s="87">
        <v>2109492</v>
      </c>
      <c r="AW71" s="38"/>
      <c r="AX71" s="85">
        <v>2025</v>
      </c>
      <c r="AY71" s="85">
        <v>2</v>
      </c>
      <c r="AZ71" s="36"/>
      <c r="BA71" s="1" t="s">
        <v>44</v>
      </c>
      <c r="DA71" s="36"/>
      <c r="DB71" s="85"/>
      <c r="DC71" s="85"/>
      <c r="DD71" s="37"/>
      <c r="DE71" s="36"/>
      <c r="DF71" s="36"/>
      <c r="DG71" s="1"/>
      <c r="DH71" s="16"/>
      <c r="DI71" s="16"/>
      <c r="DJ71" s="153"/>
      <c r="DK71" s="162"/>
      <c r="DL71" s="16"/>
      <c r="DM71" s="107"/>
    </row>
    <row r="72" spans="10:117">
      <c r="J72" s="37"/>
      <c r="K72" s="36"/>
      <c r="L72" s="87"/>
      <c r="M72" s="38"/>
      <c r="N72" s="36"/>
      <c r="O72" s="36"/>
      <c r="P72" s="1"/>
      <c r="AA72" s="36" t="s">
        <v>32</v>
      </c>
      <c r="AB72" s="85">
        <v>2025</v>
      </c>
      <c r="AC72" s="85">
        <v>3</v>
      </c>
      <c r="AD72" s="37">
        <v>45735</v>
      </c>
      <c r="AE72" s="36" t="s">
        <v>209</v>
      </c>
      <c r="AF72" s="36" t="s">
        <v>2551</v>
      </c>
      <c r="AG72" s="1" t="s">
        <v>44</v>
      </c>
      <c r="AH72" s="16">
        <f>SUMIFS(DB!$I:$I,DB!$C:$C,$AE72,DB!$D:$D,$AF72,DB!$K:$K,$AB72,DB!$L:$L,$AC72)</f>
        <v>6328080</v>
      </c>
      <c r="AI72" s="16">
        <v>5752800</v>
      </c>
      <c r="AJ72" s="153">
        <v>575280</v>
      </c>
      <c r="AK72" s="162">
        <v>45898</v>
      </c>
      <c r="AL72" s="16">
        <v>6328080</v>
      </c>
      <c r="AM72" s="107">
        <v>0</v>
      </c>
      <c r="AN72" s="36" t="s">
        <v>32</v>
      </c>
      <c r="AO72" s="37">
        <v>45716</v>
      </c>
      <c r="AP72" s="36" t="s">
        <v>654</v>
      </c>
      <c r="AQ72" s="36" t="s">
        <v>2697</v>
      </c>
      <c r="AR72" s="36" t="s">
        <v>2694</v>
      </c>
      <c r="AS72" s="89"/>
      <c r="AT72" s="87">
        <v>2881000</v>
      </c>
      <c r="AU72" s="87">
        <v>288100</v>
      </c>
      <c r="AV72" s="87">
        <v>3169100</v>
      </c>
      <c r="AW72" s="38"/>
      <c r="AX72" s="85">
        <v>2025</v>
      </c>
      <c r="AY72" s="85">
        <v>2</v>
      </c>
      <c r="AZ72" s="36"/>
      <c r="BA72" s="1" t="s">
        <v>44</v>
      </c>
      <c r="DA72" s="36"/>
      <c r="DB72" s="85"/>
      <c r="DC72" s="85"/>
      <c r="DD72" s="37"/>
      <c r="DE72" s="36"/>
      <c r="DF72" s="36"/>
      <c r="DG72" s="1"/>
      <c r="DH72" s="16"/>
      <c r="DI72" s="16"/>
      <c r="DJ72" s="153"/>
      <c r="DK72" s="162"/>
      <c r="DL72" s="16"/>
      <c r="DM72" s="107"/>
    </row>
    <row r="73" spans="10:117">
      <c r="J73" s="37"/>
      <c r="K73" s="36"/>
      <c r="L73" s="87"/>
      <c r="M73" s="87"/>
      <c r="N73" s="36"/>
      <c r="O73" s="36"/>
      <c r="P73" s="1"/>
      <c r="AA73" s="36" t="s">
        <v>32</v>
      </c>
      <c r="AB73" s="85">
        <v>2025</v>
      </c>
      <c r="AC73" s="85">
        <v>3</v>
      </c>
      <c r="AD73" s="37">
        <v>45747</v>
      </c>
      <c r="AE73" s="36" t="s">
        <v>209</v>
      </c>
      <c r="AF73" s="36" t="s">
        <v>2637</v>
      </c>
      <c r="AG73" s="1" t="s">
        <v>44</v>
      </c>
      <c r="AH73" s="16">
        <f>SUMIFS(DB!$I:$I,DB!$C:$C,$AE73,DB!$D:$D,$AF73,DB!$K:$K,$AB73,DB!$L:$L,$AC73)</f>
        <v>47553440</v>
      </c>
      <c r="AI73" s="16">
        <v>43230400</v>
      </c>
      <c r="AJ73" s="153">
        <v>4323040</v>
      </c>
      <c r="AK73" s="162">
        <v>45898</v>
      </c>
      <c r="AL73" s="16">
        <v>47553440</v>
      </c>
      <c r="AM73" s="107">
        <v>0</v>
      </c>
      <c r="AN73" s="36" t="s">
        <v>32</v>
      </c>
      <c r="AO73" s="37">
        <v>45716</v>
      </c>
      <c r="AP73" s="36" t="s">
        <v>654</v>
      </c>
      <c r="AQ73" s="36" t="s">
        <v>2541</v>
      </c>
      <c r="AR73" s="36" t="s">
        <v>76</v>
      </c>
      <c r="AS73" s="89"/>
      <c r="AT73" s="87">
        <v>22185000</v>
      </c>
      <c r="AU73" s="87">
        <v>2218500</v>
      </c>
      <c r="AV73" s="87">
        <v>24403500</v>
      </c>
      <c r="AW73" s="38"/>
      <c r="AX73" s="85">
        <v>2025</v>
      </c>
      <c r="AY73" s="85">
        <v>2</v>
      </c>
      <c r="AZ73" s="36"/>
      <c r="BA73" s="1" t="s">
        <v>44</v>
      </c>
      <c r="DA73" s="36"/>
      <c r="DB73" s="85"/>
      <c r="DC73" s="85"/>
      <c r="DD73" s="37"/>
      <c r="DE73" s="36"/>
      <c r="DF73" s="36"/>
      <c r="DG73" s="1"/>
      <c r="DH73" s="16"/>
      <c r="DI73" s="16"/>
      <c r="DJ73" s="153"/>
      <c r="DK73" s="162"/>
      <c r="DL73" s="16"/>
      <c r="DM73" s="107"/>
    </row>
    <row r="74" spans="10:117">
      <c r="J74" s="37"/>
      <c r="K74" s="36"/>
      <c r="L74" s="87"/>
      <c r="M74" s="87"/>
      <c r="N74" s="36"/>
      <c r="O74" s="36"/>
      <c r="P74" s="1"/>
      <c r="AA74" s="36" t="s">
        <v>32</v>
      </c>
      <c r="AB74" s="85">
        <v>2025</v>
      </c>
      <c r="AC74" s="85">
        <v>3</v>
      </c>
      <c r="AD74" s="37">
        <v>45747</v>
      </c>
      <c r="AE74" s="36" t="s">
        <v>209</v>
      </c>
      <c r="AF74" s="36" t="s">
        <v>2550</v>
      </c>
      <c r="AG74" s="1" t="s">
        <v>44</v>
      </c>
      <c r="AH74" s="16">
        <f>SUMIFS(DB!$I:$I,DB!$C:$C,$AE74,DB!$D:$D,$AF74,DB!$K:$K,$AB74,DB!$L:$L,$AC74)</f>
        <v>4079680</v>
      </c>
      <c r="AI74" s="16">
        <v>3708800</v>
      </c>
      <c r="AJ74" s="153">
        <v>370880</v>
      </c>
      <c r="AK74" s="162">
        <v>45898</v>
      </c>
      <c r="AL74" s="16">
        <v>4079680</v>
      </c>
      <c r="AM74" s="107">
        <v>0</v>
      </c>
      <c r="AN74" s="36" t="s">
        <v>32</v>
      </c>
      <c r="AO74" s="37">
        <v>45716</v>
      </c>
      <c r="AP74" s="36" t="s">
        <v>654</v>
      </c>
      <c r="AQ74" s="36" t="s">
        <v>1854</v>
      </c>
      <c r="AR74" s="36" t="s">
        <v>76</v>
      </c>
      <c r="AS74" s="89"/>
      <c r="AT74" s="87">
        <v>1207360</v>
      </c>
      <c r="AU74" s="87">
        <v>120736</v>
      </c>
      <c r="AV74" s="87">
        <v>1328096</v>
      </c>
      <c r="AW74" s="38"/>
      <c r="AX74" s="85">
        <v>2025</v>
      </c>
      <c r="AY74" s="85">
        <v>2</v>
      </c>
      <c r="AZ74" s="36"/>
      <c r="BA74" s="1" t="s">
        <v>44</v>
      </c>
      <c r="DA74" s="36"/>
      <c r="DB74" s="85"/>
      <c r="DC74" s="85"/>
      <c r="DD74" s="37"/>
      <c r="DE74" s="36"/>
      <c r="DF74" s="36"/>
      <c r="DG74" s="1"/>
      <c r="DH74" s="16"/>
      <c r="DI74" s="16"/>
      <c r="DJ74" s="153"/>
      <c r="DK74" s="162"/>
      <c r="DL74" s="16"/>
      <c r="DM74" s="107"/>
    </row>
    <row r="75" spans="10:117">
      <c r="J75" s="37"/>
      <c r="K75" s="36"/>
      <c r="L75" s="87"/>
      <c r="M75" s="87"/>
      <c r="N75" s="36"/>
      <c r="O75" s="36"/>
      <c r="P75" s="1"/>
      <c r="AA75" s="36" t="s">
        <v>32</v>
      </c>
      <c r="AB75" s="85">
        <v>2025</v>
      </c>
      <c r="AC75" s="85">
        <v>3</v>
      </c>
      <c r="AD75" s="37">
        <v>45735</v>
      </c>
      <c r="AE75" s="36" t="s">
        <v>2474</v>
      </c>
      <c r="AF75" s="36" t="s">
        <v>2691</v>
      </c>
      <c r="AG75" s="1" t="s">
        <v>44</v>
      </c>
      <c r="AH75" s="16">
        <f>SUMIFS(DB!$I:$I,DB!$C:$C,$AE75,DB!$D:$D,$AF75,DB!$K:$K,$AB75,DB!$L:$L,$AC75)</f>
        <v>1782000</v>
      </c>
      <c r="AI75" s="16">
        <v>1620000</v>
      </c>
      <c r="AJ75" s="153">
        <v>162000</v>
      </c>
      <c r="AL75" s="16">
        <v>0</v>
      </c>
      <c r="AM75" s="107">
        <v>1782000</v>
      </c>
      <c r="AN75" s="36" t="s">
        <v>32</v>
      </c>
      <c r="AO75" s="37">
        <v>45716</v>
      </c>
      <c r="AP75" s="36" t="s">
        <v>654</v>
      </c>
      <c r="AQ75" s="36" t="s">
        <v>2397</v>
      </c>
      <c r="AR75" s="257" t="s">
        <v>2693</v>
      </c>
      <c r="AS75" s="89"/>
      <c r="AT75" s="87">
        <v>2000000</v>
      </c>
      <c r="AU75" s="87">
        <v>200000</v>
      </c>
      <c r="AV75" s="87">
        <v>2200000</v>
      </c>
      <c r="AW75" s="38"/>
      <c r="AX75" s="85">
        <v>2025</v>
      </c>
      <c r="AY75" s="85">
        <v>2</v>
      </c>
      <c r="AZ75" s="36"/>
      <c r="BA75" s="1" t="s">
        <v>44</v>
      </c>
      <c r="DA75" s="36"/>
      <c r="DB75" s="85"/>
      <c r="DC75" s="85"/>
      <c r="DD75" s="37"/>
      <c r="DE75" s="36"/>
      <c r="DF75" s="36"/>
      <c r="DG75" s="1"/>
      <c r="DH75" s="16"/>
      <c r="DI75" s="16"/>
      <c r="DJ75" s="153"/>
      <c r="DK75" s="162"/>
      <c r="DL75" s="16"/>
      <c r="DM75" s="107"/>
    </row>
    <row r="76" spans="10:117">
      <c r="J76" s="37"/>
      <c r="K76" s="36"/>
      <c r="L76" s="87"/>
      <c r="M76" s="87"/>
      <c r="N76" s="36"/>
      <c r="O76" s="36"/>
      <c r="P76" s="1"/>
      <c r="AA76" s="36" t="s">
        <v>32</v>
      </c>
      <c r="AB76" s="85">
        <v>2025</v>
      </c>
      <c r="AC76" s="85">
        <v>3</v>
      </c>
      <c r="AD76" s="37">
        <v>45737</v>
      </c>
      <c r="AE76" s="36" t="s">
        <v>2766</v>
      </c>
      <c r="AF76" s="36" t="s">
        <v>2681</v>
      </c>
      <c r="AG76" s="1" t="s">
        <v>44</v>
      </c>
      <c r="AH76" s="16">
        <f>SUMIFS(DB!$I:$I,DB!$C:$C,$AE76,DB!$D:$D,$AF76,DB!$K:$K,$AB76,DB!$L:$L,$AC76)</f>
        <v>28144600</v>
      </c>
      <c r="AI76" s="16">
        <v>25586000</v>
      </c>
      <c r="AJ76" s="153">
        <v>2558600</v>
      </c>
      <c r="AK76" s="162">
        <v>45913</v>
      </c>
      <c r="AL76" s="16">
        <v>28144600</v>
      </c>
      <c r="AM76" s="107">
        <v>0</v>
      </c>
      <c r="AN76" s="36" t="s">
        <v>32</v>
      </c>
      <c r="AO76" s="37">
        <v>45716</v>
      </c>
      <c r="AP76" s="36" t="s">
        <v>1396</v>
      </c>
      <c r="AQ76" s="36" t="s">
        <v>2677</v>
      </c>
      <c r="AR76" s="36" t="s">
        <v>2234</v>
      </c>
      <c r="AS76" s="89"/>
      <c r="AT76" s="87">
        <v>14000000</v>
      </c>
      <c r="AU76" s="87">
        <v>1400000</v>
      </c>
      <c r="AV76" s="230">
        <v>15400000</v>
      </c>
      <c r="AW76" s="258"/>
      <c r="AX76" s="85">
        <v>2025</v>
      </c>
      <c r="AY76" s="85">
        <v>2</v>
      </c>
      <c r="AZ76" s="36"/>
      <c r="BA76" s="1" t="s">
        <v>44</v>
      </c>
      <c r="DA76" s="36"/>
      <c r="DB76" s="85"/>
      <c r="DC76" s="85"/>
      <c r="DD76" s="37"/>
      <c r="DE76" s="36"/>
      <c r="DF76" s="36"/>
      <c r="DG76" s="1"/>
      <c r="DH76" s="16"/>
      <c r="DI76" s="16"/>
      <c r="DJ76" s="153"/>
      <c r="DK76" s="162"/>
      <c r="DL76" s="16"/>
      <c r="DM76" s="107"/>
    </row>
    <row r="77" spans="10:117">
      <c r="J77" s="37"/>
      <c r="K77" s="36"/>
      <c r="L77" s="87"/>
      <c r="M77" s="87"/>
      <c r="N77" s="36"/>
      <c r="O77" s="36"/>
      <c r="P77" s="1"/>
      <c r="AA77" s="36" t="s">
        <v>32</v>
      </c>
      <c r="AB77" s="85">
        <v>2025</v>
      </c>
      <c r="AC77" s="85">
        <v>3</v>
      </c>
      <c r="AD77" s="37">
        <v>45747</v>
      </c>
      <c r="AE77" s="36" t="s">
        <v>2767</v>
      </c>
      <c r="AF77" s="36" t="s">
        <v>2769</v>
      </c>
      <c r="AG77" s="1" t="s">
        <v>44</v>
      </c>
      <c r="AH77" s="16">
        <f>SUMIFS(DB!$I:$I,DB!$C:$C,$AE77,DB!$D:$D,$AF77,DB!$K:$K,$AB77,DB!$L:$L,$AC77)</f>
        <v>5280000</v>
      </c>
      <c r="AI77" s="16">
        <v>4800000</v>
      </c>
      <c r="AJ77" s="153">
        <v>480000</v>
      </c>
      <c r="AK77" s="162">
        <v>45777</v>
      </c>
      <c r="AL77" s="16">
        <v>5280000</v>
      </c>
      <c r="AM77" s="107">
        <v>0</v>
      </c>
      <c r="AN77" s="36" t="s">
        <v>32</v>
      </c>
      <c r="AO77" s="37">
        <v>45716</v>
      </c>
      <c r="AP77" s="36" t="s">
        <v>1396</v>
      </c>
      <c r="AQ77" s="36" t="s">
        <v>2678</v>
      </c>
      <c r="AR77" s="36" t="s">
        <v>2234</v>
      </c>
      <c r="AS77" s="89"/>
      <c r="AT77" s="87">
        <v>12800000</v>
      </c>
      <c r="AU77" s="87">
        <v>1280000</v>
      </c>
      <c r="AV77" s="230">
        <v>14080000</v>
      </c>
      <c r="AW77" s="258"/>
      <c r="AX77" s="85">
        <v>2025</v>
      </c>
      <c r="AY77" s="85">
        <v>2</v>
      </c>
      <c r="AZ77" s="36"/>
      <c r="BA77" s="1" t="s">
        <v>44</v>
      </c>
      <c r="DA77" s="36"/>
      <c r="DB77" s="85"/>
      <c r="DC77" s="85"/>
      <c r="DD77" s="37"/>
      <c r="DE77" s="36"/>
      <c r="DF77" s="36"/>
      <c r="DG77" s="1"/>
      <c r="DH77" s="16"/>
      <c r="DI77" s="16"/>
      <c r="DJ77" s="153"/>
      <c r="DK77" s="162"/>
      <c r="DL77" s="16"/>
      <c r="DM77" s="107"/>
    </row>
    <row r="78" spans="10:117">
      <c r="J78" s="37"/>
      <c r="K78" s="36"/>
      <c r="L78" s="87"/>
      <c r="M78" s="87"/>
      <c r="N78" s="36"/>
      <c r="O78" s="36"/>
      <c r="P78" s="1"/>
      <c r="AA78" s="36" t="s">
        <v>32</v>
      </c>
      <c r="AB78" s="85">
        <v>2025</v>
      </c>
      <c r="AC78" s="85">
        <v>3</v>
      </c>
      <c r="AD78" s="37">
        <v>45747</v>
      </c>
      <c r="AE78" s="36" t="s">
        <v>2768</v>
      </c>
      <c r="AF78" s="36" t="s">
        <v>2689</v>
      </c>
      <c r="AG78" s="1" t="s">
        <v>44</v>
      </c>
      <c r="AH78" s="16">
        <f>SUMIFS(DB!$I:$I,DB!$C:$C,$AE78,DB!$D:$D,$AF78,DB!$K:$K,$AB78,DB!$L:$L,$AC78)</f>
        <v>1320000</v>
      </c>
      <c r="AI78" s="16">
        <v>1200000</v>
      </c>
      <c r="AJ78" s="153">
        <v>120000</v>
      </c>
      <c r="AK78" s="162">
        <v>45776</v>
      </c>
      <c r="AL78" s="16">
        <v>1320000</v>
      </c>
      <c r="AM78" s="107">
        <v>0</v>
      </c>
      <c r="AN78" s="36" t="s">
        <v>32</v>
      </c>
      <c r="AO78" s="37">
        <v>45716</v>
      </c>
      <c r="AP78" s="36" t="s">
        <v>1396</v>
      </c>
      <c r="AQ78" s="36" t="s">
        <v>2679</v>
      </c>
      <c r="AR78" s="36" t="s">
        <v>2234</v>
      </c>
      <c r="AS78" s="89"/>
      <c r="AT78" s="87">
        <v>9353900</v>
      </c>
      <c r="AU78" s="87">
        <v>935390</v>
      </c>
      <c r="AV78" s="230">
        <v>10289290</v>
      </c>
      <c r="AW78" s="258"/>
      <c r="AX78" s="85">
        <v>2025</v>
      </c>
      <c r="AY78" s="85">
        <v>2</v>
      </c>
      <c r="AZ78" s="36"/>
      <c r="BA78" s="1" t="s">
        <v>44</v>
      </c>
      <c r="DA78" s="36"/>
      <c r="DB78" s="85"/>
      <c r="DC78" s="85"/>
      <c r="DD78" s="37"/>
      <c r="DE78" s="36"/>
      <c r="DF78" s="36"/>
      <c r="DG78" s="1"/>
      <c r="DH78" s="16"/>
      <c r="DI78" s="16"/>
      <c r="DJ78" s="153"/>
      <c r="DK78" s="162"/>
      <c r="DL78" s="16"/>
      <c r="DM78" s="107"/>
    </row>
    <row r="79" spans="10:117">
      <c r="J79" s="37"/>
      <c r="K79" s="36"/>
      <c r="L79" s="87"/>
      <c r="M79" s="38"/>
      <c r="N79" s="36"/>
      <c r="O79" s="36"/>
      <c r="P79" s="1"/>
      <c r="AA79" s="36" t="s">
        <v>32</v>
      </c>
      <c r="AB79" s="85">
        <v>2025</v>
      </c>
      <c r="AC79" s="85">
        <v>3</v>
      </c>
      <c r="AD79" s="37">
        <v>45747</v>
      </c>
      <c r="AE79" s="36" t="s">
        <v>654</v>
      </c>
      <c r="AF79" s="36" t="s">
        <v>3045</v>
      </c>
      <c r="AG79" s="1" t="s">
        <v>44</v>
      </c>
      <c r="AH79" s="16">
        <f>SUMIFS(DB!$I:$I,DB!$C:$C,$AE79,DB!$D:$D,$AF79,DB!$K:$K,$AB79,DB!$L:$L,$AC79)</f>
        <v>3522684</v>
      </c>
      <c r="AI79" s="16">
        <v>3202440</v>
      </c>
      <c r="AJ79" s="153">
        <v>320244</v>
      </c>
      <c r="AK79" s="162">
        <v>45961</v>
      </c>
      <c r="AL79" s="16">
        <v>3522684</v>
      </c>
      <c r="AM79" s="107">
        <v>0</v>
      </c>
      <c r="AN79" s="36" t="s">
        <v>32</v>
      </c>
      <c r="AO79" s="37">
        <v>45716</v>
      </c>
      <c r="AP79" s="36" t="s">
        <v>1396</v>
      </c>
      <c r="AQ79" s="36" t="s">
        <v>2680</v>
      </c>
      <c r="AR79" s="36" t="s">
        <v>2234</v>
      </c>
      <c r="AS79" s="89"/>
      <c r="AT79" s="87">
        <v>10596000</v>
      </c>
      <c r="AU79" s="87">
        <v>1059600</v>
      </c>
      <c r="AV79" s="230">
        <v>11655600</v>
      </c>
      <c r="AW79" s="258"/>
      <c r="AX79" s="85">
        <v>2025</v>
      </c>
      <c r="AY79" s="85">
        <v>2</v>
      </c>
      <c r="AZ79" s="36"/>
      <c r="BA79" s="1" t="s">
        <v>44</v>
      </c>
      <c r="DA79" s="36"/>
      <c r="DB79" s="85"/>
      <c r="DC79" s="85"/>
      <c r="DD79" s="37"/>
      <c r="DE79" s="36"/>
      <c r="DF79" s="36"/>
      <c r="DG79" s="1"/>
      <c r="DH79" s="16"/>
      <c r="DI79" s="16"/>
      <c r="DJ79" s="153"/>
      <c r="DK79" s="162"/>
      <c r="DL79" s="16"/>
      <c r="DM79" s="107"/>
    </row>
    <row r="80" spans="10:117">
      <c r="J80" s="37"/>
      <c r="K80" s="36"/>
      <c r="L80" s="87"/>
      <c r="M80" s="38"/>
      <c r="N80" s="36"/>
      <c r="O80" s="36"/>
      <c r="P80" s="1"/>
      <c r="AA80" s="36" t="s">
        <v>32</v>
      </c>
      <c r="AB80" s="85">
        <v>2025</v>
      </c>
      <c r="AC80" s="85">
        <v>3</v>
      </c>
      <c r="AD80" s="37">
        <v>45747</v>
      </c>
      <c r="AE80" s="36" t="s">
        <v>654</v>
      </c>
      <c r="AF80" s="36" t="s">
        <v>2770</v>
      </c>
      <c r="AG80" s="1" t="s">
        <v>44</v>
      </c>
      <c r="AH80" s="16">
        <f>SUMIFS(DB!$I:$I,DB!$C:$C,$AE80,DB!$D:$D,$AF80,DB!$K:$K,$AB80,DB!$L:$L,$AC80)</f>
        <v>19969356</v>
      </c>
      <c r="AI80" s="16">
        <v>18153960</v>
      </c>
      <c r="AJ80" s="153">
        <v>1815396</v>
      </c>
      <c r="AK80" s="162">
        <v>45961</v>
      </c>
      <c r="AL80" s="16">
        <v>19969356</v>
      </c>
      <c r="AM80" s="107">
        <v>0</v>
      </c>
      <c r="AN80" s="36" t="s">
        <v>32</v>
      </c>
      <c r="AO80" s="37">
        <v>45716</v>
      </c>
      <c r="AP80" s="36" t="s">
        <v>1396</v>
      </c>
      <c r="AQ80" s="36" t="s">
        <v>2681</v>
      </c>
      <c r="AR80" s="36" t="s">
        <v>2234</v>
      </c>
      <c r="AS80" s="89"/>
      <c r="AT80" s="87">
        <v>2000000</v>
      </c>
      <c r="AU80" s="87">
        <v>200000</v>
      </c>
      <c r="AV80" s="230">
        <v>2200000</v>
      </c>
      <c r="AW80" s="258"/>
      <c r="AX80" s="85">
        <v>2025</v>
      </c>
      <c r="AY80" s="85">
        <v>2</v>
      </c>
      <c r="AZ80" s="36"/>
      <c r="BA80" s="1" t="s">
        <v>44</v>
      </c>
      <c r="DA80" s="36"/>
      <c r="DB80" s="85"/>
      <c r="DC80" s="85"/>
      <c r="DD80" s="37"/>
      <c r="DE80" s="36"/>
      <c r="DF80" s="36"/>
      <c r="DG80" s="1"/>
      <c r="DH80" s="16"/>
      <c r="DI80" s="16"/>
      <c r="DJ80" s="153"/>
      <c r="DK80" s="162"/>
      <c r="DL80" s="16"/>
      <c r="DM80" s="107"/>
    </row>
    <row r="81" spans="10:117">
      <c r="J81" s="37"/>
      <c r="K81" s="36"/>
      <c r="L81" s="87"/>
      <c r="M81" s="38"/>
      <c r="N81" s="36"/>
      <c r="O81" s="36"/>
      <c r="P81" s="1"/>
      <c r="AA81" s="36" t="s">
        <v>32</v>
      </c>
      <c r="AB81" s="85">
        <v>2025</v>
      </c>
      <c r="AC81" s="85">
        <v>3</v>
      </c>
      <c r="AD81" s="37">
        <v>45747</v>
      </c>
      <c r="AE81" s="36" t="s">
        <v>654</v>
      </c>
      <c r="AF81" s="36" t="s">
        <v>2771</v>
      </c>
      <c r="AG81" s="1" t="s">
        <v>44</v>
      </c>
      <c r="AH81" s="16">
        <f>SUMIFS(DB!$I:$I,DB!$C:$C,$AE81,DB!$D:$D,$AF81,DB!$K:$K,$AB81,DB!$L:$L,$AC81)</f>
        <v>71857940</v>
      </c>
      <c r="AI81" s="16">
        <v>65325400</v>
      </c>
      <c r="AJ81" s="153">
        <v>6532540</v>
      </c>
      <c r="AK81" s="162">
        <v>45961</v>
      </c>
      <c r="AL81" s="16">
        <v>71857940</v>
      </c>
      <c r="AM81" s="107">
        <v>0</v>
      </c>
      <c r="AN81" s="36" t="s">
        <v>32</v>
      </c>
      <c r="AO81" s="37">
        <v>45716</v>
      </c>
      <c r="AP81" s="36" t="s">
        <v>2543</v>
      </c>
      <c r="AQ81" s="36" t="s">
        <v>2554</v>
      </c>
      <c r="AR81" s="36" t="s">
        <v>2234</v>
      </c>
      <c r="AS81" s="89"/>
      <c r="AT81" s="87">
        <v>5368000</v>
      </c>
      <c r="AU81" s="87">
        <v>536800</v>
      </c>
      <c r="AV81" s="87">
        <v>5904800</v>
      </c>
      <c r="AW81" s="38"/>
      <c r="AX81" s="85">
        <v>2025</v>
      </c>
      <c r="AY81" s="85">
        <v>2</v>
      </c>
      <c r="AZ81" s="36"/>
      <c r="BA81" s="1" t="s">
        <v>44</v>
      </c>
      <c r="DA81" s="36"/>
      <c r="DB81" s="85"/>
      <c r="DC81" s="85"/>
      <c r="DD81" s="37"/>
      <c r="DE81" s="36"/>
      <c r="DF81" s="36"/>
      <c r="DG81" s="1"/>
      <c r="DH81" s="16"/>
      <c r="DI81" s="16"/>
      <c r="DJ81" s="153"/>
      <c r="DK81" s="162"/>
      <c r="DL81" s="16"/>
      <c r="DM81" s="107"/>
    </row>
    <row r="82" spans="10:117">
      <c r="J82" s="37"/>
      <c r="K82" s="36"/>
      <c r="L82" s="87"/>
      <c r="M82" s="38"/>
      <c r="N82" s="36"/>
      <c r="O82" s="36"/>
      <c r="P82" s="1"/>
      <c r="AA82" s="36" t="s">
        <v>32</v>
      </c>
      <c r="AB82" s="85">
        <v>2025</v>
      </c>
      <c r="AC82" s="85">
        <v>3</v>
      </c>
      <c r="AD82" s="37">
        <v>45747</v>
      </c>
      <c r="AE82" s="36" t="s">
        <v>2674</v>
      </c>
      <c r="AF82" s="36" t="s">
        <v>2687</v>
      </c>
      <c r="AG82" s="1" t="s">
        <v>44</v>
      </c>
      <c r="AH82" s="16">
        <f>SUMIFS(DB!$I:$I,DB!$C:$C,$AE82,DB!$D:$D,$AF82,DB!$K:$K,$AB82,DB!$L:$L,$AC82)</f>
        <v>22849200</v>
      </c>
      <c r="AI82" s="16">
        <v>20772000</v>
      </c>
      <c r="AJ82" s="153">
        <v>2077200</v>
      </c>
      <c r="AK82" s="162">
        <v>45959</v>
      </c>
      <c r="AL82" s="16">
        <v>22849200</v>
      </c>
      <c r="AM82" s="107">
        <v>0</v>
      </c>
      <c r="AN82" s="36" t="s">
        <v>32</v>
      </c>
      <c r="AO82" s="37">
        <v>45716</v>
      </c>
      <c r="AP82" s="36" t="s">
        <v>334</v>
      </c>
      <c r="AQ82" s="36" t="s">
        <v>2682</v>
      </c>
      <c r="AR82" s="36" t="s">
        <v>2234</v>
      </c>
      <c r="AS82" s="89"/>
      <c r="AT82" s="87">
        <v>1500000</v>
      </c>
      <c r="AU82" s="87">
        <v>150000</v>
      </c>
      <c r="AV82" s="87">
        <v>1650000</v>
      </c>
      <c r="AW82" s="38"/>
      <c r="AX82" s="85">
        <v>2025</v>
      </c>
      <c r="AY82" s="85">
        <v>2</v>
      </c>
      <c r="AZ82" s="36"/>
      <c r="BA82" s="1" t="s">
        <v>44</v>
      </c>
      <c r="DA82" s="36"/>
      <c r="DB82" s="85"/>
      <c r="DC82" s="85"/>
      <c r="DD82" s="37"/>
      <c r="DE82" s="36"/>
      <c r="DF82" s="36"/>
      <c r="DG82" s="1"/>
      <c r="DH82" s="16"/>
      <c r="DI82" s="16"/>
      <c r="DJ82" s="153"/>
      <c r="DK82" s="162"/>
      <c r="DL82" s="16"/>
      <c r="DM82" s="107"/>
    </row>
    <row r="83" spans="10:117">
      <c r="J83" s="37"/>
      <c r="K83" s="36"/>
      <c r="L83" s="87"/>
      <c r="M83" s="87"/>
      <c r="N83" s="36"/>
      <c r="O83" s="36"/>
      <c r="P83" s="1"/>
      <c r="AA83" s="36" t="s">
        <v>32</v>
      </c>
      <c r="AB83" s="85">
        <v>2025</v>
      </c>
      <c r="AC83" s="85">
        <v>3</v>
      </c>
      <c r="AD83" s="37">
        <v>45747</v>
      </c>
      <c r="AE83" s="36" t="s">
        <v>206</v>
      </c>
      <c r="AF83" s="36" t="s">
        <v>2776</v>
      </c>
      <c r="AG83" s="1" t="s">
        <v>44</v>
      </c>
      <c r="AH83" s="16">
        <f>SUMIFS(DB!$I:$I,DB!$C:$C,$AE83,DB!$D:$D,$AF83,DB!$K:$K,$AB83,DB!$L:$L,$AC83)</f>
        <v>10046300</v>
      </c>
      <c r="AI83" s="16">
        <v>9133000</v>
      </c>
      <c r="AJ83" s="153">
        <v>913300</v>
      </c>
      <c r="AK83" s="162">
        <v>45789</v>
      </c>
      <c r="AL83" s="16">
        <v>10046300</v>
      </c>
      <c r="AM83" s="107">
        <v>0</v>
      </c>
      <c r="AN83" s="36" t="s">
        <v>32</v>
      </c>
      <c r="AO83" s="37">
        <v>45716</v>
      </c>
      <c r="AP83" s="36" t="s">
        <v>2671</v>
      </c>
      <c r="AQ83" s="36" t="s">
        <v>2683</v>
      </c>
      <c r="AR83" s="36" t="s">
        <v>345</v>
      </c>
      <c r="AS83" s="89"/>
      <c r="AT83" s="87">
        <v>1237005</v>
      </c>
      <c r="AU83" s="87">
        <v>123700.5</v>
      </c>
      <c r="AV83" s="87">
        <v>1360705.5</v>
      </c>
      <c r="AW83" s="38"/>
      <c r="AX83" s="85">
        <v>2025</v>
      </c>
      <c r="AY83" s="85">
        <v>2</v>
      </c>
      <c r="AZ83" s="36"/>
      <c r="BA83" s="1" t="s">
        <v>44</v>
      </c>
    </row>
    <row r="84" spans="10:117">
      <c r="J84" s="37"/>
      <c r="K84" s="36"/>
      <c r="L84" s="87"/>
      <c r="M84" s="87"/>
      <c r="N84" s="36"/>
      <c r="O84" s="36"/>
      <c r="P84" s="1"/>
      <c r="AA84" s="36" t="s">
        <v>32</v>
      </c>
      <c r="AB84" s="85">
        <v>2025</v>
      </c>
      <c r="AC84" s="85">
        <v>3</v>
      </c>
      <c r="AD84" s="37">
        <v>45747</v>
      </c>
      <c r="AE84" s="36" t="s">
        <v>2391</v>
      </c>
      <c r="AF84" s="36" t="s">
        <v>2401</v>
      </c>
      <c r="AG84" s="1" t="s">
        <v>44</v>
      </c>
      <c r="AH84" s="16">
        <f>SUMIFS(DB!$I:$I,DB!$C:$C,$AE84,DB!$D:$D,$AF84,DB!$K:$K,$AB84,DB!$L:$L,$AC84)</f>
        <v>1320000</v>
      </c>
      <c r="AI84" s="16">
        <v>1200000</v>
      </c>
      <c r="AJ84" s="153">
        <v>120000</v>
      </c>
      <c r="AK84" s="162">
        <v>45796</v>
      </c>
      <c r="AL84" s="16">
        <v>1320000</v>
      </c>
      <c r="AM84" s="107">
        <v>0</v>
      </c>
      <c r="AN84" s="36" t="s">
        <v>32</v>
      </c>
      <c r="AO84" s="37">
        <v>45716</v>
      </c>
      <c r="AP84" s="36" t="s">
        <v>2696</v>
      </c>
      <c r="AQ84" s="36" t="s">
        <v>2684</v>
      </c>
      <c r="AR84" s="36" t="s">
        <v>2234</v>
      </c>
      <c r="AS84" s="89"/>
      <c r="AT84" s="87">
        <v>2080000</v>
      </c>
      <c r="AU84" s="87">
        <v>208000</v>
      </c>
      <c r="AV84" s="87">
        <v>2288000</v>
      </c>
      <c r="AW84" s="38"/>
      <c r="AX84" s="85">
        <v>2025</v>
      </c>
      <c r="AY84" s="85">
        <v>2</v>
      </c>
      <c r="AZ84" s="36"/>
      <c r="BA84" s="1" t="s">
        <v>44</v>
      </c>
    </row>
    <row r="85" spans="10:117">
      <c r="J85" s="37"/>
      <c r="K85" s="36"/>
      <c r="L85" s="87"/>
      <c r="M85" s="87"/>
      <c r="N85" s="36"/>
      <c r="O85" s="36"/>
      <c r="P85" s="1"/>
      <c r="AA85" s="36" t="s">
        <v>32</v>
      </c>
      <c r="AB85" s="85">
        <v>2025</v>
      </c>
      <c r="AC85" s="85">
        <v>3</v>
      </c>
      <c r="AD85" s="37">
        <v>45747</v>
      </c>
      <c r="AE85" s="36" t="s">
        <v>2772</v>
      </c>
      <c r="AF85" s="36" t="s">
        <v>2777</v>
      </c>
      <c r="AG85" s="1" t="s">
        <v>44</v>
      </c>
      <c r="AH85" s="16">
        <f>SUMIFS(DB!$I:$I,DB!$C:$C,$AE85,DB!$D:$D,$AF85,DB!$K:$K,$AB85,DB!$L:$L,$AC85)</f>
        <v>5904800</v>
      </c>
      <c r="AI85" s="16">
        <v>5368000</v>
      </c>
      <c r="AJ85" s="153">
        <v>536800</v>
      </c>
      <c r="AK85" s="162">
        <v>45961</v>
      </c>
      <c r="AL85" s="16">
        <v>5904800</v>
      </c>
      <c r="AM85" s="107">
        <v>0</v>
      </c>
      <c r="AN85" s="36" t="s">
        <v>32</v>
      </c>
      <c r="AO85" s="37">
        <v>45716</v>
      </c>
      <c r="AP85" s="36" t="s">
        <v>1462</v>
      </c>
      <c r="AQ85" s="36" t="s">
        <v>2962</v>
      </c>
      <c r="AR85" s="36" t="s">
        <v>2234</v>
      </c>
      <c r="AS85" s="89"/>
      <c r="AT85" s="87">
        <v>3715929</v>
      </c>
      <c r="AU85" s="87">
        <v>371592.9</v>
      </c>
      <c r="AV85" s="87">
        <v>4087521.9</v>
      </c>
      <c r="AW85" s="38"/>
      <c r="AX85" s="85">
        <v>2025</v>
      </c>
      <c r="AY85" s="85">
        <v>2</v>
      </c>
      <c r="AZ85" s="36"/>
      <c r="BA85" s="1" t="s">
        <v>44</v>
      </c>
    </row>
    <row r="86" spans="10:117">
      <c r="J86" s="37"/>
      <c r="K86" s="36"/>
      <c r="L86" s="87"/>
      <c r="M86" s="38"/>
      <c r="N86" s="36"/>
      <c r="O86" s="36"/>
      <c r="P86" s="1"/>
      <c r="AA86" s="36" t="s">
        <v>32</v>
      </c>
      <c r="AB86" s="85">
        <v>2025</v>
      </c>
      <c r="AC86" s="85">
        <v>3</v>
      </c>
      <c r="AD86" s="37">
        <v>45747</v>
      </c>
      <c r="AE86" s="36" t="s">
        <v>2772</v>
      </c>
      <c r="AF86" s="36" t="s">
        <v>2778</v>
      </c>
      <c r="AG86" s="1" t="s">
        <v>44</v>
      </c>
      <c r="AH86" s="16">
        <f>SUMIFS(DB!$I:$I,DB!$C:$C,$AE86,DB!$D:$D,$AF86,DB!$K:$K,$AB86,DB!$L:$L,$AC86)</f>
        <v>2178000</v>
      </c>
      <c r="AI86" s="16">
        <v>1980000</v>
      </c>
      <c r="AJ86" s="153">
        <v>198000</v>
      </c>
      <c r="AK86" s="162">
        <v>45961</v>
      </c>
      <c r="AL86" s="16">
        <v>2178000</v>
      </c>
      <c r="AM86" s="107">
        <v>0</v>
      </c>
      <c r="AN86" s="36" t="s">
        <v>32</v>
      </c>
      <c r="AO86" s="37">
        <v>45716</v>
      </c>
      <c r="AP86" s="36" t="s">
        <v>2474</v>
      </c>
      <c r="AQ86" s="36" t="s">
        <v>2691</v>
      </c>
      <c r="AR86" s="36" t="s">
        <v>2234</v>
      </c>
      <c r="AS86" s="89"/>
      <c r="AT86" s="87">
        <v>1350000</v>
      </c>
      <c r="AU86" s="87">
        <v>135000</v>
      </c>
      <c r="AV86" s="87">
        <v>1485000</v>
      </c>
      <c r="AW86" s="38"/>
      <c r="AX86" s="85">
        <v>2025</v>
      </c>
      <c r="AY86" s="85">
        <v>2</v>
      </c>
      <c r="AZ86" s="36"/>
      <c r="BA86" s="1" t="s">
        <v>44</v>
      </c>
    </row>
    <row r="87" spans="10:117">
      <c r="J87" s="37"/>
      <c r="K87" s="36"/>
      <c r="L87" s="87"/>
      <c r="M87" s="38"/>
      <c r="N87" s="36"/>
      <c r="O87" s="36"/>
      <c r="P87" s="1"/>
      <c r="AA87" s="36" t="s">
        <v>32</v>
      </c>
      <c r="AB87" s="85">
        <v>2025</v>
      </c>
      <c r="AC87" s="85">
        <v>3</v>
      </c>
      <c r="AD87" s="37">
        <v>45747</v>
      </c>
      <c r="AE87" s="36" t="s">
        <v>1587</v>
      </c>
      <c r="AF87" s="36" t="s">
        <v>2779</v>
      </c>
      <c r="AG87" s="1" t="s">
        <v>44</v>
      </c>
      <c r="AH87" s="16">
        <f>SUMIFS(DB!$I:$I,DB!$C:$C,$AE87,DB!$D:$D,$AF87,DB!$K:$K,$AB87,DB!$L:$L,$AC87)</f>
        <v>9053000</v>
      </c>
      <c r="AI87" s="16">
        <v>8230000</v>
      </c>
      <c r="AJ87" s="153">
        <v>823000</v>
      </c>
      <c r="AK87" s="162">
        <v>45932</v>
      </c>
      <c r="AL87" s="16">
        <v>9053000</v>
      </c>
      <c r="AM87" s="107">
        <v>0</v>
      </c>
      <c r="AN87" s="36" t="s">
        <v>32</v>
      </c>
      <c r="AO87" s="37">
        <v>45716</v>
      </c>
      <c r="AP87" s="36" t="s">
        <v>2672</v>
      </c>
      <c r="AQ87" s="36" t="s">
        <v>2685</v>
      </c>
      <c r="AR87" s="36" t="s">
        <v>2234</v>
      </c>
      <c r="AS87" s="89"/>
      <c r="AT87" s="87">
        <v>1260000</v>
      </c>
      <c r="AU87" s="87">
        <v>126000</v>
      </c>
      <c r="AV87" s="87">
        <v>1386000</v>
      </c>
      <c r="AW87" s="38"/>
      <c r="AX87" s="85">
        <v>2025</v>
      </c>
      <c r="AY87" s="85">
        <v>2</v>
      </c>
      <c r="AZ87" s="36"/>
      <c r="BA87" s="1" t="s">
        <v>44</v>
      </c>
    </row>
    <row r="88" spans="10:117">
      <c r="J88" s="37"/>
      <c r="K88" s="36"/>
      <c r="L88" s="87"/>
      <c r="M88" s="38"/>
      <c r="N88" s="36"/>
      <c r="O88" s="36"/>
      <c r="P88" s="1"/>
      <c r="AA88" s="36" t="s">
        <v>32</v>
      </c>
      <c r="AB88" s="85">
        <v>2025</v>
      </c>
      <c r="AC88" s="85">
        <v>3</v>
      </c>
      <c r="AD88" s="37">
        <v>45747</v>
      </c>
      <c r="AE88" s="36" t="s">
        <v>1587</v>
      </c>
      <c r="AF88" s="36" t="s">
        <v>2780</v>
      </c>
      <c r="AG88" s="1" t="s">
        <v>44</v>
      </c>
      <c r="AH88" s="16">
        <f>SUMIFS(DB!$I:$I,DB!$C:$C,$AE88,DB!$D:$D,$AF88,DB!$K:$K,$AB88,DB!$L:$L,$AC88)</f>
        <v>7642800</v>
      </c>
      <c r="AI88" s="16">
        <v>6948000</v>
      </c>
      <c r="AJ88" s="153">
        <v>694800</v>
      </c>
      <c r="AK88" s="162">
        <v>45932</v>
      </c>
      <c r="AL88" s="16">
        <v>7642800</v>
      </c>
      <c r="AM88" s="107">
        <v>0</v>
      </c>
      <c r="AN88" s="36" t="s">
        <v>32</v>
      </c>
      <c r="AO88" s="37">
        <v>45716</v>
      </c>
      <c r="AP88" s="36" t="s">
        <v>2477</v>
      </c>
      <c r="AQ88" s="36" t="s">
        <v>2485</v>
      </c>
      <c r="AR88" s="36" t="s">
        <v>76</v>
      </c>
      <c r="AS88" s="89"/>
      <c r="AT88" s="87">
        <v>21272100</v>
      </c>
      <c r="AU88" s="87">
        <v>2127210</v>
      </c>
      <c r="AV88" s="87">
        <v>23399310</v>
      </c>
      <c r="AW88" s="38"/>
      <c r="AX88" s="85">
        <v>2025</v>
      </c>
      <c r="AY88" s="85">
        <v>2</v>
      </c>
      <c r="AZ88" s="36"/>
      <c r="BA88" s="1" t="s">
        <v>44</v>
      </c>
    </row>
    <row r="89" spans="10:117">
      <c r="J89" s="37"/>
      <c r="K89" s="36"/>
      <c r="L89" s="87"/>
      <c r="M89" s="38"/>
      <c r="N89" s="36"/>
      <c r="O89" s="36"/>
      <c r="P89" s="1"/>
      <c r="AA89" s="36" t="s">
        <v>32</v>
      </c>
      <c r="AB89" s="85">
        <v>2025</v>
      </c>
      <c r="AC89" s="85">
        <v>3</v>
      </c>
      <c r="AD89" s="37">
        <v>45747</v>
      </c>
      <c r="AE89" s="36" t="s">
        <v>2626</v>
      </c>
      <c r="AF89" s="36" t="s">
        <v>2636</v>
      </c>
      <c r="AG89" s="1" t="s">
        <v>44</v>
      </c>
      <c r="AH89" s="16">
        <f>SUMIFS(DB!$I:$I,DB!$C:$C,$AE89,DB!$D:$D,$AF89,DB!$K:$K,$AB89,DB!$L:$L,$AC89)</f>
        <v>3275748.3</v>
      </c>
      <c r="AI89" s="16">
        <v>2977953</v>
      </c>
      <c r="AJ89" s="153">
        <v>297795.3</v>
      </c>
      <c r="AK89" s="162">
        <v>45762</v>
      </c>
      <c r="AL89" s="16">
        <v>3275748.3</v>
      </c>
      <c r="AM89" s="107">
        <v>0</v>
      </c>
      <c r="AN89" s="36" t="s">
        <v>32</v>
      </c>
      <c r="AO89" s="37">
        <v>45716</v>
      </c>
      <c r="AP89" s="36" t="s">
        <v>2627</v>
      </c>
      <c r="AQ89" s="36" t="s">
        <v>2589</v>
      </c>
      <c r="AR89" s="36" t="s">
        <v>2234</v>
      </c>
      <c r="AS89" s="89"/>
      <c r="AT89" s="87">
        <v>3375000</v>
      </c>
      <c r="AU89" s="87">
        <v>337500</v>
      </c>
      <c r="AV89" s="87">
        <v>3712500</v>
      </c>
      <c r="AW89" s="38"/>
      <c r="AX89" s="85">
        <v>2025</v>
      </c>
      <c r="AY89" s="85">
        <v>2</v>
      </c>
      <c r="AZ89" s="36"/>
      <c r="BA89" s="1" t="s">
        <v>44</v>
      </c>
    </row>
    <row r="90" spans="10:117">
      <c r="J90" s="37"/>
      <c r="K90" s="36"/>
      <c r="L90" s="87"/>
      <c r="M90" s="87"/>
      <c r="N90" s="36"/>
      <c r="O90" s="36"/>
      <c r="P90" s="1"/>
      <c r="AA90" s="36" t="s">
        <v>32</v>
      </c>
      <c r="AB90" s="85">
        <v>2025</v>
      </c>
      <c r="AC90" s="85">
        <v>3</v>
      </c>
      <c r="AD90" s="37">
        <v>45747</v>
      </c>
      <c r="AE90" s="36" t="s">
        <v>661</v>
      </c>
      <c r="AF90" s="36" t="s">
        <v>2783</v>
      </c>
      <c r="AG90" s="1" t="s">
        <v>44</v>
      </c>
      <c r="AH90" s="16">
        <f>SUMIFS(DB!$I:$I,DB!$C:$C,$AE90,DB!$D:$D,$AF90,DB!$K:$K,$AB90,DB!$L:$L,$AC90)</f>
        <v>10527000</v>
      </c>
      <c r="AI90" s="16">
        <v>9570000</v>
      </c>
      <c r="AJ90" s="153">
        <v>957000</v>
      </c>
      <c r="AK90" s="162">
        <v>45961</v>
      </c>
      <c r="AL90" s="16">
        <v>10527000</v>
      </c>
      <c r="AM90" s="107">
        <v>0</v>
      </c>
      <c r="AN90" s="36" t="s">
        <v>32</v>
      </c>
      <c r="AO90" s="37">
        <v>45716</v>
      </c>
      <c r="AP90" s="36" t="s">
        <v>2673</v>
      </c>
      <c r="AQ90" s="36" t="s">
        <v>2686</v>
      </c>
      <c r="AR90" s="36" t="s">
        <v>76</v>
      </c>
      <c r="AS90" s="89"/>
      <c r="AT90" s="87">
        <v>4080000</v>
      </c>
      <c r="AU90" s="87">
        <v>408000</v>
      </c>
      <c r="AV90" s="87">
        <v>4488000</v>
      </c>
      <c r="AW90" s="38"/>
      <c r="AX90" s="85">
        <v>2025</v>
      </c>
      <c r="AY90" s="85">
        <v>2</v>
      </c>
      <c r="AZ90" s="36"/>
      <c r="BA90" s="1" t="s">
        <v>44</v>
      </c>
    </row>
    <row r="91" spans="10:117">
      <c r="J91" s="37"/>
      <c r="K91" s="36"/>
      <c r="L91" s="87"/>
      <c r="M91" s="87"/>
      <c r="N91" s="36"/>
      <c r="O91" s="36"/>
      <c r="P91" s="1"/>
      <c r="AA91" s="36" t="s">
        <v>32</v>
      </c>
      <c r="AB91" s="85">
        <v>2025</v>
      </c>
      <c r="AC91" s="85">
        <v>3</v>
      </c>
      <c r="AD91" s="37">
        <v>45747</v>
      </c>
      <c r="AE91" s="36" t="s">
        <v>2671</v>
      </c>
      <c r="AF91" s="36" t="s">
        <v>2683</v>
      </c>
      <c r="AG91" s="1" t="s">
        <v>44</v>
      </c>
      <c r="AH91" s="16">
        <f>SUMIFS(DB!$I:$I,DB!$C:$C,$AE91,DB!$D:$D,$AF91,DB!$K:$K,$AB91,DB!$L:$L,$AC91)</f>
        <v>0</v>
      </c>
      <c r="AI91" s="16">
        <v>0</v>
      </c>
      <c r="AJ91" s="153">
        <v>0</v>
      </c>
      <c r="AL91" s="16">
        <v>0</v>
      </c>
      <c r="AM91" s="107">
        <v>0</v>
      </c>
      <c r="AN91" s="36" t="s">
        <v>32</v>
      </c>
      <c r="AO91" s="37">
        <v>45716</v>
      </c>
      <c r="AP91" s="36" t="s">
        <v>2674</v>
      </c>
      <c r="AQ91" s="36" t="s">
        <v>2687</v>
      </c>
      <c r="AR91" s="36" t="s">
        <v>76</v>
      </c>
      <c r="AS91" s="89"/>
      <c r="AT91" s="87">
        <v>15040000</v>
      </c>
      <c r="AU91" s="87">
        <v>1504000</v>
      </c>
      <c r="AV91" s="87">
        <v>16544000</v>
      </c>
      <c r="AW91" s="38"/>
      <c r="AX91" s="85">
        <v>2025</v>
      </c>
      <c r="AY91" s="85">
        <v>2</v>
      </c>
      <c r="AZ91" s="36"/>
      <c r="BA91" s="1" t="s">
        <v>44</v>
      </c>
    </row>
    <row r="92" spans="10:117">
      <c r="J92" s="37"/>
      <c r="K92" s="36"/>
      <c r="L92" s="87"/>
      <c r="M92" s="87"/>
      <c r="N92" s="36"/>
      <c r="O92" s="36"/>
      <c r="P92" s="1"/>
      <c r="AA92" s="36" t="s">
        <v>32</v>
      </c>
      <c r="AB92" s="85">
        <v>2025</v>
      </c>
      <c r="AC92" s="85">
        <v>3</v>
      </c>
      <c r="AD92" s="37">
        <v>45747</v>
      </c>
      <c r="AE92" s="36" t="s">
        <v>2773</v>
      </c>
      <c r="AF92" s="36" t="s">
        <v>2689</v>
      </c>
      <c r="AG92" s="1" t="s">
        <v>44</v>
      </c>
      <c r="AH92" s="16">
        <f>SUMIFS(DB!$I:$I,DB!$C:$C,$AE92,DB!$D:$D,$AF92,DB!$K:$K,$AB92,DB!$L:$L,$AC92)</f>
        <v>11000000</v>
      </c>
      <c r="AI92" s="16">
        <v>10000000</v>
      </c>
      <c r="AJ92" s="153">
        <v>1000000</v>
      </c>
      <c r="AK92" s="162">
        <v>45751</v>
      </c>
      <c r="AL92" s="16">
        <v>11000000</v>
      </c>
      <c r="AM92" s="107">
        <v>0</v>
      </c>
      <c r="AN92" s="36" t="s">
        <v>32</v>
      </c>
      <c r="AO92" s="37">
        <v>45716</v>
      </c>
      <c r="AP92" s="36" t="s">
        <v>264</v>
      </c>
      <c r="AQ92" s="36" t="s">
        <v>2688</v>
      </c>
      <c r="AR92" s="36" t="s">
        <v>76</v>
      </c>
      <c r="AS92" s="89"/>
      <c r="AT92" s="87">
        <v>16200000</v>
      </c>
      <c r="AU92" s="87">
        <v>1620000</v>
      </c>
      <c r="AV92" s="87">
        <v>17820000</v>
      </c>
      <c r="AW92" s="38"/>
      <c r="AX92" s="85">
        <v>2025</v>
      </c>
      <c r="AY92" s="85">
        <v>2</v>
      </c>
      <c r="AZ92" s="36"/>
      <c r="BA92" s="1" t="s">
        <v>44</v>
      </c>
    </row>
    <row r="93" spans="10:117">
      <c r="J93" s="37"/>
      <c r="K93" s="36"/>
      <c r="L93" s="87"/>
      <c r="M93" s="87"/>
      <c r="N93" s="36"/>
      <c r="O93" s="36"/>
      <c r="P93" s="1"/>
      <c r="AA93" s="36" t="s">
        <v>32</v>
      </c>
      <c r="AB93" s="85">
        <v>2025</v>
      </c>
      <c r="AC93" s="85">
        <v>3</v>
      </c>
      <c r="AD93" s="37">
        <v>45747</v>
      </c>
      <c r="AE93" s="36" t="s">
        <v>2774</v>
      </c>
      <c r="AF93" s="36" t="s">
        <v>2784</v>
      </c>
      <c r="AG93" s="1" t="s">
        <v>44</v>
      </c>
      <c r="AH93" s="16">
        <f>SUMIFS(DB!$I:$I,DB!$C:$C,$AE93,DB!$D:$D,$AF93,DB!$K:$K,$AB93,DB!$L:$L,$AC93)</f>
        <v>9308420</v>
      </c>
      <c r="AI93" s="16">
        <v>8462200</v>
      </c>
      <c r="AJ93" s="153">
        <v>846220</v>
      </c>
      <c r="AK93" s="162">
        <v>45910</v>
      </c>
      <c r="AL93" s="16">
        <v>9308420</v>
      </c>
      <c r="AM93" s="107">
        <v>0</v>
      </c>
      <c r="AN93" s="36" t="s">
        <v>32</v>
      </c>
      <c r="AO93" s="37">
        <v>45716</v>
      </c>
      <c r="AP93" s="36" t="s">
        <v>2005</v>
      </c>
      <c r="AQ93" s="36" t="s">
        <v>2689</v>
      </c>
      <c r="AR93" s="36" t="s">
        <v>2234</v>
      </c>
      <c r="AS93" s="89"/>
      <c r="AT93" s="87">
        <v>33000000</v>
      </c>
      <c r="AU93" s="87">
        <v>3300000</v>
      </c>
      <c r="AV93" s="87">
        <v>36300000</v>
      </c>
      <c r="AW93" s="38"/>
      <c r="AX93" s="85">
        <v>2025</v>
      </c>
      <c r="AY93" s="85">
        <v>2</v>
      </c>
      <c r="AZ93" s="36"/>
      <c r="BA93" s="1" t="s">
        <v>44</v>
      </c>
    </row>
    <row r="94" spans="10:117">
      <c r="J94" s="37"/>
      <c r="K94" s="36"/>
      <c r="L94" s="87"/>
      <c r="M94" s="87"/>
      <c r="N94" s="36"/>
      <c r="O94" s="36"/>
      <c r="P94" s="1"/>
      <c r="AA94" s="36" t="s">
        <v>32</v>
      </c>
      <c r="AB94" s="85">
        <v>2025</v>
      </c>
      <c r="AC94" s="85">
        <v>3</v>
      </c>
      <c r="AD94" s="37">
        <v>45747</v>
      </c>
      <c r="AE94" s="36" t="s">
        <v>2775</v>
      </c>
      <c r="AF94" s="36" t="s">
        <v>2781</v>
      </c>
      <c r="AG94" s="1" t="s">
        <v>44</v>
      </c>
      <c r="AH94" s="16">
        <f>SUMIFS(DB!$I:$I,DB!$C:$C,$AE94,DB!$D:$D,$AF94,DB!$K:$K,$AB94,DB!$L:$L,$AC94)</f>
        <v>2898500</v>
      </c>
      <c r="AI94" s="16">
        <v>2635000</v>
      </c>
      <c r="AJ94" s="153">
        <v>263500</v>
      </c>
      <c r="AK94" s="162">
        <v>45777</v>
      </c>
      <c r="AL94" s="16">
        <v>2898500</v>
      </c>
      <c r="AM94" s="107">
        <v>0</v>
      </c>
      <c r="AN94" s="36" t="s">
        <v>32</v>
      </c>
      <c r="AO94" s="37">
        <v>45716</v>
      </c>
      <c r="AP94" s="36" t="s">
        <v>291</v>
      </c>
      <c r="AQ94" s="36" t="s">
        <v>2690</v>
      </c>
      <c r="AR94" s="36" t="s">
        <v>2695</v>
      </c>
      <c r="AS94" s="89"/>
      <c r="AT94" s="87">
        <v>1000000</v>
      </c>
      <c r="AU94" s="87">
        <v>100000</v>
      </c>
      <c r="AV94" s="87">
        <v>1100000</v>
      </c>
      <c r="AW94" s="38"/>
      <c r="AX94" s="85">
        <v>2025</v>
      </c>
      <c r="AY94" s="85">
        <v>2</v>
      </c>
      <c r="AZ94" s="36"/>
      <c r="BA94" s="1" t="s">
        <v>44</v>
      </c>
    </row>
    <row r="95" spans="10:117">
      <c r="J95" s="37"/>
      <c r="K95" s="36"/>
      <c r="L95" s="87"/>
      <c r="M95" s="87"/>
      <c r="N95" s="36"/>
      <c r="O95" s="36"/>
      <c r="P95" s="1"/>
      <c r="AA95" s="36" t="s">
        <v>32</v>
      </c>
      <c r="AB95" s="85">
        <v>2025</v>
      </c>
      <c r="AC95" s="85">
        <v>3</v>
      </c>
      <c r="AD95" s="37">
        <v>45747</v>
      </c>
      <c r="AE95" s="36" t="s">
        <v>1462</v>
      </c>
      <c r="AF95" s="36" t="s">
        <v>2962</v>
      </c>
      <c r="AG95" s="1" t="s">
        <v>44</v>
      </c>
      <c r="AH95" s="16">
        <f>SUMIFS(DB!$I:$I,DB!$C:$C,$AE95,DB!$D:$D,$AF95,DB!$K:$K,$AB95,DB!$L:$L,$AC95)</f>
        <v>4528925.5</v>
      </c>
      <c r="AI95" s="16">
        <v>4117205</v>
      </c>
      <c r="AJ95" s="153">
        <v>411720.5</v>
      </c>
      <c r="AK95" s="162">
        <v>45869</v>
      </c>
      <c r="AL95" s="16">
        <v>912478</v>
      </c>
      <c r="AM95" s="107">
        <v>3616447.5</v>
      </c>
      <c r="AN95" s="36" t="s">
        <v>32</v>
      </c>
      <c r="AO95" s="37">
        <v>45716</v>
      </c>
      <c r="AP95" s="36" t="s">
        <v>1470</v>
      </c>
      <c r="AQ95" s="36" t="s">
        <v>1487</v>
      </c>
      <c r="AR95" s="36" t="s">
        <v>76</v>
      </c>
      <c r="AS95" s="89"/>
      <c r="AT95" s="87">
        <v>44243900</v>
      </c>
      <c r="AU95" s="87">
        <v>4424390</v>
      </c>
      <c r="AV95" s="87">
        <v>48668290</v>
      </c>
      <c r="AW95" s="38"/>
      <c r="AX95" s="85">
        <v>2025</v>
      </c>
      <c r="AY95" s="85">
        <v>2</v>
      </c>
      <c r="AZ95" s="36"/>
      <c r="BA95" s="1" t="s">
        <v>44</v>
      </c>
    </row>
    <row r="96" spans="10:117">
      <c r="J96" s="37"/>
      <c r="K96" s="36"/>
      <c r="L96" s="87"/>
      <c r="M96" s="38"/>
      <c r="N96" s="36"/>
      <c r="O96" s="36"/>
      <c r="P96" s="1"/>
      <c r="AA96" s="36" t="s">
        <v>32</v>
      </c>
      <c r="AB96" s="85">
        <v>2025</v>
      </c>
      <c r="AC96" s="85">
        <v>3</v>
      </c>
      <c r="AD96" s="37">
        <v>45747</v>
      </c>
      <c r="AE96" s="36" t="s">
        <v>2477</v>
      </c>
      <c r="AF96" s="36" t="s">
        <v>2485</v>
      </c>
      <c r="AG96" s="1" t="s">
        <v>44</v>
      </c>
      <c r="AH96" s="16">
        <f>SUMIFS(DB!$I:$I,DB!$C:$C,$AE96,DB!$D:$D,$AF96,DB!$K:$K,$AB96,DB!$L:$L,$AC96)</f>
        <v>5163840</v>
      </c>
      <c r="AI96" s="16">
        <v>4694400</v>
      </c>
      <c r="AJ96" s="153">
        <v>469440</v>
      </c>
      <c r="AK96" s="162">
        <v>45958</v>
      </c>
      <c r="AL96" s="16">
        <v>5163840</v>
      </c>
      <c r="AM96" s="107">
        <v>0</v>
      </c>
      <c r="AN96" s="36" t="s">
        <v>32</v>
      </c>
      <c r="AO96" s="37">
        <v>45716</v>
      </c>
      <c r="AP96" s="36" t="s">
        <v>1569</v>
      </c>
      <c r="AQ96" s="36" t="s">
        <v>1492</v>
      </c>
      <c r="AR96" s="36" t="s">
        <v>1492</v>
      </c>
      <c r="AS96" s="89"/>
      <c r="AT96" s="87">
        <v>5729600</v>
      </c>
      <c r="AU96" s="87">
        <v>572960</v>
      </c>
      <c r="AV96" s="87">
        <v>6302560</v>
      </c>
      <c r="AW96" s="38"/>
      <c r="AX96" s="85">
        <v>2025</v>
      </c>
      <c r="AY96" s="85">
        <v>2</v>
      </c>
      <c r="AZ96" s="36"/>
      <c r="BA96" s="1" t="s">
        <v>44</v>
      </c>
    </row>
    <row r="97" spans="10:53">
      <c r="J97" s="37"/>
      <c r="K97" s="36"/>
      <c r="L97" s="87"/>
      <c r="M97" s="38"/>
      <c r="N97" s="36"/>
      <c r="O97" s="36"/>
      <c r="P97" s="1"/>
      <c r="AA97" s="36" t="s">
        <v>32</v>
      </c>
      <c r="AB97" s="85">
        <v>2025</v>
      </c>
      <c r="AC97" s="85">
        <v>3</v>
      </c>
      <c r="AD97" s="37">
        <v>45747</v>
      </c>
      <c r="AE97" s="36" t="s">
        <v>2478</v>
      </c>
      <c r="AF97" s="36" t="s">
        <v>2487</v>
      </c>
      <c r="AG97" s="1" t="s">
        <v>44</v>
      </c>
      <c r="AH97" s="16">
        <f>SUMIFS(DB!$I:$I,DB!$C:$C,$AE97,DB!$D:$D,$AF97,DB!$K:$K,$AB97,DB!$L:$L,$AC97)</f>
        <v>14025000</v>
      </c>
      <c r="AI97" s="16">
        <v>12750000</v>
      </c>
      <c r="AJ97" s="153">
        <v>1275000</v>
      </c>
      <c r="AK97" s="162">
        <v>45931</v>
      </c>
      <c r="AL97" s="16">
        <v>14025000</v>
      </c>
      <c r="AM97" s="107">
        <v>0</v>
      </c>
      <c r="AN97" s="36" t="s">
        <v>32</v>
      </c>
      <c r="AO97" s="37">
        <v>45716</v>
      </c>
      <c r="AP97" s="36" t="s">
        <v>2395</v>
      </c>
      <c r="AQ97" s="36" t="s">
        <v>2369</v>
      </c>
      <c r="AR97" s="36" t="s">
        <v>2234</v>
      </c>
      <c r="AS97" s="89"/>
      <c r="AT97" s="87">
        <v>72253300</v>
      </c>
      <c r="AU97" s="87">
        <v>7225330</v>
      </c>
      <c r="AV97" s="87">
        <v>79478630</v>
      </c>
      <c r="AW97" s="38"/>
      <c r="AX97" s="85">
        <v>2025</v>
      </c>
      <c r="AY97" s="85">
        <v>2</v>
      </c>
      <c r="AZ97" s="36"/>
      <c r="BA97" s="1" t="s">
        <v>44</v>
      </c>
    </row>
    <row r="98" spans="10:53">
      <c r="J98" s="37"/>
      <c r="K98" s="36"/>
      <c r="L98" s="87"/>
      <c r="M98" s="38"/>
      <c r="N98" s="36"/>
      <c r="O98" s="36"/>
      <c r="P98" s="1"/>
      <c r="AA98" s="36" t="s">
        <v>32</v>
      </c>
      <c r="AB98" s="85">
        <v>2025</v>
      </c>
      <c r="AC98" s="85">
        <v>3</v>
      </c>
      <c r="AD98" s="37">
        <v>45747</v>
      </c>
      <c r="AE98" s="36" t="s">
        <v>2628</v>
      </c>
      <c r="AF98" s="36" t="s">
        <v>2639</v>
      </c>
      <c r="AG98" s="1" t="s">
        <v>44</v>
      </c>
      <c r="AH98" s="16">
        <f>SUMIFS(DB!$I:$I,DB!$C:$C,$AE98,DB!$D:$D,$AF98,DB!$K:$K,$AB98,DB!$L:$L,$AC98)</f>
        <v>11907280</v>
      </c>
      <c r="AI98" s="16">
        <v>10824800</v>
      </c>
      <c r="AJ98" s="153">
        <v>1082480</v>
      </c>
      <c r="AK98" s="162">
        <v>45897</v>
      </c>
      <c r="AL98" s="16">
        <v>11907280</v>
      </c>
      <c r="AM98" s="107">
        <v>0</v>
      </c>
      <c r="AN98" s="36" t="s">
        <v>32</v>
      </c>
      <c r="AO98" s="37">
        <v>45702</v>
      </c>
      <c r="AP98" s="36" t="s">
        <v>2670</v>
      </c>
      <c r="AQ98" s="36" t="s">
        <v>2675</v>
      </c>
      <c r="AR98" s="36" t="s">
        <v>77</v>
      </c>
      <c r="AS98" s="89"/>
      <c r="AT98" s="87"/>
      <c r="AU98" s="87"/>
      <c r="AV98" s="87"/>
      <c r="AW98" s="38">
        <v>671000</v>
      </c>
      <c r="AX98" s="85">
        <v>2025</v>
      </c>
      <c r="AY98" s="85">
        <v>2</v>
      </c>
      <c r="AZ98" s="36"/>
      <c r="BA98" s="1" t="s">
        <v>44</v>
      </c>
    </row>
    <row r="99" spans="10:53">
      <c r="J99" s="37"/>
      <c r="K99" s="36"/>
      <c r="L99" s="87"/>
      <c r="M99" s="38"/>
      <c r="N99" s="36"/>
      <c r="O99" s="36"/>
      <c r="P99" s="1"/>
      <c r="AA99" s="36" t="s">
        <v>32</v>
      </c>
      <c r="AB99" s="85">
        <v>2025</v>
      </c>
      <c r="AC99" s="85">
        <v>3</v>
      </c>
      <c r="AD99" s="37">
        <v>45747</v>
      </c>
      <c r="AE99" s="36" t="s">
        <v>264</v>
      </c>
      <c r="AF99" s="36" t="s">
        <v>2782</v>
      </c>
      <c r="AG99" s="1" t="s">
        <v>44</v>
      </c>
      <c r="AH99" s="16">
        <f>SUMIFS(DB!$I:$I,DB!$C:$C,$AE99,DB!$D:$D,$AF99,DB!$K:$K,$AB99,DB!$L:$L,$AC99)</f>
        <v>55440000</v>
      </c>
      <c r="AI99" s="16">
        <v>50400000</v>
      </c>
      <c r="AJ99" s="153">
        <v>5040000</v>
      </c>
      <c r="AK99" s="162">
        <v>45961</v>
      </c>
      <c r="AL99" s="16">
        <v>55440000</v>
      </c>
      <c r="AM99" s="107">
        <v>0</v>
      </c>
      <c r="AN99" s="36" t="s">
        <v>32</v>
      </c>
      <c r="AO99" s="37">
        <v>45726</v>
      </c>
      <c r="AP99" s="36" t="s">
        <v>1396</v>
      </c>
      <c r="AQ99" s="36" t="s">
        <v>2678</v>
      </c>
      <c r="AR99" s="36" t="s">
        <v>2692</v>
      </c>
      <c r="AS99" s="89"/>
      <c r="AT99" s="87"/>
      <c r="AU99" s="87"/>
      <c r="AV99" s="230"/>
      <c r="AW99" s="258">
        <v>14080000</v>
      </c>
      <c r="AX99" s="85">
        <v>2025</v>
      </c>
      <c r="AY99" s="85">
        <v>2</v>
      </c>
      <c r="AZ99" s="36"/>
      <c r="BA99" s="1" t="s">
        <v>44</v>
      </c>
    </row>
    <row r="100" spans="10:53">
      <c r="J100" s="37"/>
      <c r="K100" s="36"/>
      <c r="L100" s="87"/>
      <c r="M100" s="38"/>
      <c r="N100" s="36"/>
      <c r="O100" s="36"/>
      <c r="P100" s="1"/>
      <c r="AA100" s="36" t="s">
        <v>32</v>
      </c>
      <c r="AB100" s="85">
        <v>2025</v>
      </c>
      <c r="AC100" s="85">
        <v>3</v>
      </c>
      <c r="AD100" s="37">
        <v>45747</v>
      </c>
      <c r="AE100" s="36" t="s">
        <v>1470</v>
      </c>
      <c r="AF100" s="36" t="s">
        <v>1487</v>
      </c>
      <c r="AG100" s="1" t="s">
        <v>44</v>
      </c>
      <c r="AH100" s="16">
        <f>SUMIFS(DB!$I:$I,DB!$C:$C,$AE100,DB!$D:$D,$AF100,DB!$K:$K,$AB100,DB!$L:$L,$AC100)</f>
        <v>43978110</v>
      </c>
      <c r="AI100" s="16">
        <v>39980100</v>
      </c>
      <c r="AJ100" s="153">
        <v>3998010</v>
      </c>
      <c r="AK100" s="162">
        <v>45869</v>
      </c>
      <c r="AL100" s="16">
        <v>43978110</v>
      </c>
      <c r="AM100" s="107">
        <v>0</v>
      </c>
      <c r="AN100" s="36" t="s">
        <v>32</v>
      </c>
      <c r="AO100" s="37">
        <v>45727</v>
      </c>
      <c r="AP100" s="36" t="s">
        <v>1396</v>
      </c>
      <c r="AQ100" s="36" t="s">
        <v>2677</v>
      </c>
      <c r="AR100" s="36" t="s">
        <v>2705</v>
      </c>
      <c r="AS100" s="89"/>
      <c r="AT100" s="87"/>
      <c r="AU100" s="87"/>
      <c r="AV100" s="230"/>
      <c r="AW100" s="230">
        <v>15400000</v>
      </c>
      <c r="AX100" s="85">
        <v>2025</v>
      </c>
      <c r="AY100" s="85">
        <v>2</v>
      </c>
      <c r="AZ100" s="36"/>
      <c r="BA100" s="1" t="s">
        <v>44</v>
      </c>
    </row>
    <row r="101" spans="10:53">
      <c r="J101" s="37"/>
      <c r="K101" s="36"/>
      <c r="L101" s="87"/>
      <c r="M101" s="38"/>
      <c r="N101" s="36"/>
      <c r="O101" s="36"/>
      <c r="P101" s="1"/>
      <c r="AA101" s="36" t="s">
        <v>32</v>
      </c>
      <c r="AB101" s="85">
        <v>2025</v>
      </c>
      <c r="AC101" s="85">
        <v>3</v>
      </c>
      <c r="AD101" s="37">
        <v>45747</v>
      </c>
      <c r="AE101" s="36" t="s">
        <v>1396</v>
      </c>
      <c r="AF101" s="36" t="s">
        <v>2679</v>
      </c>
      <c r="AG101" s="1" t="s">
        <v>44</v>
      </c>
      <c r="AH101" s="16">
        <f>SUMIFS(DB!$I:$I,DB!$C:$C,$AE101,DB!$D:$D,$AF101,DB!$K:$K,$AB101,DB!$L:$L,$AC101)</f>
        <v>4269870</v>
      </c>
      <c r="AI101" s="16">
        <v>3881700</v>
      </c>
      <c r="AJ101" s="153">
        <v>388170</v>
      </c>
      <c r="AK101" s="162">
        <v>45961</v>
      </c>
      <c r="AL101" s="16">
        <v>4269870</v>
      </c>
      <c r="AM101" s="107">
        <v>0</v>
      </c>
      <c r="AN101" s="36" t="s">
        <v>32</v>
      </c>
      <c r="AO101" s="37">
        <v>45727</v>
      </c>
      <c r="AP101" s="36" t="s">
        <v>1396</v>
      </c>
      <c r="AQ101" s="36" t="s">
        <v>2679</v>
      </c>
      <c r="AR101" s="36" t="s">
        <v>2706</v>
      </c>
      <c r="AS101" s="89"/>
      <c r="AT101" s="87"/>
      <c r="AU101" s="87"/>
      <c r="AV101" s="230"/>
      <c r="AW101" s="230">
        <v>10289290</v>
      </c>
      <c r="AX101" s="85">
        <v>2025</v>
      </c>
      <c r="AY101" s="85">
        <v>2</v>
      </c>
      <c r="AZ101" s="36"/>
      <c r="BA101" s="1" t="s">
        <v>44</v>
      </c>
    </row>
    <row r="102" spans="10:53">
      <c r="J102" s="37"/>
      <c r="K102" s="36"/>
      <c r="L102" s="87"/>
      <c r="M102" s="38"/>
      <c r="N102" s="36"/>
      <c r="O102" s="36"/>
      <c r="P102" s="1"/>
      <c r="AA102" s="36" t="s">
        <v>32</v>
      </c>
      <c r="AB102" s="85">
        <v>2025</v>
      </c>
      <c r="AC102" s="85">
        <v>3</v>
      </c>
      <c r="AD102" s="37">
        <v>45747</v>
      </c>
      <c r="AE102" s="36" t="s">
        <v>1396</v>
      </c>
      <c r="AF102" s="36" t="s">
        <v>2677</v>
      </c>
      <c r="AG102" s="1" t="s">
        <v>44</v>
      </c>
      <c r="AH102" s="16">
        <f>SUMIFS(DB!$I:$I,DB!$C:$C,$AE102,DB!$D:$D,$AF102,DB!$K:$K,$AB102,DB!$L:$L,$AC102)</f>
        <v>2036100</v>
      </c>
      <c r="AI102" s="16">
        <v>1851000</v>
      </c>
      <c r="AJ102" s="153">
        <v>185100</v>
      </c>
      <c r="AK102" s="162">
        <v>45961</v>
      </c>
      <c r="AL102" s="16">
        <v>2036100</v>
      </c>
      <c r="AM102" s="107">
        <v>0</v>
      </c>
      <c r="AN102" s="36" t="s">
        <v>32</v>
      </c>
      <c r="AO102" s="37">
        <v>45727</v>
      </c>
      <c r="AP102" s="36" t="s">
        <v>1396</v>
      </c>
      <c r="AQ102" s="36" t="s">
        <v>2680</v>
      </c>
      <c r="AR102" s="36" t="s">
        <v>2707</v>
      </c>
      <c r="AS102" s="89"/>
      <c r="AT102" s="87"/>
      <c r="AU102" s="87"/>
      <c r="AV102" s="230"/>
      <c r="AW102" s="230">
        <v>11655600</v>
      </c>
      <c r="AX102" s="85">
        <v>2025</v>
      </c>
      <c r="AY102" s="85">
        <v>2</v>
      </c>
      <c r="AZ102" s="36"/>
      <c r="BA102" s="1" t="s">
        <v>44</v>
      </c>
    </row>
    <row r="103" spans="10:53">
      <c r="J103" s="37"/>
      <c r="K103" s="36"/>
      <c r="L103" s="87"/>
      <c r="M103" s="38"/>
      <c r="N103" s="36"/>
      <c r="O103" s="36"/>
      <c r="P103" s="1"/>
      <c r="AA103" s="36" t="s">
        <v>32</v>
      </c>
      <c r="AB103" s="85">
        <v>2025</v>
      </c>
      <c r="AC103" s="85">
        <v>3</v>
      </c>
      <c r="AD103" s="37">
        <v>45747</v>
      </c>
      <c r="AE103" s="36" t="s">
        <v>1396</v>
      </c>
      <c r="AF103" s="36" t="s">
        <v>2680</v>
      </c>
      <c r="AG103" s="1" t="s">
        <v>44</v>
      </c>
      <c r="AH103" s="16">
        <f>SUMIFS(DB!$I:$I,DB!$C:$C,$AE103,DB!$D:$D,$AF103,DB!$K:$K,$AB103,DB!$L:$L,$AC103)</f>
        <v>4596240</v>
      </c>
      <c r="AI103" s="16">
        <v>4178400</v>
      </c>
      <c r="AJ103" s="153">
        <v>417840</v>
      </c>
      <c r="AK103" s="162">
        <v>45961</v>
      </c>
      <c r="AL103" s="16">
        <v>4596240</v>
      </c>
      <c r="AM103" s="107">
        <v>0</v>
      </c>
      <c r="AN103" s="36" t="s">
        <v>32</v>
      </c>
      <c r="AO103" s="37">
        <v>45727</v>
      </c>
      <c r="AP103" s="36" t="s">
        <v>209</v>
      </c>
      <c r="AQ103" s="36" t="s">
        <v>2637</v>
      </c>
      <c r="AR103" s="36" t="s">
        <v>2708</v>
      </c>
      <c r="AS103" s="89"/>
      <c r="AT103" s="87"/>
      <c r="AU103" s="87"/>
      <c r="AV103" s="87"/>
      <c r="AW103" s="87">
        <v>41210400</v>
      </c>
      <c r="AX103" s="85">
        <v>2025</v>
      </c>
      <c r="AY103" s="85">
        <v>2</v>
      </c>
      <c r="AZ103" s="36"/>
      <c r="BA103" s="1" t="s">
        <v>44</v>
      </c>
    </row>
    <row r="104" spans="10:53">
      <c r="J104" s="37"/>
      <c r="K104" s="36"/>
      <c r="L104" s="87"/>
      <c r="M104" s="87"/>
      <c r="N104" s="36"/>
      <c r="O104" s="36"/>
      <c r="P104" s="1"/>
      <c r="AA104" s="36" t="s">
        <v>32</v>
      </c>
      <c r="AB104" s="85">
        <v>2025</v>
      </c>
      <c r="AC104" s="85">
        <v>3</v>
      </c>
      <c r="AD104" s="37">
        <v>45747</v>
      </c>
      <c r="AE104" s="36" t="s">
        <v>1396</v>
      </c>
      <c r="AF104" s="36" t="s">
        <v>2678</v>
      </c>
      <c r="AG104" s="1" t="s">
        <v>44</v>
      </c>
      <c r="AH104" s="16">
        <f>SUMIFS(DB!$I:$I,DB!$C:$C,$AE104,DB!$D:$D,$AF104,DB!$K:$K,$AB104,DB!$L:$L,$AC104)</f>
        <v>1963500</v>
      </c>
      <c r="AI104" s="16">
        <v>1785000</v>
      </c>
      <c r="AJ104" s="153">
        <v>178500</v>
      </c>
      <c r="AK104" s="162">
        <v>45961</v>
      </c>
      <c r="AL104" s="16">
        <v>1963500</v>
      </c>
      <c r="AM104" s="107">
        <v>0</v>
      </c>
      <c r="AN104" s="36" t="s">
        <v>32</v>
      </c>
      <c r="AO104" s="37">
        <v>45733</v>
      </c>
      <c r="AP104" s="36" t="s">
        <v>291</v>
      </c>
      <c r="AQ104" s="36" t="s">
        <v>2643</v>
      </c>
      <c r="AR104" s="36" t="s">
        <v>148</v>
      </c>
      <c r="AS104" s="89"/>
      <c r="AT104" s="87"/>
      <c r="AU104" s="87"/>
      <c r="AV104" s="87"/>
      <c r="AW104" s="87">
        <v>26551800</v>
      </c>
      <c r="AX104" s="85">
        <v>2025</v>
      </c>
      <c r="AY104" s="85">
        <v>1</v>
      </c>
      <c r="AZ104" s="36"/>
      <c r="BA104" s="1" t="s">
        <v>44</v>
      </c>
    </row>
    <row r="105" spans="10:53">
      <c r="J105" s="37"/>
      <c r="K105" s="36"/>
      <c r="L105" s="87"/>
      <c r="M105" s="38"/>
      <c r="N105" s="36"/>
      <c r="O105" s="36"/>
      <c r="P105" s="1"/>
      <c r="AA105" s="36" t="s">
        <v>32</v>
      </c>
      <c r="AB105" s="85">
        <v>2025</v>
      </c>
      <c r="AC105" s="85">
        <v>3</v>
      </c>
      <c r="AD105" s="37">
        <v>45747</v>
      </c>
      <c r="AE105" s="36" t="s">
        <v>2673</v>
      </c>
      <c r="AF105" s="36" t="s">
        <v>2686</v>
      </c>
      <c r="AG105" s="1" t="s">
        <v>44</v>
      </c>
      <c r="AH105" s="16">
        <f>SUMIFS(DB!$I:$I,DB!$C:$C,$AE105,DB!$D:$D,$AF105,DB!$K:$K,$AB105,DB!$L:$L,$AC105)</f>
        <v>4367682</v>
      </c>
      <c r="AI105" s="16">
        <v>3970620</v>
      </c>
      <c r="AJ105" s="153">
        <v>397062</v>
      </c>
      <c r="AK105" s="162">
        <v>45824</v>
      </c>
      <c r="AL105" s="16">
        <v>4367682</v>
      </c>
      <c r="AM105" s="107">
        <v>0</v>
      </c>
      <c r="AN105" s="36" t="s">
        <v>32</v>
      </c>
      <c r="AO105" s="37">
        <v>45737</v>
      </c>
      <c r="AP105" s="36" t="s">
        <v>334</v>
      </c>
      <c r="AQ105" s="36" t="s">
        <v>2722</v>
      </c>
      <c r="AR105" s="36" t="s">
        <v>2721</v>
      </c>
      <c r="AS105" s="89"/>
      <c r="AT105" s="87"/>
      <c r="AU105" s="87"/>
      <c r="AV105" s="87"/>
      <c r="AW105" s="87">
        <v>4730000</v>
      </c>
      <c r="AX105" s="85">
        <v>2025</v>
      </c>
      <c r="AY105" s="85">
        <v>1</v>
      </c>
      <c r="AZ105" s="36"/>
      <c r="BA105" s="1" t="s">
        <v>44</v>
      </c>
    </row>
    <row r="106" spans="10:53">
      <c r="J106" s="37"/>
      <c r="K106" s="36"/>
      <c r="L106" s="87"/>
      <c r="M106" s="38"/>
      <c r="N106" s="36"/>
      <c r="O106" s="36"/>
      <c r="P106" s="1"/>
      <c r="AA106" s="36" t="s">
        <v>32</v>
      </c>
      <c r="AB106" s="85">
        <v>2025</v>
      </c>
      <c r="AC106" s="85">
        <v>4</v>
      </c>
      <c r="AD106" s="37">
        <v>45752</v>
      </c>
      <c r="AE106" s="36" t="s">
        <v>1880</v>
      </c>
      <c r="AF106" s="36" t="s">
        <v>2396</v>
      </c>
      <c r="AG106" s="1" t="s">
        <v>44</v>
      </c>
      <c r="AH106" s="16">
        <f>SUMIFS(DB!$I:$I,DB!$C:$C,$AE106,DB!$D:$D,$AF106,DB!$K:$K,$AB106,DB!$L:$L,$AC106)</f>
        <v>6600000</v>
      </c>
      <c r="AI106" s="16">
        <v>6000000</v>
      </c>
      <c r="AJ106" s="153">
        <v>600000</v>
      </c>
      <c r="AK106" s="162">
        <v>45752</v>
      </c>
      <c r="AL106" s="16">
        <v>6600000</v>
      </c>
      <c r="AM106" s="107">
        <v>0</v>
      </c>
      <c r="AN106" s="36" t="s">
        <v>32</v>
      </c>
      <c r="AO106" s="37">
        <v>45737</v>
      </c>
      <c r="AP106" s="36" t="s">
        <v>2477</v>
      </c>
      <c r="AQ106" s="36" t="s">
        <v>2485</v>
      </c>
      <c r="AR106" s="36" t="s">
        <v>148</v>
      </c>
      <c r="AS106" s="89"/>
      <c r="AT106" s="87"/>
      <c r="AU106" s="87"/>
      <c r="AV106" s="87"/>
      <c r="AW106" s="87">
        <v>23399310</v>
      </c>
      <c r="AX106" s="85">
        <v>2025</v>
      </c>
      <c r="AY106" s="85">
        <v>2</v>
      </c>
      <c r="AZ106" s="36" t="s">
        <v>2653</v>
      </c>
      <c r="BA106" s="1" t="s">
        <v>44</v>
      </c>
    </row>
    <row r="107" spans="10:53">
      <c r="J107" s="37"/>
      <c r="K107" s="36"/>
      <c r="L107" s="87"/>
      <c r="M107" s="38"/>
      <c r="N107" s="36"/>
      <c r="O107" s="36"/>
      <c r="P107" s="1"/>
      <c r="AA107" s="36" t="s">
        <v>32</v>
      </c>
      <c r="AB107" s="85">
        <v>2025</v>
      </c>
      <c r="AC107" s="85">
        <v>4</v>
      </c>
      <c r="AD107" s="37">
        <v>45775</v>
      </c>
      <c r="AE107" s="36" t="s">
        <v>209</v>
      </c>
      <c r="AF107" s="36" t="s">
        <v>2494</v>
      </c>
      <c r="AG107" s="1" t="s">
        <v>44</v>
      </c>
      <c r="AH107" s="16">
        <f>SUMIFS(DB!$I:$I,DB!$C:$C,$AE107,DB!$D:$D,$AF107,DB!$K:$K,$AB107,DB!$L:$L,$AC107)</f>
        <v>2325180</v>
      </c>
      <c r="AI107" s="16">
        <v>2113800</v>
      </c>
      <c r="AJ107" s="153">
        <v>211380</v>
      </c>
      <c r="AK107" s="162">
        <v>45898</v>
      </c>
      <c r="AL107" s="16">
        <v>2325180</v>
      </c>
      <c r="AM107" s="107">
        <v>0</v>
      </c>
      <c r="AN107" s="36" t="s">
        <v>32</v>
      </c>
      <c r="AO107" s="37">
        <v>45737</v>
      </c>
      <c r="AP107" s="36" t="s">
        <v>2247</v>
      </c>
      <c r="AQ107" s="36" t="s">
        <v>2644</v>
      </c>
      <c r="AR107" s="36" t="s">
        <v>2724</v>
      </c>
      <c r="AS107" s="89"/>
      <c r="AT107" s="87"/>
      <c r="AU107" s="87"/>
      <c r="AV107" s="87"/>
      <c r="AW107" s="87">
        <v>6897000</v>
      </c>
      <c r="AX107" s="85">
        <v>2025</v>
      </c>
      <c r="AY107" s="85">
        <v>1</v>
      </c>
      <c r="AZ107" s="36"/>
      <c r="BA107" s="1" t="s">
        <v>44</v>
      </c>
    </row>
    <row r="108" spans="10:53">
      <c r="J108" s="37"/>
      <c r="K108" s="36"/>
      <c r="L108" s="87"/>
      <c r="M108" s="38"/>
      <c r="N108" s="36"/>
      <c r="O108" s="36"/>
      <c r="P108" s="1"/>
      <c r="AA108" s="36" t="s">
        <v>32</v>
      </c>
      <c r="AB108" s="85">
        <v>2025</v>
      </c>
      <c r="AC108" s="85">
        <v>4</v>
      </c>
      <c r="AD108" s="37">
        <v>45775</v>
      </c>
      <c r="AE108" s="36" t="s">
        <v>209</v>
      </c>
      <c r="AF108" s="36" t="s">
        <v>2551</v>
      </c>
      <c r="AG108" s="1" t="s">
        <v>44</v>
      </c>
      <c r="AH108" s="16">
        <f>SUMIFS(DB!$I:$I,DB!$C:$C,$AE108,DB!$D:$D,$AF108,DB!$K:$K,$AB108,DB!$L:$L,$AC108)</f>
        <v>4900500</v>
      </c>
      <c r="AI108" s="16">
        <v>4455000</v>
      </c>
      <c r="AJ108" s="153">
        <v>445500</v>
      </c>
      <c r="AK108" s="162">
        <v>45805</v>
      </c>
      <c r="AL108" s="16">
        <v>4900500</v>
      </c>
      <c r="AM108" s="107">
        <v>0</v>
      </c>
      <c r="AN108" s="36" t="s">
        <v>32</v>
      </c>
      <c r="AO108" s="37">
        <v>45741</v>
      </c>
      <c r="AP108" s="36" t="s">
        <v>2627</v>
      </c>
      <c r="AQ108" s="36" t="s">
        <v>2589</v>
      </c>
      <c r="AR108" s="36" t="s">
        <v>2609</v>
      </c>
      <c r="AS108" s="89"/>
      <c r="AT108" s="87"/>
      <c r="AU108" s="87"/>
      <c r="AV108" s="87"/>
      <c r="AW108" s="87">
        <v>3712500</v>
      </c>
      <c r="AX108" s="85">
        <v>2025</v>
      </c>
      <c r="AY108" s="85">
        <v>2</v>
      </c>
      <c r="AZ108" s="36"/>
      <c r="BA108" s="1" t="s">
        <v>44</v>
      </c>
    </row>
    <row r="109" spans="10:53">
      <c r="J109" s="37"/>
      <c r="K109" s="36"/>
      <c r="L109" s="87"/>
      <c r="M109" s="87"/>
      <c r="N109" s="36"/>
      <c r="O109" s="36"/>
      <c r="P109" s="1"/>
      <c r="AA109" s="36" t="s">
        <v>32</v>
      </c>
      <c r="AB109" s="85">
        <v>2025</v>
      </c>
      <c r="AC109" s="85">
        <v>4</v>
      </c>
      <c r="AD109" s="37">
        <v>45777</v>
      </c>
      <c r="AE109" s="36" t="s">
        <v>654</v>
      </c>
      <c r="AF109" s="36" t="s">
        <v>2588</v>
      </c>
      <c r="AG109" s="1" t="s">
        <v>44</v>
      </c>
      <c r="AH109" s="16">
        <f>SUMIFS(DB!$I:$I,DB!$C:$C,$AE109,DB!$D:$D,$AF109,DB!$K:$K,$AB109,DB!$L:$L,$AC109)</f>
        <v>33204490</v>
      </c>
      <c r="AI109" s="16">
        <v>30185900</v>
      </c>
      <c r="AJ109" s="153">
        <v>3018590</v>
      </c>
      <c r="AK109" s="162">
        <v>45961</v>
      </c>
      <c r="AL109" s="16">
        <v>33204490</v>
      </c>
      <c r="AM109" s="107">
        <v>0</v>
      </c>
      <c r="AN109" s="36" t="s">
        <v>32</v>
      </c>
      <c r="AO109" s="37">
        <v>45742</v>
      </c>
      <c r="AP109" s="36" t="s">
        <v>209</v>
      </c>
      <c r="AQ109" s="36" t="s">
        <v>2550</v>
      </c>
      <c r="AR109" s="36" t="s">
        <v>2655</v>
      </c>
      <c r="AS109" s="89"/>
      <c r="AT109" s="87"/>
      <c r="AU109" s="87"/>
      <c r="AV109" s="87"/>
      <c r="AW109" s="87">
        <v>6420480</v>
      </c>
      <c r="AX109" s="85">
        <v>2025</v>
      </c>
      <c r="AY109" s="85">
        <v>2</v>
      </c>
      <c r="AZ109" s="36"/>
      <c r="BA109" s="1" t="s">
        <v>44</v>
      </c>
    </row>
    <row r="110" spans="10:53">
      <c r="J110" s="37"/>
      <c r="K110" s="36"/>
      <c r="L110" s="87"/>
      <c r="M110" s="87"/>
      <c r="N110" s="36"/>
      <c r="O110" s="36"/>
      <c r="P110" s="1"/>
      <c r="AA110" s="36" t="s">
        <v>32</v>
      </c>
      <c r="AB110" s="85">
        <v>2025</v>
      </c>
      <c r="AC110" s="85">
        <v>4</v>
      </c>
      <c r="AD110" s="37">
        <v>45777</v>
      </c>
      <c r="AE110" s="36" t="s">
        <v>654</v>
      </c>
      <c r="AF110" s="36" t="s">
        <v>1854</v>
      </c>
      <c r="AG110" s="1" t="s">
        <v>44</v>
      </c>
      <c r="AH110" s="16">
        <f>SUMIFS(DB!$I:$I,DB!$C:$C,$AE110,DB!$D:$D,$AF110,DB!$K:$K,$AB110,DB!$L:$L,$AC110)</f>
        <v>5873780</v>
      </c>
      <c r="AI110" s="16">
        <v>5339800</v>
      </c>
      <c r="AJ110" s="153">
        <v>533980</v>
      </c>
      <c r="AK110" s="162">
        <v>45961</v>
      </c>
      <c r="AL110" s="16">
        <v>5873780</v>
      </c>
      <c r="AM110" s="107">
        <v>0</v>
      </c>
      <c r="AN110" s="36" t="s">
        <v>32</v>
      </c>
      <c r="AO110" s="37">
        <v>45744</v>
      </c>
      <c r="AP110" s="36" t="s">
        <v>654</v>
      </c>
      <c r="AQ110" s="36" t="s">
        <v>2541</v>
      </c>
      <c r="AR110" s="36" t="s">
        <v>2733</v>
      </c>
      <c r="AS110" s="89"/>
      <c r="AT110" s="87"/>
      <c r="AU110" s="87"/>
      <c r="AV110" s="87"/>
      <c r="AW110" s="87">
        <v>24403500</v>
      </c>
      <c r="AX110" s="85">
        <v>2025</v>
      </c>
      <c r="AY110" s="85">
        <v>2</v>
      </c>
      <c r="AZ110" s="36"/>
      <c r="BA110" s="1" t="s">
        <v>44</v>
      </c>
    </row>
    <row r="111" spans="10:53">
      <c r="J111" s="37"/>
      <c r="K111" s="36"/>
      <c r="L111" s="87"/>
      <c r="M111" s="87"/>
      <c r="N111" s="36"/>
      <c r="O111" s="36"/>
      <c r="P111" s="1"/>
      <c r="AA111" s="36" t="s">
        <v>32</v>
      </c>
      <c r="AB111" s="85">
        <v>2025</v>
      </c>
      <c r="AC111" s="85">
        <v>4</v>
      </c>
      <c r="AD111" s="37">
        <v>45777</v>
      </c>
      <c r="AE111" s="36" t="s">
        <v>654</v>
      </c>
      <c r="AF111" s="36" t="s">
        <v>3047</v>
      </c>
      <c r="AG111" s="1" t="s">
        <v>44</v>
      </c>
      <c r="AH111" s="16">
        <f>SUMIFS(DB!$I:$I,DB!$C:$C,$AE111,DB!$D:$D,$AF111,DB!$K:$K,$AB111,DB!$L:$L,$AC111)</f>
        <v>12514304</v>
      </c>
      <c r="AI111" s="16">
        <v>11376640</v>
      </c>
      <c r="AJ111" s="153">
        <v>1137664</v>
      </c>
      <c r="AK111" s="162">
        <v>45961</v>
      </c>
      <c r="AL111" s="16">
        <v>12514304</v>
      </c>
      <c r="AM111" s="107">
        <v>0</v>
      </c>
      <c r="AN111" s="36" t="s">
        <v>32</v>
      </c>
      <c r="AO111" s="37">
        <v>45744</v>
      </c>
      <c r="AP111" s="36" t="s">
        <v>654</v>
      </c>
      <c r="AQ111" s="36" t="s">
        <v>2676</v>
      </c>
      <c r="AR111" s="36" t="s">
        <v>2734</v>
      </c>
      <c r="AS111" s="89"/>
      <c r="AT111" s="87"/>
      <c r="AU111" s="87"/>
      <c r="AV111" s="87"/>
      <c r="AW111" s="87">
        <v>2109492</v>
      </c>
      <c r="AX111" s="85">
        <v>2025</v>
      </c>
      <c r="AY111" s="85">
        <v>2</v>
      </c>
      <c r="AZ111" s="36"/>
      <c r="BA111" s="1" t="s">
        <v>44</v>
      </c>
    </row>
    <row r="112" spans="10:53">
      <c r="J112" s="37"/>
      <c r="K112" s="36"/>
      <c r="L112" s="87"/>
      <c r="M112" s="38"/>
      <c r="N112" s="36"/>
      <c r="O112" s="36"/>
      <c r="P112" s="1"/>
      <c r="AA112" s="36" t="s">
        <v>32</v>
      </c>
      <c r="AB112" s="85">
        <v>2025</v>
      </c>
      <c r="AC112" s="85">
        <v>4</v>
      </c>
      <c r="AD112" s="37">
        <v>45777</v>
      </c>
      <c r="AE112" s="36" t="s">
        <v>654</v>
      </c>
      <c r="AF112" s="36" t="s">
        <v>2826</v>
      </c>
      <c r="AG112" s="1" t="s">
        <v>44</v>
      </c>
      <c r="AH112" s="16">
        <f>SUMIFS(DB!$I:$I,DB!$C:$C,$AE112,DB!$D:$D,$AF112,DB!$K:$K,$AB112,DB!$L:$L,$AC112)</f>
        <v>52983700</v>
      </c>
      <c r="AI112" s="16">
        <v>48167000</v>
      </c>
      <c r="AJ112" s="153">
        <v>4816700</v>
      </c>
      <c r="AK112" s="162">
        <v>45834</v>
      </c>
      <c r="AL112" s="16">
        <v>52983700</v>
      </c>
      <c r="AM112" s="107">
        <v>0</v>
      </c>
      <c r="AN112" s="36" t="s">
        <v>32</v>
      </c>
      <c r="AO112" s="37">
        <v>45744</v>
      </c>
      <c r="AP112" s="36" t="s">
        <v>2674</v>
      </c>
      <c r="AQ112" s="36" t="s">
        <v>2687</v>
      </c>
      <c r="AR112" s="36" t="s">
        <v>148</v>
      </c>
      <c r="AS112" s="89"/>
      <c r="AT112" s="87"/>
      <c r="AU112" s="87"/>
      <c r="AV112" s="87"/>
      <c r="AW112" s="87">
        <v>16544000</v>
      </c>
      <c r="AX112" s="85">
        <v>2025</v>
      </c>
      <c r="AY112" s="85">
        <v>2</v>
      </c>
      <c r="AZ112" s="36"/>
      <c r="BA112" s="1" t="s">
        <v>44</v>
      </c>
    </row>
    <row r="113" spans="10:53">
      <c r="J113" s="37"/>
      <c r="K113" s="36"/>
      <c r="L113" s="87"/>
      <c r="M113" s="38"/>
      <c r="N113" s="36"/>
      <c r="O113" s="36"/>
      <c r="P113" s="1"/>
      <c r="AA113" s="36" t="s">
        <v>32</v>
      </c>
      <c r="AB113" s="85">
        <v>2025</v>
      </c>
      <c r="AC113" s="85">
        <v>4</v>
      </c>
      <c r="AD113" s="37">
        <v>45777</v>
      </c>
      <c r="AE113" s="36" t="s">
        <v>654</v>
      </c>
      <c r="AF113" s="36" t="s">
        <v>2635</v>
      </c>
      <c r="AG113" s="1" t="s">
        <v>44</v>
      </c>
      <c r="AH113" s="16">
        <f>SUMIFS(DB!$I:$I,DB!$C:$C,$AE113,DB!$D:$D,$AF113,DB!$K:$K,$AB113,DB!$L:$L,$AC113)</f>
        <v>0</v>
      </c>
      <c r="AI113" s="16">
        <v>0</v>
      </c>
      <c r="AJ113" s="153">
        <v>0</v>
      </c>
      <c r="AL113" s="16">
        <v>0</v>
      </c>
      <c r="AM113" s="107">
        <v>0</v>
      </c>
      <c r="AN113" s="36" t="s">
        <v>32</v>
      </c>
      <c r="AO113" s="37">
        <v>45743</v>
      </c>
      <c r="AP113" s="36" t="s">
        <v>2392</v>
      </c>
      <c r="AQ113" s="36" t="s">
        <v>2483</v>
      </c>
      <c r="AR113" s="36" t="s">
        <v>148</v>
      </c>
      <c r="AS113" s="89"/>
      <c r="AT113" s="87"/>
      <c r="AU113" s="87"/>
      <c r="AV113" s="87"/>
      <c r="AW113" s="87">
        <v>3070980</v>
      </c>
      <c r="AX113" s="85">
        <v>2025</v>
      </c>
      <c r="AY113" s="85">
        <v>1</v>
      </c>
      <c r="AZ113" s="36"/>
      <c r="BA113" s="1" t="s">
        <v>44</v>
      </c>
    </row>
    <row r="114" spans="10:53">
      <c r="J114" s="37"/>
      <c r="K114" s="36"/>
      <c r="L114" s="87"/>
      <c r="M114" s="87"/>
      <c r="N114" s="36"/>
      <c r="O114" s="36"/>
      <c r="P114" s="1"/>
      <c r="AA114" s="36" t="s">
        <v>32</v>
      </c>
      <c r="AB114" s="85">
        <v>2025</v>
      </c>
      <c r="AC114" s="85">
        <v>4</v>
      </c>
      <c r="AD114" s="37">
        <v>45777</v>
      </c>
      <c r="AE114" s="36" t="s">
        <v>1396</v>
      </c>
      <c r="AF114" s="36" t="s">
        <v>2677</v>
      </c>
      <c r="AG114" s="1" t="s">
        <v>44</v>
      </c>
      <c r="AH114" s="16">
        <f>SUMIFS(DB!$I:$I,DB!$C:$C,$AE114,DB!$D:$D,$AF114,DB!$K:$K,$AB114,DB!$L:$L,$AC114)</f>
        <v>1980000</v>
      </c>
      <c r="AI114" s="16">
        <v>1800000</v>
      </c>
      <c r="AJ114" s="153">
        <v>180000</v>
      </c>
      <c r="AK114" s="162">
        <v>45799</v>
      </c>
      <c r="AL114" s="16">
        <v>1980000</v>
      </c>
      <c r="AM114" s="107">
        <v>0</v>
      </c>
      <c r="AN114" s="36" t="s">
        <v>32</v>
      </c>
      <c r="AO114" s="37">
        <v>45744</v>
      </c>
      <c r="AP114" s="36" t="s">
        <v>654</v>
      </c>
      <c r="AQ114" s="36" t="s">
        <v>2697</v>
      </c>
      <c r="AR114" s="36" t="s">
        <v>2736</v>
      </c>
      <c r="AS114" s="89"/>
      <c r="AT114" s="87">
        <v>-2881000</v>
      </c>
      <c r="AU114" s="87">
        <v>-288100</v>
      </c>
      <c r="AV114" s="87">
        <v>-3169100</v>
      </c>
      <c r="AW114" s="38"/>
      <c r="AX114" s="85">
        <v>2025</v>
      </c>
      <c r="AY114" s="85">
        <v>2</v>
      </c>
      <c r="AZ114" s="36"/>
      <c r="BA114" s="1" t="s">
        <v>44</v>
      </c>
    </row>
    <row r="115" spans="10:53">
      <c r="J115" s="37"/>
      <c r="K115" s="36"/>
      <c r="L115" s="87"/>
      <c r="M115" s="87"/>
      <c r="N115" s="36"/>
      <c r="O115" s="254"/>
      <c r="P115" s="1"/>
      <c r="AA115" s="36" t="s">
        <v>32</v>
      </c>
      <c r="AB115" s="85">
        <v>2025</v>
      </c>
      <c r="AC115" s="85">
        <v>4</v>
      </c>
      <c r="AD115" s="37">
        <v>45777</v>
      </c>
      <c r="AE115" s="36" t="s">
        <v>1396</v>
      </c>
      <c r="AF115" s="36" t="s">
        <v>2678</v>
      </c>
      <c r="AG115" s="1" t="s">
        <v>44</v>
      </c>
      <c r="AH115" s="16">
        <f>SUMIFS(DB!$I:$I,DB!$C:$C,$AE115,DB!$D:$D,$AF115,DB!$K:$K,$AB115,DB!$L:$L,$AC115)</f>
        <v>1870000</v>
      </c>
      <c r="AI115" s="16">
        <v>1700000</v>
      </c>
      <c r="AJ115" s="153">
        <v>170000</v>
      </c>
      <c r="AK115" s="162">
        <v>45961</v>
      </c>
      <c r="AL115" s="16">
        <v>1870000</v>
      </c>
      <c r="AM115" s="107">
        <v>0</v>
      </c>
      <c r="AN115" s="36" t="s">
        <v>32</v>
      </c>
      <c r="AO115" s="37">
        <v>45747</v>
      </c>
      <c r="AP115" s="36" t="s">
        <v>1470</v>
      </c>
      <c r="AQ115" s="36" t="s">
        <v>1487</v>
      </c>
      <c r="AR115" s="36" t="s">
        <v>148</v>
      </c>
      <c r="AS115" s="89"/>
      <c r="AT115" s="87"/>
      <c r="AU115" s="87"/>
      <c r="AV115" s="87"/>
      <c r="AW115" s="87">
        <v>48668290</v>
      </c>
      <c r="AX115" s="85">
        <v>2025</v>
      </c>
      <c r="AY115" s="85">
        <v>2</v>
      </c>
      <c r="AZ115" s="36"/>
      <c r="BA115" s="1" t="s">
        <v>44</v>
      </c>
    </row>
    <row r="116" spans="10:53">
      <c r="J116" s="37"/>
      <c r="K116" s="36"/>
      <c r="L116" s="87"/>
      <c r="M116" s="87"/>
      <c r="N116" s="36"/>
      <c r="O116" s="254"/>
      <c r="P116" s="1"/>
      <c r="AA116" s="36" t="s">
        <v>32</v>
      </c>
      <c r="AB116" s="85">
        <v>2025</v>
      </c>
      <c r="AC116" s="85">
        <v>4</v>
      </c>
      <c r="AD116" s="37">
        <v>45777</v>
      </c>
      <c r="AE116" s="36" t="s">
        <v>1396</v>
      </c>
      <c r="AF116" s="36" t="s">
        <v>2954</v>
      </c>
      <c r="AG116" s="1" t="s">
        <v>44</v>
      </c>
      <c r="AH116" s="16">
        <f>SUMIFS(DB!$I:$I,DB!$C:$C,$AE116,DB!$D:$D,$AF116,DB!$K:$K,$AB116,DB!$L:$L,$AC116)</f>
        <v>12430000</v>
      </c>
      <c r="AI116" s="16">
        <v>11300000</v>
      </c>
      <c r="AJ116" s="153">
        <v>1130000</v>
      </c>
      <c r="AK116" s="162">
        <v>45961</v>
      </c>
      <c r="AL116" s="16">
        <v>12430000</v>
      </c>
      <c r="AM116" s="107">
        <v>0</v>
      </c>
      <c r="AN116" s="36" t="s">
        <v>32</v>
      </c>
      <c r="AO116" s="37">
        <v>45747</v>
      </c>
      <c r="AP116" s="36" t="s">
        <v>1569</v>
      </c>
      <c r="AQ116" s="36" t="s">
        <v>1492</v>
      </c>
      <c r="AR116" s="36" t="s">
        <v>148</v>
      </c>
      <c r="AS116" s="89"/>
      <c r="AT116" s="87"/>
      <c r="AU116" s="87"/>
      <c r="AV116" s="87"/>
      <c r="AW116" s="87">
        <v>6302560</v>
      </c>
      <c r="AX116" s="85">
        <v>2025</v>
      </c>
      <c r="AY116" s="85">
        <v>2</v>
      </c>
      <c r="AZ116" s="36"/>
      <c r="BA116" s="1" t="s">
        <v>44</v>
      </c>
    </row>
    <row r="117" spans="10:53">
      <c r="J117" s="37"/>
      <c r="K117" s="36"/>
      <c r="L117" s="87"/>
      <c r="M117" s="38"/>
      <c r="N117" s="36"/>
      <c r="O117" s="36"/>
      <c r="P117" s="1"/>
      <c r="AA117" s="36" t="s">
        <v>32</v>
      </c>
      <c r="AB117" s="85">
        <v>2025</v>
      </c>
      <c r="AC117" s="85">
        <v>4</v>
      </c>
      <c r="AD117" s="37">
        <v>45777</v>
      </c>
      <c r="AE117" s="36" t="s">
        <v>1396</v>
      </c>
      <c r="AF117" s="36" t="s">
        <v>2679</v>
      </c>
      <c r="AG117" s="1" t="s">
        <v>44</v>
      </c>
      <c r="AH117" s="16">
        <f>SUMIFS(DB!$I:$I,DB!$C:$C,$AE117,DB!$D:$D,$AF117,DB!$K:$K,$AB117,DB!$L:$L,$AC117)</f>
        <v>1727000</v>
      </c>
      <c r="AI117" s="16">
        <v>1570000</v>
      </c>
      <c r="AJ117" s="153">
        <v>157000</v>
      </c>
      <c r="AK117" s="162">
        <v>45961</v>
      </c>
      <c r="AL117" s="16">
        <v>1727000</v>
      </c>
      <c r="AM117" s="107">
        <v>0</v>
      </c>
      <c r="AN117" s="36" t="s">
        <v>32</v>
      </c>
      <c r="AO117" s="37">
        <v>45747</v>
      </c>
      <c r="AP117" s="36" t="s">
        <v>2696</v>
      </c>
      <c r="AQ117" s="36" t="s">
        <v>2684</v>
      </c>
      <c r="AR117" s="36" t="s">
        <v>148</v>
      </c>
      <c r="AS117" s="89"/>
      <c r="AT117" s="87"/>
      <c r="AU117" s="87"/>
      <c r="AV117" s="87"/>
      <c r="AW117" s="87">
        <v>2288000</v>
      </c>
      <c r="AX117" s="85">
        <v>2025</v>
      </c>
      <c r="AY117" s="85">
        <v>2</v>
      </c>
      <c r="AZ117" s="36"/>
      <c r="BA117" s="1" t="s">
        <v>44</v>
      </c>
    </row>
    <row r="118" spans="10:53">
      <c r="J118" s="37"/>
      <c r="K118" s="36"/>
      <c r="L118" s="87"/>
      <c r="M118" s="38"/>
      <c r="N118" s="36"/>
      <c r="O118" s="36"/>
      <c r="P118" s="1"/>
      <c r="AA118" s="36" t="s">
        <v>32</v>
      </c>
      <c r="AB118" s="85">
        <v>2025</v>
      </c>
      <c r="AC118" s="85">
        <v>4</v>
      </c>
      <c r="AD118" s="37">
        <v>45777</v>
      </c>
      <c r="AE118" s="36" t="s">
        <v>1396</v>
      </c>
      <c r="AF118" s="36" t="s">
        <v>2680</v>
      </c>
      <c r="AG118" s="1" t="s">
        <v>44</v>
      </c>
      <c r="AH118" s="16">
        <f>SUMIFS(DB!$I:$I,DB!$C:$C,$AE118,DB!$D:$D,$AF118,DB!$K:$K,$AB118,DB!$L:$L,$AC118)</f>
        <v>1870000</v>
      </c>
      <c r="AI118" s="16">
        <v>1700000</v>
      </c>
      <c r="AJ118" s="153">
        <v>170000</v>
      </c>
      <c r="AK118" s="162">
        <v>45961</v>
      </c>
      <c r="AL118" s="16">
        <v>1870000</v>
      </c>
      <c r="AM118" s="107">
        <v>0</v>
      </c>
      <c r="AN118" s="36" t="s">
        <v>32</v>
      </c>
      <c r="AO118" s="37">
        <v>45747</v>
      </c>
      <c r="AP118" s="36" t="s">
        <v>264</v>
      </c>
      <c r="AQ118" s="36" t="s">
        <v>2688</v>
      </c>
      <c r="AR118" s="36" t="s">
        <v>148</v>
      </c>
      <c r="AS118" s="89"/>
      <c r="AT118" s="87"/>
      <c r="AU118" s="87"/>
      <c r="AV118" s="87"/>
      <c r="AW118" s="87">
        <v>17820000</v>
      </c>
      <c r="AX118" s="85">
        <v>2025</v>
      </c>
      <c r="AY118" s="85">
        <v>2</v>
      </c>
      <c r="AZ118" s="36"/>
      <c r="BA118" s="1" t="s">
        <v>44</v>
      </c>
    </row>
    <row r="119" spans="10:53">
      <c r="J119" s="37"/>
      <c r="K119" s="36"/>
      <c r="L119" s="87"/>
      <c r="M119" s="38"/>
      <c r="N119" s="36"/>
      <c r="O119" s="36"/>
      <c r="P119" s="1"/>
      <c r="AA119" s="36" t="s">
        <v>32</v>
      </c>
      <c r="AB119" s="85">
        <v>2025</v>
      </c>
      <c r="AC119" s="85">
        <v>4</v>
      </c>
      <c r="AD119" s="37">
        <v>45777</v>
      </c>
      <c r="AE119" s="36" t="s">
        <v>2774</v>
      </c>
      <c r="AF119" s="36" t="s">
        <v>2834</v>
      </c>
      <c r="AG119" s="1" t="s">
        <v>44</v>
      </c>
      <c r="AH119" s="16">
        <f>SUMIFS(DB!$I:$I,DB!$C:$C,$AE119,DB!$D:$D,$AF119,DB!$K:$K,$AB119,DB!$L:$L,$AC119)</f>
        <v>7700000</v>
      </c>
      <c r="AI119" s="16">
        <v>7000000</v>
      </c>
      <c r="AJ119" s="153">
        <v>700000</v>
      </c>
      <c r="AK119" s="162">
        <v>45821</v>
      </c>
      <c r="AL119" s="16">
        <v>7700000</v>
      </c>
      <c r="AM119" s="107">
        <v>0</v>
      </c>
      <c r="AN119" s="36" t="s">
        <v>32</v>
      </c>
      <c r="AO119" s="37">
        <v>45716</v>
      </c>
      <c r="AP119" s="36" t="s">
        <v>2395</v>
      </c>
      <c r="AQ119" s="36" t="s">
        <v>2369</v>
      </c>
      <c r="AR119" s="36" t="s">
        <v>148</v>
      </c>
      <c r="AS119" s="89"/>
      <c r="AT119" s="87"/>
      <c r="AU119" s="87"/>
      <c r="AV119" s="87"/>
      <c r="AW119" s="87">
        <v>79478630</v>
      </c>
      <c r="AX119" s="85">
        <v>2025</v>
      </c>
      <c r="AY119" s="85">
        <v>2</v>
      </c>
      <c r="AZ119" s="36"/>
      <c r="BA119" s="1" t="s">
        <v>44</v>
      </c>
    </row>
    <row r="120" spans="10:53">
      <c r="J120" s="37"/>
      <c r="K120" s="36"/>
      <c r="L120" s="87"/>
      <c r="M120" s="38"/>
      <c r="N120" s="36"/>
      <c r="O120" s="36"/>
      <c r="P120" s="1"/>
      <c r="AA120" s="36" t="s">
        <v>32</v>
      </c>
      <c r="AB120" s="85">
        <v>2025</v>
      </c>
      <c r="AC120" s="85">
        <v>4</v>
      </c>
      <c r="AD120" s="37">
        <v>45777</v>
      </c>
      <c r="AE120" s="36" t="s">
        <v>2774</v>
      </c>
      <c r="AF120" s="36" t="s">
        <v>2835</v>
      </c>
      <c r="AG120" s="1" t="s">
        <v>44</v>
      </c>
      <c r="AH120" s="16">
        <f>SUMIFS(DB!$I:$I,DB!$C:$C,$AE120,DB!$D:$D,$AF120,DB!$K:$K,$AB120,DB!$L:$L,$AC120)</f>
        <v>2323200</v>
      </c>
      <c r="AI120" s="16">
        <v>2112000</v>
      </c>
      <c r="AJ120" s="153">
        <v>211200</v>
      </c>
      <c r="AK120" s="162">
        <v>45910</v>
      </c>
      <c r="AL120" s="16">
        <v>2323200</v>
      </c>
      <c r="AM120" s="107">
        <v>0</v>
      </c>
      <c r="AN120" s="36" t="s">
        <v>32</v>
      </c>
      <c r="AO120" s="37">
        <v>45748</v>
      </c>
      <c r="AP120" s="36" t="s">
        <v>334</v>
      </c>
      <c r="AQ120" s="36" t="s">
        <v>2682</v>
      </c>
      <c r="AR120" s="36" t="s">
        <v>2748</v>
      </c>
      <c r="AS120" s="89"/>
      <c r="AT120" s="87"/>
      <c r="AU120" s="87"/>
      <c r="AV120" s="87"/>
      <c r="AW120" s="87">
        <v>1650000</v>
      </c>
      <c r="AX120" s="85">
        <v>2025</v>
      </c>
      <c r="AY120" s="85">
        <v>2</v>
      </c>
      <c r="AZ120" s="36"/>
      <c r="BA120" s="1" t="s">
        <v>44</v>
      </c>
    </row>
    <row r="121" spans="10:53">
      <c r="J121" s="37"/>
      <c r="K121" s="36"/>
      <c r="L121" s="87"/>
      <c r="M121" s="38"/>
      <c r="N121" s="36"/>
      <c r="O121" s="36"/>
      <c r="P121" s="1"/>
      <c r="AA121" s="36" t="s">
        <v>32</v>
      </c>
      <c r="AB121" s="85">
        <v>2025</v>
      </c>
      <c r="AC121" s="85">
        <v>4</v>
      </c>
      <c r="AD121" s="37">
        <v>45777</v>
      </c>
      <c r="AE121" s="36" t="s">
        <v>1470</v>
      </c>
      <c r="AF121" s="36" t="s">
        <v>1487</v>
      </c>
      <c r="AG121" s="1" t="s">
        <v>44</v>
      </c>
      <c r="AH121" s="16">
        <f>SUMIFS(DB!$I:$I,DB!$C:$C,$AE121,DB!$D:$D,$AF121,DB!$K:$K,$AB121,DB!$L:$L,$AC121)</f>
        <v>32033760</v>
      </c>
      <c r="AI121" s="16">
        <v>29121600</v>
      </c>
      <c r="AJ121" s="153">
        <v>2912160</v>
      </c>
      <c r="AK121" s="162">
        <v>45869</v>
      </c>
      <c r="AL121" s="16">
        <v>32033760</v>
      </c>
      <c r="AM121" s="107">
        <v>0</v>
      </c>
      <c r="AN121" s="36" t="s">
        <v>32</v>
      </c>
      <c r="AO121" s="37">
        <v>45749</v>
      </c>
      <c r="AP121" s="36" t="s">
        <v>2671</v>
      </c>
      <c r="AQ121" s="36" t="s">
        <v>2683</v>
      </c>
      <c r="AR121" s="36" t="s">
        <v>148</v>
      </c>
      <c r="AS121" s="89"/>
      <c r="AT121" s="87"/>
      <c r="AU121" s="87"/>
      <c r="AV121" s="87"/>
      <c r="AW121" s="87">
        <v>1360705.5</v>
      </c>
      <c r="AX121" s="85">
        <v>2025</v>
      </c>
      <c r="AY121" s="85">
        <v>2</v>
      </c>
      <c r="AZ121" s="36"/>
      <c r="BA121" s="1" t="s">
        <v>44</v>
      </c>
    </row>
    <row r="122" spans="10:53">
      <c r="J122" s="37"/>
      <c r="K122" s="36"/>
      <c r="L122" s="87"/>
      <c r="M122" s="87"/>
      <c r="N122" s="36"/>
      <c r="O122" s="36"/>
      <c r="P122" s="1"/>
      <c r="AA122" s="36" t="s">
        <v>32</v>
      </c>
      <c r="AB122" s="85">
        <v>2025</v>
      </c>
      <c r="AC122" s="85">
        <v>4</v>
      </c>
      <c r="AD122" s="37">
        <v>45777</v>
      </c>
      <c r="AE122" s="36" t="s">
        <v>2626</v>
      </c>
      <c r="AF122" s="36" t="s">
        <v>2636</v>
      </c>
      <c r="AG122" s="1" t="s">
        <v>44</v>
      </c>
      <c r="AH122" s="16">
        <f>SUMIFS(DB!$I:$I,DB!$C:$C,$AE122,DB!$D:$D,$AF122,DB!$K:$K,$AB122,DB!$L:$L,$AC122)</f>
        <v>8072625</v>
      </c>
      <c r="AI122" s="16">
        <v>7338750</v>
      </c>
      <c r="AJ122" s="153">
        <v>733875</v>
      </c>
      <c r="AK122" s="162">
        <v>45777</v>
      </c>
      <c r="AL122" s="16">
        <v>8072625</v>
      </c>
      <c r="AM122" s="107">
        <v>0</v>
      </c>
      <c r="AN122" s="36" t="s">
        <v>32</v>
      </c>
      <c r="AO122" s="37">
        <v>45716</v>
      </c>
      <c r="AP122" s="36" t="s">
        <v>2543</v>
      </c>
      <c r="AQ122" s="36" t="s">
        <v>2554</v>
      </c>
      <c r="AR122" s="36" t="s">
        <v>2234</v>
      </c>
      <c r="AS122" s="89"/>
      <c r="AT122" s="87">
        <v>-5368000</v>
      </c>
      <c r="AU122" s="87">
        <v>-536800</v>
      </c>
      <c r="AV122" s="87">
        <v>-5904800</v>
      </c>
      <c r="AW122" s="38"/>
      <c r="AX122" s="85">
        <v>2025</v>
      </c>
      <c r="AY122" s="85">
        <v>2</v>
      </c>
      <c r="AZ122" s="36"/>
      <c r="BA122" s="1" t="s">
        <v>44</v>
      </c>
    </row>
    <row r="123" spans="10:53">
      <c r="J123" s="37"/>
      <c r="K123" s="36"/>
      <c r="L123" s="87"/>
      <c r="M123" s="87"/>
      <c r="N123" s="36"/>
      <c r="O123" s="36"/>
      <c r="P123" s="1"/>
      <c r="AA123" s="36" t="s">
        <v>32</v>
      </c>
      <c r="AB123" s="85">
        <v>2025</v>
      </c>
      <c r="AC123" s="85">
        <v>4</v>
      </c>
      <c r="AD123" s="37">
        <v>45777</v>
      </c>
      <c r="AE123" s="36" t="s">
        <v>188</v>
      </c>
      <c r="AF123" s="36" t="s">
        <v>2827</v>
      </c>
      <c r="AG123" s="1" t="s">
        <v>44</v>
      </c>
      <c r="AH123" s="16">
        <f>SUMIFS(DB!$I:$I,DB!$C:$C,$AE123,DB!$D:$D,$AF123,DB!$K:$K,$AB123,DB!$L:$L,$AC123)</f>
        <v>3938000</v>
      </c>
      <c r="AI123" s="16">
        <v>3580000</v>
      </c>
      <c r="AJ123" s="153">
        <v>358000</v>
      </c>
      <c r="AK123" s="162">
        <v>45838</v>
      </c>
      <c r="AL123" s="16">
        <v>3938000</v>
      </c>
      <c r="AM123" s="107">
        <v>0</v>
      </c>
      <c r="AN123" s="36" t="s">
        <v>32</v>
      </c>
      <c r="AO123" s="37">
        <v>45754</v>
      </c>
      <c r="AP123" s="36" t="s">
        <v>2670</v>
      </c>
      <c r="AQ123" s="36" t="s">
        <v>2675</v>
      </c>
      <c r="AR123" s="36" t="s">
        <v>77</v>
      </c>
      <c r="AS123" s="89"/>
      <c r="AT123" s="87"/>
      <c r="AU123" s="87"/>
      <c r="AV123" s="87"/>
      <c r="AW123" s="38">
        <v>671000</v>
      </c>
      <c r="AX123" s="85">
        <v>2025</v>
      </c>
      <c r="AY123" s="85">
        <v>2</v>
      </c>
      <c r="AZ123" s="36"/>
      <c r="BA123" s="1" t="s">
        <v>44</v>
      </c>
    </row>
    <row r="124" spans="10:53">
      <c r="J124" s="37"/>
      <c r="K124" s="36"/>
      <c r="L124" s="87"/>
      <c r="M124" s="87"/>
      <c r="N124" s="36"/>
      <c r="O124" s="36"/>
      <c r="P124" s="1"/>
      <c r="AA124" s="36" t="s">
        <v>32</v>
      </c>
      <c r="AB124" s="85">
        <v>2025</v>
      </c>
      <c r="AC124" s="85">
        <v>4</v>
      </c>
      <c r="AD124" s="37">
        <v>45777</v>
      </c>
      <c r="AE124" s="36" t="s">
        <v>2822</v>
      </c>
      <c r="AF124" s="36" t="s">
        <v>2828</v>
      </c>
      <c r="AG124" s="1" t="s">
        <v>44</v>
      </c>
      <c r="AH124" s="16">
        <f>SUMIFS(DB!$I:$I,DB!$C:$C,$AE124,DB!$D:$D,$AF124,DB!$K:$K,$AB124,DB!$L:$L,$AC124)</f>
        <v>1188000</v>
      </c>
      <c r="AI124" s="16">
        <v>1080000</v>
      </c>
      <c r="AJ124" s="153">
        <v>108000</v>
      </c>
      <c r="AK124" s="162">
        <v>45961</v>
      </c>
      <c r="AL124" s="16">
        <v>1188000</v>
      </c>
      <c r="AM124" s="107">
        <v>0</v>
      </c>
      <c r="AN124" s="36" t="s">
        <v>32</v>
      </c>
      <c r="AO124" s="37">
        <v>45717</v>
      </c>
      <c r="AP124" s="36" t="s">
        <v>2279</v>
      </c>
      <c r="AQ124" s="36" t="s">
        <v>2579</v>
      </c>
      <c r="AR124" s="36" t="s">
        <v>78</v>
      </c>
      <c r="AS124" s="89"/>
      <c r="AT124" s="87">
        <v>3220000</v>
      </c>
      <c r="AU124" s="87">
        <v>322000</v>
      </c>
      <c r="AV124" s="87">
        <v>3542000</v>
      </c>
      <c r="AW124" s="38"/>
      <c r="AX124" s="85">
        <v>2025</v>
      </c>
      <c r="AY124" s="85">
        <v>3</v>
      </c>
      <c r="AZ124" s="36"/>
      <c r="BA124" s="1" t="s">
        <v>44</v>
      </c>
    </row>
    <row r="125" spans="10:53">
      <c r="J125" s="37"/>
      <c r="K125" s="36"/>
      <c r="L125" s="87"/>
      <c r="M125" s="87"/>
      <c r="N125" s="36"/>
      <c r="O125" s="36"/>
      <c r="P125" s="1"/>
      <c r="AA125" s="36" t="s">
        <v>32</v>
      </c>
      <c r="AB125" s="85">
        <v>2025</v>
      </c>
      <c r="AC125" s="85">
        <v>4</v>
      </c>
      <c r="AD125" s="37">
        <v>45777</v>
      </c>
      <c r="AE125" s="36" t="s">
        <v>1569</v>
      </c>
      <c r="AF125" s="36" t="s">
        <v>2829</v>
      </c>
      <c r="AG125" s="1" t="s">
        <v>44</v>
      </c>
      <c r="AH125" s="16">
        <f>SUMIFS(DB!$I:$I,DB!$C:$C,$AE125,DB!$D:$D,$AF125,DB!$K:$K,$AB125,DB!$L:$L,$AC125)</f>
        <v>8104800</v>
      </c>
      <c r="AI125" s="16">
        <v>7368000</v>
      </c>
      <c r="AJ125" s="153">
        <v>736800</v>
      </c>
      <c r="AK125" s="162">
        <v>45820</v>
      </c>
      <c r="AL125" s="16">
        <v>8104800</v>
      </c>
      <c r="AM125" s="107">
        <v>0</v>
      </c>
      <c r="AN125" s="36" t="s">
        <v>32</v>
      </c>
      <c r="AO125" s="37">
        <v>45735</v>
      </c>
      <c r="AP125" s="36" t="s">
        <v>209</v>
      </c>
      <c r="AQ125" s="36" t="s">
        <v>2494</v>
      </c>
      <c r="AR125" s="36" t="s">
        <v>1492</v>
      </c>
      <c r="AS125" s="89"/>
      <c r="AT125" s="87">
        <v>1905200</v>
      </c>
      <c r="AU125" s="87">
        <v>190520</v>
      </c>
      <c r="AV125" s="87">
        <v>2095720</v>
      </c>
      <c r="AW125" s="38"/>
      <c r="AX125" s="85">
        <v>2025</v>
      </c>
      <c r="AY125" s="85">
        <v>3</v>
      </c>
      <c r="AZ125" s="36"/>
      <c r="BA125" s="1" t="s">
        <v>44</v>
      </c>
    </row>
    <row r="126" spans="10:53">
      <c r="J126" s="37"/>
      <c r="K126" s="36"/>
      <c r="L126" s="87"/>
      <c r="M126" s="87"/>
      <c r="N126" s="36"/>
      <c r="O126" s="36"/>
      <c r="P126" s="1"/>
      <c r="AA126" s="36" t="s">
        <v>32</v>
      </c>
      <c r="AB126" s="85">
        <v>2025</v>
      </c>
      <c r="AC126" s="85">
        <v>4</v>
      </c>
      <c r="AD126" s="37">
        <v>45777</v>
      </c>
      <c r="AE126" s="36" t="s">
        <v>2166</v>
      </c>
      <c r="AF126" s="36" t="s">
        <v>2836</v>
      </c>
      <c r="AG126" s="1" t="s">
        <v>44</v>
      </c>
      <c r="AH126" s="16">
        <f>SUMIFS(DB!$I:$I,DB!$C:$C,$AE126,DB!$D:$D,$AF126,DB!$K:$K,$AB126,DB!$L:$L,$AC126)</f>
        <v>13331648</v>
      </c>
      <c r="AI126" s="16">
        <v>12119680</v>
      </c>
      <c r="AJ126" s="153">
        <v>1211968</v>
      </c>
      <c r="AK126" s="162">
        <v>45828</v>
      </c>
      <c r="AL126" s="16">
        <v>13331648</v>
      </c>
      <c r="AM126" s="107">
        <v>0</v>
      </c>
      <c r="AN126" s="36" t="s">
        <v>32</v>
      </c>
      <c r="AO126" s="37">
        <v>45735</v>
      </c>
      <c r="AP126" s="36" t="s">
        <v>209</v>
      </c>
      <c r="AQ126" s="36" t="s">
        <v>2551</v>
      </c>
      <c r="AR126" s="36" t="s">
        <v>76</v>
      </c>
      <c r="AS126" s="89"/>
      <c r="AT126" s="87">
        <v>5752800</v>
      </c>
      <c r="AU126" s="87">
        <v>575280</v>
      </c>
      <c r="AV126" s="87">
        <v>6328080</v>
      </c>
      <c r="AW126" s="38"/>
      <c r="AX126" s="85">
        <v>2025</v>
      </c>
      <c r="AY126" s="85">
        <v>3</v>
      </c>
      <c r="AZ126" s="36"/>
      <c r="BA126" s="1" t="s">
        <v>44</v>
      </c>
    </row>
    <row r="127" spans="10:53">
      <c r="J127" s="37"/>
      <c r="K127" s="36"/>
      <c r="L127" s="87"/>
      <c r="M127" s="38"/>
      <c r="N127" s="36"/>
      <c r="O127" s="36"/>
      <c r="P127" s="1"/>
      <c r="AA127" s="36" t="s">
        <v>32</v>
      </c>
      <c r="AB127" s="85">
        <v>2025</v>
      </c>
      <c r="AC127" s="85">
        <v>4</v>
      </c>
      <c r="AD127" s="37">
        <v>45777</v>
      </c>
      <c r="AE127" s="36" t="s">
        <v>2477</v>
      </c>
      <c r="AF127" s="36" t="s">
        <v>2485</v>
      </c>
      <c r="AG127" s="1" t="s">
        <v>44</v>
      </c>
      <c r="AH127" s="16">
        <f>SUMIFS(DB!$I:$I,DB!$C:$C,$AE127,DB!$D:$D,$AF127,DB!$K:$K,$AB127,DB!$L:$L,$AC127)</f>
        <v>7746552</v>
      </c>
      <c r="AI127" s="16">
        <v>7042320</v>
      </c>
      <c r="AJ127" s="153">
        <v>704232</v>
      </c>
      <c r="AK127" s="162">
        <v>45958</v>
      </c>
      <c r="AL127" s="16">
        <v>7746552</v>
      </c>
      <c r="AM127" s="107">
        <v>0</v>
      </c>
      <c r="AN127" s="36" t="s">
        <v>32</v>
      </c>
      <c r="AO127" s="37">
        <v>45747</v>
      </c>
      <c r="AP127" s="36" t="s">
        <v>209</v>
      </c>
      <c r="AQ127" s="36" t="s">
        <v>2637</v>
      </c>
      <c r="AR127" s="36" t="s">
        <v>76</v>
      </c>
      <c r="AS127" s="89"/>
      <c r="AT127" s="87">
        <v>43230400</v>
      </c>
      <c r="AU127" s="87">
        <v>4323040</v>
      </c>
      <c r="AV127" s="87">
        <v>47553440</v>
      </c>
      <c r="AW127" s="38"/>
      <c r="AX127" s="85">
        <v>2025</v>
      </c>
      <c r="AY127" s="85">
        <v>3</v>
      </c>
      <c r="AZ127" s="36"/>
      <c r="BA127" s="1" t="s">
        <v>44</v>
      </c>
    </row>
    <row r="128" spans="10:53">
      <c r="J128" s="37"/>
      <c r="K128" s="36"/>
      <c r="L128" s="87"/>
      <c r="M128" s="38"/>
      <c r="N128" s="36"/>
      <c r="O128" s="36"/>
      <c r="P128" s="1"/>
      <c r="AA128" s="36" t="s">
        <v>32</v>
      </c>
      <c r="AB128" s="85">
        <v>2025</v>
      </c>
      <c r="AC128" s="85">
        <v>4</v>
      </c>
      <c r="AD128" s="37">
        <v>45777</v>
      </c>
      <c r="AE128" s="36" t="s">
        <v>2478</v>
      </c>
      <c r="AF128" s="36" t="s">
        <v>2487</v>
      </c>
      <c r="AG128" s="1" t="s">
        <v>44</v>
      </c>
      <c r="AH128" s="16">
        <f>SUMIFS(DB!$I:$I,DB!$C:$C,$AE128,DB!$D:$D,$AF128,DB!$K:$K,$AB128,DB!$L:$L,$AC128)</f>
        <v>0</v>
      </c>
      <c r="AI128" s="16">
        <v>0</v>
      </c>
      <c r="AJ128" s="153">
        <v>0</v>
      </c>
      <c r="AL128" s="16">
        <v>0</v>
      </c>
      <c r="AM128" s="107">
        <v>0</v>
      </c>
      <c r="AN128" s="36" t="s">
        <v>32</v>
      </c>
      <c r="AO128" s="37">
        <v>45747</v>
      </c>
      <c r="AP128" s="36" t="s">
        <v>209</v>
      </c>
      <c r="AQ128" s="36" t="s">
        <v>2550</v>
      </c>
      <c r="AR128" s="36" t="s">
        <v>1492</v>
      </c>
      <c r="AS128" s="89"/>
      <c r="AT128" s="87">
        <v>3708800</v>
      </c>
      <c r="AU128" s="87">
        <v>370880</v>
      </c>
      <c r="AV128" s="87">
        <v>4079680</v>
      </c>
      <c r="AW128" s="38"/>
      <c r="AX128" s="85">
        <v>2025</v>
      </c>
      <c r="AY128" s="85">
        <v>3</v>
      </c>
      <c r="AZ128" s="36"/>
      <c r="BA128" s="1" t="s">
        <v>44</v>
      </c>
    </row>
    <row r="129" spans="10:53">
      <c r="J129" s="37"/>
      <c r="K129" s="36"/>
      <c r="L129" s="87"/>
      <c r="M129" s="38"/>
      <c r="N129" s="36"/>
      <c r="O129" s="36"/>
      <c r="P129" s="1"/>
      <c r="AA129" s="36" t="s">
        <v>32</v>
      </c>
      <c r="AB129" s="85">
        <v>2025</v>
      </c>
      <c r="AC129" s="85">
        <v>4</v>
      </c>
      <c r="AD129" s="37">
        <v>45777</v>
      </c>
      <c r="AE129" s="36" t="s">
        <v>2823</v>
      </c>
      <c r="AF129" s="36" t="s">
        <v>2830</v>
      </c>
      <c r="AG129" s="1" t="s">
        <v>44</v>
      </c>
      <c r="AH129" s="16">
        <f>SUMIFS(DB!$I:$I,DB!$C:$C,$AE129,DB!$D:$D,$AF129,DB!$K:$K,$AB129,DB!$L:$L,$AC129)</f>
        <v>1760000</v>
      </c>
      <c r="AI129" s="16">
        <v>1600000</v>
      </c>
      <c r="AJ129" s="153">
        <v>160000</v>
      </c>
      <c r="AL129" s="16">
        <v>0</v>
      </c>
      <c r="AM129" s="107">
        <v>1760000</v>
      </c>
      <c r="AN129" s="36" t="s">
        <v>32</v>
      </c>
      <c r="AO129" s="37">
        <v>45735</v>
      </c>
      <c r="AP129" s="36" t="s">
        <v>2474</v>
      </c>
      <c r="AQ129" s="36" t="s">
        <v>2691</v>
      </c>
      <c r="AR129" s="36" t="s">
        <v>78</v>
      </c>
      <c r="AS129" s="89"/>
      <c r="AT129" s="87">
        <v>1620000</v>
      </c>
      <c r="AU129" s="87">
        <v>162000</v>
      </c>
      <c r="AV129" s="87">
        <v>1782000</v>
      </c>
      <c r="AW129" s="38"/>
      <c r="AX129" s="85">
        <v>2025</v>
      </c>
      <c r="AY129" s="85">
        <v>3</v>
      </c>
      <c r="AZ129" s="36"/>
      <c r="BA129" s="1" t="s">
        <v>44</v>
      </c>
    </row>
    <row r="130" spans="10:53">
      <c r="J130" s="37"/>
      <c r="K130" s="36"/>
      <c r="L130" s="87"/>
      <c r="M130" s="38"/>
      <c r="N130" s="36"/>
      <c r="O130" s="36"/>
      <c r="P130" s="1"/>
      <c r="AA130" s="36" t="s">
        <v>32</v>
      </c>
      <c r="AB130" s="85">
        <v>2025</v>
      </c>
      <c r="AC130" s="85">
        <v>4</v>
      </c>
      <c r="AD130" s="37">
        <v>45777</v>
      </c>
      <c r="AE130" s="36" t="s">
        <v>2627</v>
      </c>
      <c r="AF130" s="36" t="s">
        <v>2831</v>
      </c>
      <c r="AG130" s="1" t="s">
        <v>44</v>
      </c>
      <c r="AH130" s="16">
        <f>SUMIFS(DB!$I:$I,DB!$C:$C,$AE130,DB!$D:$D,$AF130,DB!$K:$K,$AB130,DB!$L:$L,$AC130)</f>
        <v>19468812</v>
      </c>
      <c r="AI130" s="16">
        <v>17698920</v>
      </c>
      <c r="AJ130" s="153">
        <v>1769892</v>
      </c>
      <c r="AK130" s="162">
        <v>45825</v>
      </c>
      <c r="AL130" s="16">
        <v>19468812</v>
      </c>
      <c r="AM130" s="107">
        <v>0</v>
      </c>
      <c r="AN130" s="36" t="s">
        <v>32</v>
      </c>
      <c r="AO130" s="37">
        <v>45737</v>
      </c>
      <c r="AP130" s="36" t="s">
        <v>2766</v>
      </c>
      <c r="AQ130" s="36" t="s">
        <v>2681</v>
      </c>
      <c r="AR130" s="36" t="s">
        <v>78</v>
      </c>
      <c r="AS130" s="89"/>
      <c r="AT130" s="87">
        <v>25586000</v>
      </c>
      <c r="AU130" s="87">
        <v>2558600</v>
      </c>
      <c r="AV130" s="87">
        <v>28144600</v>
      </c>
      <c r="AW130" s="38"/>
      <c r="AX130" s="85">
        <v>2025</v>
      </c>
      <c r="AY130" s="85">
        <v>3</v>
      </c>
      <c r="AZ130" s="36"/>
      <c r="BA130" s="1" t="s">
        <v>44</v>
      </c>
    </row>
    <row r="131" spans="10:53">
      <c r="J131" s="37"/>
      <c r="K131" s="36"/>
      <c r="L131" s="87"/>
      <c r="M131" s="38"/>
      <c r="N131" s="36"/>
      <c r="O131" s="36"/>
      <c r="P131" s="1"/>
      <c r="AA131" s="36" t="s">
        <v>32</v>
      </c>
      <c r="AB131" s="85">
        <v>2025</v>
      </c>
      <c r="AC131" s="85">
        <v>4</v>
      </c>
      <c r="AD131" s="37">
        <v>45777</v>
      </c>
      <c r="AE131" s="36" t="s">
        <v>1587</v>
      </c>
      <c r="AF131" s="36" t="s">
        <v>2285</v>
      </c>
      <c r="AG131" s="1" t="s">
        <v>44</v>
      </c>
      <c r="AH131" s="16">
        <f>SUMIFS(DB!$I:$I,DB!$C:$C,$AE131,DB!$D:$D,$AF131,DB!$K:$K,$AB131,DB!$L:$L,$AC131)</f>
        <v>34016400</v>
      </c>
      <c r="AI131" s="16">
        <v>30924000</v>
      </c>
      <c r="AJ131" s="153">
        <v>3092400</v>
      </c>
      <c r="AK131" s="162">
        <v>45932</v>
      </c>
      <c r="AL131" s="16">
        <v>34016400</v>
      </c>
      <c r="AM131" s="107">
        <v>0</v>
      </c>
      <c r="AN131" s="36" t="s">
        <v>32</v>
      </c>
      <c r="AO131" s="37">
        <v>45747</v>
      </c>
      <c r="AP131" s="36" t="s">
        <v>2767</v>
      </c>
      <c r="AQ131" s="36" t="s">
        <v>2769</v>
      </c>
      <c r="AR131" s="36" t="s">
        <v>76</v>
      </c>
      <c r="AS131" s="89"/>
      <c r="AT131" s="87">
        <v>4800000</v>
      </c>
      <c r="AU131" s="87">
        <v>480000</v>
      </c>
      <c r="AV131" s="87">
        <v>5280000</v>
      </c>
      <c r="AW131" s="38"/>
      <c r="AX131" s="85">
        <v>2025</v>
      </c>
      <c r="AY131" s="85">
        <v>3</v>
      </c>
      <c r="AZ131" s="36"/>
      <c r="BA131" s="1" t="s">
        <v>44</v>
      </c>
    </row>
    <row r="132" spans="10:53">
      <c r="J132" s="37"/>
      <c r="K132" s="36"/>
      <c r="L132" s="87"/>
      <c r="M132" s="87"/>
      <c r="N132" s="36"/>
      <c r="O132" s="36"/>
      <c r="P132" s="1"/>
      <c r="AA132" s="36" t="s">
        <v>32</v>
      </c>
      <c r="AB132" s="85">
        <v>2025</v>
      </c>
      <c r="AC132" s="85">
        <v>4</v>
      </c>
      <c r="AD132" s="37">
        <v>45777</v>
      </c>
      <c r="AE132" s="36" t="s">
        <v>2824</v>
      </c>
      <c r="AF132" s="36" t="s">
        <v>2832</v>
      </c>
      <c r="AG132" s="1" t="s">
        <v>44</v>
      </c>
      <c r="AH132" s="16">
        <f>SUMIFS(DB!$I:$I,DB!$C:$C,$AE132,DB!$D:$D,$AF132,DB!$K:$K,$AB132,DB!$L:$L,$AC132)</f>
        <v>7049900</v>
      </c>
      <c r="AI132" s="16">
        <v>6409000</v>
      </c>
      <c r="AJ132" s="153">
        <v>640900</v>
      </c>
      <c r="AK132" s="162">
        <v>45961</v>
      </c>
      <c r="AL132" s="16">
        <v>7049900</v>
      </c>
      <c r="AM132" s="107">
        <v>0</v>
      </c>
      <c r="AN132" s="36" t="s">
        <v>32</v>
      </c>
      <c r="AO132" s="37">
        <v>45747</v>
      </c>
      <c r="AP132" s="36" t="s">
        <v>2768</v>
      </c>
      <c r="AQ132" s="36" t="s">
        <v>2689</v>
      </c>
      <c r="AR132" s="36" t="s">
        <v>78</v>
      </c>
      <c r="AS132" s="89"/>
      <c r="AT132" s="87">
        <v>1200000</v>
      </c>
      <c r="AU132" s="87">
        <v>120000</v>
      </c>
      <c r="AV132" s="87">
        <v>1320000</v>
      </c>
      <c r="AW132" s="38"/>
      <c r="AX132" s="85">
        <v>2025</v>
      </c>
      <c r="AY132" s="85">
        <v>3</v>
      </c>
      <c r="AZ132" s="36"/>
      <c r="BA132" s="1" t="s">
        <v>44</v>
      </c>
    </row>
    <row r="133" spans="10:53">
      <c r="J133" s="37"/>
      <c r="K133" s="36"/>
      <c r="L133" s="87"/>
      <c r="M133" s="87"/>
      <c r="N133" s="36"/>
      <c r="O133" s="36"/>
      <c r="P133" s="1"/>
      <c r="AA133" s="36" t="s">
        <v>32</v>
      </c>
      <c r="AB133" s="85">
        <v>2025</v>
      </c>
      <c r="AC133" s="85">
        <v>4</v>
      </c>
      <c r="AD133" s="37">
        <v>45777</v>
      </c>
      <c r="AE133" s="36" t="s">
        <v>1462</v>
      </c>
      <c r="AF133" s="36" t="s">
        <v>2962</v>
      </c>
      <c r="AG133" s="1" t="s">
        <v>44</v>
      </c>
      <c r="AH133" s="16">
        <f>SUMIFS(DB!$I:$I,DB!$C:$C,$AE133,DB!$D:$D,$AF133,DB!$K:$K,$AB133,DB!$L:$L,$AC133)</f>
        <v>10004238.200000001</v>
      </c>
      <c r="AI133" s="16">
        <v>9094762</v>
      </c>
      <c r="AJ133" s="153">
        <v>909476.20000000007</v>
      </c>
      <c r="AL133" s="16">
        <v>0</v>
      </c>
      <c r="AM133" s="107">
        <v>10004238.200000001</v>
      </c>
      <c r="AN133" s="36" t="s">
        <v>32</v>
      </c>
      <c r="AO133" s="37">
        <v>45747</v>
      </c>
      <c r="AP133" s="36" t="s">
        <v>654</v>
      </c>
      <c r="AQ133" s="36" t="s">
        <v>3045</v>
      </c>
      <c r="AR133" s="36" t="s">
        <v>76</v>
      </c>
      <c r="AS133" s="89"/>
      <c r="AT133" s="87">
        <v>3202440</v>
      </c>
      <c r="AU133" s="87">
        <v>320244</v>
      </c>
      <c r="AV133" s="87">
        <v>3522684</v>
      </c>
      <c r="AW133" s="38"/>
      <c r="AX133" s="85">
        <v>2025</v>
      </c>
      <c r="AY133" s="85">
        <v>3</v>
      </c>
      <c r="AZ133" s="36"/>
      <c r="BA133" s="1" t="s">
        <v>44</v>
      </c>
    </row>
    <row r="134" spans="10:53">
      <c r="J134" s="37"/>
      <c r="K134" s="36"/>
      <c r="L134" s="87"/>
      <c r="M134" s="87"/>
      <c r="N134" s="36"/>
      <c r="O134" s="36"/>
      <c r="P134" s="1"/>
      <c r="AA134" s="36" t="s">
        <v>32</v>
      </c>
      <c r="AB134" s="85">
        <v>2025</v>
      </c>
      <c r="AC134" s="85">
        <v>4</v>
      </c>
      <c r="AD134" s="37">
        <v>45777</v>
      </c>
      <c r="AE134" s="36" t="s">
        <v>2825</v>
      </c>
      <c r="AF134" s="36" t="s">
        <v>2833</v>
      </c>
      <c r="AG134" s="1" t="s">
        <v>44</v>
      </c>
      <c r="AH134" s="16">
        <f>SUMIFS(DB!$I:$I,DB!$C:$C,$AE134,DB!$D:$D,$AF134,DB!$K:$K,$AB134,DB!$L:$L,$AC134)</f>
        <v>6279900</v>
      </c>
      <c r="AI134" s="16">
        <v>5709000</v>
      </c>
      <c r="AJ134" s="153">
        <v>570900</v>
      </c>
      <c r="AK134" s="162">
        <v>45869</v>
      </c>
      <c r="AL134" s="16">
        <v>6279900</v>
      </c>
      <c r="AM134" s="107">
        <v>0</v>
      </c>
      <c r="AN134" s="36" t="s">
        <v>32</v>
      </c>
      <c r="AO134" s="37">
        <v>45747</v>
      </c>
      <c r="AP134" s="36" t="s">
        <v>654</v>
      </c>
      <c r="AQ134" s="36" t="s">
        <v>2770</v>
      </c>
      <c r="AR134" s="36" t="s">
        <v>76</v>
      </c>
      <c r="AS134" s="89"/>
      <c r="AT134" s="87">
        <v>18153960</v>
      </c>
      <c r="AU134" s="87">
        <v>1815396</v>
      </c>
      <c r="AV134" s="87">
        <v>19969356</v>
      </c>
      <c r="AW134" s="38"/>
      <c r="AX134" s="85">
        <v>2025</v>
      </c>
      <c r="AY134" s="85">
        <v>3</v>
      </c>
      <c r="AZ134" s="36"/>
      <c r="BA134" s="1" t="s">
        <v>44</v>
      </c>
    </row>
    <row r="135" spans="10:53">
      <c r="J135" s="37"/>
      <c r="K135" s="36"/>
      <c r="L135" s="87"/>
      <c r="M135" s="87"/>
      <c r="N135" s="36"/>
      <c r="O135" s="36"/>
      <c r="P135" s="1"/>
      <c r="AA135" s="36" t="s">
        <v>32</v>
      </c>
      <c r="AB135" s="85">
        <v>2025</v>
      </c>
      <c r="AC135" s="85">
        <v>4</v>
      </c>
      <c r="AD135" s="37">
        <v>45777</v>
      </c>
      <c r="AE135" s="36" t="s">
        <v>264</v>
      </c>
      <c r="AF135" s="36" t="s">
        <v>2837</v>
      </c>
      <c r="AG135" s="1" t="s">
        <v>44</v>
      </c>
      <c r="AH135" s="16">
        <f>SUMIFS(DB!$I:$I,DB!$C:$C,$AE135,DB!$D:$D,$AF135,DB!$K:$K,$AB135,DB!$L:$L,$AC135)</f>
        <v>35860000</v>
      </c>
      <c r="AI135" s="16">
        <v>32600000</v>
      </c>
      <c r="AJ135" s="153">
        <v>3260000</v>
      </c>
      <c r="AK135" s="162">
        <v>45961</v>
      </c>
      <c r="AL135" s="16">
        <v>35860000</v>
      </c>
      <c r="AM135" s="107">
        <v>0</v>
      </c>
      <c r="AN135" s="36" t="s">
        <v>32</v>
      </c>
      <c r="AO135" s="37">
        <v>45747</v>
      </c>
      <c r="AP135" s="36" t="s">
        <v>654</v>
      </c>
      <c r="AQ135" s="36" t="s">
        <v>2771</v>
      </c>
      <c r="AR135" s="36" t="s">
        <v>76</v>
      </c>
      <c r="AS135" s="89"/>
      <c r="AT135" s="87">
        <v>65325400</v>
      </c>
      <c r="AU135" s="87">
        <v>6532540</v>
      </c>
      <c r="AV135" s="87">
        <v>71857940</v>
      </c>
      <c r="AW135" s="38"/>
      <c r="AX135" s="85">
        <v>2025</v>
      </c>
      <c r="AY135" s="85">
        <v>3</v>
      </c>
      <c r="AZ135" s="36"/>
      <c r="BA135" s="1" t="s">
        <v>44</v>
      </c>
    </row>
    <row r="136" spans="10:53">
      <c r="J136" s="37"/>
      <c r="K136" s="36"/>
      <c r="L136" s="87"/>
      <c r="M136" s="87"/>
      <c r="N136" s="36"/>
      <c r="O136" s="36"/>
      <c r="P136" s="1"/>
      <c r="AA136" s="36" t="s">
        <v>32</v>
      </c>
      <c r="AB136" s="85">
        <v>2025</v>
      </c>
      <c r="AC136" s="85">
        <v>4</v>
      </c>
      <c r="AD136" s="37">
        <v>45777</v>
      </c>
      <c r="AE136" s="36" t="s">
        <v>2628</v>
      </c>
      <c r="AF136" s="36" t="s">
        <v>2639</v>
      </c>
      <c r="AG136" s="1" t="s">
        <v>44</v>
      </c>
      <c r="AH136" s="16">
        <f>SUMIFS(DB!$I:$I,DB!$C:$C,$AE136,DB!$D:$D,$AF136,DB!$K:$K,$AB136,DB!$L:$L,$AC136)</f>
        <v>14109590</v>
      </c>
      <c r="AI136" s="16">
        <v>12826900</v>
      </c>
      <c r="AJ136" s="153">
        <v>1282690</v>
      </c>
      <c r="AK136" s="162">
        <v>45897</v>
      </c>
      <c r="AL136" s="16">
        <v>14109590</v>
      </c>
      <c r="AM136" s="107">
        <v>0</v>
      </c>
      <c r="AN136" s="36" t="s">
        <v>32</v>
      </c>
      <c r="AO136" s="37">
        <v>45747</v>
      </c>
      <c r="AP136" s="36" t="s">
        <v>2674</v>
      </c>
      <c r="AQ136" s="36" t="s">
        <v>2687</v>
      </c>
      <c r="AR136" s="36" t="s">
        <v>76</v>
      </c>
      <c r="AS136" s="89"/>
      <c r="AT136" s="87">
        <v>20772000</v>
      </c>
      <c r="AU136" s="87">
        <v>2077200</v>
      </c>
      <c r="AV136" s="87">
        <v>22849200</v>
      </c>
      <c r="AW136" s="38"/>
      <c r="AX136" s="85">
        <v>2025</v>
      </c>
      <c r="AY136" s="85">
        <v>3</v>
      </c>
      <c r="AZ136" s="36"/>
      <c r="BA136" s="1" t="s">
        <v>44</v>
      </c>
    </row>
    <row r="137" spans="10:53">
      <c r="J137" s="37"/>
      <c r="K137" s="36"/>
      <c r="L137" s="87"/>
      <c r="M137" s="87"/>
      <c r="N137" s="36"/>
      <c r="O137" s="36"/>
      <c r="P137" s="1"/>
      <c r="AA137" s="36" t="s">
        <v>32</v>
      </c>
      <c r="AB137" s="85">
        <v>2025</v>
      </c>
      <c r="AC137" s="85">
        <v>5</v>
      </c>
      <c r="AD137" s="37">
        <v>45778</v>
      </c>
      <c r="AE137" s="36" t="s">
        <v>1587</v>
      </c>
      <c r="AF137" s="36" t="s">
        <v>2271</v>
      </c>
      <c r="AG137" s="1" t="s">
        <v>44</v>
      </c>
      <c r="AH137" s="16">
        <f>SUMIFS(DB!$I:$I,DB!$C:$C,$AE137,DB!$D:$D,$AF137,DB!$K:$K,$AB137,DB!$L:$L,$AC137)</f>
        <v>44000000</v>
      </c>
      <c r="AI137" s="16">
        <v>40000000</v>
      </c>
      <c r="AJ137" s="153">
        <v>4000000</v>
      </c>
      <c r="AK137" s="162">
        <v>45932</v>
      </c>
      <c r="AL137" s="16">
        <v>44000000</v>
      </c>
      <c r="AM137" s="107">
        <v>0</v>
      </c>
      <c r="AN137" s="36" t="s">
        <v>32</v>
      </c>
      <c r="AO137" s="37">
        <v>45747</v>
      </c>
      <c r="AP137" s="36" t="s">
        <v>206</v>
      </c>
      <c r="AQ137" s="36" t="s">
        <v>2776</v>
      </c>
      <c r="AR137" s="36" t="s">
        <v>76</v>
      </c>
      <c r="AS137" s="89"/>
      <c r="AT137" s="87">
        <v>9133000</v>
      </c>
      <c r="AU137" s="87">
        <v>913300</v>
      </c>
      <c r="AV137" s="87">
        <v>10046300</v>
      </c>
      <c r="AW137" s="38"/>
      <c r="AX137" s="85">
        <v>2025</v>
      </c>
      <c r="AY137" s="85">
        <v>3</v>
      </c>
      <c r="AZ137" s="36"/>
      <c r="BA137" s="1" t="s">
        <v>44</v>
      </c>
    </row>
    <row r="138" spans="10:53">
      <c r="J138" s="37"/>
      <c r="K138" s="36"/>
      <c r="L138" s="87"/>
      <c r="M138" s="38"/>
      <c r="N138" s="36"/>
      <c r="O138" s="36"/>
      <c r="P138" s="1"/>
      <c r="AA138" s="36" t="s">
        <v>32</v>
      </c>
      <c r="AB138" s="85">
        <v>2025</v>
      </c>
      <c r="AC138" s="85">
        <v>5</v>
      </c>
      <c r="AD138" s="37">
        <v>45778</v>
      </c>
      <c r="AE138" s="36" t="s">
        <v>2868</v>
      </c>
      <c r="AF138" s="36" t="s">
        <v>2875</v>
      </c>
      <c r="AG138" s="1" t="s">
        <v>44</v>
      </c>
      <c r="AH138" s="16">
        <f>SUMIFS(DB!$I:$I,DB!$C:$C,$AE138,DB!$D:$D,$AF138,DB!$K:$K,$AB138,DB!$L:$L,$AC138)</f>
        <v>79750000</v>
      </c>
      <c r="AI138" s="16">
        <v>72500000</v>
      </c>
      <c r="AJ138" s="153">
        <v>7250000</v>
      </c>
      <c r="AK138" s="162">
        <v>45838</v>
      </c>
      <c r="AL138" s="16">
        <v>79750000</v>
      </c>
      <c r="AM138" s="107">
        <v>0</v>
      </c>
      <c r="AN138" s="36" t="s">
        <v>32</v>
      </c>
      <c r="AO138" s="37">
        <v>45747</v>
      </c>
      <c r="AP138" s="36" t="s">
        <v>2391</v>
      </c>
      <c r="AQ138" s="36" t="s">
        <v>2401</v>
      </c>
      <c r="AR138" s="36" t="s">
        <v>2409</v>
      </c>
      <c r="AS138" s="89"/>
      <c r="AT138" s="87">
        <v>1200000</v>
      </c>
      <c r="AU138" s="87">
        <v>120000</v>
      </c>
      <c r="AV138" s="87">
        <v>1320000</v>
      </c>
      <c r="AW138" s="38"/>
      <c r="AX138" s="85">
        <v>2025</v>
      </c>
      <c r="AY138" s="85">
        <v>3</v>
      </c>
      <c r="AZ138" s="36"/>
      <c r="BA138" s="1" t="s">
        <v>44</v>
      </c>
    </row>
    <row r="139" spans="10:53">
      <c r="J139" s="37"/>
      <c r="K139" s="36"/>
      <c r="L139" s="87"/>
      <c r="M139" s="38"/>
      <c r="N139" s="36"/>
      <c r="O139" s="36"/>
      <c r="P139" s="1"/>
      <c r="AA139" s="36" t="s">
        <v>32</v>
      </c>
      <c r="AB139" s="85">
        <v>2025</v>
      </c>
      <c r="AC139" s="85">
        <v>5</v>
      </c>
      <c r="AD139" s="37">
        <v>45778</v>
      </c>
      <c r="AE139" s="36" t="s">
        <v>2005</v>
      </c>
      <c r="AF139" s="36" t="s">
        <v>2876</v>
      </c>
      <c r="AG139" s="1" t="s">
        <v>44</v>
      </c>
      <c r="AH139" s="16">
        <f>SUMIFS(DB!$I:$I,DB!$C:$C,$AE139,DB!$D:$D,$AF139,DB!$K:$K,$AB139,DB!$L:$L,$AC139)</f>
        <v>22000000</v>
      </c>
      <c r="AI139" s="16">
        <v>20000000</v>
      </c>
      <c r="AJ139" s="153">
        <v>2000000</v>
      </c>
      <c r="AK139" s="162">
        <v>45946</v>
      </c>
      <c r="AL139" s="16">
        <v>22000000</v>
      </c>
      <c r="AM139" s="107">
        <v>0</v>
      </c>
      <c r="AN139" s="36" t="s">
        <v>32</v>
      </c>
      <c r="AO139" s="37">
        <v>45747</v>
      </c>
      <c r="AP139" s="36" t="s">
        <v>2772</v>
      </c>
      <c r="AQ139" s="36" t="s">
        <v>2777</v>
      </c>
      <c r="AR139" s="36" t="s">
        <v>78</v>
      </c>
      <c r="AS139" s="89"/>
      <c r="AT139" s="87">
        <v>5368000</v>
      </c>
      <c r="AU139" s="87">
        <v>536800</v>
      </c>
      <c r="AV139" s="87">
        <v>5904800</v>
      </c>
      <c r="AW139" s="38"/>
      <c r="AX139" s="85">
        <v>2025</v>
      </c>
      <c r="AY139" s="85">
        <v>3</v>
      </c>
      <c r="AZ139" s="36"/>
      <c r="BA139" s="1" t="s">
        <v>44</v>
      </c>
    </row>
    <row r="140" spans="10:53">
      <c r="J140" s="37"/>
      <c r="K140" s="36"/>
      <c r="L140" s="87"/>
      <c r="M140" s="87"/>
      <c r="N140" s="36"/>
      <c r="O140" s="36"/>
      <c r="P140" s="1"/>
      <c r="AA140" s="36" t="s">
        <v>32</v>
      </c>
      <c r="AB140" s="85">
        <v>2025</v>
      </c>
      <c r="AC140" s="85">
        <v>5</v>
      </c>
      <c r="AD140" s="37">
        <v>45796</v>
      </c>
      <c r="AE140" s="36" t="s">
        <v>2766</v>
      </c>
      <c r="AF140" s="36" t="s">
        <v>2877</v>
      </c>
      <c r="AG140" s="1" t="s">
        <v>44</v>
      </c>
      <c r="AH140" s="16">
        <f>SUMIFS(DB!$I:$I,DB!$C:$C,$AE140,DB!$D:$D,$AF140,DB!$K:$K,$AB140,DB!$L:$L,$AC140)</f>
        <v>10083700</v>
      </c>
      <c r="AI140" s="16">
        <v>9167000</v>
      </c>
      <c r="AJ140" s="153">
        <v>916700</v>
      </c>
      <c r="AK140" s="162">
        <v>45913</v>
      </c>
      <c r="AL140" s="16">
        <v>10083700</v>
      </c>
      <c r="AM140" s="107">
        <v>0</v>
      </c>
      <c r="AN140" s="36" t="s">
        <v>32</v>
      </c>
      <c r="AO140" s="37">
        <v>45747</v>
      </c>
      <c r="AP140" s="36" t="s">
        <v>2772</v>
      </c>
      <c r="AQ140" s="36" t="s">
        <v>2778</v>
      </c>
      <c r="AR140" s="36" t="s">
        <v>78</v>
      </c>
      <c r="AS140" s="89"/>
      <c r="AT140" s="87">
        <v>1980000</v>
      </c>
      <c r="AU140" s="87">
        <v>198000</v>
      </c>
      <c r="AV140" s="87">
        <v>2178000</v>
      </c>
      <c r="AW140" s="38"/>
      <c r="AX140" s="85">
        <v>2025</v>
      </c>
      <c r="AY140" s="85">
        <v>3</v>
      </c>
      <c r="AZ140" s="36"/>
      <c r="BA140" s="1" t="s">
        <v>44</v>
      </c>
    </row>
    <row r="141" spans="10:53">
      <c r="J141" s="37"/>
      <c r="K141" s="36"/>
      <c r="L141" s="87"/>
      <c r="M141" s="38"/>
      <c r="N141" s="36"/>
      <c r="O141" s="36"/>
      <c r="P141" s="1"/>
      <c r="AA141" s="36" t="s">
        <v>32</v>
      </c>
      <c r="AB141" s="85">
        <v>2025</v>
      </c>
      <c r="AC141" s="85">
        <v>5</v>
      </c>
      <c r="AD141" s="37">
        <v>45799</v>
      </c>
      <c r="AE141" s="36" t="s">
        <v>2766</v>
      </c>
      <c r="AF141" s="36" t="s">
        <v>2878</v>
      </c>
      <c r="AG141" s="1" t="s">
        <v>44</v>
      </c>
      <c r="AH141" s="16">
        <f>SUMIFS(DB!$I:$I,DB!$C:$C,$AE141,DB!$D:$D,$AF141,DB!$K:$K,$AB141,DB!$L:$L,$AC141)</f>
        <v>23226500</v>
      </c>
      <c r="AI141" s="16">
        <v>21115000</v>
      </c>
      <c r="AJ141" s="153">
        <v>2111500</v>
      </c>
      <c r="AK141" s="162">
        <v>45799</v>
      </c>
      <c r="AL141" s="16">
        <v>23226500</v>
      </c>
      <c r="AM141" s="107">
        <v>0</v>
      </c>
      <c r="AN141" s="36" t="s">
        <v>32</v>
      </c>
      <c r="AO141" s="37">
        <v>45747</v>
      </c>
      <c r="AP141" s="36" t="s">
        <v>1587</v>
      </c>
      <c r="AQ141" s="36" t="s">
        <v>2779</v>
      </c>
      <c r="AR141" s="36" t="s">
        <v>78</v>
      </c>
      <c r="AS141" s="89"/>
      <c r="AT141" s="87">
        <v>8230000</v>
      </c>
      <c r="AU141" s="87">
        <v>823000</v>
      </c>
      <c r="AV141" s="87">
        <v>9053000</v>
      </c>
      <c r="AW141" s="38"/>
      <c r="AX141" s="85">
        <v>2025</v>
      </c>
      <c r="AY141" s="85">
        <v>3</v>
      </c>
      <c r="AZ141" s="36"/>
      <c r="BA141" s="1" t="s">
        <v>44</v>
      </c>
    </row>
    <row r="142" spans="10:53">
      <c r="J142" s="37"/>
      <c r="K142" s="36"/>
      <c r="L142" s="87"/>
      <c r="M142" s="38"/>
      <c r="N142" s="36"/>
      <c r="O142" s="36"/>
      <c r="P142" s="1"/>
      <c r="AA142" s="36" t="s">
        <v>32</v>
      </c>
      <c r="AB142" s="85">
        <v>2025</v>
      </c>
      <c r="AC142" s="85">
        <v>5</v>
      </c>
      <c r="AD142" s="37">
        <v>45798</v>
      </c>
      <c r="AE142" s="36" t="s">
        <v>2395</v>
      </c>
      <c r="AF142" s="36" t="s">
        <v>2895</v>
      </c>
      <c r="AG142" s="1" t="s">
        <v>44</v>
      </c>
      <c r="AH142" s="16">
        <f>SUMIFS(DB!$I:$I,DB!$C:$C,$AE142,DB!$D:$D,$AF142,DB!$K:$K,$AB142,DB!$L:$L,$AC142)</f>
        <v>169972176</v>
      </c>
      <c r="AI142" s="16">
        <v>154520160</v>
      </c>
      <c r="AJ142" s="153">
        <v>15452016</v>
      </c>
      <c r="AK142" s="162">
        <v>45838</v>
      </c>
      <c r="AL142" s="16">
        <v>169972176</v>
      </c>
      <c r="AM142" s="107">
        <v>0</v>
      </c>
      <c r="AN142" s="36" t="s">
        <v>32</v>
      </c>
      <c r="AO142" s="37">
        <v>45747</v>
      </c>
      <c r="AP142" s="36" t="s">
        <v>1587</v>
      </c>
      <c r="AQ142" s="36" t="s">
        <v>2780</v>
      </c>
      <c r="AR142" s="36" t="s">
        <v>78</v>
      </c>
      <c r="AS142" s="89"/>
      <c r="AT142" s="87">
        <v>6948000</v>
      </c>
      <c r="AU142" s="87">
        <v>694800</v>
      </c>
      <c r="AV142" s="87">
        <v>7642800</v>
      </c>
      <c r="AW142" s="38"/>
      <c r="AX142" s="85">
        <v>2025</v>
      </c>
      <c r="AY142" s="85">
        <v>3</v>
      </c>
      <c r="AZ142" s="36"/>
      <c r="BA142" s="1" t="s">
        <v>44</v>
      </c>
    </row>
    <row r="143" spans="10:53">
      <c r="J143" s="37"/>
      <c r="K143" s="36"/>
      <c r="L143" s="87"/>
      <c r="M143" s="38"/>
      <c r="N143" s="36"/>
      <c r="O143" s="36"/>
      <c r="P143" s="1"/>
      <c r="AA143" s="36" t="s">
        <v>32</v>
      </c>
      <c r="AB143" s="85">
        <v>2025</v>
      </c>
      <c r="AC143" s="85">
        <v>5</v>
      </c>
      <c r="AD143" s="37">
        <v>45808</v>
      </c>
      <c r="AE143" s="36" t="s">
        <v>2395</v>
      </c>
      <c r="AF143" s="36" t="s">
        <v>2369</v>
      </c>
      <c r="AG143" s="1" t="s">
        <v>44</v>
      </c>
      <c r="AH143" s="16">
        <f>SUMIFS(DB!$I:$I,DB!$C:$C,$AE143,DB!$D:$D,$AF143,DB!$K:$K,$AB143,DB!$L:$L,$AC143)</f>
        <v>48379760</v>
      </c>
      <c r="AI143" s="16">
        <v>43981600</v>
      </c>
      <c r="AJ143" s="153">
        <v>4398160</v>
      </c>
      <c r="AK143" s="162">
        <v>45838</v>
      </c>
      <c r="AL143" s="16">
        <v>48379760</v>
      </c>
      <c r="AM143" s="107">
        <v>0</v>
      </c>
      <c r="AN143" s="36" t="s">
        <v>32</v>
      </c>
      <c r="AO143" s="37">
        <v>45747</v>
      </c>
      <c r="AP143" s="36" t="s">
        <v>2626</v>
      </c>
      <c r="AQ143" s="36" t="s">
        <v>2636</v>
      </c>
      <c r="AR143" s="36" t="s">
        <v>76</v>
      </c>
      <c r="AS143" s="89"/>
      <c r="AT143" s="87">
        <v>2977953</v>
      </c>
      <c r="AU143" s="87">
        <v>297795.3</v>
      </c>
      <c r="AV143" s="87">
        <v>3275748.3</v>
      </c>
      <c r="AW143" s="38"/>
      <c r="AX143" s="85">
        <v>2025</v>
      </c>
      <c r="AY143" s="85">
        <v>3</v>
      </c>
      <c r="AZ143" s="36"/>
      <c r="BA143" s="1" t="s">
        <v>44</v>
      </c>
    </row>
    <row r="144" spans="10:53">
      <c r="J144" s="37"/>
      <c r="K144" s="36"/>
      <c r="L144" s="87"/>
      <c r="M144" s="38"/>
      <c r="N144" s="36"/>
      <c r="O144" s="36"/>
      <c r="P144" s="1"/>
      <c r="AA144" s="36" t="s">
        <v>32</v>
      </c>
      <c r="AB144" s="85">
        <v>2025</v>
      </c>
      <c r="AC144" s="85">
        <v>5</v>
      </c>
      <c r="AD144" s="37">
        <v>45778</v>
      </c>
      <c r="AE144" s="36" t="s">
        <v>1218</v>
      </c>
      <c r="AF144" s="36" t="s">
        <v>2879</v>
      </c>
      <c r="AG144" s="1" t="s">
        <v>44</v>
      </c>
      <c r="AH144" s="16">
        <f>SUMIFS(DB!$I:$I,DB!$C:$C,$AE144,DB!$D:$D,$AF144,DB!$K:$K,$AB144,DB!$L:$L,$AC144)</f>
        <v>3267000</v>
      </c>
      <c r="AI144" s="16">
        <v>2970000</v>
      </c>
      <c r="AJ144" s="153">
        <v>297000</v>
      </c>
      <c r="AK144" s="162">
        <v>45961</v>
      </c>
      <c r="AL144" s="16">
        <v>3267000</v>
      </c>
      <c r="AM144" s="107">
        <v>0</v>
      </c>
      <c r="AN144" s="36" t="s">
        <v>32</v>
      </c>
      <c r="AO144" s="37">
        <v>45747</v>
      </c>
      <c r="AP144" s="36" t="s">
        <v>661</v>
      </c>
      <c r="AQ144" s="36" t="s">
        <v>2783</v>
      </c>
      <c r="AR144" s="36" t="s">
        <v>1492</v>
      </c>
      <c r="AS144" s="89"/>
      <c r="AT144" s="87">
        <v>9570000</v>
      </c>
      <c r="AU144" s="87">
        <v>957000</v>
      </c>
      <c r="AV144" s="87">
        <v>10527000</v>
      </c>
      <c r="AW144" s="38"/>
      <c r="AX144" s="85">
        <v>2025</v>
      </c>
      <c r="AY144" s="85">
        <v>3</v>
      </c>
      <c r="AZ144" s="36"/>
      <c r="BA144" s="1" t="s">
        <v>44</v>
      </c>
    </row>
    <row r="145" spans="10:53">
      <c r="J145" s="37"/>
      <c r="K145" s="36"/>
      <c r="L145" s="87"/>
      <c r="M145" s="87"/>
      <c r="N145" s="36"/>
      <c r="O145" s="36"/>
      <c r="P145" s="1"/>
      <c r="AA145" s="36" t="s">
        <v>32</v>
      </c>
      <c r="AB145" s="85">
        <v>2025</v>
      </c>
      <c r="AC145" s="85">
        <v>5</v>
      </c>
      <c r="AD145" s="37">
        <v>45806</v>
      </c>
      <c r="AE145" s="36" t="s">
        <v>2627</v>
      </c>
      <c r="AF145" s="36" t="s">
        <v>2589</v>
      </c>
      <c r="AG145" s="1" t="s">
        <v>44</v>
      </c>
      <c r="AH145" s="16">
        <f>SUMIFS(DB!$I:$I,DB!$C:$C,$AE145,DB!$D:$D,$AF145,DB!$K:$K,$AB145,DB!$L:$L,$AC145)</f>
        <v>5500000</v>
      </c>
      <c r="AI145" s="16">
        <v>5000000</v>
      </c>
      <c r="AJ145" s="153">
        <v>500000</v>
      </c>
      <c r="AK145" s="162">
        <v>45825</v>
      </c>
      <c r="AL145" s="16">
        <v>5500000</v>
      </c>
      <c r="AM145" s="107">
        <v>0</v>
      </c>
      <c r="AN145" s="36" t="s">
        <v>32</v>
      </c>
      <c r="AO145" s="37">
        <v>45747</v>
      </c>
      <c r="AP145" s="36" t="s">
        <v>2671</v>
      </c>
      <c r="AQ145" s="36" t="s">
        <v>2683</v>
      </c>
      <c r="AR145" s="36" t="s">
        <v>76</v>
      </c>
      <c r="AS145" s="89"/>
      <c r="AT145" s="87">
        <v>7904005</v>
      </c>
      <c r="AU145" s="87">
        <v>790400.5</v>
      </c>
      <c r="AV145" s="87">
        <v>8694405.5</v>
      </c>
      <c r="AW145" s="38"/>
      <c r="AX145" s="85">
        <v>2025</v>
      </c>
      <c r="AY145" s="85">
        <v>3</v>
      </c>
      <c r="AZ145" s="36"/>
      <c r="BA145" s="1" t="s">
        <v>44</v>
      </c>
    </row>
    <row r="146" spans="10:53">
      <c r="J146" s="37"/>
      <c r="K146" s="36"/>
      <c r="L146" s="87"/>
      <c r="M146" s="87"/>
      <c r="N146" s="36"/>
      <c r="O146" s="36"/>
      <c r="P146" s="1"/>
      <c r="AA146" s="36" t="s">
        <v>32</v>
      </c>
      <c r="AB146" s="85">
        <v>2025</v>
      </c>
      <c r="AC146" s="85">
        <v>5</v>
      </c>
      <c r="AD146" s="37">
        <v>45806</v>
      </c>
      <c r="AE146" s="36" t="s">
        <v>2869</v>
      </c>
      <c r="AF146" s="36" t="s">
        <v>2880</v>
      </c>
      <c r="AG146" s="1" t="s">
        <v>44</v>
      </c>
      <c r="AH146" s="16">
        <f>SUMIFS(DB!$I:$I,DB!$C:$C,$AE146,DB!$D:$D,$AF146,DB!$K:$K,$AB146,DB!$L:$L,$AC146)</f>
        <v>6160000</v>
      </c>
      <c r="AI146" s="16">
        <v>5600000</v>
      </c>
      <c r="AJ146" s="153">
        <v>560000</v>
      </c>
      <c r="AK146" s="162">
        <v>45826</v>
      </c>
      <c r="AL146" s="16">
        <v>6160000</v>
      </c>
      <c r="AM146" s="107">
        <v>0</v>
      </c>
      <c r="AN146" s="36" t="s">
        <v>32</v>
      </c>
      <c r="AO146" s="37">
        <v>45747</v>
      </c>
      <c r="AP146" s="36" t="s">
        <v>2773</v>
      </c>
      <c r="AQ146" s="36" t="s">
        <v>2689</v>
      </c>
      <c r="AR146" s="36" t="s">
        <v>269</v>
      </c>
      <c r="AS146" s="89"/>
      <c r="AT146" s="87">
        <v>10000000</v>
      </c>
      <c r="AU146" s="87">
        <v>1000000</v>
      </c>
      <c r="AV146" s="87">
        <v>11000000</v>
      </c>
      <c r="AW146" s="38"/>
      <c r="AX146" s="85">
        <v>2025</v>
      </c>
      <c r="AY146" s="85">
        <v>3</v>
      </c>
      <c r="AZ146" s="36"/>
      <c r="BA146" s="1" t="s">
        <v>44</v>
      </c>
    </row>
    <row r="147" spans="10:53">
      <c r="J147" s="37"/>
      <c r="K147" s="36"/>
      <c r="L147" s="87"/>
      <c r="M147" s="87"/>
      <c r="N147" s="36"/>
      <c r="O147" s="36"/>
      <c r="P147" s="1"/>
      <c r="AA147" s="36" t="s">
        <v>32</v>
      </c>
      <c r="AB147" s="85">
        <v>2025</v>
      </c>
      <c r="AC147" s="85">
        <v>5</v>
      </c>
      <c r="AD147" s="37">
        <v>45806</v>
      </c>
      <c r="AE147" s="36" t="s">
        <v>209</v>
      </c>
      <c r="AF147" s="36" t="s">
        <v>2494</v>
      </c>
      <c r="AG147" s="1" t="s">
        <v>44</v>
      </c>
      <c r="AH147" s="16">
        <f>SUMIFS(DB!$I:$I,DB!$C:$C,$AE147,DB!$D:$D,$AF147,DB!$K:$K,$AB147,DB!$L:$L,$AC147)</f>
        <v>1935780</v>
      </c>
      <c r="AI147" s="16">
        <v>1759800</v>
      </c>
      <c r="AJ147" s="153">
        <v>175980</v>
      </c>
      <c r="AK147" s="162">
        <v>45898</v>
      </c>
      <c r="AL147" s="16">
        <v>1935780</v>
      </c>
      <c r="AM147" s="107">
        <v>0</v>
      </c>
      <c r="AN147" s="36" t="s">
        <v>32</v>
      </c>
      <c r="AO147" s="37">
        <v>45747</v>
      </c>
      <c r="AP147" s="36" t="s">
        <v>2774</v>
      </c>
      <c r="AQ147" s="36" t="s">
        <v>2784</v>
      </c>
      <c r="AR147" s="36" t="s">
        <v>76</v>
      </c>
      <c r="AS147" s="89"/>
      <c r="AT147" s="87">
        <v>8462200</v>
      </c>
      <c r="AU147" s="87">
        <v>846220</v>
      </c>
      <c r="AV147" s="87">
        <v>9308420</v>
      </c>
      <c r="AW147" s="38"/>
      <c r="AX147" s="85">
        <v>2025</v>
      </c>
      <c r="AY147" s="85">
        <v>3</v>
      </c>
      <c r="AZ147" s="36"/>
      <c r="BA147" s="1" t="s">
        <v>44</v>
      </c>
    </row>
    <row r="148" spans="10:53">
      <c r="J148" s="37"/>
      <c r="K148" s="36"/>
      <c r="L148" s="87"/>
      <c r="M148" s="38"/>
      <c r="N148" s="36"/>
      <c r="O148" s="36"/>
      <c r="P148" s="1"/>
      <c r="AA148" s="36" t="s">
        <v>32</v>
      </c>
      <c r="AB148" s="85">
        <v>2025</v>
      </c>
      <c r="AC148" s="85">
        <v>5</v>
      </c>
      <c r="AD148" s="37">
        <v>45806</v>
      </c>
      <c r="AE148" s="36" t="s">
        <v>209</v>
      </c>
      <c r="AF148" s="36" t="s">
        <v>2551</v>
      </c>
      <c r="AG148" s="1" t="s">
        <v>44</v>
      </c>
      <c r="AH148" s="16">
        <f>SUMIFS(DB!$I:$I,DB!$C:$C,$AE148,DB!$D:$D,$AF148,DB!$K:$K,$AB148,DB!$L:$L,$AC148)</f>
        <v>4455000</v>
      </c>
      <c r="AI148" s="16">
        <v>4050000</v>
      </c>
      <c r="AJ148" s="153">
        <v>405000</v>
      </c>
      <c r="AK148" s="162">
        <v>45898</v>
      </c>
      <c r="AL148" s="16">
        <v>4455000</v>
      </c>
      <c r="AM148" s="107">
        <v>0</v>
      </c>
      <c r="AN148" s="36" t="s">
        <v>32</v>
      </c>
      <c r="AO148" s="37">
        <v>45747</v>
      </c>
      <c r="AP148" s="36" t="s">
        <v>2775</v>
      </c>
      <c r="AQ148" s="36" t="s">
        <v>2781</v>
      </c>
      <c r="AR148" s="36" t="s">
        <v>76</v>
      </c>
      <c r="AS148" s="89"/>
      <c r="AT148" s="87">
        <v>2635000</v>
      </c>
      <c r="AU148" s="87">
        <v>263500</v>
      </c>
      <c r="AV148" s="87">
        <v>2898500</v>
      </c>
      <c r="AW148" s="38"/>
      <c r="AX148" s="85">
        <v>2025</v>
      </c>
      <c r="AY148" s="85">
        <v>3</v>
      </c>
      <c r="AZ148" s="36"/>
      <c r="BA148" s="1" t="s">
        <v>44</v>
      </c>
    </row>
    <row r="149" spans="10:53">
      <c r="J149" s="37"/>
      <c r="K149" s="36"/>
      <c r="L149" s="87"/>
      <c r="M149" s="38"/>
      <c r="N149" s="36"/>
      <c r="O149" s="36"/>
      <c r="P149" s="1"/>
      <c r="AA149" s="36" t="s">
        <v>32</v>
      </c>
      <c r="AB149" s="85">
        <v>2025</v>
      </c>
      <c r="AC149" s="85">
        <v>5</v>
      </c>
      <c r="AD149" s="37">
        <v>45808</v>
      </c>
      <c r="AE149" s="36" t="s">
        <v>2674</v>
      </c>
      <c r="AF149" s="36" t="s">
        <v>2687</v>
      </c>
      <c r="AG149" s="1" t="s">
        <v>44</v>
      </c>
      <c r="AH149" s="16">
        <f>SUMIFS(DB!$I:$I,DB!$C:$C,$AE149,DB!$D:$D,$AF149,DB!$K:$K,$AB149,DB!$L:$L,$AC149)</f>
        <v>21106250</v>
      </c>
      <c r="AI149" s="16">
        <v>19187500</v>
      </c>
      <c r="AJ149" s="153">
        <v>1918750</v>
      </c>
      <c r="AK149" s="162">
        <v>45845</v>
      </c>
      <c r="AL149" s="16">
        <v>21106250</v>
      </c>
      <c r="AM149" s="107">
        <v>0</v>
      </c>
      <c r="AN149" s="36" t="s">
        <v>32</v>
      </c>
      <c r="AO149" s="37">
        <v>45747</v>
      </c>
      <c r="AP149" s="36" t="s">
        <v>1462</v>
      </c>
      <c r="AQ149" s="36" t="s">
        <v>2962</v>
      </c>
      <c r="AR149" s="36" t="s">
        <v>78</v>
      </c>
      <c r="AS149" s="89"/>
      <c r="AT149" s="87">
        <v>6213200</v>
      </c>
      <c r="AU149" s="87">
        <v>621320</v>
      </c>
      <c r="AV149" s="87">
        <v>6834520</v>
      </c>
      <c r="AW149" s="38"/>
      <c r="AX149" s="85">
        <v>2025</v>
      </c>
      <c r="AY149" s="85">
        <v>3</v>
      </c>
      <c r="AZ149" s="36"/>
      <c r="BA149" s="1" t="s">
        <v>44</v>
      </c>
    </row>
    <row r="150" spans="10:53">
      <c r="J150" s="37"/>
      <c r="K150" s="36"/>
      <c r="L150" s="87"/>
      <c r="M150" s="87"/>
      <c r="N150" s="36"/>
      <c r="O150" s="36"/>
      <c r="P150" s="1"/>
      <c r="AA150" s="36" t="s">
        <v>32</v>
      </c>
      <c r="AB150" s="85">
        <v>2025</v>
      </c>
      <c r="AC150" s="85">
        <v>5</v>
      </c>
      <c r="AD150" s="37">
        <v>45808</v>
      </c>
      <c r="AE150" s="36" t="s">
        <v>2628</v>
      </c>
      <c r="AF150" s="36" t="s">
        <v>2639</v>
      </c>
      <c r="AG150" s="1" t="s">
        <v>44</v>
      </c>
      <c r="AH150" s="16">
        <f>SUMIFS(DB!$I:$I,DB!$C:$C,$AE150,DB!$D:$D,$AF150,DB!$K:$K,$AB150,DB!$L:$L,$AC150)</f>
        <v>14283280</v>
      </c>
      <c r="AI150" s="16">
        <v>12984800</v>
      </c>
      <c r="AJ150" s="153">
        <v>1298480</v>
      </c>
      <c r="AK150" s="162">
        <v>45835</v>
      </c>
      <c r="AL150" s="16">
        <v>14283280</v>
      </c>
      <c r="AM150" s="107">
        <v>0</v>
      </c>
      <c r="AN150" s="36" t="s">
        <v>32</v>
      </c>
      <c r="AO150" s="37">
        <v>45747</v>
      </c>
      <c r="AP150" s="36" t="s">
        <v>2477</v>
      </c>
      <c r="AQ150" s="36" t="s">
        <v>2485</v>
      </c>
      <c r="AR150" s="36" t="s">
        <v>76</v>
      </c>
      <c r="AS150" s="89"/>
      <c r="AT150" s="87">
        <v>4694400</v>
      </c>
      <c r="AU150" s="87">
        <v>469440</v>
      </c>
      <c r="AV150" s="87">
        <v>5163840</v>
      </c>
      <c r="AW150" s="38"/>
      <c r="AX150" s="85">
        <v>2025</v>
      </c>
      <c r="AY150" s="85">
        <v>3</v>
      </c>
      <c r="AZ150" s="36"/>
      <c r="BA150" s="1" t="s">
        <v>44</v>
      </c>
    </row>
    <row r="151" spans="10:53">
      <c r="J151" s="37"/>
      <c r="K151" s="36"/>
      <c r="L151" s="87"/>
      <c r="M151" s="87"/>
      <c r="N151" s="36"/>
      <c r="O151" s="36"/>
      <c r="P151" s="1"/>
      <c r="AA151" s="36" t="s">
        <v>32</v>
      </c>
      <c r="AB151" s="85">
        <v>2025</v>
      </c>
      <c r="AC151" s="85">
        <v>5</v>
      </c>
      <c r="AD151" s="37">
        <v>45808</v>
      </c>
      <c r="AE151" s="36" t="s">
        <v>188</v>
      </c>
      <c r="AF151" s="36" t="s">
        <v>2881</v>
      </c>
      <c r="AG151" s="1" t="s">
        <v>44</v>
      </c>
      <c r="AH151" s="16">
        <f>SUMIFS(DB!$I:$I,DB!$C:$C,$AE151,DB!$D:$D,$AF151,DB!$K:$K,$AB151,DB!$L:$L,$AC151)</f>
        <v>2146760</v>
      </c>
      <c r="AI151" s="16">
        <v>1951600</v>
      </c>
      <c r="AJ151" s="153">
        <v>195160</v>
      </c>
      <c r="AK151" s="162">
        <v>45961</v>
      </c>
      <c r="AL151" s="16">
        <v>2146760</v>
      </c>
      <c r="AM151" s="107">
        <v>0</v>
      </c>
      <c r="AN151" s="36" t="s">
        <v>32</v>
      </c>
      <c r="AO151" s="37">
        <v>45747</v>
      </c>
      <c r="AP151" s="36" t="s">
        <v>2478</v>
      </c>
      <c r="AQ151" s="36" t="s">
        <v>2487</v>
      </c>
      <c r="AR151" s="36" t="s">
        <v>78</v>
      </c>
      <c r="AS151" s="89"/>
      <c r="AT151" s="87">
        <v>12750000</v>
      </c>
      <c r="AU151" s="87">
        <v>1275000</v>
      </c>
      <c r="AV151" s="87">
        <v>14025000</v>
      </c>
      <c r="AW151" s="38"/>
      <c r="AX151" s="85">
        <v>2025</v>
      </c>
      <c r="AY151" s="85">
        <v>3</v>
      </c>
      <c r="AZ151" s="36"/>
      <c r="BA151" s="1" t="s">
        <v>44</v>
      </c>
    </row>
    <row r="152" spans="10:53">
      <c r="J152" s="37"/>
      <c r="K152" s="36"/>
      <c r="L152" s="87"/>
      <c r="M152" s="38"/>
      <c r="N152" s="36"/>
      <c r="O152" s="36"/>
      <c r="P152" s="1"/>
      <c r="AA152" s="36" t="s">
        <v>32</v>
      </c>
      <c r="AB152" s="85">
        <v>2025</v>
      </c>
      <c r="AC152" s="85">
        <v>5</v>
      </c>
      <c r="AD152" s="37">
        <v>45808</v>
      </c>
      <c r="AE152" s="36" t="s">
        <v>2870</v>
      </c>
      <c r="AF152" s="36" t="s">
        <v>2882</v>
      </c>
      <c r="AG152" s="1" t="s">
        <v>44</v>
      </c>
      <c r="AH152" s="16">
        <f>SUMIFS(DB!$I:$I,DB!$C:$C,$AE152,DB!$D:$D,$AF152,DB!$K:$K,$AB152,DB!$L:$L,$AC152)</f>
        <v>6050000</v>
      </c>
      <c r="AI152" s="16">
        <v>5500000</v>
      </c>
      <c r="AJ152" s="153">
        <v>550000</v>
      </c>
      <c r="AK152" s="162">
        <v>45971</v>
      </c>
      <c r="AL152" s="16">
        <v>6050000</v>
      </c>
      <c r="AM152" s="107">
        <v>0</v>
      </c>
      <c r="AN152" s="36" t="s">
        <v>32</v>
      </c>
      <c r="AO152" s="37">
        <v>45747</v>
      </c>
      <c r="AP152" s="36" t="s">
        <v>2628</v>
      </c>
      <c r="AQ152" s="36" t="s">
        <v>2639</v>
      </c>
      <c r="AR152" s="36" t="s">
        <v>76</v>
      </c>
      <c r="AS152" s="89"/>
      <c r="AT152" s="87">
        <v>10824800</v>
      </c>
      <c r="AU152" s="87">
        <v>1082480</v>
      </c>
      <c r="AV152" s="87">
        <v>11907280</v>
      </c>
      <c r="AW152" s="38"/>
      <c r="AX152" s="85">
        <v>2025</v>
      </c>
      <c r="AY152" s="85">
        <v>3</v>
      </c>
      <c r="AZ152" s="36"/>
      <c r="BA152" s="1" t="s">
        <v>44</v>
      </c>
    </row>
    <row r="153" spans="10:53">
      <c r="J153" s="37"/>
      <c r="K153" s="36"/>
      <c r="L153" s="87"/>
      <c r="M153" s="38"/>
      <c r="N153" s="36"/>
      <c r="O153" s="36"/>
      <c r="P153" s="1"/>
      <c r="AA153" s="36" t="s">
        <v>32</v>
      </c>
      <c r="AB153" s="85">
        <v>2025</v>
      </c>
      <c r="AC153" s="85">
        <v>5</v>
      </c>
      <c r="AD153" s="37">
        <v>45808</v>
      </c>
      <c r="AE153" s="36" t="s">
        <v>2871</v>
      </c>
      <c r="AF153" s="36" t="s">
        <v>2636</v>
      </c>
      <c r="AG153" s="1" t="s">
        <v>44</v>
      </c>
      <c r="AH153" s="16">
        <f>SUMIFS(DB!$I:$I,DB!$C:$C,$AE153,DB!$D:$D,$AF153,DB!$K:$K,$AB153,DB!$L:$L,$AC153)</f>
        <v>7871325</v>
      </c>
      <c r="AI153" s="16">
        <v>7155750</v>
      </c>
      <c r="AJ153" s="153">
        <v>715575</v>
      </c>
      <c r="AK153" s="162">
        <v>45833</v>
      </c>
      <c r="AL153" s="16">
        <v>7871325</v>
      </c>
      <c r="AM153" s="107">
        <v>0</v>
      </c>
      <c r="AN153" s="36" t="s">
        <v>32</v>
      </c>
      <c r="AO153" s="37">
        <v>45747</v>
      </c>
      <c r="AP153" s="36" t="s">
        <v>264</v>
      </c>
      <c r="AQ153" s="36" t="s">
        <v>2782</v>
      </c>
      <c r="AR153" s="36" t="s">
        <v>76</v>
      </c>
      <c r="AS153" s="89"/>
      <c r="AT153" s="87">
        <v>50400000</v>
      </c>
      <c r="AU153" s="87">
        <v>5040000</v>
      </c>
      <c r="AV153" s="87">
        <v>55440000</v>
      </c>
      <c r="AW153" s="38"/>
      <c r="AX153" s="85">
        <v>2025</v>
      </c>
      <c r="AY153" s="85">
        <v>3</v>
      </c>
      <c r="AZ153" s="36"/>
      <c r="BA153" s="1" t="s">
        <v>44</v>
      </c>
    </row>
    <row r="154" spans="10:53">
      <c r="J154" s="37"/>
      <c r="K154" s="36"/>
      <c r="L154" s="87"/>
      <c r="M154" s="38"/>
      <c r="N154" s="36"/>
      <c r="O154" s="36"/>
      <c r="P154" s="1"/>
      <c r="AA154" s="36" t="s">
        <v>32</v>
      </c>
      <c r="AB154" s="85">
        <v>2025</v>
      </c>
      <c r="AC154" s="85">
        <v>5</v>
      </c>
      <c r="AD154" s="37">
        <v>45808</v>
      </c>
      <c r="AE154" s="36" t="s">
        <v>334</v>
      </c>
      <c r="AF154" s="36" t="s">
        <v>2486</v>
      </c>
      <c r="AG154" s="1" t="s">
        <v>44</v>
      </c>
      <c r="AH154" s="16">
        <f>SUMIFS(DB!$I:$I,DB!$C:$C,$AE154,DB!$D:$D,$AF154,DB!$K:$K,$AB154,DB!$L:$L,$AC154)</f>
        <v>7469000</v>
      </c>
      <c r="AI154" s="16">
        <v>6790000</v>
      </c>
      <c r="AJ154" s="153">
        <v>679000</v>
      </c>
      <c r="AK154" s="162">
        <v>45980</v>
      </c>
      <c r="AL154" s="16">
        <v>7469000</v>
      </c>
      <c r="AM154" s="107">
        <v>0</v>
      </c>
      <c r="AN154" s="36" t="s">
        <v>32</v>
      </c>
      <c r="AO154" s="37">
        <v>45747</v>
      </c>
      <c r="AP154" s="36" t="s">
        <v>1470</v>
      </c>
      <c r="AQ154" s="36" t="s">
        <v>1487</v>
      </c>
      <c r="AR154" s="36" t="s">
        <v>76</v>
      </c>
      <c r="AS154" s="89"/>
      <c r="AT154" s="87">
        <v>39980100</v>
      </c>
      <c r="AU154" s="87">
        <v>3998010</v>
      </c>
      <c r="AV154" s="87">
        <v>43978110</v>
      </c>
      <c r="AW154" s="38"/>
      <c r="AX154" s="85">
        <v>2025</v>
      </c>
      <c r="AY154" s="85">
        <v>3</v>
      </c>
      <c r="AZ154" s="36"/>
      <c r="BA154" s="1" t="s">
        <v>44</v>
      </c>
    </row>
    <row r="155" spans="10:53">
      <c r="J155" s="37"/>
      <c r="K155" s="36"/>
      <c r="L155" s="87"/>
      <c r="M155" s="87"/>
      <c r="N155" s="36"/>
      <c r="O155" s="36"/>
      <c r="P155" s="1"/>
      <c r="AA155" s="36" t="s">
        <v>32</v>
      </c>
      <c r="AB155" s="85">
        <v>2025</v>
      </c>
      <c r="AC155" s="85">
        <v>5</v>
      </c>
      <c r="AD155" s="37">
        <v>45808</v>
      </c>
      <c r="AE155" s="36" t="s">
        <v>661</v>
      </c>
      <c r="AF155" s="36" t="s">
        <v>2783</v>
      </c>
      <c r="AG155" s="1" t="s">
        <v>44</v>
      </c>
      <c r="AH155" s="16">
        <f>SUMIFS(DB!$I:$I,DB!$C:$C,$AE155,DB!$D:$D,$AF155,DB!$K:$K,$AB155,DB!$L:$L,$AC155)</f>
        <v>1150600</v>
      </c>
      <c r="AI155" s="16">
        <v>1046000</v>
      </c>
      <c r="AJ155" s="153">
        <v>104600</v>
      </c>
      <c r="AK155" s="162">
        <v>45961</v>
      </c>
      <c r="AL155" s="16">
        <v>1150600</v>
      </c>
      <c r="AM155" s="107">
        <v>0</v>
      </c>
      <c r="AN155" s="36" t="s">
        <v>32</v>
      </c>
      <c r="AO155" s="37">
        <v>45747</v>
      </c>
      <c r="AP155" s="36" t="s">
        <v>1396</v>
      </c>
      <c r="AQ155" s="36" t="s">
        <v>2679</v>
      </c>
      <c r="AR155" s="36" t="s">
        <v>76</v>
      </c>
      <c r="AS155" s="89"/>
      <c r="AT155" s="87">
        <v>3881700</v>
      </c>
      <c r="AU155" s="87">
        <v>388170</v>
      </c>
      <c r="AV155" s="87">
        <v>4269870</v>
      </c>
      <c r="AW155" s="38"/>
      <c r="AX155" s="85">
        <v>2025</v>
      </c>
      <c r="AY155" s="85">
        <v>3</v>
      </c>
      <c r="AZ155" s="36"/>
      <c r="BA155" s="1" t="s">
        <v>44</v>
      </c>
    </row>
    <row r="156" spans="10:53">
      <c r="J156" s="37"/>
      <c r="K156" s="36"/>
      <c r="L156" s="87"/>
      <c r="M156" s="87"/>
      <c r="N156" s="36"/>
      <c r="O156" s="36"/>
      <c r="P156" s="1"/>
      <c r="AA156" s="36" t="s">
        <v>32</v>
      </c>
      <c r="AB156" s="85">
        <v>2025</v>
      </c>
      <c r="AC156" s="85">
        <v>5</v>
      </c>
      <c r="AD156" s="37">
        <v>45808</v>
      </c>
      <c r="AE156" s="36" t="s">
        <v>2824</v>
      </c>
      <c r="AF156" s="36" t="s">
        <v>2832</v>
      </c>
      <c r="AG156" s="1" t="s">
        <v>44</v>
      </c>
      <c r="AH156" s="16">
        <f>SUMIFS(DB!$I:$I,DB!$C:$C,$AE156,DB!$D:$D,$AF156,DB!$K:$K,$AB156,DB!$L:$L,$AC156)</f>
        <v>43016600</v>
      </c>
      <c r="AI156" s="16">
        <v>39106000</v>
      </c>
      <c r="AJ156" s="153">
        <v>3910600</v>
      </c>
      <c r="AK156" s="162">
        <v>45961</v>
      </c>
      <c r="AL156" s="16">
        <v>43016600</v>
      </c>
      <c r="AM156" s="107">
        <v>0</v>
      </c>
      <c r="AN156" s="36" t="s">
        <v>32</v>
      </c>
      <c r="AO156" s="37">
        <v>45747</v>
      </c>
      <c r="AP156" s="36" t="s">
        <v>1396</v>
      </c>
      <c r="AQ156" s="36" t="s">
        <v>2677</v>
      </c>
      <c r="AR156" s="36" t="s">
        <v>76</v>
      </c>
      <c r="AS156" s="89"/>
      <c r="AT156" s="87">
        <v>1851000</v>
      </c>
      <c r="AU156" s="87">
        <v>185100</v>
      </c>
      <c r="AV156" s="87">
        <v>2036100</v>
      </c>
      <c r="AW156" s="38"/>
      <c r="AX156" s="85">
        <v>2025</v>
      </c>
      <c r="AY156" s="85">
        <v>3</v>
      </c>
      <c r="AZ156" s="36"/>
      <c r="BA156" s="1" t="s">
        <v>44</v>
      </c>
    </row>
    <row r="157" spans="10:53">
      <c r="J157" s="37"/>
      <c r="K157" s="36"/>
      <c r="L157" s="87"/>
      <c r="M157" s="38"/>
      <c r="N157" s="36"/>
      <c r="O157" s="36"/>
      <c r="P157" s="1"/>
      <c r="AA157" s="36" t="s">
        <v>32</v>
      </c>
      <c r="AB157" s="85">
        <v>2025</v>
      </c>
      <c r="AC157" s="85">
        <v>5</v>
      </c>
      <c r="AD157" s="37">
        <v>45808</v>
      </c>
      <c r="AE157" s="36" t="s">
        <v>654</v>
      </c>
      <c r="AF157" s="36" t="s">
        <v>2883</v>
      </c>
      <c r="AG157" s="1" t="s">
        <v>44</v>
      </c>
      <c r="AH157" s="16">
        <f>SUMIFS(DB!$I:$I,DB!$C:$C,$AE157,DB!$D:$D,$AF157,DB!$K:$K,$AB157,DB!$L:$L,$AC157)</f>
        <v>4401914</v>
      </c>
      <c r="AI157" s="16">
        <v>4001740</v>
      </c>
      <c r="AJ157" s="153">
        <v>400174</v>
      </c>
      <c r="AK157" s="162">
        <v>45961</v>
      </c>
      <c r="AL157" s="16">
        <v>4401914</v>
      </c>
      <c r="AM157" s="107">
        <v>0</v>
      </c>
      <c r="AN157" s="36" t="s">
        <v>32</v>
      </c>
      <c r="AO157" s="37">
        <v>45747</v>
      </c>
      <c r="AP157" s="36" t="s">
        <v>1396</v>
      </c>
      <c r="AQ157" s="36" t="s">
        <v>2680</v>
      </c>
      <c r="AR157" s="36" t="s">
        <v>76</v>
      </c>
      <c r="AS157" s="89"/>
      <c r="AT157" s="87">
        <v>4178400</v>
      </c>
      <c r="AU157" s="87">
        <v>417840</v>
      </c>
      <c r="AV157" s="87">
        <v>4596240</v>
      </c>
      <c r="AW157" s="38"/>
      <c r="AX157" s="85">
        <v>2025</v>
      </c>
      <c r="AY157" s="85">
        <v>3</v>
      </c>
      <c r="AZ157" s="36"/>
      <c r="BA157" s="1" t="s">
        <v>44</v>
      </c>
    </row>
    <row r="158" spans="10:53">
      <c r="J158" s="37"/>
      <c r="K158" s="36"/>
      <c r="L158" s="87"/>
      <c r="M158" s="87"/>
      <c r="N158" s="36"/>
      <c r="O158" s="36"/>
      <c r="P158" s="1"/>
      <c r="AA158" s="36" t="s">
        <v>32</v>
      </c>
      <c r="AB158" s="85">
        <v>2025</v>
      </c>
      <c r="AC158" s="85">
        <v>5</v>
      </c>
      <c r="AD158" s="37">
        <v>45808</v>
      </c>
      <c r="AE158" s="36" t="s">
        <v>654</v>
      </c>
      <c r="AF158" s="36" t="s">
        <v>2588</v>
      </c>
      <c r="AG158" s="1" t="s">
        <v>44</v>
      </c>
      <c r="AH158" s="16">
        <f>SUMIFS(DB!$I:$I,DB!$C:$C,$AE158,DB!$D:$D,$AF158,DB!$K:$K,$AB158,DB!$L:$L,$AC158)</f>
        <v>0</v>
      </c>
      <c r="AI158" s="16">
        <v>0</v>
      </c>
      <c r="AJ158" s="153">
        <v>0</v>
      </c>
      <c r="AL158" s="16">
        <v>0</v>
      </c>
      <c r="AM158" s="107">
        <v>0</v>
      </c>
      <c r="AN158" s="36" t="s">
        <v>32</v>
      </c>
      <c r="AO158" s="37">
        <v>45747</v>
      </c>
      <c r="AP158" s="36" t="s">
        <v>1396</v>
      </c>
      <c r="AQ158" s="36" t="s">
        <v>2678</v>
      </c>
      <c r="AR158" s="36" t="s">
        <v>76</v>
      </c>
      <c r="AS158" s="89"/>
      <c r="AT158" s="87">
        <v>1785000</v>
      </c>
      <c r="AU158" s="87">
        <v>178500</v>
      </c>
      <c r="AV158" s="87">
        <v>1963500</v>
      </c>
      <c r="AW158" s="38"/>
      <c r="AX158" s="85">
        <v>2025</v>
      </c>
      <c r="AY158" s="85">
        <v>3</v>
      </c>
      <c r="AZ158" s="36"/>
      <c r="BA158" s="1" t="s">
        <v>44</v>
      </c>
    </row>
    <row r="159" spans="10:53">
      <c r="J159" s="37"/>
      <c r="K159" s="36"/>
      <c r="L159" s="87"/>
      <c r="M159" s="87"/>
      <c r="N159" s="36"/>
      <c r="O159" s="36"/>
      <c r="P159" s="1"/>
      <c r="AA159" s="36" t="s">
        <v>32</v>
      </c>
      <c r="AB159" s="85">
        <v>2025</v>
      </c>
      <c r="AC159" s="85">
        <v>5</v>
      </c>
      <c r="AD159" s="37">
        <v>45808</v>
      </c>
      <c r="AE159" s="36" t="s">
        <v>654</v>
      </c>
      <c r="AF159" s="36" t="s">
        <v>2884</v>
      </c>
      <c r="AG159" s="1" t="s">
        <v>44</v>
      </c>
      <c r="AH159" s="16">
        <f>SUMIFS(DB!$I:$I,DB!$C:$C,$AE159,DB!$D:$D,$AF159,DB!$K:$K,$AB159,DB!$L:$L,$AC159)</f>
        <v>25678026</v>
      </c>
      <c r="AI159" s="16">
        <v>23343660</v>
      </c>
      <c r="AJ159" s="153">
        <v>2334366</v>
      </c>
      <c r="AK159" s="162">
        <v>45961</v>
      </c>
      <c r="AL159" s="16">
        <v>25678026</v>
      </c>
      <c r="AM159" s="107">
        <v>0</v>
      </c>
      <c r="AN159" s="36" t="s">
        <v>32</v>
      </c>
      <c r="AO159" s="37">
        <v>45747</v>
      </c>
      <c r="AP159" s="36" t="s">
        <v>2673</v>
      </c>
      <c r="AQ159" s="36" t="s">
        <v>2686</v>
      </c>
      <c r="AR159" s="36" t="s">
        <v>76</v>
      </c>
      <c r="AS159" s="89"/>
      <c r="AT159" s="87">
        <v>3970620</v>
      </c>
      <c r="AU159" s="87">
        <v>397062</v>
      </c>
      <c r="AV159" s="87">
        <v>4367682</v>
      </c>
      <c r="AW159" s="38"/>
      <c r="AX159" s="85">
        <v>2025</v>
      </c>
      <c r="AY159" s="85">
        <v>3</v>
      </c>
      <c r="AZ159" s="36"/>
      <c r="BA159" s="1" t="s">
        <v>44</v>
      </c>
    </row>
    <row r="160" spans="10:53">
      <c r="J160" s="37"/>
      <c r="K160" s="36"/>
      <c r="L160" s="87"/>
      <c r="M160" s="38"/>
      <c r="N160" s="36"/>
      <c r="O160" s="36"/>
      <c r="P160" s="1"/>
      <c r="AA160" s="36" t="s">
        <v>32</v>
      </c>
      <c r="AB160" s="85">
        <v>2025</v>
      </c>
      <c r="AC160" s="85">
        <v>5</v>
      </c>
      <c r="AD160" s="37">
        <v>45808</v>
      </c>
      <c r="AE160" s="36" t="s">
        <v>654</v>
      </c>
      <c r="AF160" s="36" t="s">
        <v>2635</v>
      </c>
      <c r="AG160" s="1" t="s">
        <v>44</v>
      </c>
      <c r="AH160" s="16">
        <f>SUMIFS(DB!$I:$I,DB!$C:$C,$AE160,DB!$D:$D,$AF160,DB!$K:$K,$AB160,DB!$L:$L,$AC160)</f>
        <v>0</v>
      </c>
      <c r="AI160" s="16">
        <v>0</v>
      </c>
      <c r="AJ160" s="153">
        <v>0</v>
      </c>
      <c r="AL160" s="16">
        <v>0</v>
      </c>
      <c r="AM160" s="107">
        <v>0</v>
      </c>
      <c r="AN160" s="36" t="s">
        <v>32</v>
      </c>
      <c r="AO160" s="37">
        <v>45759</v>
      </c>
      <c r="AP160" s="36" t="s">
        <v>1396</v>
      </c>
      <c r="AQ160" s="36" t="s">
        <v>2677</v>
      </c>
      <c r="AR160" s="36" t="s">
        <v>2705</v>
      </c>
      <c r="AS160" s="89"/>
      <c r="AT160" s="87"/>
      <c r="AU160" s="87"/>
      <c r="AV160" s="87"/>
      <c r="AW160" s="87">
        <v>2036100</v>
      </c>
      <c r="AX160" s="85">
        <v>2025</v>
      </c>
      <c r="AY160" s="85">
        <v>3</v>
      </c>
      <c r="AZ160" s="36"/>
      <c r="BA160" s="1" t="s">
        <v>44</v>
      </c>
    </row>
    <row r="161" spans="10:53">
      <c r="J161" s="37"/>
      <c r="K161" s="36"/>
      <c r="L161" s="87"/>
      <c r="M161" s="38"/>
      <c r="N161" s="36"/>
      <c r="O161" s="36"/>
      <c r="P161" s="1"/>
      <c r="AA161" s="36" t="s">
        <v>32</v>
      </c>
      <c r="AB161" s="85">
        <v>2025</v>
      </c>
      <c r="AC161" s="85">
        <v>5</v>
      </c>
      <c r="AD161" s="37">
        <v>45808</v>
      </c>
      <c r="AE161" s="36" t="s">
        <v>2392</v>
      </c>
      <c r="AF161" s="36" t="s">
        <v>2483</v>
      </c>
      <c r="AG161" s="1" t="s">
        <v>44</v>
      </c>
      <c r="AH161" s="16">
        <f>SUMIFS(DB!$I:$I,DB!$C:$C,$AE161,DB!$D:$D,$AF161,DB!$K:$K,$AB161,DB!$L:$L,$AC161)</f>
        <v>8764800</v>
      </c>
      <c r="AI161" s="16">
        <v>7968000</v>
      </c>
      <c r="AJ161" s="153">
        <v>796800</v>
      </c>
      <c r="AK161" s="162">
        <v>45915</v>
      </c>
      <c r="AL161" s="16">
        <v>8764800</v>
      </c>
      <c r="AM161" s="107">
        <v>0</v>
      </c>
      <c r="AN161" s="36" t="s">
        <v>32</v>
      </c>
      <c r="AO161" s="37">
        <v>45759</v>
      </c>
      <c r="AP161" s="36" t="s">
        <v>1396</v>
      </c>
      <c r="AQ161" s="36" t="s">
        <v>2680</v>
      </c>
      <c r="AR161" s="36" t="s">
        <v>2707</v>
      </c>
      <c r="AS161" s="89"/>
      <c r="AT161" s="87"/>
      <c r="AU161" s="87"/>
      <c r="AV161" s="87"/>
      <c r="AW161" s="87">
        <v>4596240</v>
      </c>
      <c r="AX161" s="85">
        <v>2025</v>
      </c>
      <c r="AY161" s="85">
        <v>3</v>
      </c>
      <c r="AZ161" s="36"/>
      <c r="BA161" s="1" t="s">
        <v>44</v>
      </c>
    </row>
    <row r="162" spans="10:53">
      <c r="J162" s="37"/>
      <c r="K162" s="36"/>
      <c r="L162" s="87"/>
      <c r="M162" s="38"/>
      <c r="N162" s="36"/>
      <c r="O162" s="36"/>
      <c r="P162" s="1"/>
      <c r="AA162" s="36" t="s">
        <v>32</v>
      </c>
      <c r="AB162" s="85">
        <v>2025</v>
      </c>
      <c r="AC162" s="85">
        <v>5</v>
      </c>
      <c r="AD162" s="37">
        <v>45808</v>
      </c>
      <c r="AE162" s="36" t="s">
        <v>1741</v>
      </c>
      <c r="AF162" s="36" t="s">
        <v>1745</v>
      </c>
      <c r="AG162" s="1" t="s">
        <v>44</v>
      </c>
      <c r="AH162" s="16">
        <f>SUMIFS(DB!$I:$I,DB!$C:$C,$AE162,DB!$D:$D,$AF162,DB!$K:$K,$AB162,DB!$L:$L,$AC162)</f>
        <v>6600000</v>
      </c>
      <c r="AI162" s="16">
        <v>6000000</v>
      </c>
      <c r="AJ162" s="153">
        <v>600000</v>
      </c>
      <c r="AK162" s="162">
        <v>45832</v>
      </c>
      <c r="AL162" s="16">
        <v>6600000</v>
      </c>
      <c r="AM162" s="107">
        <v>0</v>
      </c>
      <c r="AN162" s="36" t="s">
        <v>32</v>
      </c>
      <c r="AO162" s="37">
        <v>45759</v>
      </c>
      <c r="AP162" s="36" t="s">
        <v>1396</v>
      </c>
      <c r="AQ162" s="36" t="s">
        <v>2678</v>
      </c>
      <c r="AR162" s="36" t="s">
        <v>2785</v>
      </c>
      <c r="AS162" s="89"/>
      <c r="AT162" s="87"/>
      <c r="AU162" s="87"/>
      <c r="AV162" s="87"/>
      <c r="AW162" s="87">
        <v>1963500</v>
      </c>
      <c r="AX162" s="85">
        <v>2025</v>
      </c>
      <c r="AY162" s="85">
        <v>3</v>
      </c>
      <c r="AZ162" s="36"/>
      <c r="BA162" s="1" t="s">
        <v>44</v>
      </c>
    </row>
    <row r="163" spans="10:53">
      <c r="J163" s="37"/>
      <c r="K163" s="36"/>
      <c r="L163" s="87"/>
      <c r="M163" s="87"/>
      <c r="N163" s="36"/>
      <c r="O163" s="36"/>
      <c r="P163" s="1"/>
      <c r="AA163" s="36" t="s">
        <v>32</v>
      </c>
      <c r="AB163" s="85">
        <v>2025</v>
      </c>
      <c r="AC163" s="85">
        <v>5</v>
      </c>
      <c r="AD163" s="37">
        <v>45808</v>
      </c>
      <c r="AE163" s="36" t="s">
        <v>2872</v>
      </c>
      <c r="AF163" s="36" t="s">
        <v>2885</v>
      </c>
      <c r="AG163" s="1" t="s">
        <v>44</v>
      </c>
      <c r="AH163" s="16">
        <f>SUMIFS(DB!$I:$I,DB!$C:$C,$AE163,DB!$D:$D,$AF163,DB!$K:$K,$AB163,DB!$L:$L,$AC163)</f>
        <v>5662800</v>
      </c>
      <c r="AI163" s="16">
        <v>5148000</v>
      </c>
      <c r="AJ163" s="153">
        <v>514800</v>
      </c>
      <c r="AK163" s="162">
        <v>45835</v>
      </c>
      <c r="AL163" s="16">
        <v>5662800</v>
      </c>
      <c r="AM163" s="107">
        <v>0</v>
      </c>
      <c r="AN163" s="36" t="s">
        <v>32</v>
      </c>
      <c r="AO163" s="37">
        <v>45758</v>
      </c>
      <c r="AP163" s="36" t="s">
        <v>209</v>
      </c>
      <c r="AQ163" s="36" t="s">
        <v>2637</v>
      </c>
      <c r="AR163" s="36" t="s">
        <v>2786</v>
      </c>
      <c r="AS163" s="89"/>
      <c r="AT163" s="87"/>
      <c r="AU163" s="87"/>
      <c r="AV163" s="87"/>
      <c r="AW163" s="87">
        <v>47553440</v>
      </c>
      <c r="AX163" s="85">
        <v>2025</v>
      </c>
      <c r="AY163" s="85">
        <v>3</v>
      </c>
      <c r="AZ163" s="36"/>
      <c r="BA163" s="1" t="s">
        <v>44</v>
      </c>
    </row>
    <row r="164" spans="10:53">
      <c r="J164" s="37"/>
      <c r="K164" s="36"/>
      <c r="L164" s="87"/>
      <c r="M164" s="38"/>
      <c r="N164" s="36"/>
      <c r="O164" s="36"/>
      <c r="P164" s="1"/>
      <c r="AA164" s="36" t="s">
        <v>32</v>
      </c>
      <c r="AB164" s="85">
        <v>2025</v>
      </c>
      <c r="AC164" s="85">
        <v>5</v>
      </c>
      <c r="AD164" s="37">
        <v>45808</v>
      </c>
      <c r="AE164" s="36" t="s">
        <v>2873</v>
      </c>
      <c r="AF164" s="36" t="s">
        <v>3115</v>
      </c>
      <c r="AG164" s="1" t="s">
        <v>44</v>
      </c>
      <c r="AH164" s="16">
        <f>SUMIFS(DB!$I:$I,DB!$C:$C,$AE164,DB!$D:$D,$AF164,DB!$K:$K,$AB164,DB!$L:$L,$AC164)</f>
        <v>2200000</v>
      </c>
      <c r="AI164" s="16">
        <v>2000000</v>
      </c>
      <c r="AJ164" s="153">
        <v>200000</v>
      </c>
      <c r="AK164" s="162">
        <v>45838</v>
      </c>
      <c r="AL164" s="16">
        <v>2200000</v>
      </c>
      <c r="AM164" s="107">
        <v>0</v>
      </c>
      <c r="AN164" s="36" t="s">
        <v>32</v>
      </c>
      <c r="AO164" s="37">
        <v>45740</v>
      </c>
      <c r="AP164" s="36" t="s">
        <v>2279</v>
      </c>
      <c r="AQ164" s="36" t="s">
        <v>2579</v>
      </c>
      <c r="AR164" s="36" t="s">
        <v>148</v>
      </c>
      <c r="AS164" s="89"/>
      <c r="AT164" s="87"/>
      <c r="AU164" s="87"/>
      <c r="AV164" s="87"/>
      <c r="AW164" s="87">
        <v>3542000</v>
      </c>
      <c r="AX164" s="85">
        <v>2025</v>
      </c>
      <c r="AY164" s="85">
        <v>3</v>
      </c>
      <c r="AZ164" s="36"/>
      <c r="BA164" s="1" t="s">
        <v>44</v>
      </c>
    </row>
    <row r="165" spans="10:53">
      <c r="J165" s="37"/>
      <c r="K165" s="36"/>
      <c r="L165" s="87"/>
      <c r="M165" s="38"/>
      <c r="N165" s="36"/>
      <c r="O165" s="36"/>
      <c r="P165" s="1"/>
      <c r="AA165" s="36" t="s">
        <v>32</v>
      </c>
      <c r="AB165" s="85">
        <v>2025</v>
      </c>
      <c r="AC165" s="85">
        <v>5</v>
      </c>
      <c r="AD165" s="37">
        <v>45807</v>
      </c>
      <c r="AE165" s="36" t="s">
        <v>2774</v>
      </c>
      <c r="AF165" s="36" t="s">
        <v>2784</v>
      </c>
      <c r="AG165" s="1" t="s">
        <v>44</v>
      </c>
      <c r="AH165" s="16">
        <f>SUMIFS(DB!$I:$I,DB!$C:$C,$AE165,DB!$D:$D,$AF165,DB!$K:$K,$AB165,DB!$L:$L,$AC165)</f>
        <v>13865500</v>
      </c>
      <c r="AI165" s="16">
        <v>12605000</v>
      </c>
      <c r="AJ165" s="153">
        <v>1260500</v>
      </c>
      <c r="AK165" s="162">
        <v>45910</v>
      </c>
      <c r="AL165" s="16">
        <v>13865500</v>
      </c>
      <c r="AM165" s="107">
        <v>0</v>
      </c>
      <c r="AN165" s="36" t="s">
        <v>32</v>
      </c>
      <c r="AO165" s="37">
        <v>45741</v>
      </c>
      <c r="AP165" s="36" t="s">
        <v>2766</v>
      </c>
      <c r="AQ165" s="36" t="s">
        <v>2681</v>
      </c>
      <c r="AR165" s="36" t="s">
        <v>148</v>
      </c>
      <c r="AS165" s="89"/>
      <c r="AT165" s="87"/>
      <c r="AU165" s="87"/>
      <c r="AV165" s="87"/>
      <c r="AW165" s="87">
        <v>28144600</v>
      </c>
      <c r="AX165" s="85">
        <v>2025</v>
      </c>
      <c r="AY165" s="85">
        <v>3</v>
      </c>
      <c r="AZ165" s="36"/>
      <c r="BA165" s="1" t="s">
        <v>44</v>
      </c>
    </row>
    <row r="166" spans="10:53">
      <c r="J166" s="37"/>
      <c r="K166" s="36"/>
      <c r="L166" s="87"/>
      <c r="M166" s="87"/>
      <c r="N166" s="36"/>
      <c r="O166" s="36"/>
      <c r="P166" s="1"/>
      <c r="AA166" s="36" t="s">
        <v>32</v>
      </c>
      <c r="AB166" s="85">
        <v>2025</v>
      </c>
      <c r="AC166" s="85">
        <v>5</v>
      </c>
      <c r="AD166" s="37">
        <v>45808</v>
      </c>
      <c r="AE166" s="36" t="s">
        <v>1396</v>
      </c>
      <c r="AF166" s="36" t="s">
        <v>2680</v>
      </c>
      <c r="AG166" s="1" t="s">
        <v>44</v>
      </c>
      <c r="AH166" s="16">
        <f>SUMIFS(DB!$I:$I,DB!$C:$C,$AE166,DB!$D:$D,$AF166,DB!$K:$K,$AB166,DB!$L:$L,$AC166)</f>
        <v>1870000</v>
      </c>
      <c r="AI166" s="16">
        <v>1700000</v>
      </c>
      <c r="AJ166" s="153">
        <v>170000</v>
      </c>
      <c r="AK166" s="162">
        <v>45961</v>
      </c>
      <c r="AL166" s="16">
        <v>1870000</v>
      </c>
      <c r="AM166" s="107">
        <v>0</v>
      </c>
      <c r="AN166" s="36" t="s">
        <v>32</v>
      </c>
      <c r="AO166" s="37">
        <v>45751</v>
      </c>
      <c r="AP166" s="36" t="s">
        <v>1587</v>
      </c>
      <c r="AQ166" s="36" t="s">
        <v>2779</v>
      </c>
      <c r="AR166" s="36" t="s">
        <v>2787</v>
      </c>
      <c r="AS166" s="89"/>
      <c r="AT166" s="87"/>
      <c r="AU166" s="87"/>
      <c r="AV166" s="87"/>
      <c r="AW166" s="87">
        <v>9053000</v>
      </c>
      <c r="AX166" s="85">
        <v>2025</v>
      </c>
      <c r="AY166" s="85">
        <v>3</v>
      </c>
      <c r="AZ166" s="36"/>
      <c r="BA166" s="1" t="s">
        <v>44</v>
      </c>
    </row>
    <row r="167" spans="10:53">
      <c r="J167" s="37"/>
      <c r="K167" s="36"/>
      <c r="L167" s="87"/>
      <c r="M167" s="87"/>
      <c r="N167" s="36"/>
      <c r="O167" s="36"/>
      <c r="P167" s="1"/>
      <c r="AA167" s="36" t="s">
        <v>32</v>
      </c>
      <c r="AB167" s="85">
        <v>2025</v>
      </c>
      <c r="AC167" s="85">
        <v>5</v>
      </c>
      <c r="AD167" s="37">
        <v>45808</v>
      </c>
      <c r="AE167" s="36" t="s">
        <v>1396</v>
      </c>
      <c r="AF167" s="36" t="s">
        <v>2679</v>
      </c>
      <c r="AG167" s="1" t="s">
        <v>44</v>
      </c>
      <c r="AH167" s="16">
        <f>SUMIFS(DB!$I:$I,DB!$C:$C,$AE167,DB!$D:$D,$AF167,DB!$K:$K,$AB167,DB!$L:$L,$AC167)</f>
        <v>1727000</v>
      </c>
      <c r="AI167" s="16">
        <v>1570000</v>
      </c>
      <c r="AJ167" s="153">
        <v>157000</v>
      </c>
      <c r="AK167" s="162">
        <v>45961</v>
      </c>
      <c r="AL167" s="16">
        <v>1727000</v>
      </c>
      <c r="AM167" s="107">
        <v>0</v>
      </c>
      <c r="AN167" s="36" t="s">
        <v>32</v>
      </c>
      <c r="AO167" s="37">
        <v>45751</v>
      </c>
      <c r="AP167" s="36" t="s">
        <v>1587</v>
      </c>
      <c r="AQ167" s="36" t="s">
        <v>2780</v>
      </c>
      <c r="AR167" s="36" t="s">
        <v>2788</v>
      </c>
      <c r="AS167" s="89"/>
      <c r="AT167" s="87"/>
      <c r="AU167" s="87"/>
      <c r="AV167" s="87"/>
      <c r="AW167" s="87">
        <v>7642800</v>
      </c>
      <c r="AX167" s="85">
        <v>2025</v>
      </c>
      <c r="AY167" s="85">
        <v>3</v>
      </c>
      <c r="AZ167" s="36"/>
      <c r="BA167" s="1" t="s">
        <v>44</v>
      </c>
    </row>
    <row r="168" spans="10:53">
      <c r="J168" s="37"/>
      <c r="K168" s="36"/>
      <c r="L168" s="87"/>
      <c r="M168" s="87"/>
      <c r="N168" s="36"/>
      <c r="O168" s="36"/>
      <c r="P168" s="1"/>
      <c r="AA168" s="36" t="s">
        <v>32</v>
      </c>
      <c r="AB168" s="85">
        <v>2025</v>
      </c>
      <c r="AC168" s="85">
        <v>5</v>
      </c>
      <c r="AD168" s="37">
        <v>45808</v>
      </c>
      <c r="AE168" s="36" t="s">
        <v>1396</v>
      </c>
      <c r="AF168" s="36" t="s">
        <v>2677</v>
      </c>
      <c r="AG168" s="1" t="s">
        <v>44</v>
      </c>
      <c r="AH168" s="16">
        <f>SUMIFS(DB!$I:$I,DB!$C:$C,$AE168,DB!$D:$D,$AF168,DB!$K:$K,$AB168,DB!$L:$L,$AC168)</f>
        <v>7700000</v>
      </c>
      <c r="AI168" s="16">
        <v>7000000</v>
      </c>
      <c r="AJ168" s="153">
        <v>700000</v>
      </c>
      <c r="AK168" s="162">
        <v>45961</v>
      </c>
      <c r="AL168" s="16">
        <v>7700000</v>
      </c>
      <c r="AM168" s="107">
        <v>0</v>
      </c>
      <c r="AN168" s="36" t="s">
        <v>32</v>
      </c>
      <c r="AO168" s="37">
        <v>45751</v>
      </c>
      <c r="AP168" s="36" t="s">
        <v>2773</v>
      </c>
      <c r="AQ168" s="36" t="s">
        <v>2689</v>
      </c>
      <c r="AR168" s="36" t="s">
        <v>148</v>
      </c>
      <c r="AS168" s="89"/>
      <c r="AT168" s="87"/>
      <c r="AU168" s="87"/>
      <c r="AV168" s="87"/>
      <c r="AW168" s="87">
        <v>11000000</v>
      </c>
      <c r="AX168" s="85">
        <v>2025</v>
      </c>
      <c r="AY168" s="85">
        <v>3</v>
      </c>
      <c r="AZ168" s="36"/>
      <c r="BA168" s="1" t="s">
        <v>44</v>
      </c>
    </row>
    <row r="169" spans="10:53">
      <c r="J169" s="37"/>
      <c r="K169" s="36"/>
      <c r="L169" s="87"/>
      <c r="M169" s="87"/>
      <c r="N169" s="36"/>
      <c r="O169" s="36"/>
      <c r="P169" s="1"/>
      <c r="AA169" s="36" t="s">
        <v>32</v>
      </c>
      <c r="AB169" s="85">
        <v>2025</v>
      </c>
      <c r="AC169" s="85">
        <v>5</v>
      </c>
      <c r="AD169" s="37">
        <v>45808</v>
      </c>
      <c r="AE169" s="36" t="s">
        <v>1396</v>
      </c>
      <c r="AF169" s="36" t="s">
        <v>2678</v>
      </c>
      <c r="AG169" s="1" t="s">
        <v>44</v>
      </c>
      <c r="AH169" s="16">
        <f>SUMIFS(DB!$I:$I,DB!$C:$C,$AE169,DB!$D:$D,$AF169,DB!$K:$K,$AB169,DB!$L:$L,$AC169)</f>
        <v>7260000</v>
      </c>
      <c r="AI169" s="16">
        <v>6600000</v>
      </c>
      <c r="AJ169" s="153">
        <v>660000</v>
      </c>
      <c r="AK169" s="162">
        <v>45961</v>
      </c>
      <c r="AL169" s="16">
        <v>7260000</v>
      </c>
      <c r="AM169" s="107">
        <v>0</v>
      </c>
      <c r="AN169" s="36" t="s">
        <v>32</v>
      </c>
      <c r="AO169" s="37">
        <v>45751</v>
      </c>
      <c r="AP169" s="36" t="s">
        <v>654</v>
      </c>
      <c r="AQ169" s="36" t="s">
        <v>2632</v>
      </c>
      <c r="AR169" s="36" t="s">
        <v>2789</v>
      </c>
      <c r="AS169" s="281"/>
      <c r="AT169" s="230"/>
      <c r="AU169" s="230"/>
      <c r="AV169" s="230"/>
      <c r="AW169" s="258">
        <v>4180850</v>
      </c>
      <c r="AX169" s="85">
        <v>2025</v>
      </c>
      <c r="AY169" s="85">
        <v>1</v>
      </c>
      <c r="AZ169" s="36"/>
      <c r="BA169" s="1" t="s">
        <v>44</v>
      </c>
    </row>
    <row r="170" spans="10:53">
      <c r="J170" s="37"/>
      <c r="K170" s="36"/>
      <c r="L170" s="87"/>
      <c r="M170" s="87"/>
      <c r="N170" s="36"/>
      <c r="O170" s="36"/>
      <c r="P170" s="1"/>
      <c r="AA170" s="36" t="s">
        <v>32</v>
      </c>
      <c r="AB170" s="85">
        <v>2025</v>
      </c>
      <c r="AC170" s="85">
        <v>5</v>
      </c>
      <c r="AD170" s="37">
        <v>45808</v>
      </c>
      <c r="AE170" s="36" t="s">
        <v>1396</v>
      </c>
      <c r="AF170" s="36" t="s">
        <v>2954</v>
      </c>
      <c r="AG170" s="1" t="s">
        <v>44</v>
      </c>
      <c r="AH170" s="16">
        <f>SUMIFS(DB!$I:$I,DB!$C:$C,$AE170,DB!$D:$D,$AF170,DB!$K:$K,$AB170,DB!$L:$L,$AC170)</f>
        <v>1870000</v>
      </c>
      <c r="AI170" s="16">
        <v>1700000</v>
      </c>
      <c r="AJ170" s="153">
        <v>170000</v>
      </c>
      <c r="AK170" s="162">
        <v>45961</v>
      </c>
      <c r="AL170" s="16">
        <v>1870000</v>
      </c>
      <c r="AM170" s="107">
        <v>0</v>
      </c>
      <c r="AN170" s="36" t="s">
        <v>32</v>
      </c>
      <c r="AO170" s="37">
        <v>45731</v>
      </c>
      <c r="AP170" s="36" t="s">
        <v>1396</v>
      </c>
      <c r="AQ170" s="36" t="s">
        <v>2681</v>
      </c>
      <c r="AR170" s="36" t="s">
        <v>2790</v>
      </c>
      <c r="AS170" s="89"/>
      <c r="AT170" s="87"/>
      <c r="AU170" s="87"/>
      <c r="AV170" s="87"/>
      <c r="AW170" s="230">
        <v>2200000</v>
      </c>
      <c r="AX170" s="85">
        <v>2025</v>
      </c>
      <c r="AY170" s="85">
        <v>2</v>
      </c>
      <c r="AZ170" s="36"/>
      <c r="BA170" s="1" t="s">
        <v>44</v>
      </c>
    </row>
    <row r="171" spans="10:53">
      <c r="J171" s="37"/>
      <c r="K171" s="36"/>
      <c r="L171" s="87"/>
      <c r="M171" s="87"/>
      <c r="N171" s="36"/>
      <c r="O171" s="36"/>
      <c r="P171" s="1"/>
      <c r="AA171" s="36" t="s">
        <v>32</v>
      </c>
      <c r="AB171" s="85">
        <v>2025</v>
      </c>
      <c r="AC171" s="85">
        <v>5</v>
      </c>
      <c r="AD171" s="37">
        <v>45808</v>
      </c>
      <c r="AE171" s="36" t="s">
        <v>2393</v>
      </c>
      <c r="AF171" s="36" t="s">
        <v>2484</v>
      </c>
      <c r="AG171" s="1" t="s">
        <v>44</v>
      </c>
      <c r="AH171" s="16">
        <f>SUMIFS(DB!$I:$I,DB!$C:$C,$AE171,DB!$D:$D,$AF171,DB!$K:$K,$AB171,DB!$L:$L,$AC171)</f>
        <v>13000000.199999999</v>
      </c>
      <c r="AI171" s="16">
        <v>11818182</v>
      </c>
      <c r="AJ171" s="153">
        <v>1181818.2</v>
      </c>
      <c r="AK171" s="162">
        <v>45818</v>
      </c>
      <c r="AL171" s="16">
        <v>13000000.199999999</v>
      </c>
      <c r="AM171" s="107">
        <v>0</v>
      </c>
      <c r="AN171" s="36" t="s">
        <v>32</v>
      </c>
      <c r="AO171" s="37">
        <v>45762</v>
      </c>
      <c r="AP171" s="36" t="s">
        <v>291</v>
      </c>
      <c r="AQ171" s="36" t="s">
        <v>2690</v>
      </c>
      <c r="AR171" s="36" t="s">
        <v>148</v>
      </c>
      <c r="AS171" s="89"/>
      <c r="AT171" s="87"/>
      <c r="AU171" s="87"/>
      <c r="AV171" s="87"/>
      <c r="AW171" s="87">
        <v>1100000</v>
      </c>
      <c r="AX171" s="85">
        <v>2025</v>
      </c>
      <c r="AY171" s="85">
        <v>2</v>
      </c>
      <c r="AZ171" s="36"/>
      <c r="BA171" s="1" t="s">
        <v>44</v>
      </c>
    </row>
    <row r="172" spans="10:53">
      <c r="J172" s="37"/>
      <c r="K172" s="36"/>
      <c r="L172" s="87"/>
      <c r="M172" s="87"/>
      <c r="N172" s="36"/>
      <c r="O172" s="36"/>
      <c r="P172" s="1"/>
      <c r="AA172" s="36" t="s">
        <v>32</v>
      </c>
      <c r="AB172" s="85">
        <v>2025</v>
      </c>
      <c r="AC172" s="85">
        <v>5</v>
      </c>
      <c r="AD172" s="37">
        <v>45808</v>
      </c>
      <c r="AE172" s="36" t="s">
        <v>1198</v>
      </c>
      <c r="AF172" s="36" t="s">
        <v>2886</v>
      </c>
      <c r="AG172" s="1" t="s">
        <v>44</v>
      </c>
      <c r="AH172" s="16">
        <f>SUMIFS(DB!$I:$I,DB!$C:$C,$AE172,DB!$D:$D,$AF172,DB!$K:$K,$AB172,DB!$L:$L,$AC172)</f>
        <v>891000</v>
      </c>
      <c r="AI172" s="16">
        <v>810000</v>
      </c>
      <c r="AJ172" s="153">
        <v>81000</v>
      </c>
      <c r="AK172" s="162">
        <v>45827</v>
      </c>
      <c r="AL172" s="16">
        <v>891000</v>
      </c>
      <c r="AM172" s="107">
        <v>0</v>
      </c>
      <c r="AN172" s="36" t="s">
        <v>32</v>
      </c>
      <c r="AO172" s="37">
        <v>45763</v>
      </c>
      <c r="AP172" s="36" t="s">
        <v>2772</v>
      </c>
      <c r="AQ172" s="36" t="s">
        <v>2777</v>
      </c>
      <c r="AR172" s="36" t="s">
        <v>2791</v>
      </c>
      <c r="AS172" s="89"/>
      <c r="AT172" s="87"/>
      <c r="AU172" s="87"/>
      <c r="AV172" s="87"/>
      <c r="AW172" s="87">
        <v>5904800</v>
      </c>
      <c r="AX172" s="85">
        <v>2025</v>
      </c>
      <c r="AY172" s="85">
        <v>3</v>
      </c>
      <c r="AZ172" s="36"/>
      <c r="BA172" s="1" t="s">
        <v>44</v>
      </c>
    </row>
    <row r="173" spans="10:53">
      <c r="J173" s="37"/>
      <c r="K173" s="36"/>
      <c r="L173" s="87"/>
      <c r="M173" s="38"/>
      <c r="N173" s="36"/>
      <c r="O173" s="36"/>
      <c r="P173" s="1"/>
      <c r="AA173" s="36" t="s">
        <v>32</v>
      </c>
      <c r="AB173" s="85">
        <v>2025</v>
      </c>
      <c r="AC173" s="85">
        <v>5</v>
      </c>
      <c r="AD173" s="37">
        <v>45808</v>
      </c>
      <c r="AE173" s="36" t="s">
        <v>1198</v>
      </c>
      <c r="AF173" s="36" t="s">
        <v>2887</v>
      </c>
      <c r="AG173" s="1" t="s">
        <v>44</v>
      </c>
      <c r="AH173" s="16">
        <f>SUMIFS(DB!$I:$I,DB!$C:$C,$AE173,DB!$D:$D,$AF173,DB!$K:$K,$AB173,DB!$L:$L,$AC173)</f>
        <v>5507040</v>
      </c>
      <c r="AI173" s="16">
        <v>5006400</v>
      </c>
      <c r="AJ173" s="153">
        <v>500640</v>
      </c>
      <c r="AK173" s="162">
        <v>45950</v>
      </c>
      <c r="AL173" s="16">
        <v>5507040</v>
      </c>
      <c r="AM173" s="107">
        <v>0</v>
      </c>
      <c r="AN173" s="36" t="s">
        <v>32</v>
      </c>
      <c r="AO173" s="37">
        <v>45763</v>
      </c>
      <c r="AP173" s="36" t="s">
        <v>2772</v>
      </c>
      <c r="AQ173" s="36" t="s">
        <v>2778</v>
      </c>
      <c r="AR173" s="36" t="s">
        <v>2792</v>
      </c>
      <c r="AS173" s="89"/>
      <c r="AT173" s="87"/>
      <c r="AU173" s="87"/>
      <c r="AV173" s="87"/>
      <c r="AW173" s="87">
        <v>2178000</v>
      </c>
      <c r="AX173" s="85">
        <v>2025</v>
      </c>
      <c r="AY173" s="85">
        <v>3</v>
      </c>
      <c r="AZ173" s="36"/>
      <c r="BA173" s="1" t="s">
        <v>44</v>
      </c>
    </row>
    <row r="174" spans="10:53">
      <c r="J174" s="37"/>
      <c r="K174" s="36"/>
      <c r="L174" s="87"/>
      <c r="M174" s="38"/>
      <c r="N174" s="36"/>
      <c r="O174" s="36"/>
      <c r="P174" s="1"/>
      <c r="AA174" s="36" t="s">
        <v>32</v>
      </c>
      <c r="AB174" s="85">
        <v>2025</v>
      </c>
      <c r="AC174" s="85">
        <v>5</v>
      </c>
      <c r="AD174" s="37">
        <v>45808</v>
      </c>
      <c r="AE174" s="36" t="s">
        <v>1198</v>
      </c>
      <c r="AF174" s="36" t="s">
        <v>2888</v>
      </c>
      <c r="AG174" s="1" t="s">
        <v>44</v>
      </c>
      <c r="AH174" s="16">
        <f>SUMIFS(DB!$I:$I,DB!$C:$C,$AE174,DB!$D:$D,$AF174,DB!$K:$K,$AB174,DB!$L:$L,$AC174)</f>
        <v>6648400</v>
      </c>
      <c r="AI174" s="16">
        <v>6044000</v>
      </c>
      <c r="AJ174" s="153">
        <v>604400</v>
      </c>
      <c r="AL174" s="16">
        <v>0</v>
      </c>
      <c r="AM174" s="107">
        <v>6648400</v>
      </c>
      <c r="AN174" s="36" t="s">
        <v>32</v>
      </c>
      <c r="AO174" s="37">
        <v>45716</v>
      </c>
      <c r="AP174" s="36" t="s">
        <v>2672</v>
      </c>
      <c r="AQ174" s="36" t="s">
        <v>2685</v>
      </c>
      <c r="AR174" s="36" t="s">
        <v>148</v>
      </c>
      <c r="AS174" s="89"/>
      <c r="AT174" s="87"/>
      <c r="AU174" s="87"/>
      <c r="AV174" s="87"/>
      <c r="AW174" s="87">
        <v>1386000</v>
      </c>
      <c r="AX174" s="85">
        <v>2025</v>
      </c>
      <c r="AY174" s="85">
        <v>2</v>
      </c>
      <c r="AZ174" s="36"/>
      <c r="BA174" s="1" t="s">
        <v>44</v>
      </c>
    </row>
    <row r="175" spans="10:53">
      <c r="J175" s="37"/>
      <c r="K175" s="36"/>
      <c r="L175" s="87"/>
      <c r="M175" s="38"/>
      <c r="N175" s="36"/>
      <c r="O175" s="36"/>
      <c r="P175" s="1"/>
      <c r="AA175" s="36" t="s">
        <v>32</v>
      </c>
      <c r="AB175" s="85">
        <v>2025</v>
      </c>
      <c r="AC175" s="85">
        <v>5</v>
      </c>
      <c r="AD175" s="37">
        <v>45808</v>
      </c>
      <c r="AE175" s="36" t="s">
        <v>1198</v>
      </c>
      <c r="AF175" s="36" t="s">
        <v>2889</v>
      </c>
      <c r="AG175" s="1" t="s">
        <v>44</v>
      </c>
      <c r="AH175" s="16">
        <f>SUMIFS(DB!$I:$I,DB!$C:$C,$AE175,DB!$D:$D,$AF175,DB!$K:$K,$AB175,DB!$L:$L,$AC175)</f>
        <v>1455300</v>
      </c>
      <c r="AI175" s="16">
        <v>1323000</v>
      </c>
      <c r="AJ175" s="153">
        <v>132300</v>
      </c>
      <c r="AK175" s="162">
        <v>45950</v>
      </c>
      <c r="AL175" s="16">
        <v>1455300</v>
      </c>
      <c r="AM175" s="107">
        <v>0</v>
      </c>
      <c r="AN175" s="36" t="s">
        <v>32</v>
      </c>
      <c r="AO175" s="37">
        <v>45770</v>
      </c>
      <c r="AP175" s="36" t="s">
        <v>654</v>
      </c>
      <c r="AQ175" s="36" t="s">
        <v>2771</v>
      </c>
      <c r="AR175" s="36" t="s">
        <v>2795</v>
      </c>
      <c r="AS175" s="89"/>
      <c r="AT175" s="87"/>
      <c r="AU175" s="87"/>
      <c r="AV175" s="87"/>
      <c r="AW175" s="87">
        <v>71857940</v>
      </c>
      <c r="AX175" s="85">
        <v>2025</v>
      </c>
      <c r="AY175" s="85">
        <v>3</v>
      </c>
      <c r="AZ175" s="36" t="s">
        <v>2796</v>
      </c>
      <c r="BA175" s="1" t="s">
        <v>44</v>
      </c>
    </row>
    <row r="176" spans="10:53">
      <c r="J176" s="37"/>
      <c r="K176" s="36"/>
      <c r="L176" s="87"/>
      <c r="M176" s="38"/>
      <c r="N176" s="36"/>
      <c r="O176" s="36"/>
      <c r="P176" s="1"/>
      <c r="AA176" s="36" t="s">
        <v>32</v>
      </c>
      <c r="AB176" s="85">
        <v>2025</v>
      </c>
      <c r="AC176" s="85">
        <v>5</v>
      </c>
      <c r="AD176" s="37">
        <v>45808</v>
      </c>
      <c r="AE176" s="36" t="s">
        <v>2766</v>
      </c>
      <c r="AF176" s="36" t="s">
        <v>2890</v>
      </c>
      <c r="AG176" s="1" t="s">
        <v>44</v>
      </c>
      <c r="AH176" s="16">
        <f>SUMIFS(DB!$I:$I,DB!$C:$C,$AE176,DB!$D:$D,$AF176,DB!$K:$K,$AB176,DB!$L:$L,$AC176)</f>
        <v>2640000</v>
      </c>
      <c r="AI176" s="16">
        <v>2400000</v>
      </c>
      <c r="AJ176" s="153">
        <v>240000</v>
      </c>
      <c r="AL176" s="16">
        <v>0</v>
      </c>
      <c r="AM176" s="107">
        <v>2640000</v>
      </c>
      <c r="AN176" s="36" t="s">
        <v>32</v>
      </c>
      <c r="AO176" s="37">
        <v>45772</v>
      </c>
      <c r="AP176" s="36" t="s">
        <v>1396</v>
      </c>
      <c r="AQ176" s="36" t="s">
        <v>2679</v>
      </c>
      <c r="AR176" s="36" t="s">
        <v>2706</v>
      </c>
      <c r="AS176" s="89"/>
      <c r="AT176" s="87"/>
      <c r="AU176" s="87"/>
      <c r="AV176" s="87"/>
      <c r="AW176" s="87">
        <v>4269870</v>
      </c>
      <c r="AX176" s="85">
        <v>2025</v>
      </c>
      <c r="AY176" s="85">
        <v>3</v>
      </c>
      <c r="AZ176" s="36"/>
      <c r="BA176" s="1" t="s">
        <v>44</v>
      </c>
    </row>
    <row r="177" spans="10:53">
      <c r="J177" s="37"/>
      <c r="K177" s="36"/>
      <c r="L177" s="87"/>
      <c r="M177" s="87"/>
      <c r="N177" s="36"/>
      <c r="O177" s="36"/>
      <c r="P177" s="1"/>
      <c r="AA177" s="36" t="s">
        <v>32</v>
      </c>
      <c r="AB177" s="85">
        <v>2025</v>
      </c>
      <c r="AC177" s="85">
        <v>5</v>
      </c>
      <c r="AD177" s="37">
        <v>45808</v>
      </c>
      <c r="AE177" s="36" t="s">
        <v>2477</v>
      </c>
      <c r="AF177" s="36" t="s">
        <v>2485</v>
      </c>
      <c r="AG177" s="1" t="s">
        <v>44</v>
      </c>
      <c r="AH177" s="16">
        <f>SUMIFS(DB!$I:$I,DB!$C:$C,$AE177,DB!$D:$D,$AF177,DB!$K:$K,$AB177,DB!$L:$L,$AC177)</f>
        <v>5163840</v>
      </c>
      <c r="AI177" s="16">
        <v>4694400</v>
      </c>
      <c r="AJ177" s="153">
        <v>469440</v>
      </c>
      <c r="AK177" s="162">
        <v>45838</v>
      </c>
      <c r="AL177" s="16">
        <v>5163840</v>
      </c>
      <c r="AM177" s="107">
        <v>0</v>
      </c>
      <c r="AN177" s="36" t="s">
        <v>32</v>
      </c>
      <c r="AO177" s="37">
        <v>45772</v>
      </c>
      <c r="AP177" s="36" t="s">
        <v>2673</v>
      </c>
      <c r="AQ177" s="36" t="s">
        <v>2686</v>
      </c>
      <c r="AR177" s="36" t="s">
        <v>148</v>
      </c>
      <c r="AS177" s="89"/>
      <c r="AT177" s="87"/>
      <c r="AU177" s="87"/>
      <c r="AV177" s="87"/>
      <c r="AW177" s="87">
        <v>4488000</v>
      </c>
      <c r="AX177" s="85">
        <v>2025</v>
      </c>
      <c r="AY177" s="85">
        <v>2</v>
      </c>
      <c r="AZ177" s="36"/>
      <c r="BA177" s="1" t="s">
        <v>44</v>
      </c>
    </row>
    <row r="178" spans="10:53">
      <c r="J178" s="37"/>
      <c r="K178" s="36"/>
      <c r="L178" s="87"/>
      <c r="M178" s="87"/>
      <c r="N178" s="36"/>
      <c r="O178" s="36"/>
      <c r="P178" s="1"/>
      <c r="AA178" s="36" t="s">
        <v>32</v>
      </c>
      <c r="AB178" s="85">
        <v>2025</v>
      </c>
      <c r="AC178" s="85">
        <v>5</v>
      </c>
      <c r="AD178" s="37">
        <v>45808</v>
      </c>
      <c r="AE178" s="36" t="s">
        <v>2772</v>
      </c>
      <c r="AF178" s="36" t="s">
        <v>2891</v>
      </c>
      <c r="AG178" s="1" t="s">
        <v>44</v>
      </c>
      <c r="AH178" s="16">
        <f>SUMIFS(DB!$I:$I,DB!$C:$C,$AE178,DB!$D:$D,$AF178,DB!$K:$K,$AB178,DB!$L:$L,$AC178)</f>
        <v>7425000</v>
      </c>
      <c r="AI178" s="16">
        <v>6750000</v>
      </c>
      <c r="AJ178" s="153">
        <v>675000</v>
      </c>
      <c r="AK178" s="162">
        <v>45822</v>
      </c>
      <c r="AL178" s="16">
        <v>7425000</v>
      </c>
      <c r="AM178" s="107">
        <v>0</v>
      </c>
      <c r="AN178" s="36" t="s">
        <v>32</v>
      </c>
      <c r="AO178" s="37">
        <v>45772</v>
      </c>
      <c r="AP178" s="36" t="s">
        <v>2674</v>
      </c>
      <c r="AQ178" s="36" t="s">
        <v>2687</v>
      </c>
      <c r="AR178" s="36" t="s">
        <v>148</v>
      </c>
      <c r="AS178" s="89"/>
      <c r="AT178" s="87"/>
      <c r="AU178" s="87"/>
      <c r="AV178" s="87"/>
      <c r="AW178" s="87">
        <v>22849200</v>
      </c>
      <c r="AX178" s="85">
        <v>2025</v>
      </c>
      <c r="AY178" s="85">
        <v>3</v>
      </c>
      <c r="AZ178" s="36"/>
      <c r="BA178" s="1" t="s">
        <v>44</v>
      </c>
    </row>
    <row r="179" spans="10:53">
      <c r="J179" s="37"/>
      <c r="K179" s="36"/>
      <c r="L179" s="87"/>
      <c r="M179" s="87"/>
      <c r="N179" s="36"/>
      <c r="O179" s="36"/>
      <c r="P179" s="1"/>
      <c r="AA179" s="36" t="s">
        <v>32</v>
      </c>
      <c r="AB179" s="85">
        <v>2025</v>
      </c>
      <c r="AC179" s="85">
        <v>5</v>
      </c>
      <c r="AD179" s="37">
        <v>45808</v>
      </c>
      <c r="AE179" s="36" t="s">
        <v>2772</v>
      </c>
      <c r="AF179" s="36" t="s">
        <v>2892</v>
      </c>
      <c r="AG179" s="1" t="s">
        <v>44</v>
      </c>
      <c r="AH179" s="16">
        <f>SUMIFS(DB!$I:$I,DB!$C:$C,$AE179,DB!$D:$D,$AF179,DB!$K:$K,$AB179,DB!$L:$L,$AC179)</f>
        <v>1476200</v>
      </c>
      <c r="AI179" s="16">
        <v>1342000</v>
      </c>
      <c r="AJ179" s="153">
        <v>134200</v>
      </c>
      <c r="AK179" s="162">
        <v>45961</v>
      </c>
      <c r="AL179" s="16">
        <v>1476200</v>
      </c>
      <c r="AM179" s="107">
        <v>0</v>
      </c>
      <c r="AN179" s="36" t="s">
        <v>32</v>
      </c>
      <c r="AO179" s="37">
        <v>45776</v>
      </c>
      <c r="AP179" s="36" t="s">
        <v>2628</v>
      </c>
      <c r="AQ179" s="36" t="s">
        <v>2639</v>
      </c>
      <c r="AR179" s="36" t="s">
        <v>148</v>
      </c>
      <c r="AS179" s="89"/>
      <c r="AT179" s="87"/>
      <c r="AU179" s="87"/>
      <c r="AV179" s="87"/>
      <c r="AW179" s="87">
        <v>11907280</v>
      </c>
      <c r="AX179" s="85">
        <v>2025</v>
      </c>
      <c r="AY179" s="85">
        <v>3</v>
      </c>
      <c r="AZ179" s="36"/>
      <c r="BA179" s="1" t="s">
        <v>44</v>
      </c>
    </row>
    <row r="180" spans="10:53">
      <c r="J180" s="37"/>
      <c r="K180" s="36"/>
      <c r="L180" s="87"/>
      <c r="M180" s="87"/>
      <c r="N180" s="36"/>
      <c r="O180" s="36"/>
      <c r="P180" s="1"/>
      <c r="AA180" s="36" t="s">
        <v>32</v>
      </c>
      <c r="AB180" s="85">
        <v>2025</v>
      </c>
      <c r="AC180" s="85">
        <v>5</v>
      </c>
      <c r="AD180" s="37">
        <v>45808</v>
      </c>
      <c r="AE180" s="36" t="s">
        <v>264</v>
      </c>
      <c r="AF180" s="36" t="s">
        <v>2893</v>
      </c>
      <c r="AG180" s="1" t="s">
        <v>44</v>
      </c>
      <c r="AH180" s="16">
        <f>SUMIFS(DB!$I:$I,DB!$C:$C,$AE180,DB!$D:$D,$AF180,DB!$K:$K,$AB180,DB!$L:$L,$AC180)</f>
        <v>33000000</v>
      </c>
      <c r="AI180" s="16">
        <v>30000000</v>
      </c>
      <c r="AJ180" s="153">
        <v>3000000</v>
      </c>
      <c r="AK180" s="162">
        <v>45838</v>
      </c>
      <c r="AL180" s="16">
        <v>33000000</v>
      </c>
      <c r="AM180" s="107">
        <v>0</v>
      </c>
      <c r="AN180" s="36" t="s">
        <v>32</v>
      </c>
      <c r="AO180" s="37">
        <v>45775</v>
      </c>
      <c r="AP180" s="36" t="s">
        <v>209</v>
      </c>
      <c r="AQ180" s="36" t="s">
        <v>2551</v>
      </c>
      <c r="AR180" s="36" t="s">
        <v>2797</v>
      </c>
      <c r="AS180" s="89"/>
      <c r="AT180" s="87"/>
      <c r="AU180" s="87"/>
      <c r="AV180" s="87"/>
      <c r="AW180" s="87">
        <v>6328080</v>
      </c>
      <c r="AX180" s="85">
        <v>2025</v>
      </c>
      <c r="AY180" s="85">
        <v>3</v>
      </c>
      <c r="AZ180" s="36"/>
      <c r="BA180" s="1" t="s">
        <v>44</v>
      </c>
    </row>
    <row r="181" spans="10:53">
      <c r="J181" s="37"/>
      <c r="K181" s="36"/>
      <c r="L181" s="87"/>
      <c r="M181" s="38"/>
      <c r="N181" s="36"/>
      <c r="O181" s="36"/>
      <c r="P181" s="1"/>
      <c r="AA181" s="36" t="s">
        <v>32</v>
      </c>
      <c r="AB181" s="85">
        <v>2025</v>
      </c>
      <c r="AC181" s="85">
        <v>5</v>
      </c>
      <c r="AD181" s="37">
        <v>45808</v>
      </c>
      <c r="AE181" s="36" t="s">
        <v>1470</v>
      </c>
      <c r="AF181" s="36" t="s">
        <v>1487</v>
      </c>
      <c r="AG181" s="1" t="s">
        <v>44</v>
      </c>
      <c r="AH181" s="16">
        <f>SUMIFS(DB!$I:$I,DB!$C:$C,$AE181,DB!$D:$D,$AF181,DB!$K:$K,$AB181,DB!$L:$L,$AC181)</f>
        <v>19137030</v>
      </c>
      <c r="AI181" s="16">
        <v>17397300</v>
      </c>
      <c r="AJ181" s="153">
        <v>1739730</v>
      </c>
      <c r="AK181" s="162">
        <v>45869</v>
      </c>
      <c r="AL181" s="16">
        <v>19137030</v>
      </c>
      <c r="AM181" s="107">
        <v>0</v>
      </c>
      <c r="AN181" s="36" t="s">
        <v>32</v>
      </c>
      <c r="AO181" s="37">
        <v>45772</v>
      </c>
      <c r="AP181" s="36" t="s">
        <v>2477</v>
      </c>
      <c r="AQ181" s="36" t="s">
        <v>2485</v>
      </c>
      <c r="AR181" s="36" t="s">
        <v>148</v>
      </c>
      <c r="AS181" s="89"/>
      <c r="AT181" s="87"/>
      <c r="AU181" s="87"/>
      <c r="AV181" s="87"/>
      <c r="AW181" s="87">
        <v>5163840</v>
      </c>
      <c r="AX181" s="85">
        <v>2025</v>
      </c>
      <c r="AY181" s="85">
        <v>3</v>
      </c>
      <c r="AZ181" s="36" t="s">
        <v>2653</v>
      </c>
      <c r="BA181" s="1" t="s">
        <v>44</v>
      </c>
    </row>
    <row r="182" spans="10:53">
      <c r="J182" s="37"/>
      <c r="K182" s="36"/>
      <c r="L182" s="87"/>
      <c r="M182" s="87"/>
      <c r="N182" s="36"/>
      <c r="O182" s="36"/>
      <c r="P182" s="1"/>
      <c r="AA182" s="36" t="s">
        <v>32</v>
      </c>
      <c r="AB182" s="85">
        <v>2025</v>
      </c>
      <c r="AC182" s="85">
        <v>5</v>
      </c>
      <c r="AD182" s="37">
        <v>45808</v>
      </c>
      <c r="AE182" s="36" t="s">
        <v>2874</v>
      </c>
      <c r="AF182" s="36" t="s">
        <v>2854</v>
      </c>
      <c r="AG182" s="1" t="s">
        <v>44</v>
      </c>
      <c r="AH182" s="16">
        <f>SUMIFS(DB!$I:$I,DB!$C:$C,$AE182,DB!$D:$D,$AF182,DB!$K:$K,$AB182,DB!$L:$L,$AC182)</f>
        <v>49170000</v>
      </c>
      <c r="AI182" s="16">
        <v>44700000</v>
      </c>
      <c r="AJ182" s="153">
        <v>4470000</v>
      </c>
      <c r="AK182" s="162">
        <v>45873</v>
      </c>
      <c r="AL182" s="16">
        <v>49170000</v>
      </c>
      <c r="AM182" s="107">
        <v>0</v>
      </c>
      <c r="AN182" s="36" t="s">
        <v>32</v>
      </c>
      <c r="AO182" s="37">
        <v>45762</v>
      </c>
      <c r="AP182" s="36" t="s">
        <v>2626</v>
      </c>
      <c r="AQ182" s="36" t="s">
        <v>2636</v>
      </c>
      <c r="AR182" s="36" t="s">
        <v>148</v>
      </c>
      <c r="AS182" s="89"/>
      <c r="AT182" s="87"/>
      <c r="AU182" s="87"/>
      <c r="AV182" s="87"/>
      <c r="AW182" s="87">
        <v>3275748.3</v>
      </c>
      <c r="AX182" s="85">
        <v>2025</v>
      </c>
      <c r="AY182" s="85">
        <v>3</v>
      </c>
      <c r="AZ182" s="36"/>
      <c r="BA182" s="1" t="s">
        <v>44</v>
      </c>
    </row>
    <row r="183" spans="10:53">
      <c r="J183" s="37"/>
      <c r="K183" s="36"/>
      <c r="L183" s="87"/>
      <c r="M183" s="87"/>
      <c r="N183" s="36"/>
      <c r="O183" s="36"/>
      <c r="P183" s="1"/>
      <c r="AA183" s="36" t="s">
        <v>32</v>
      </c>
      <c r="AB183" s="85">
        <v>2025</v>
      </c>
      <c r="AC183" s="85">
        <v>5</v>
      </c>
      <c r="AD183" s="37">
        <v>45808</v>
      </c>
      <c r="AE183" s="36" t="s">
        <v>1569</v>
      </c>
      <c r="AF183" s="36" t="s">
        <v>2466</v>
      </c>
      <c r="AG183" s="1" t="s">
        <v>44</v>
      </c>
      <c r="AH183" s="16">
        <f>SUMIFS(DB!$I:$I,DB!$C:$C,$AE183,DB!$D:$D,$AF183,DB!$K:$K,$AB183,DB!$L:$L,$AC183)</f>
        <v>6808824</v>
      </c>
      <c r="AI183" s="16">
        <v>6189840</v>
      </c>
      <c r="AJ183" s="153">
        <v>618984</v>
      </c>
      <c r="AK183" s="162">
        <v>45820</v>
      </c>
      <c r="AL183" s="16">
        <v>6808824</v>
      </c>
      <c r="AM183" s="107">
        <v>0</v>
      </c>
      <c r="AN183" s="36" t="s">
        <v>32</v>
      </c>
      <c r="AO183" s="37">
        <v>45776</v>
      </c>
      <c r="AP183" s="36" t="s">
        <v>2474</v>
      </c>
      <c r="AQ183" s="36" t="s">
        <v>2691</v>
      </c>
      <c r="AR183" s="36" t="s">
        <v>148</v>
      </c>
      <c r="AS183" s="89"/>
      <c r="AT183" s="87"/>
      <c r="AU183" s="87"/>
      <c r="AV183" s="87"/>
      <c r="AW183" s="87">
        <v>1485000</v>
      </c>
      <c r="AX183" s="85">
        <v>2025</v>
      </c>
      <c r="AY183" s="85">
        <v>2</v>
      </c>
      <c r="AZ183" s="36"/>
      <c r="BA183" s="1" t="s">
        <v>44</v>
      </c>
    </row>
    <row r="184" spans="10:53">
      <c r="J184" s="37"/>
      <c r="K184" s="36"/>
      <c r="L184" s="87"/>
      <c r="M184" s="38"/>
      <c r="N184" s="36"/>
      <c r="O184" s="36"/>
      <c r="P184" s="1"/>
      <c r="AA184" s="36" t="s">
        <v>32</v>
      </c>
      <c r="AB184" s="85">
        <v>2025</v>
      </c>
      <c r="AC184" s="85">
        <v>6</v>
      </c>
      <c r="AD184" s="37">
        <v>45810</v>
      </c>
      <c r="AE184" s="36" t="s">
        <v>2943</v>
      </c>
      <c r="AF184" s="36" t="s">
        <v>2946</v>
      </c>
      <c r="AG184" s="1" t="s">
        <v>44</v>
      </c>
      <c r="AH184" s="16">
        <f>SUMIFS(DB!$I:$I,DB!$C:$C,$AE184,DB!$D:$D,$AF184,DB!$K:$K,$AB184,DB!$L:$L,$AC184)</f>
        <v>4730000</v>
      </c>
      <c r="AI184" s="16">
        <v>4300000</v>
      </c>
      <c r="AJ184" s="153">
        <v>430000</v>
      </c>
      <c r="AK184" s="162">
        <v>45810</v>
      </c>
      <c r="AL184" s="16">
        <v>4730000</v>
      </c>
      <c r="AM184" s="107">
        <v>0</v>
      </c>
      <c r="AN184" s="36" t="s">
        <v>32</v>
      </c>
      <c r="AO184" s="37">
        <v>45776</v>
      </c>
      <c r="AP184" s="36" t="s">
        <v>2768</v>
      </c>
      <c r="AQ184" s="36" t="s">
        <v>2689</v>
      </c>
      <c r="AR184" s="36" t="s">
        <v>148</v>
      </c>
      <c r="AS184" s="89"/>
      <c r="AT184" s="87"/>
      <c r="AU184" s="87"/>
      <c r="AV184" s="87"/>
      <c r="AW184" s="87">
        <v>1320000</v>
      </c>
      <c r="AX184" s="85">
        <v>2025</v>
      </c>
      <c r="AY184" s="85">
        <v>3</v>
      </c>
      <c r="AZ184" s="36"/>
      <c r="BA184" s="1" t="s">
        <v>44</v>
      </c>
    </row>
    <row r="185" spans="10:53">
      <c r="J185" s="37"/>
      <c r="K185" s="36"/>
      <c r="L185" s="87"/>
      <c r="M185" s="38"/>
      <c r="N185" s="36"/>
      <c r="O185" s="36"/>
      <c r="P185" s="1"/>
      <c r="AA185" s="36" t="s">
        <v>32</v>
      </c>
      <c r="AB185" s="85">
        <v>2025</v>
      </c>
      <c r="AC185" s="85">
        <v>6</v>
      </c>
      <c r="AD185" s="37">
        <v>45820</v>
      </c>
      <c r="AE185" s="36" t="s">
        <v>2005</v>
      </c>
      <c r="AF185" s="36" t="s">
        <v>2947</v>
      </c>
      <c r="AG185" s="1" t="s">
        <v>44</v>
      </c>
      <c r="AH185" s="16">
        <f>SUMIFS(DB!$I:$I,DB!$C:$C,$AE185,DB!$D:$D,$AF185,DB!$K:$K,$AB185,DB!$L:$L,$AC185)</f>
        <v>14300000</v>
      </c>
      <c r="AI185" s="16">
        <v>13000000</v>
      </c>
      <c r="AJ185" s="153">
        <v>1300000</v>
      </c>
      <c r="AK185" s="162">
        <v>45946</v>
      </c>
      <c r="AL185" s="16">
        <v>14300000</v>
      </c>
      <c r="AM185" s="107">
        <v>0</v>
      </c>
      <c r="AN185" s="36" t="s">
        <v>32</v>
      </c>
      <c r="AO185" s="37">
        <v>45777</v>
      </c>
      <c r="AP185" s="36" t="s">
        <v>654</v>
      </c>
      <c r="AQ185" s="36" t="s">
        <v>2770</v>
      </c>
      <c r="AR185" s="36" t="s">
        <v>2798</v>
      </c>
      <c r="AS185" s="89"/>
      <c r="AT185" s="87"/>
      <c r="AU185" s="87"/>
      <c r="AV185" s="87"/>
      <c r="AW185" s="283">
        <v>19969356</v>
      </c>
      <c r="AX185" s="85">
        <v>2025</v>
      </c>
      <c r="AY185" s="85">
        <v>3</v>
      </c>
      <c r="AZ185" s="36" t="s">
        <v>2841</v>
      </c>
      <c r="BA185" s="1" t="s">
        <v>44</v>
      </c>
    </row>
    <row r="186" spans="10:53">
      <c r="J186" s="37"/>
      <c r="K186" s="36"/>
      <c r="L186" s="87"/>
      <c r="M186" s="38"/>
      <c r="N186" s="36"/>
      <c r="O186" s="36"/>
      <c r="P186" s="1"/>
      <c r="AA186" s="36" t="s">
        <v>32</v>
      </c>
      <c r="AB186" s="85">
        <v>2025</v>
      </c>
      <c r="AC186" s="85">
        <v>6</v>
      </c>
      <c r="AD186" s="37">
        <v>45809</v>
      </c>
      <c r="AE186" s="36" t="s">
        <v>1218</v>
      </c>
      <c r="AF186" s="36" t="s">
        <v>1492</v>
      </c>
      <c r="AG186" s="1" t="s">
        <v>44</v>
      </c>
      <c r="AH186" s="16">
        <f>SUMIFS(DB!$I:$I,DB!$C:$C,$AE186,DB!$D:$D,$AF186,DB!$K:$K,$AB186,DB!$L:$L,$AC186)</f>
        <v>55000000</v>
      </c>
      <c r="AI186" s="16">
        <v>50000000</v>
      </c>
      <c r="AJ186" s="153">
        <v>5000000</v>
      </c>
      <c r="AK186" s="162">
        <v>45961</v>
      </c>
      <c r="AL186" s="16">
        <v>55000000</v>
      </c>
      <c r="AM186" s="107">
        <v>0</v>
      </c>
      <c r="AN186" s="36" t="s">
        <v>32</v>
      </c>
      <c r="AO186" s="37">
        <v>45777</v>
      </c>
      <c r="AP186" s="36" t="s">
        <v>2478</v>
      </c>
      <c r="AQ186" s="36" t="s">
        <v>2487</v>
      </c>
      <c r="AR186" s="36" t="s">
        <v>148</v>
      </c>
      <c r="AS186" s="89"/>
      <c r="AT186" s="87"/>
      <c r="AU186" s="87"/>
      <c r="AV186" s="87"/>
      <c r="AW186" s="87">
        <v>14025000</v>
      </c>
      <c r="AX186" s="85">
        <v>2025</v>
      </c>
      <c r="AY186" s="85">
        <v>3</v>
      </c>
      <c r="AZ186" s="36"/>
      <c r="BA186" s="1" t="s">
        <v>44</v>
      </c>
    </row>
    <row r="187" spans="10:53">
      <c r="J187" s="37"/>
      <c r="K187" s="36"/>
      <c r="L187" s="87"/>
      <c r="M187" s="38"/>
      <c r="N187" s="36"/>
      <c r="O187" s="36"/>
      <c r="P187" s="1"/>
      <c r="AA187" s="36" t="s">
        <v>32</v>
      </c>
      <c r="AB187" s="85">
        <v>2025</v>
      </c>
      <c r="AC187" s="85">
        <v>6</v>
      </c>
      <c r="AD187" s="37">
        <v>45828</v>
      </c>
      <c r="AE187" s="36" t="s">
        <v>1395</v>
      </c>
      <c r="AF187" s="36" t="s">
        <v>2948</v>
      </c>
      <c r="AG187" s="1" t="s">
        <v>44</v>
      </c>
      <c r="AH187" s="16">
        <f>SUMIFS(DB!$I:$I,DB!$C:$C,$AE187,DB!$D:$D,$AF187,DB!$K:$K,$AB187,DB!$L:$L,$AC187)</f>
        <v>5599999.9000000004</v>
      </c>
      <c r="AI187" s="16">
        <v>5090909</v>
      </c>
      <c r="AJ187" s="153">
        <v>509090.9</v>
      </c>
      <c r="AK187" s="162">
        <v>45828</v>
      </c>
      <c r="AL187" s="16">
        <v>5600000</v>
      </c>
      <c r="AM187" s="107">
        <v>-9.999999962747097E-2</v>
      </c>
      <c r="AN187" s="36" t="s">
        <v>32</v>
      </c>
      <c r="AO187" s="37">
        <v>45777</v>
      </c>
      <c r="AP187" s="36" t="s">
        <v>1470</v>
      </c>
      <c r="AQ187" s="36" t="s">
        <v>1487</v>
      </c>
      <c r="AR187" s="36" t="s">
        <v>148</v>
      </c>
      <c r="AS187" s="89"/>
      <c r="AT187" s="87"/>
      <c r="AU187" s="87"/>
      <c r="AV187" s="87"/>
      <c r="AW187" s="87">
        <v>43978110</v>
      </c>
      <c r="AX187" s="85">
        <v>2025</v>
      </c>
      <c r="AY187" s="85">
        <v>3</v>
      </c>
      <c r="AZ187" s="36"/>
      <c r="BA187" s="1" t="s">
        <v>44</v>
      </c>
    </row>
    <row r="188" spans="10:53">
      <c r="J188" s="37"/>
      <c r="K188" s="36"/>
      <c r="L188" s="87"/>
      <c r="M188" s="38"/>
      <c r="N188" s="36"/>
      <c r="O188" s="36"/>
      <c r="P188" s="1"/>
      <c r="AA188" s="36" t="s">
        <v>32</v>
      </c>
      <c r="AB188" s="85">
        <v>2025</v>
      </c>
      <c r="AC188" s="85">
        <v>6</v>
      </c>
      <c r="AD188" s="37">
        <v>45835</v>
      </c>
      <c r="AE188" s="36" t="s">
        <v>209</v>
      </c>
      <c r="AF188" s="36" t="s">
        <v>2551</v>
      </c>
      <c r="AG188" s="1" t="s">
        <v>44</v>
      </c>
      <c r="AH188" s="16">
        <f>SUMIFS(DB!$I:$I,DB!$C:$C,$AE188,DB!$D:$D,$AF188,DB!$K:$K,$AB188,DB!$L:$L,$AC188)</f>
        <v>16989720</v>
      </c>
      <c r="AI188" s="16">
        <v>15445200</v>
      </c>
      <c r="AJ188" s="153">
        <v>1544520</v>
      </c>
      <c r="AK188" s="162">
        <v>45898</v>
      </c>
      <c r="AL188" s="16">
        <v>16989720</v>
      </c>
      <c r="AM188" s="107">
        <v>0</v>
      </c>
      <c r="AN188" s="36" t="s">
        <v>32</v>
      </c>
      <c r="AO188" s="37">
        <v>45777</v>
      </c>
      <c r="AP188" s="36" t="s">
        <v>654</v>
      </c>
      <c r="AQ188" s="36" t="s">
        <v>2575</v>
      </c>
      <c r="AR188" s="36" t="s">
        <v>2800</v>
      </c>
      <c r="AS188" s="89"/>
      <c r="AT188" s="87"/>
      <c r="AU188" s="87"/>
      <c r="AV188" s="87"/>
      <c r="AW188" s="87">
        <v>37108236</v>
      </c>
      <c r="AX188" s="85">
        <v>2025</v>
      </c>
      <c r="AY188" s="85">
        <v>1</v>
      </c>
      <c r="AZ188" s="36"/>
      <c r="BA188" s="1" t="s">
        <v>44</v>
      </c>
    </row>
    <row r="189" spans="10:53">
      <c r="J189" s="37"/>
      <c r="K189" s="36"/>
      <c r="L189" s="87"/>
      <c r="M189" s="87"/>
      <c r="N189" s="36"/>
      <c r="O189" s="36"/>
      <c r="P189" s="1"/>
      <c r="AA189" s="36" t="s">
        <v>32</v>
      </c>
      <c r="AB189" s="85">
        <v>2025</v>
      </c>
      <c r="AC189" s="85">
        <v>6</v>
      </c>
      <c r="AD189" s="37">
        <v>45835</v>
      </c>
      <c r="AE189" s="36" t="s">
        <v>209</v>
      </c>
      <c r="AF189" s="36" t="s">
        <v>2494</v>
      </c>
      <c r="AG189" s="1" t="s">
        <v>44</v>
      </c>
      <c r="AH189" s="16">
        <f>SUMIFS(DB!$I:$I,DB!$C:$C,$AE189,DB!$D:$D,$AF189,DB!$K:$K,$AB189,DB!$L:$L,$AC189)</f>
        <v>2309120</v>
      </c>
      <c r="AI189" s="16">
        <v>2099200</v>
      </c>
      <c r="AJ189" s="153">
        <v>209920</v>
      </c>
      <c r="AK189" s="162">
        <v>45898</v>
      </c>
      <c r="AL189" s="16">
        <v>2309120</v>
      </c>
      <c r="AM189" s="107">
        <v>0</v>
      </c>
      <c r="AN189" s="36" t="s">
        <v>32</v>
      </c>
      <c r="AO189" s="37">
        <v>45777</v>
      </c>
      <c r="AP189" s="36" t="s">
        <v>2775</v>
      </c>
      <c r="AQ189" s="36" t="s">
        <v>2781</v>
      </c>
      <c r="AR189" s="36" t="s">
        <v>148</v>
      </c>
      <c r="AS189" s="89"/>
      <c r="AT189" s="87"/>
      <c r="AU189" s="87"/>
      <c r="AV189" s="87"/>
      <c r="AW189" s="87">
        <v>2898500</v>
      </c>
      <c r="AX189" s="85">
        <v>2025</v>
      </c>
      <c r="AY189" s="85">
        <v>3</v>
      </c>
      <c r="AZ189" s="36"/>
      <c r="BA189" s="1" t="s">
        <v>44</v>
      </c>
    </row>
    <row r="190" spans="10:53">
      <c r="J190" s="37"/>
      <c r="K190" s="36"/>
      <c r="L190" s="87"/>
      <c r="M190" s="87"/>
      <c r="N190" s="36"/>
      <c r="O190" s="36"/>
      <c r="P190" s="1"/>
      <c r="AA190" s="36" t="s">
        <v>32</v>
      </c>
      <c r="AB190" s="85">
        <v>2025</v>
      </c>
      <c r="AC190" s="85">
        <v>6</v>
      </c>
      <c r="AD190" s="37">
        <v>45809</v>
      </c>
      <c r="AE190" s="36" t="s">
        <v>2166</v>
      </c>
      <c r="AF190" s="36" t="s">
        <v>2949</v>
      </c>
      <c r="AG190" s="1" t="s">
        <v>44</v>
      </c>
      <c r="AH190" s="16">
        <f>SUMIFS(DB!$I:$I,DB!$C:$C,$AE190,DB!$D:$D,$AF190,DB!$K:$K,$AB190,DB!$L:$L,$AC190)</f>
        <v>48764606</v>
      </c>
      <c r="AI190" s="16">
        <v>44331460</v>
      </c>
      <c r="AJ190" s="153">
        <v>4433146</v>
      </c>
      <c r="AK190" s="162">
        <v>45961</v>
      </c>
      <c r="AL190" s="16">
        <v>48764606</v>
      </c>
      <c r="AM190" s="107">
        <v>0</v>
      </c>
      <c r="AN190" s="36" t="s">
        <v>32</v>
      </c>
      <c r="AO190" s="37">
        <v>45777</v>
      </c>
      <c r="AP190" s="36" t="s">
        <v>2767</v>
      </c>
      <c r="AQ190" s="36" t="s">
        <v>2769</v>
      </c>
      <c r="AR190" s="36" t="s">
        <v>148</v>
      </c>
      <c r="AS190" s="89"/>
      <c r="AT190" s="87"/>
      <c r="AU190" s="87"/>
      <c r="AV190" s="87"/>
      <c r="AW190" s="87">
        <v>5280000</v>
      </c>
      <c r="AX190" s="85">
        <v>2025</v>
      </c>
      <c r="AY190" s="85">
        <v>3</v>
      </c>
      <c r="AZ190" s="36"/>
      <c r="BA190" s="1" t="s">
        <v>44</v>
      </c>
    </row>
    <row r="191" spans="10:53">
      <c r="J191" s="37"/>
      <c r="K191" s="36"/>
      <c r="L191" s="87"/>
      <c r="M191" s="87"/>
      <c r="N191" s="36"/>
      <c r="O191" s="36"/>
      <c r="P191" s="1"/>
      <c r="AA191" s="36" t="s">
        <v>32</v>
      </c>
      <c r="AB191" s="85">
        <v>2025</v>
      </c>
      <c r="AC191" s="85">
        <v>6</v>
      </c>
      <c r="AD191" s="37">
        <v>45817</v>
      </c>
      <c r="AE191" s="36" t="s">
        <v>2193</v>
      </c>
      <c r="AF191" s="36" t="s">
        <v>2950</v>
      </c>
      <c r="AG191" s="1" t="s">
        <v>44</v>
      </c>
      <c r="AH191" s="16">
        <f>SUMIFS(DB!$I:$I,DB!$C:$C,$AE191,DB!$D:$D,$AF191,DB!$K:$K,$AB191,DB!$L:$L,$AC191)</f>
        <v>9999999.9000000004</v>
      </c>
      <c r="AI191" s="16">
        <v>9090909</v>
      </c>
      <c r="AJ191" s="153">
        <v>909090.9</v>
      </c>
      <c r="AK191" s="162">
        <v>45817</v>
      </c>
      <c r="AL191" s="16">
        <v>10000000</v>
      </c>
      <c r="AM191" s="107">
        <v>-9.999999962747097E-2</v>
      </c>
      <c r="AN191" s="36" t="s">
        <v>32</v>
      </c>
      <c r="AO191" s="37">
        <v>45777</v>
      </c>
      <c r="AP191" s="36" t="s">
        <v>264</v>
      </c>
      <c r="AQ191" s="36" t="s">
        <v>2782</v>
      </c>
      <c r="AR191" s="36" t="s">
        <v>148</v>
      </c>
      <c r="AS191" s="89"/>
      <c r="AT191" s="87"/>
      <c r="AU191" s="87"/>
      <c r="AV191" s="87"/>
      <c r="AW191" s="87">
        <v>55440000</v>
      </c>
      <c r="AX191" s="85">
        <v>2025</v>
      </c>
      <c r="AY191" s="85">
        <v>3</v>
      </c>
      <c r="AZ191" s="36"/>
      <c r="BA191" s="1" t="s">
        <v>44</v>
      </c>
    </row>
    <row r="192" spans="10:53">
      <c r="J192" s="37"/>
      <c r="K192" s="36"/>
      <c r="L192" s="87"/>
      <c r="M192" s="87"/>
      <c r="N192" s="36"/>
      <c r="O192" s="36"/>
      <c r="P192" s="1"/>
      <c r="AA192" s="36" t="s">
        <v>32</v>
      </c>
      <c r="AB192" s="85">
        <v>2025</v>
      </c>
      <c r="AC192" s="85">
        <v>6</v>
      </c>
      <c r="AD192" s="37">
        <v>45838</v>
      </c>
      <c r="AE192" s="36" t="s">
        <v>2871</v>
      </c>
      <c r="AF192" s="36" t="s">
        <v>2636</v>
      </c>
      <c r="AG192" s="1" t="s">
        <v>44</v>
      </c>
      <c r="AH192" s="16">
        <f>SUMIFS(DB!$I:$I,DB!$C:$C,$AE192,DB!$D:$D,$AF192,DB!$K:$K,$AB192,DB!$L:$L,$AC192)</f>
        <v>1226500</v>
      </c>
      <c r="AI192" s="16">
        <v>1115000</v>
      </c>
      <c r="AJ192" s="153">
        <v>111500</v>
      </c>
      <c r="AK192" s="162">
        <v>45915</v>
      </c>
      <c r="AL192" s="16">
        <v>1226500</v>
      </c>
      <c r="AM192" s="107">
        <v>0</v>
      </c>
      <c r="AN192" s="36" t="s">
        <v>32</v>
      </c>
      <c r="AO192" s="37">
        <v>45777</v>
      </c>
      <c r="AP192" s="36" t="s">
        <v>654</v>
      </c>
      <c r="AQ192" s="36" t="s">
        <v>2632</v>
      </c>
      <c r="AR192" s="36" t="s">
        <v>2789</v>
      </c>
      <c r="AS192" s="281"/>
      <c r="AT192" s="230"/>
      <c r="AU192" s="230"/>
      <c r="AV192" s="230"/>
      <c r="AW192" s="258">
        <v>6921208</v>
      </c>
      <c r="AX192" s="85">
        <v>2025</v>
      </c>
      <c r="AY192" s="85">
        <v>1</v>
      </c>
      <c r="AZ192" s="36"/>
      <c r="BA192" s="1" t="s">
        <v>44</v>
      </c>
    </row>
    <row r="193" spans="10:53">
      <c r="J193" s="37"/>
      <c r="K193" s="36"/>
      <c r="L193" s="87"/>
      <c r="M193" s="87"/>
      <c r="N193" s="36"/>
      <c r="O193" s="36"/>
      <c r="P193" s="1"/>
      <c r="AA193" s="36" t="s">
        <v>32</v>
      </c>
      <c r="AB193" s="85">
        <v>2025</v>
      </c>
      <c r="AC193" s="85">
        <v>6</v>
      </c>
      <c r="AD193" s="37">
        <v>45838</v>
      </c>
      <c r="AE193" s="36" t="s">
        <v>2944</v>
      </c>
      <c r="AF193" s="36" t="s">
        <v>2951</v>
      </c>
      <c r="AG193" s="1" t="s">
        <v>44</v>
      </c>
      <c r="AH193" s="16">
        <f>SUMIFS(DB!$I:$I,DB!$C:$C,$AE193,DB!$D:$D,$AF193,DB!$K:$K,$AB193,DB!$L:$L,$AC193)</f>
        <v>2772000</v>
      </c>
      <c r="AI193" s="16">
        <v>2520000</v>
      </c>
      <c r="AJ193" s="153">
        <v>252000</v>
      </c>
      <c r="AK193" s="162">
        <v>45838</v>
      </c>
      <c r="AL193" s="16">
        <v>2772000</v>
      </c>
      <c r="AM193" s="107">
        <v>0</v>
      </c>
      <c r="AN193" s="36" t="s">
        <v>32</v>
      </c>
      <c r="AO193" s="37">
        <v>45779</v>
      </c>
      <c r="AP193" s="36" t="s">
        <v>209</v>
      </c>
      <c r="AQ193" s="36" t="s">
        <v>2494</v>
      </c>
      <c r="AR193" s="36" t="s">
        <v>2801</v>
      </c>
      <c r="AS193" s="89"/>
      <c r="AT193" s="87"/>
      <c r="AU193" s="87"/>
      <c r="AV193" s="87"/>
      <c r="AW193" s="87">
        <v>2095720</v>
      </c>
      <c r="AX193" s="85">
        <v>2025</v>
      </c>
      <c r="AY193" s="85">
        <v>3</v>
      </c>
      <c r="AZ193" s="36"/>
      <c r="BA193" s="1" t="s">
        <v>44</v>
      </c>
    </row>
    <row r="194" spans="10:53">
      <c r="J194" s="37"/>
      <c r="K194" s="36"/>
      <c r="L194" s="87"/>
      <c r="M194" s="38"/>
      <c r="N194" s="36"/>
      <c r="O194" s="36"/>
      <c r="P194" s="1"/>
      <c r="AA194" s="36" t="s">
        <v>32</v>
      </c>
      <c r="AB194" s="85">
        <v>2025</v>
      </c>
      <c r="AC194" s="85">
        <v>6</v>
      </c>
      <c r="AD194" s="37">
        <v>45838</v>
      </c>
      <c r="AE194" s="36" t="s">
        <v>2941</v>
      </c>
      <c r="AF194" s="36" t="s">
        <v>2952</v>
      </c>
      <c r="AG194" s="1" t="s">
        <v>44</v>
      </c>
      <c r="AH194" s="16">
        <f>SUMIFS(DB!$I:$I,DB!$C:$C,$AE194,DB!$D:$D,$AF194,DB!$K:$K,$AB194,DB!$L:$L,$AC194)</f>
        <v>7700000</v>
      </c>
      <c r="AI194" s="16">
        <v>7000000</v>
      </c>
      <c r="AJ194" s="153">
        <v>700000</v>
      </c>
      <c r="AK194" s="162">
        <v>45838</v>
      </c>
      <c r="AL194" s="16">
        <v>7700000</v>
      </c>
      <c r="AM194" s="107">
        <v>0</v>
      </c>
      <c r="AN194" s="36" t="s">
        <v>32</v>
      </c>
      <c r="AO194" s="37">
        <v>45779</v>
      </c>
      <c r="AP194" s="36" t="s">
        <v>209</v>
      </c>
      <c r="AQ194" s="36" t="s">
        <v>2550</v>
      </c>
      <c r="AR194" s="36" t="s">
        <v>2655</v>
      </c>
      <c r="AS194" s="89"/>
      <c r="AT194" s="87"/>
      <c r="AU194" s="87"/>
      <c r="AV194" s="87"/>
      <c r="AW194" s="87">
        <v>4079680</v>
      </c>
      <c r="AX194" s="85">
        <v>2025</v>
      </c>
      <c r="AY194" s="85">
        <v>3</v>
      </c>
      <c r="AZ194" s="36" t="s">
        <v>2802</v>
      </c>
      <c r="BA194" s="1" t="s">
        <v>44</v>
      </c>
    </row>
    <row r="195" spans="10:53">
      <c r="J195" s="37"/>
      <c r="K195" s="36"/>
      <c r="L195" s="87"/>
      <c r="M195" s="38"/>
      <c r="N195" s="36"/>
      <c r="O195" s="36"/>
      <c r="P195" s="1"/>
      <c r="AA195" s="36" t="s">
        <v>32</v>
      </c>
      <c r="AB195" s="85">
        <v>2025</v>
      </c>
      <c r="AC195" s="85">
        <v>6</v>
      </c>
      <c r="AD195" s="37">
        <v>45838</v>
      </c>
      <c r="AE195" s="36" t="s">
        <v>1396</v>
      </c>
      <c r="AF195" s="36" t="s">
        <v>2953</v>
      </c>
      <c r="AG195" s="1" t="s">
        <v>44</v>
      </c>
      <c r="AH195" s="16">
        <f>SUMIFS(DB!$I:$I,DB!$C:$C,$AE195,DB!$D:$D,$AF195,DB!$K:$K,$AB195,DB!$L:$L,$AC195)</f>
        <v>12045000</v>
      </c>
      <c r="AI195" s="16">
        <v>10950000</v>
      </c>
      <c r="AJ195" s="153">
        <v>1095000</v>
      </c>
      <c r="AK195" s="162">
        <v>45961</v>
      </c>
      <c r="AL195" s="16">
        <v>12045000</v>
      </c>
      <c r="AM195" s="107">
        <v>0</v>
      </c>
      <c r="AN195" s="36" t="s">
        <v>32</v>
      </c>
      <c r="AO195" s="37">
        <v>45784</v>
      </c>
      <c r="AP195" s="36" t="s">
        <v>2005</v>
      </c>
      <c r="AQ195" s="36" t="s">
        <v>2689</v>
      </c>
      <c r="AR195" s="36" t="s">
        <v>148</v>
      </c>
      <c r="AS195" s="89"/>
      <c r="AT195" s="87"/>
      <c r="AU195" s="87"/>
      <c r="AV195" s="87"/>
      <c r="AW195" s="87">
        <v>33000000</v>
      </c>
      <c r="AX195" s="85">
        <v>2025</v>
      </c>
      <c r="AY195" s="85">
        <v>2</v>
      </c>
      <c r="AZ195" s="36"/>
      <c r="BA195" s="1" t="s">
        <v>44</v>
      </c>
    </row>
    <row r="196" spans="10:53">
      <c r="J196" s="37"/>
      <c r="K196" s="36"/>
      <c r="L196" s="87"/>
      <c r="M196" s="38"/>
      <c r="N196" s="36"/>
      <c r="O196" s="36"/>
      <c r="P196" s="1"/>
      <c r="AA196" s="36" t="s">
        <v>32</v>
      </c>
      <c r="AB196" s="85">
        <v>2025</v>
      </c>
      <c r="AC196" s="85">
        <v>6</v>
      </c>
      <c r="AD196" s="37">
        <v>45838</v>
      </c>
      <c r="AE196" s="36" t="s">
        <v>1396</v>
      </c>
      <c r="AF196" s="36" t="s">
        <v>2679</v>
      </c>
      <c r="AG196" s="1" t="s">
        <v>44</v>
      </c>
      <c r="AH196" s="16">
        <f>SUMIFS(DB!$I:$I,DB!$C:$C,$AE196,DB!$D:$D,$AF196,DB!$K:$K,$AB196,DB!$L:$L,$AC196)</f>
        <v>4851000</v>
      </c>
      <c r="AI196" s="16">
        <v>4410000</v>
      </c>
      <c r="AJ196" s="153">
        <v>441000</v>
      </c>
      <c r="AK196" s="162">
        <v>45961</v>
      </c>
      <c r="AL196" s="16">
        <v>4851000</v>
      </c>
      <c r="AM196" s="107">
        <v>0</v>
      </c>
      <c r="AN196" s="36" t="s">
        <v>32</v>
      </c>
      <c r="AO196" s="37">
        <v>45777</v>
      </c>
      <c r="AP196" s="36" t="s">
        <v>1462</v>
      </c>
      <c r="AQ196" s="36" t="s">
        <v>2962</v>
      </c>
      <c r="AR196" s="36" t="s">
        <v>148</v>
      </c>
      <c r="AS196" s="89"/>
      <c r="AT196" s="87"/>
      <c r="AU196" s="87"/>
      <c r="AV196" s="87"/>
      <c r="AW196" s="87">
        <v>4087521.9</v>
      </c>
      <c r="AX196" s="85">
        <v>2025</v>
      </c>
      <c r="AY196" s="85">
        <v>2</v>
      </c>
      <c r="AZ196" s="36" t="s">
        <v>2852</v>
      </c>
      <c r="BA196" s="1" t="s">
        <v>44</v>
      </c>
    </row>
    <row r="197" spans="10:53">
      <c r="J197" s="37"/>
      <c r="K197" s="36"/>
      <c r="L197" s="87"/>
      <c r="M197" s="38"/>
      <c r="N197" s="36"/>
      <c r="O197" s="36"/>
      <c r="P197" s="1"/>
      <c r="AA197" s="36" t="s">
        <v>32</v>
      </c>
      <c r="AB197" s="85">
        <v>2025</v>
      </c>
      <c r="AC197" s="85">
        <v>6</v>
      </c>
      <c r="AD197" s="37">
        <v>45838</v>
      </c>
      <c r="AE197" s="36" t="s">
        <v>1396</v>
      </c>
      <c r="AF197" s="36" t="s">
        <v>2680</v>
      </c>
      <c r="AG197" s="1" t="s">
        <v>44</v>
      </c>
      <c r="AH197" s="16">
        <f>SUMIFS(DB!$I:$I,DB!$C:$C,$AE197,DB!$D:$D,$AF197,DB!$K:$K,$AB197,DB!$L:$L,$AC197)</f>
        <v>5258000</v>
      </c>
      <c r="AI197" s="16">
        <v>4780000</v>
      </c>
      <c r="AJ197" s="153">
        <v>478000</v>
      </c>
      <c r="AK197" s="162">
        <v>45961</v>
      </c>
      <c r="AL197" s="16">
        <v>5258000</v>
      </c>
      <c r="AM197" s="107">
        <v>0</v>
      </c>
      <c r="AN197" s="36" t="s">
        <v>32</v>
      </c>
      <c r="AO197" s="37">
        <v>45785</v>
      </c>
      <c r="AP197" s="36" t="s">
        <v>2774</v>
      </c>
      <c r="AQ197" s="36" t="s">
        <v>2784</v>
      </c>
      <c r="AR197" s="36" t="s">
        <v>148</v>
      </c>
      <c r="AS197" s="89"/>
      <c r="AT197" s="87"/>
      <c r="AU197" s="87"/>
      <c r="AV197" s="87"/>
      <c r="AW197" s="87">
        <v>9308420</v>
      </c>
      <c r="AX197" s="85">
        <v>2025</v>
      </c>
      <c r="AY197" s="85">
        <v>3</v>
      </c>
      <c r="AZ197" s="36"/>
      <c r="BA197" s="1" t="s">
        <v>44</v>
      </c>
    </row>
    <row r="198" spans="10:53">
      <c r="J198" s="37"/>
      <c r="K198" s="36"/>
      <c r="L198" s="87"/>
      <c r="M198" s="38"/>
      <c r="N198" s="36"/>
      <c r="O198" s="36"/>
      <c r="P198" s="1"/>
      <c r="AA198" s="36" t="s">
        <v>32</v>
      </c>
      <c r="AB198" s="85">
        <v>2025</v>
      </c>
      <c r="AC198" s="85">
        <v>6</v>
      </c>
      <c r="AD198" s="37">
        <v>45838</v>
      </c>
      <c r="AE198" s="36" t="s">
        <v>1396</v>
      </c>
      <c r="AF198" s="36" t="s">
        <v>2954</v>
      </c>
      <c r="AG198" s="1" t="s">
        <v>44</v>
      </c>
      <c r="AH198" s="16">
        <f>SUMIFS(DB!$I:$I,DB!$C:$C,$AE198,DB!$D:$D,$AF198,DB!$K:$K,$AB198,DB!$L:$L,$AC198)</f>
        <v>1903000</v>
      </c>
      <c r="AI198" s="16">
        <v>1730000</v>
      </c>
      <c r="AJ198" s="153">
        <v>173000</v>
      </c>
      <c r="AK198" s="162">
        <v>45961</v>
      </c>
      <c r="AL198" s="16">
        <v>1903000</v>
      </c>
      <c r="AM198" s="107">
        <v>0</v>
      </c>
      <c r="AN198" s="36" t="s">
        <v>32</v>
      </c>
      <c r="AO198" s="37">
        <v>45789</v>
      </c>
      <c r="AP198" s="36" t="s">
        <v>206</v>
      </c>
      <c r="AQ198" s="36" t="s">
        <v>2776</v>
      </c>
      <c r="AR198" s="36" t="s">
        <v>148</v>
      </c>
      <c r="AS198" s="89"/>
      <c r="AT198" s="87"/>
      <c r="AU198" s="87"/>
      <c r="AV198" s="87"/>
      <c r="AW198" s="87">
        <v>10046300</v>
      </c>
      <c r="AX198" s="85">
        <v>2025</v>
      </c>
      <c r="AY198" s="85">
        <v>3</v>
      </c>
      <c r="AZ198" s="36"/>
      <c r="BA198" s="1" t="s">
        <v>44</v>
      </c>
    </row>
    <row r="199" spans="10:53">
      <c r="J199" s="37"/>
      <c r="K199" s="36"/>
      <c r="L199" s="87"/>
      <c r="M199" s="38"/>
      <c r="N199" s="36"/>
      <c r="O199" s="36"/>
      <c r="P199" s="1"/>
      <c r="AA199" s="36" t="s">
        <v>32</v>
      </c>
      <c r="AB199" s="85">
        <v>2025</v>
      </c>
      <c r="AC199" s="85">
        <v>6</v>
      </c>
      <c r="AD199" s="37">
        <v>45838</v>
      </c>
      <c r="AE199" s="36" t="s">
        <v>2868</v>
      </c>
      <c r="AF199" s="36" t="s">
        <v>2875</v>
      </c>
      <c r="AG199" s="1" t="s">
        <v>44</v>
      </c>
      <c r="AH199" s="16">
        <f>SUMIFS(DB!$I:$I,DB!$C:$C,$AE199,DB!$D:$D,$AF199,DB!$K:$K,$AB199,DB!$L:$L,$AC199)</f>
        <v>19800000</v>
      </c>
      <c r="AI199" s="16">
        <v>18000000</v>
      </c>
      <c r="AJ199" s="153">
        <v>1800000</v>
      </c>
      <c r="AK199" s="162">
        <v>45961</v>
      </c>
      <c r="AL199" s="16">
        <v>19800000</v>
      </c>
      <c r="AM199" s="107">
        <v>0</v>
      </c>
      <c r="AN199" s="36" t="s">
        <v>32</v>
      </c>
      <c r="AO199" s="37">
        <v>45752</v>
      </c>
      <c r="AP199" s="36" t="s">
        <v>1880</v>
      </c>
      <c r="AQ199" s="36" t="s">
        <v>2396</v>
      </c>
      <c r="AR199" s="36" t="s">
        <v>76</v>
      </c>
      <c r="AS199" s="89"/>
      <c r="AT199" s="87">
        <v>6000000</v>
      </c>
      <c r="AU199" s="87">
        <v>600000</v>
      </c>
      <c r="AV199" s="87">
        <v>6600000</v>
      </c>
      <c r="AW199" s="38"/>
      <c r="AX199" s="85">
        <v>2025</v>
      </c>
      <c r="AY199" s="85">
        <v>4</v>
      </c>
      <c r="AZ199" s="36"/>
      <c r="BA199" s="1" t="s">
        <v>44</v>
      </c>
    </row>
    <row r="200" spans="10:53">
      <c r="J200" s="37"/>
      <c r="K200" s="36"/>
      <c r="L200" s="87"/>
      <c r="M200" s="38"/>
      <c r="N200" s="36"/>
      <c r="O200" s="36"/>
      <c r="P200" s="1"/>
      <c r="AA200" s="36" t="s">
        <v>32</v>
      </c>
      <c r="AB200" s="85">
        <v>2025</v>
      </c>
      <c r="AC200" s="85">
        <v>6</v>
      </c>
      <c r="AD200" s="37">
        <v>45838</v>
      </c>
      <c r="AE200" s="36" t="s">
        <v>2825</v>
      </c>
      <c r="AF200" s="36" t="s">
        <v>2833</v>
      </c>
      <c r="AG200" s="1" t="s">
        <v>44</v>
      </c>
      <c r="AH200" s="16">
        <f>SUMIFS(DB!$I:$I,DB!$C:$C,$AE200,DB!$D:$D,$AF200,DB!$K:$K,$AB200,DB!$L:$L,$AC200)</f>
        <v>9348900</v>
      </c>
      <c r="AI200" s="16">
        <v>8499000</v>
      </c>
      <c r="AJ200" s="153">
        <v>849900</v>
      </c>
      <c r="AK200" s="162">
        <v>45838</v>
      </c>
      <c r="AL200" s="16">
        <v>9348900</v>
      </c>
      <c r="AM200" s="107">
        <v>0</v>
      </c>
      <c r="AN200" s="36" t="s">
        <v>32</v>
      </c>
      <c r="AO200" s="37">
        <v>45775</v>
      </c>
      <c r="AP200" s="36" t="s">
        <v>209</v>
      </c>
      <c r="AQ200" s="36" t="s">
        <v>2494</v>
      </c>
      <c r="AR200" s="36" t="s">
        <v>1492</v>
      </c>
      <c r="AS200" s="89"/>
      <c r="AT200" s="87">
        <v>2113800</v>
      </c>
      <c r="AU200" s="87">
        <v>211380</v>
      </c>
      <c r="AV200" s="87">
        <v>2325180</v>
      </c>
      <c r="AW200" s="38"/>
      <c r="AX200" s="85">
        <v>2025</v>
      </c>
      <c r="AY200" s="85">
        <v>4</v>
      </c>
      <c r="AZ200" s="36"/>
      <c r="BA200" s="1" t="s">
        <v>44</v>
      </c>
    </row>
    <row r="201" spans="10:53">
      <c r="J201" s="37"/>
      <c r="K201" s="36"/>
      <c r="L201" s="87"/>
      <c r="M201" s="87"/>
      <c r="N201" s="36"/>
      <c r="O201" s="36"/>
      <c r="P201" s="1"/>
      <c r="AA201" s="36" t="s">
        <v>32</v>
      </c>
      <c r="AB201" s="85">
        <v>2025</v>
      </c>
      <c r="AC201" s="85">
        <v>6</v>
      </c>
      <c r="AD201" s="37">
        <v>45838</v>
      </c>
      <c r="AE201" s="36" t="s">
        <v>2774</v>
      </c>
      <c r="AF201" s="36" t="s">
        <v>2784</v>
      </c>
      <c r="AG201" s="1" t="s">
        <v>44</v>
      </c>
      <c r="AH201" s="16">
        <f>SUMIFS(DB!$I:$I,DB!$C:$C,$AE201,DB!$D:$D,$AF201,DB!$K:$K,$AB201,DB!$L:$L,$AC201)</f>
        <v>14922930</v>
      </c>
      <c r="AI201" s="16">
        <v>13566300</v>
      </c>
      <c r="AJ201" s="153">
        <v>1356630</v>
      </c>
      <c r="AK201" s="162">
        <v>45910</v>
      </c>
      <c r="AL201" s="16">
        <v>14922930</v>
      </c>
      <c r="AM201" s="107">
        <v>0</v>
      </c>
      <c r="AN201" s="36" t="s">
        <v>32</v>
      </c>
      <c r="AO201" s="37">
        <v>45775</v>
      </c>
      <c r="AP201" s="36" t="s">
        <v>209</v>
      </c>
      <c r="AQ201" s="36" t="s">
        <v>2551</v>
      </c>
      <c r="AR201" s="36" t="s">
        <v>76</v>
      </c>
      <c r="AS201" s="89"/>
      <c r="AT201" s="87">
        <v>4455000</v>
      </c>
      <c r="AU201" s="87">
        <v>445500</v>
      </c>
      <c r="AV201" s="87">
        <v>4900500</v>
      </c>
      <c r="AW201" s="38"/>
      <c r="AX201" s="85">
        <v>2025</v>
      </c>
      <c r="AY201" s="85">
        <v>4</v>
      </c>
      <c r="AZ201" s="36"/>
      <c r="BA201" s="1" t="s">
        <v>44</v>
      </c>
    </row>
    <row r="202" spans="10:53">
      <c r="J202" s="37"/>
      <c r="K202" s="36"/>
      <c r="L202" s="87"/>
      <c r="M202" s="87"/>
      <c r="N202" s="36"/>
      <c r="O202" s="36"/>
      <c r="P202" s="1"/>
      <c r="AA202" s="36" t="s">
        <v>32</v>
      </c>
      <c r="AB202" s="85">
        <v>2025</v>
      </c>
      <c r="AC202" s="85">
        <v>6</v>
      </c>
      <c r="AD202" s="37">
        <v>45838</v>
      </c>
      <c r="AE202" s="36" t="s">
        <v>654</v>
      </c>
      <c r="AF202" s="36" t="s">
        <v>1854</v>
      </c>
      <c r="AG202" s="1" t="s">
        <v>44</v>
      </c>
      <c r="AH202" s="16">
        <f>SUMIFS(DB!$I:$I,DB!$C:$C,$AE202,DB!$D:$D,$AF202,DB!$K:$K,$AB202,DB!$L:$L,$AC202)</f>
        <v>4401166</v>
      </c>
      <c r="AI202" s="16">
        <v>4001060</v>
      </c>
      <c r="AJ202" s="153">
        <v>400106</v>
      </c>
      <c r="AK202" s="162">
        <v>45961</v>
      </c>
      <c r="AL202" s="16">
        <v>4401166</v>
      </c>
      <c r="AM202" s="107">
        <v>0</v>
      </c>
      <c r="AN202" s="36" t="s">
        <v>32</v>
      </c>
      <c r="AO202" s="37">
        <v>45777</v>
      </c>
      <c r="AP202" s="36" t="s">
        <v>654</v>
      </c>
      <c r="AQ202" s="36" t="s">
        <v>2588</v>
      </c>
      <c r="AR202" s="36" t="s">
        <v>76</v>
      </c>
      <c r="AS202" s="89"/>
      <c r="AT202" s="87">
        <v>30185900</v>
      </c>
      <c r="AU202" s="87">
        <v>3018590</v>
      </c>
      <c r="AV202" s="87">
        <v>33204490</v>
      </c>
      <c r="AW202" s="38"/>
      <c r="AX202" s="85">
        <v>2025</v>
      </c>
      <c r="AY202" s="85">
        <v>4</v>
      </c>
      <c r="AZ202" s="36"/>
      <c r="BA202" s="1" t="s">
        <v>44</v>
      </c>
    </row>
    <row r="203" spans="10:53">
      <c r="J203" s="37"/>
      <c r="K203" s="36"/>
      <c r="L203" s="87"/>
      <c r="M203" s="38"/>
      <c r="N203" s="36"/>
      <c r="O203" s="36"/>
      <c r="P203" s="1"/>
      <c r="AA203" s="36" t="s">
        <v>32</v>
      </c>
      <c r="AB203" s="85">
        <v>2025</v>
      </c>
      <c r="AC203" s="85">
        <v>6</v>
      </c>
      <c r="AD203" s="37">
        <v>45838</v>
      </c>
      <c r="AE203" s="36" t="s">
        <v>654</v>
      </c>
      <c r="AF203" s="36" t="s">
        <v>2588</v>
      </c>
      <c r="AG203" s="1" t="s">
        <v>44</v>
      </c>
      <c r="AH203" s="16">
        <f>SUMIFS(DB!$I:$I,DB!$C:$C,$AE203,DB!$D:$D,$AF203,DB!$K:$K,$AB203,DB!$L:$L,$AC203)</f>
        <v>11646250</v>
      </c>
      <c r="AI203" s="16">
        <v>10587500</v>
      </c>
      <c r="AJ203" s="153">
        <v>1058750</v>
      </c>
      <c r="AK203" s="162">
        <v>45961</v>
      </c>
      <c r="AL203" s="16">
        <v>11646250</v>
      </c>
      <c r="AM203" s="107">
        <v>0</v>
      </c>
      <c r="AN203" s="36" t="s">
        <v>32</v>
      </c>
      <c r="AO203" s="37">
        <v>45777</v>
      </c>
      <c r="AP203" s="36" t="s">
        <v>654</v>
      </c>
      <c r="AQ203" s="36" t="s">
        <v>2588</v>
      </c>
      <c r="AR203" s="36" t="s">
        <v>2838</v>
      </c>
      <c r="AS203" s="89"/>
      <c r="AT203" s="87">
        <v>12821000</v>
      </c>
      <c r="AU203" s="87">
        <v>1282100</v>
      </c>
      <c r="AV203" s="87">
        <v>14103100</v>
      </c>
      <c r="AW203" s="38"/>
      <c r="AX203" s="85">
        <v>2025</v>
      </c>
      <c r="AY203" s="85">
        <v>4</v>
      </c>
      <c r="AZ203" s="36"/>
      <c r="BA203" s="1" t="s">
        <v>44</v>
      </c>
    </row>
    <row r="204" spans="10:53">
      <c r="J204" s="37"/>
      <c r="K204" s="36"/>
      <c r="L204" s="87"/>
      <c r="M204" s="38"/>
      <c r="N204" s="36"/>
      <c r="O204" s="36"/>
      <c r="P204" s="1"/>
      <c r="AA204" s="36" t="s">
        <v>32</v>
      </c>
      <c r="AB204" s="85">
        <v>2025</v>
      </c>
      <c r="AC204" s="85">
        <v>6</v>
      </c>
      <c r="AD204" s="37">
        <v>45838</v>
      </c>
      <c r="AE204" s="36" t="s">
        <v>654</v>
      </c>
      <c r="AF204" s="36" t="s">
        <v>2541</v>
      </c>
      <c r="AG204" s="1" t="s">
        <v>44</v>
      </c>
      <c r="AH204" s="16">
        <f>SUMIFS(DB!$I:$I,DB!$C:$C,$AE204,DB!$D:$D,$AF204,DB!$K:$K,$AB204,DB!$L:$L,$AC204)</f>
        <v>28003800</v>
      </c>
      <c r="AI204" s="16">
        <v>25458000</v>
      </c>
      <c r="AJ204" s="153">
        <v>2545800</v>
      </c>
      <c r="AK204" s="162">
        <v>45961</v>
      </c>
      <c r="AL204" s="16">
        <v>28003800</v>
      </c>
      <c r="AM204" s="107">
        <v>0</v>
      </c>
      <c r="AN204" s="36" t="s">
        <v>32</v>
      </c>
      <c r="AO204" s="37">
        <v>45777</v>
      </c>
      <c r="AP204" s="36" t="s">
        <v>654</v>
      </c>
      <c r="AQ204" s="36" t="s">
        <v>1854</v>
      </c>
      <c r="AR204" s="36" t="s">
        <v>76</v>
      </c>
      <c r="AS204" s="89"/>
      <c r="AT204" s="87">
        <v>5339800</v>
      </c>
      <c r="AU204" s="87">
        <v>533980</v>
      </c>
      <c r="AV204" s="87">
        <v>5873780</v>
      </c>
      <c r="AW204" s="38"/>
      <c r="AX204" s="85">
        <v>2025</v>
      </c>
      <c r="AY204" s="85">
        <v>4</v>
      </c>
      <c r="AZ204" s="36"/>
      <c r="BA204" s="1" t="s">
        <v>44</v>
      </c>
    </row>
    <row r="205" spans="10:53">
      <c r="J205" s="37"/>
      <c r="K205" s="36"/>
      <c r="L205" s="87"/>
      <c r="M205" s="38"/>
      <c r="N205" s="36"/>
      <c r="O205" s="36"/>
      <c r="P205" s="1"/>
      <c r="AA205" s="36" t="s">
        <v>32</v>
      </c>
      <c r="AB205" s="85">
        <v>2025</v>
      </c>
      <c r="AC205" s="85">
        <v>6</v>
      </c>
      <c r="AD205" s="37">
        <v>45838</v>
      </c>
      <c r="AE205" s="36" t="s">
        <v>654</v>
      </c>
      <c r="AF205" s="36" t="s">
        <v>2635</v>
      </c>
      <c r="AG205" s="1" t="s">
        <v>44</v>
      </c>
      <c r="AH205" s="16">
        <f>SUMIFS(DB!$I:$I,DB!$C:$C,$AE205,DB!$D:$D,$AF205,DB!$K:$K,$AB205,DB!$L:$L,$AC205)</f>
        <v>0</v>
      </c>
      <c r="AI205" s="16">
        <v>0</v>
      </c>
      <c r="AJ205" s="153">
        <v>0</v>
      </c>
      <c r="AL205" s="16">
        <v>0</v>
      </c>
      <c r="AM205" s="107">
        <v>0</v>
      </c>
      <c r="AN205" s="36" t="s">
        <v>32</v>
      </c>
      <c r="AO205" s="37">
        <v>45777</v>
      </c>
      <c r="AP205" s="36" t="s">
        <v>654</v>
      </c>
      <c r="AQ205" s="36" t="s">
        <v>3047</v>
      </c>
      <c r="AR205" s="36" t="s">
        <v>76</v>
      </c>
      <c r="AS205" s="89"/>
      <c r="AT205" s="87">
        <v>11376640</v>
      </c>
      <c r="AU205" s="87">
        <v>1137664</v>
      </c>
      <c r="AV205" s="87">
        <v>12514304</v>
      </c>
      <c r="AW205" s="38"/>
      <c r="AX205" s="85">
        <v>2025</v>
      </c>
      <c r="AY205" s="85">
        <v>4</v>
      </c>
      <c r="AZ205" s="36"/>
      <c r="BA205" s="1" t="s">
        <v>44</v>
      </c>
    </row>
    <row r="206" spans="10:53">
      <c r="J206" s="37"/>
      <c r="K206" s="36"/>
      <c r="L206" s="87"/>
      <c r="M206" s="38"/>
      <c r="N206" s="36"/>
      <c r="O206" s="36"/>
      <c r="P206" s="1"/>
      <c r="AA206" s="36" t="s">
        <v>32</v>
      </c>
      <c r="AB206" s="85">
        <v>2025</v>
      </c>
      <c r="AC206" s="85">
        <v>6</v>
      </c>
      <c r="AD206" s="37">
        <v>45838</v>
      </c>
      <c r="AE206" s="36" t="s">
        <v>2824</v>
      </c>
      <c r="AF206" s="36" t="s">
        <v>2832</v>
      </c>
      <c r="AG206" s="1" t="s">
        <v>44</v>
      </c>
      <c r="AH206" s="16">
        <f>SUMIFS(DB!$I:$I,DB!$C:$C,$AE206,DB!$D:$D,$AF206,DB!$K:$K,$AB206,DB!$L:$L,$AC206)</f>
        <v>36940200</v>
      </c>
      <c r="AI206" s="16">
        <v>33582000</v>
      </c>
      <c r="AJ206" s="153">
        <v>3358200</v>
      </c>
      <c r="AK206" s="162">
        <v>45961</v>
      </c>
      <c r="AL206" s="16">
        <v>36940200</v>
      </c>
      <c r="AM206" s="107">
        <v>0</v>
      </c>
      <c r="AN206" s="36" t="s">
        <v>32</v>
      </c>
      <c r="AO206" s="37">
        <v>45777</v>
      </c>
      <c r="AP206" s="36" t="s">
        <v>654</v>
      </c>
      <c r="AQ206" s="36" t="s">
        <v>2826</v>
      </c>
      <c r="AR206" s="36" t="s">
        <v>76</v>
      </c>
      <c r="AS206" s="89"/>
      <c r="AT206" s="87">
        <v>48167000</v>
      </c>
      <c r="AU206" s="87">
        <v>4816700</v>
      </c>
      <c r="AV206" s="87">
        <v>52983700</v>
      </c>
      <c r="AW206" s="38"/>
      <c r="AX206" s="85">
        <v>2025</v>
      </c>
      <c r="AY206" s="85">
        <v>4</v>
      </c>
      <c r="AZ206" s="36"/>
      <c r="BA206" s="1" t="s">
        <v>44</v>
      </c>
    </row>
    <row r="207" spans="10:53">
      <c r="J207" s="37"/>
      <c r="K207" s="36"/>
      <c r="L207" s="87"/>
      <c r="M207" s="87"/>
      <c r="N207" s="36"/>
      <c r="O207" s="36"/>
      <c r="P207" s="1"/>
      <c r="AA207" s="36" t="s">
        <v>32</v>
      </c>
      <c r="AB207" s="85">
        <v>2025</v>
      </c>
      <c r="AC207" s="85">
        <v>6</v>
      </c>
      <c r="AD207" s="37">
        <v>45838</v>
      </c>
      <c r="AE207" s="36" t="s">
        <v>2477</v>
      </c>
      <c r="AF207" s="36" t="s">
        <v>2485</v>
      </c>
      <c r="AG207" s="1" t="s">
        <v>44</v>
      </c>
      <c r="AH207" s="16">
        <f>SUMIFS(DB!$I:$I,DB!$C:$C,$AE207,DB!$D:$D,$AF207,DB!$K:$K,$AB207,DB!$L:$L,$AC207)</f>
        <v>6926832</v>
      </c>
      <c r="AI207" s="16">
        <v>6297120</v>
      </c>
      <c r="AJ207" s="153">
        <v>629712</v>
      </c>
      <c r="AK207" s="162">
        <v>45958</v>
      </c>
      <c r="AL207" s="16">
        <v>6926832</v>
      </c>
      <c r="AM207" s="107">
        <v>0</v>
      </c>
      <c r="AN207" s="36" t="s">
        <v>32</v>
      </c>
      <c r="AO207" s="37">
        <v>45777</v>
      </c>
      <c r="AP207" s="36" t="s">
        <v>654</v>
      </c>
      <c r="AQ207" s="36" t="s">
        <v>2635</v>
      </c>
      <c r="AR207" s="36" t="s">
        <v>2838</v>
      </c>
      <c r="AS207" s="89"/>
      <c r="AT207" s="87">
        <v>15000000</v>
      </c>
      <c r="AU207" s="87">
        <v>1500000</v>
      </c>
      <c r="AV207" s="87">
        <v>16500000</v>
      </c>
      <c r="AW207" s="38"/>
      <c r="AX207" s="85">
        <v>2025</v>
      </c>
      <c r="AY207" s="85">
        <v>4</v>
      </c>
      <c r="AZ207" s="36"/>
      <c r="BA207" s="1" t="s">
        <v>44</v>
      </c>
    </row>
    <row r="208" spans="10:53">
      <c r="J208" s="37"/>
      <c r="K208" s="36"/>
      <c r="L208" s="87"/>
      <c r="M208" s="38"/>
      <c r="N208" s="36"/>
      <c r="O208" s="36"/>
      <c r="P208" s="1"/>
      <c r="AA208" s="36" t="s">
        <v>32</v>
      </c>
      <c r="AB208" s="85">
        <v>2025</v>
      </c>
      <c r="AC208" s="85">
        <v>6</v>
      </c>
      <c r="AD208" s="37">
        <v>45838</v>
      </c>
      <c r="AE208" s="36" t="s">
        <v>1198</v>
      </c>
      <c r="AF208" s="36" t="s">
        <v>2887</v>
      </c>
      <c r="AG208" s="1" t="s">
        <v>44</v>
      </c>
      <c r="AH208" s="16">
        <f>SUMIFS(DB!$I:$I,DB!$C:$C,$AE208,DB!$D:$D,$AF208,DB!$K:$K,$AB208,DB!$L:$L,$AC208)</f>
        <v>2781900</v>
      </c>
      <c r="AI208" s="16">
        <v>2529000</v>
      </c>
      <c r="AJ208" s="153">
        <v>252900</v>
      </c>
      <c r="AK208" s="162">
        <v>45950</v>
      </c>
      <c r="AL208" s="16">
        <v>2781900</v>
      </c>
      <c r="AM208" s="107">
        <v>0</v>
      </c>
      <c r="AN208" s="36" t="s">
        <v>32</v>
      </c>
      <c r="AO208" s="37">
        <v>45777</v>
      </c>
      <c r="AP208" s="36" t="s">
        <v>1396</v>
      </c>
      <c r="AQ208" s="36" t="s">
        <v>2677</v>
      </c>
      <c r="AR208" s="36" t="s">
        <v>76</v>
      </c>
      <c r="AS208" s="89"/>
      <c r="AT208" s="87">
        <v>1800000</v>
      </c>
      <c r="AU208" s="87">
        <v>180000</v>
      </c>
      <c r="AV208" s="87">
        <v>1980000</v>
      </c>
      <c r="AW208" s="38"/>
      <c r="AX208" s="85">
        <v>2025</v>
      </c>
      <c r="AY208" s="85">
        <v>4</v>
      </c>
      <c r="AZ208" s="36"/>
      <c r="BA208" s="1" t="s">
        <v>44</v>
      </c>
    </row>
    <row r="209" spans="10:53">
      <c r="J209" s="37"/>
      <c r="K209" s="36"/>
      <c r="L209" s="87"/>
      <c r="M209" s="38"/>
      <c r="N209" s="36"/>
      <c r="O209" s="36"/>
      <c r="P209" s="1"/>
      <c r="AA209" s="36" t="s">
        <v>32</v>
      </c>
      <c r="AB209" s="85">
        <v>2025</v>
      </c>
      <c r="AC209" s="85">
        <v>6</v>
      </c>
      <c r="AD209" s="37">
        <v>45838</v>
      </c>
      <c r="AE209" s="36" t="s">
        <v>1198</v>
      </c>
      <c r="AF209" s="36" t="s">
        <v>2955</v>
      </c>
      <c r="AG209" s="1" t="s">
        <v>44</v>
      </c>
      <c r="AH209" s="16">
        <f>SUMIFS(DB!$I:$I,DB!$C:$C,$AE209,DB!$D:$D,$AF209,DB!$K:$K,$AB209,DB!$L:$L,$AC209)</f>
        <v>7548860</v>
      </c>
      <c r="AI209" s="16">
        <v>6862600</v>
      </c>
      <c r="AJ209" s="153">
        <v>686260</v>
      </c>
      <c r="AK209" s="162">
        <v>45950</v>
      </c>
      <c r="AL209" s="16">
        <v>7548860</v>
      </c>
      <c r="AM209" s="107">
        <v>0</v>
      </c>
      <c r="AN209" s="36" t="s">
        <v>32</v>
      </c>
      <c r="AO209" s="37">
        <v>45777</v>
      </c>
      <c r="AP209" s="36" t="s">
        <v>1396</v>
      </c>
      <c r="AQ209" s="36" t="s">
        <v>2678</v>
      </c>
      <c r="AR209" s="36" t="s">
        <v>76</v>
      </c>
      <c r="AS209" s="89"/>
      <c r="AT209" s="87">
        <v>1700000</v>
      </c>
      <c r="AU209" s="87">
        <v>170000</v>
      </c>
      <c r="AV209" s="87">
        <v>1870000</v>
      </c>
      <c r="AW209" s="38"/>
      <c r="AX209" s="85">
        <v>2025</v>
      </c>
      <c r="AY209" s="85">
        <v>4</v>
      </c>
      <c r="AZ209" s="36"/>
      <c r="BA209" s="1" t="s">
        <v>44</v>
      </c>
    </row>
    <row r="210" spans="10:53">
      <c r="J210" s="37"/>
      <c r="K210" s="36"/>
      <c r="L210" s="87"/>
      <c r="M210" s="87"/>
      <c r="N210" s="36"/>
      <c r="O210" s="36"/>
      <c r="P210" s="1"/>
      <c r="AA210" s="36" t="s">
        <v>32</v>
      </c>
      <c r="AB210" s="85">
        <v>2025</v>
      </c>
      <c r="AC210" s="85">
        <v>6</v>
      </c>
      <c r="AD210" s="37">
        <v>45838</v>
      </c>
      <c r="AE210" s="36" t="s">
        <v>2945</v>
      </c>
      <c r="AF210" s="36" t="s">
        <v>2956</v>
      </c>
      <c r="AG210" s="1" t="s">
        <v>44</v>
      </c>
      <c r="AH210" s="16">
        <f>SUMIFS(DB!$I:$I,DB!$C:$C,$AE210,DB!$D:$D,$AF210,DB!$K:$K,$AB210,DB!$L:$L,$AC210)</f>
        <v>858000</v>
      </c>
      <c r="AI210" s="16">
        <v>780000</v>
      </c>
      <c r="AJ210" s="153">
        <v>78000</v>
      </c>
      <c r="AK210" s="162">
        <v>45838</v>
      </c>
      <c r="AL210" s="16">
        <v>858000</v>
      </c>
      <c r="AM210" s="107">
        <v>0</v>
      </c>
      <c r="AN210" s="36" t="s">
        <v>32</v>
      </c>
      <c r="AO210" s="37">
        <v>45777</v>
      </c>
      <c r="AP210" s="36" t="s">
        <v>1396</v>
      </c>
      <c r="AQ210" s="36" t="s">
        <v>2954</v>
      </c>
      <c r="AR210" s="36" t="s">
        <v>76</v>
      </c>
      <c r="AS210" s="89"/>
      <c r="AT210" s="87">
        <v>11300000</v>
      </c>
      <c r="AU210" s="87">
        <v>1130000</v>
      </c>
      <c r="AV210" s="87">
        <v>12430000</v>
      </c>
      <c r="AW210" s="38"/>
      <c r="AX210" s="85">
        <v>2025</v>
      </c>
      <c r="AY210" s="85">
        <v>4</v>
      </c>
      <c r="AZ210" s="36"/>
      <c r="BA210" s="1" t="s">
        <v>44</v>
      </c>
    </row>
    <row r="211" spans="10:53">
      <c r="J211" s="37"/>
      <c r="K211" s="36"/>
      <c r="L211" s="87"/>
      <c r="M211" s="38"/>
      <c r="N211" s="36"/>
      <c r="O211" s="36"/>
      <c r="P211" s="1"/>
      <c r="AA211" s="36" t="s">
        <v>32</v>
      </c>
      <c r="AB211" s="85">
        <v>2025</v>
      </c>
      <c r="AC211" s="85">
        <v>6</v>
      </c>
      <c r="AD211" s="37">
        <v>45838</v>
      </c>
      <c r="AE211" s="36" t="s">
        <v>2166</v>
      </c>
      <c r="AF211" s="36" t="s">
        <v>2836</v>
      </c>
      <c r="AG211" s="1" t="s">
        <v>44</v>
      </c>
      <c r="AH211" s="16">
        <f>SUMIFS(DB!$I:$I,DB!$C:$C,$AE211,DB!$D:$D,$AF211,DB!$K:$K,$AB211,DB!$L:$L,$AC211)</f>
        <v>35912998</v>
      </c>
      <c r="AI211" s="16">
        <v>32648180</v>
      </c>
      <c r="AJ211" s="153">
        <v>3264818</v>
      </c>
      <c r="AK211" s="162">
        <v>45961</v>
      </c>
      <c r="AL211" s="16">
        <v>35912998</v>
      </c>
      <c r="AM211" s="107">
        <v>0</v>
      </c>
      <c r="AN211" s="36" t="s">
        <v>32</v>
      </c>
      <c r="AO211" s="37">
        <v>45777</v>
      </c>
      <c r="AP211" s="36" t="s">
        <v>1396</v>
      </c>
      <c r="AQ211" s="36" t="s">
        <v>2679</v>
      </c>
      <c r="AR211" s="36" t="s">
        <v>76</v>
      </c>
      <c r="AS211" s="89"/>
      <c r="AT211" s="87">
        <v>1570000</v>
      </c>
      <c r="AU211" s="87">
        <v>157000</v>
      </c>
      <c r="AV211" s="87">
        <v>1727000</v>
      </c>
      <c r="AW211" s="38"/>
      <c r="AX211" s="85">
        <v>2025</v>
      </c>
      <c r="AY211" s="85">
        <v>4</v>
      </c>
      <c r="AZ211" s="36"/>
      <c r="BA211" s="1" t="s">
        <v>44</v>
      </c>
    </row>
    <row r="212" spans="10:53">
      <c r="J212" s="37"/>
      <c r="K212" s="36"/>
      <c r="L212" s="87"/>
      <c r="M212" s="87"/>
      <c r="N212" s="36"/>
      <c r="O212" s="36"/>
      <c r="P212" s="1"/>
      <c r="AA212" s="36" t="s">
        <v>32</v>
      </c>
      <c r="AB212" s="85">
        <v>2025</v>
      </c>
      <c r="AC212" s="85">
        <v>6</v>
      </c>
      <c r="AD212" s="37">
        <v>45838</v>
      </c>
      <c r="AE212" s="36" t="s">
        <v>2966</v>
      </c>
      <c r="AF212" s="36" t="s">
        <v>2271</v>
      </c>
      <c r="AG212" s="1" t="s">
        <v>44</v>
      </c>
      <c r="AH212" s="16">
        <f>SUMIFS(DB!$I:$I,DB!$C:$C,$AE212,DB!$D:$D,$AF212,DB!$K:$K,$AB212,DB!$L:$L,$AC212)</f>
        <v>2130387.6</v>
      </c>
      <c r="AI212" s="16">
        <v>1936716</v>
      </c>
      <c r="AJ212" s="153">
        <v>193671.6</v>
      </c>
      <c r="AK212" s="162">
        <v>45838</v>
      </c>
      <c r="AL212" s="16">
        <v>2130388</v>
      </c>
      <c r="AM212" s="107">
        <v>-0.39999999990686774</v>
      </c>
      <c r="AN212" s="36" t="s">
        <v>32</v>
      </c>
      <c r="AO212" s="37">
        <v>45777</v>
      </c>
      <c r="AP212" s="36" t="s">
        <v>1396</v>
      </c>
      <c r="AQ212" s="36" t="s">
        <v>2680</v>
      </c>
      <c r="AR212" s="36" t="s">
        <v>76</v>
      </c>
      <c r="AS212" s="89"/>
      <c r="AT212" s="87">
        <v>1700000</v>
      </c>
      <c r="AU212" s="87">
        <v>170000</v>
      </c>
      <c r="AV212" s="87">
        <v>1870000</v>
      </c>
      <c r="AW212" s="38"/>
      <c r="AX212" s="85">
        <v>2025</v>
      </c>
      <c r="AY212" s="85">
        <v>4</v>
      </c>
      <c r="AZ212" s="36"/>
      <c r="BA212" s="1" t="s">
        <v>44</v>
      </c>
    </row>
    <row r="213" spans="10:53">
      <c r="J213" s="37"/>
      <c r="K213" s="36"/>
      <c r="L213" s="87"/>
      <c r="M213" s="38"/>
      <c r="N213" s="36"/>
      <c r="O213" s="36"/>
      <c r="P213" s="1"/>
      <c r="AA213" s="36" t="s">
        <v>32</v>
      </c>
      <c r="AB213" s="85">
        <v>2025</v>
      </c>
      <c r="AC213" s="85">
        <v>6</v>
      </c>
      <c r="AD213" s="37">
        <v>45838</v>
      </c>
      <c r="AE213" s="36" t="s">
        <v>2872</v>
      </c>
      <c r="AF213" s="36" t="s">
        <v>2885</v>
      </c>
      <c r="AG213" s="1" t="s">
        <v>44</v>
      </c>
      <c r="AH213" s="16">
        <f>SUMIFS(DB!$I:$I,DB!$C:$C,$AE213,DB!$D:$D,$AF213,DB!$K:$K,$AB213,DB!$L:$L,$AC213)</f>
        <v>16500000</v>
      </c>
      <c r="AI213" s="16">
        <v>15000000</v>
      </c>
      <c r="AJ213" s="153">
        <v>1500000</v>
      </c>
      <c r="AK213" s="162">
        <v>45931</v>
      </c>
      <c r="AL213" s="16">
        <v>16500000</v>
      </c>
      <c r="AM213" s="107">
        <v>0</v>
      </c>
      <c r="AN213" s="36" t="s">
        <v>32</v>
      </c>
      <c r="AO213" s="37">
        <v>45777</v>
      </c>
      <c r="AP213" s="36" t="s">
        <v>2774</v>
      </c>
      <c r="AQ213" s="36" t="s">
        <v>2834</v>
      </c>
      <c r="AR213" s="36" t="s">
        <v>76</v>
      </c>
      <c r="AS213" s="89"/>
      <c r="AT213" s="87">
        <v>7000000</v>
      </c>
      <c r="AU213" s="87">
        <v>700000</v>
      </c>
      <c r="AV213" s="87">
        <v>7700000</v>
      </c>
      <c r="AW213" s="38"/>
      <c r="AX213" s="85">
        <v>2025</v>
      </c>
      <c r="AY213" s="85">
        <v>4</v>
      </c>
      <c r="AZ213" s="36"/>
      <c r="BA213" s="1" t="s">
        <v>44</v>
      </c>
    </row>
    <row r="214" spans="10:53">
      <c r="J214" s="37"/>
      <c r="K214" s="36"/>
      <c r="L214" s="87"/>
      <c r="M214" s="87"/>
      <c r="N214" s="36"/>
      <c r="O214" s="36"/>
      <c r="P214" s="1"/>
      <c r="AA214" s="36" t="s">
        <v>32</v>
      </c>
      <c r="AB214" s="85">
        <v>2025</v>
      </c>
      <c r="AC214" s="85">
        <v>6</v>
      </c>
      <c r="AD214" s="37">
        <v>45838</v>
      </c>
      <c r="AE214" s="36" t="s">
        <v>188</v>
      </c>
      <c r="AF214" s="36" t="s">
        <v>2937</v>
      </c>
      <c r="AG214" s="1" t="s">
        <v>44</v>
      </c>
      <c r="AH214" s="16">
        <f>SUMIFS(DB!$I:$I,DB!$C:$C,$AE214,DB!$D:$D,$AF214,DB!$K:$K,$AB214,DB!$L:$L,$AC214)</f>
        <v>14439371.1</v>
      </c>
      <c r="AI214" s="16">
        <v>13126701</v>
      </c>
      <c r="AJ214" s="153">
        <v>1312670.1000000001</v>
      </c>
      <c r="AL214" s="16">
        <v>0</v>
      </c>
      <c r="AM214" s="107">
        <v>14439371.1</v>
      </c>
      <c r="AN214" s="36" t="s">
        <v>32</v>
      </c>
      <c r="AO214" s="37">
        <v>45777</v>
      </c>
      <c r="AP214" s="36" t="s">
        <v>2774</v>
      </c>
      <c r="AQ214" s="36" t="s">
        <v>2835</v>
      </c>
      <c r="AR214" s="36" t="s">
        <v>76</v>
      </c>
      <c r="AS214" s="89"/>
      <c r="AT214" s="87">
        <v>2112000</v>
      </c>
      <c r="AU214" s="87">
        <v>211200</v>
      </c>
      <c r="AV214" s="87">
        <v>2323200</v>
      </c>
      <c r="AW214" s="38"/>
      <c r="AX214" s="85">
        <v>2025</v>
      </c>
      <c r="AY214" s="85">
        <v>4</v>
      </c>
      <c r="AZ214" s="36"/>
      <c r="BA214" s="1" t="s">
        <v>44</v>
      </c>
    </row>
    <row r="215" spans="10:53">
      <c r="J215" s="37"/>
      <c r="K215" s="36"/>
      <c r="L215" s="87"/>
      <c r="M215" s="87"/>
      <c r="N215" s="36"/>
      <c r="O215" s="36"/>
      <c r="P215" s="1"/>
      <c r="AA215" s="36" t="s">
        <v>32</v>
      </c>
      <c r="AB215" s="127">
        <v>2025</v>
      </c>
      <c r="AC215" s="127">
        <v>7</v>
      </c>
      <c r="AD215" s="37">
        <v>45875</v>
      </c>
      <c r="AE215" s="36" t="s">
        <v>1396</v>
      </c>
      <c r="AF215" s="36" t="s">
        <v>2954</v>
      </c>
      <c r="AG215" s="231" t="s">
        <v>44</v>
      </c>
      <c r="AH215" s="16">
        <f>SUMIFS(DB!$I:$I,DB!$C:$C,$AE215,DB!$D:$D,$AF215,DB!$K:$K,$AB215,DB!$L:$L,$AC215)</f>
        <v>1903000</v>
      </c>
      <c r="AI215" s="16">
        <v>1730000</v>
      </c>
      <c r="AJ215" s="153">
        <v>173000</v>
      </c>
      <c r="AK215" s="162">
        <v>45961</v>
      </c>
      <c r="AL215" s="16">
        <v>2926000</v>
      </c>
      <c r="AM215" s="107">
        <v>-1023000</v>
      </c>
      <c r="AN215" s="36" t="s">
        <v>32</v>
      </c>
      <c r="AO215" s="37">
        <v>45777</v>
      </c>
      <c r="AP215" s="36" t="s">
        <v>1470</v>
      </c>
      <c r="AQ215" s="36" t="s">
        <v>1487</v>
      </c>
      <c r="AR215" s="36" t="s">
        <v>76</v>
      </c>
      <c r="AS215" s="89"/>
      <c r="AT215" s="87">
        <v>29121600</v>
      </c>
      <c r="AU215" s="87">
        <v>2912160</v>
      </c>
      <c r="AV215" s="87">
        <v>32033760</v>
      </c>
      <c r="AW215" s="38"/>
      <c r="AX215" s="85">
        <v>2025</v>
      </c>
      <c r="AY215" s="85">
        <v>4</v>
      </c>
      <c r="AZ215" s="36"/>
      <c r="BA215" s="1" t="s">
        <v>44</v>
      </c>
    </row>
    <row r="216" spans="10:53">
      <c r="J216" s="37"/>
      <c r="K216" s="36"/>
      <c r="L216" s="87"/>
      <c r="M216" s="87"/>
      <c r="N216" s="36"/>
      <c r="O216" s="36"/>
      <c r="P216" s="1"/>
      <c r="AA216" s="36" t="s">
        <v>32</v>
      </c>
      <c r="AB216" s="85">
        <v>2025</v>
      </c>
      <c r="AC216" s="85">
        <v>7</v>
      </c>
      <c r="AD216" s="37">
        <v>45856</v>
      </c>
      <c r="AE216" s="36" t="s">
        <v>3002</v>
      </c>
      <c r="AF216" s="36" t="s">
        <v>3006</v>
      </c>
      <c r="AG216" s="1" t="s">
        <v>44</v>
      </c>
      <c r="AH216" s="16">
        <f>SUMIFS(DB!$I:$I,DB!$C:$C,$AE216,DB!$D:$D,$AF216,DB!$K:$K,$AB216,DB!$L:$L,$AC216)</f>
        <v>9999999.9000000004</v>
      </c>
      <c r="AI216" s="16">
        <v>9090909</v>
      </c>
      <c r="AJ216" s="153">
        <v>909090.9</v>
      </c>
      <c r="AK216" s="162">
        <v>45856</v>
      </c>
      <c r="AL216" s="16">
        <v>10000000</v>
      </c>
      <c r="AM216" s="107">
        <v>-9.999999962747097E-2</v>
      </c>
      <c r="AN216" s="36" t="s">
        <v>32</v>
      </c>
      <c r="AO216" s="37">
        <v>45777</v>
      </c>
      <c r="AP216" s="36" t="s">
        <v>2626</v>
      </c>
      <c r="AQ216" s="36" t="s">
        <v>2636</v>
      </c>
      <c r="AR216" s="36" t="s">
        <v>76</v>
      </c>
      <c r="AS216" s="89"/>
      <c r="AT216" s="87">
        <v>7338750</v>
      </c>
      <c r="AU216" s="87">
        <v>733875</v>
      </c>
      <c r="AV216" s="87">
        <v>8072625</v>
      </c>
      <c r="AW216" s="38"/>
      <c r="AX216" s="85">
        <v>2025</v>
      </c>
      <c r="AY216" s="85">
        <v>4</v>
      </c>
      <c r="AZ216" s="36"/>
      <c r="BA216" s="1" t="s">
        <v>44</v>
      </c>
    </row>
    <row r="217" spans="10:53">
      <c r="J217" s="37"/>
      <c r="K217" s="36"/>
      <c r="L217" s="87"/>
      <c r="M217" s="38"/>
      <c r="N217" s="36"/>
      <c r="O217" s="36"/>
      <c r="P217" s="1"/>
      <c r="AA217" s="36" t="s">
        <v>32</v>
      </c>
      <c r="AB217" s="85">
        <v>2025</v>
      </c>
      <c r="AC217" s="85">
        <v>7</v>
      </c>
      <c r="AD217" s="37">
        <v>45853</v>
      </c>
      <c r="AE217" s="36" t="s">
        <v>2545</v>
      </c>
      <c r="AF217" s="36" t="s">
        <v>3007</v>
      </c>
      <c r="AG217" s="1" t="s">
        <v>44</v>
      </c>
      <c r="AH217" s="16">
        <f>SUMIFS(DB!$I:$I,DB!$C:$C,$AE217,DB!$D:$D,$AF217,DB!$K:$K,$AB217,DB!$L:$L,$AC217)</f>
        <v>5500000</v>
      </c>
      <c r="AI217" s="16">
        <v>5000000</v>
      </c>
      <c r="AJ217" s="153">
        <v>500000</v>
      </c>
      <c r="AL217" s="16">
        <v>0</v>
      </c>
      <c r="AM217" s="107">
        <v>5500000</v>
      </c>
      <c r="AN217" s="36" t="s">
        <v>32</v>
      </c>
      <c r="AO217" s="37">
        <v>45777</v>
      </c>
      <c r="AP217" s="36" t="s">
        <v>188</v>
      </c>
      <c r="AQ217" s="36" t="s">
        <v>2827</v>
      </c>
      <c r="AR217" s="36" t="s">
        <v>267</v>
      </c>
      <c r="AS217" s="89"/>
      <c r="AT217" s="87">
        <v>3580000</v>
      </c>
      <c r="AU217" s="87">
        <v>358000</v>
      </c>
      <c r="AV217" s="87">
        <v>3938000</v>
      </c>
      <c r="AW217" s="38"/>
      <c r="AX217" s="85">
        <v>2025</v>
      </c>
      <c r="AY217" s="85">
        <v>4</v>
      </c>
      <c r="AZ217" s="36"/>
      <c r="BA217" s="1" t="s">
        <v>44</v>
      </c>
    </row>
    <row r="218" spans="10:53">
      <c r="J218" s="37"/>
      <c r="K218" s="36"/>
      <c r="L218" s="87"/>
      <c r="M218" s="38"/>
      <c r="N218" s="36"/>
      <c r="O218" s="36"/>
      <c r="P218" s="1"/>
      <c r="AA218" s="36" t="s">
        <v>32</v>
      </c>
      <c r="AB218" s="85">
        <v>2025</v>
      </c>
      <c r="AC218" s="85">
        <v>7</v>
      </c>
      <c r="AD218" s="37">
        <v>45861</v>
      </c>
      <c r="AE218" s="36" t="s">
        <v>3003</v>
      </c>
      <c r="AF218" s="36" t="s">
        <v>3008</v>
      </c>
      <c r="AG218" s="1" t="s">
        <v>44</v>
      </c>
      <c r="AH218" s="16">
        <f>SUMIFS(DB!$I:$I,DB!$C:$C,$AE218,DB!$D:$D,$AF218,DB!$K:$K,$AB218,DB!$L:$L,$AC218)</f>
        <v>5500000</v>
      </c>
      <c r="AI218" s="16">
        <v>5000000</v>
      </c>
      <c r="AJ218" s="153">
        <v>500000</v>
      </c>
      <c r="AK218" s="162">
        <v>45861</v>
      </c>
      <c r="AL218" s="16">
        <v>5500000</v>
      </c>
      <c r="AM218" s="107">
        <v>0</v>
      </c>
      <c r="AN218" s="36" t="s">
        <v>32</v>
      </c>
      <c r="AO218" s="37">
        <v>45777</v>
      </c>
      <c r="AP218" s="36" t="s">
        <v>2822</v>
      </c>
      <c r="AQ218" s="36" t="s">
        <v>2828</v>
      </c>
      <c r="AR218" s="36" t="s">
        <v>267</v>
      </c>
      <c r="AS218" s="89"/>
      <c r="AT218" s="87">
        <v>1080000</v>
      </c>
      <c r="AU218" s="87">
        <v>108000</v>
      </c>
      <c r="AV218" s="87">
        <v>1188000</v>
      </c>
      <c r="AW218" s="38"/>
      <c r="AX218" s="85">
        <v>2025</v>
      </c>
      <c r="AY218" s="85">
        <v>4</v>
      </c>
      <c r="AZ218" s="36"/>
      <c r="BA218" s="1" t="s">
        <v>44</v>
      </c>
    </row>
    <row r="219" spans="10:53">
      <c r="J219" s="37"/>
      <c r="K219" s="36"/>
      <c r="L219" s="87"/>
      <c r="M219" s="38"/>
      <c r="N219" s="36"/>
      <c r="O219" s="36"/>
      <c r="P219" s="1"/>
      <c r="AA219" s="36" t="s">
        <v>32</v>
      </c>
      <c r="AB219" s="85">
        <v>2025</v>
      </c>
      <c r="AC219" s="85">
        <v>7</v>
      </c>
      <c r="AD219" s="37">
        <v>45866</v>
      </c>
      <c r="AE219" s="36" t="s">
        <v>2005</v>
      </c>
      <c r="AF219" s="36" t="s">
        <v>3009</v>
      </c>
      <c r="AG219" s="1" t="s">
        <v>44</v>
      </c>
      <c r="AH219" s="16">
        <f>SUMIFS(DB!$I:$I,DB!$C:$C,$AE219,DB!$D:$D,$AF219,DB!$K:$K,$AB219,DB!$L:$L,$AC219)</f>
        <v>8250000</v>
      </c>
      <c r="AI219" s="16">
        <v>7500000</v>
      </c>
      <c r="AJ219" s="153">
        <v>750000</v>
      </c>
      <c r="AK219" s="162">
        <v>45946</v>
      </c>
      <c r="AL219" s="16">
        <v>8250000</v>
      </c>
      <c r="AM219" s="107">
        <v>0</v>
      </c>
      <c r="AN219" s="36" t="s">
        <v>32</v>
      </c>
      <c r="AO219" s="37">
        <v>45777</v>
      </c>
      <c r="AP219" s="36" t="s">
        <v>1569</v>
      </c>
      <c r="AQ219" s="36" t="s">
        <v>2829</v>
      </c>
      <c r="AR219" s="36" t="s">
        <v>1492</v>
      </c>
      <c r="AS219" s="89"/>
      <c r="AT219" s="87">
        <v>7368000</v>
      </c>
      <c r="AU219" s="87">
        <v>736800</v>
      </c>
      <c r="AV219" s="87">
        <v>8104800</v>
      </c>
      <c r="AW219" s="38"/>
      <c r="AX219" s="85">
        <v>2025</v>
      </c>
      <c r="AY219" s="85">
        <v>4</v>
      </c>
      <c r="AZ219" s="36"/>
      <c r="BA219" s="1" t="s">
        <v>44</v>
      </c>
    </row>
    <row r="220" spans="10:53">
      <c r="J220" s="37"/>
      <c r="K220" s="36"/>
      <c r="L220" s="87"/>
      <c r="M220" s="38"/>
      <c r="N220" s="36"/>
      <c r="O220" s="36"/>
      <c r="P220" s="1"/>
      <c r="AA220" s="36" t="s">
        <v>32</v>
      </c>
      <c r="AB220" s="85">
        <v>2025</v>
      </c>
      <c r="AC220" s="85">
        <v>7</v>
      </c>
      <c r="AD220" s="37">
        <v>45869</v>
      </c>
      <c r="AE220" s="36" t="s">
        <v>2476</v>
      </c>
      <c r="AF220" s="36" t="s">
        <v>3010</v>
      </c>
      <c r="AG220" s="1" t="s">
        <v>44</v>
      </c>
      <c r="AH220" s="16">
        <f>SUMIFS(DB!$I:$I,DB!$C:$C,$AE220,DB!$D:$D,$AF220,DB!$K:$K,$AB220,DB!$L:$L,$AC220)</f>
        <v>6006000</v>
      </c>
      <c r="AI220" s="16">
        <v>5460000</v>
      </c>
      <c r="AJ220" s="153">
        <v>546000</v>
      </c>
      <c r="AK220" s="162">
        <v>45869</v>
      </c>
      <c r="AL220" s="16">
        <v>6006000</v>
      </c>
      <c r="AM220" s="107">
        <v>0</v>
      </c>
      <c r="AN220" s="36" t="s">
        <v>32</v>
      </c>
      <c r="AO220" s="37">
        <v>45777</v>
      </c>
      <c r="AP220" s="36" t="s">
        <v>2166</v>
      </c>
      <c r="AQ220" s="36" t="s">
        <v>2836</v>
      </c>
      <c r="AR220" s="36" t="s">
        <v>76</v>
      </c>
      <c r="AS220" s="89"/>
      <c r="AT220" s="87">
        <v>12119680</v>
      </c>
      <c r="AU220" s="87">
        <v>1211968</v>
      </c>
      <c r="AV220" s="87">
        <v>13331648</v>
      </c>
      <c r="AW220" s="38"/>
      <c r="AX220" s="85">
        <v>2025</v>
      </c>
      <c r="AY220" s="85">
        <v>4</v>
      </c>
      <c r="AZ220" s="36"/>
      <c r="BA220" s="1" t="s">
        <v>44</v>
      </c>
    </row>
    <row r="221" spans="10:53">
      <c r="J221" s="37"/>
      <c r="K221" s="36"/>
      <c r="L221" s="87"/>
      <c r="M221" s="87"/>
      <c r="N221" s="36"/>
      <c r="O221" s="36"/>
      <c r="P221" s="1"/>
      <c r="AA221" s="36" t="s">
        <v>32</v>
      </c>
      <c r="AB221" s="85">
        <v>2025</v>
      </c>
      <c r="AC221" s="85">
        <v>7</v>
      </c>
      <c r="AD221" s="37">
        <v>45869</v>
      </c>
      <c r="AE221" s="36" t="s">
        <v>209</v>
      </c>
      <c r="AF221" s="36" t="s">
        <v>3011</v>
      </c>
      <c r="AG221" s="1" t="s">
        <v>44</v>
      </c>
      <c r="AH221" s="16">
        <f>SUMIFS(DB!$I:$I,DB!$C:$C,$AE221,DB!$D:$D,$AF221,DB!$K:$K,$AB221,DB!$L:$L,$AC221)</f>
        <v>1782000</v>
      </c>
      <c r="AI221" s="16">
        <v>1620000</v>
      </c>
      <c r="AJ221" s="153">
        <v>162000</v>
      </c>
      <c r="AK221" s="162">
        <v>45898</v>
      </c>
      <c r="AL221" s="16">
        <v>1782000</v>
      </c>
      <c r="AM221" s="107">
        <v>0</v>
      </c>
      <c r="AN221" s="36" t="s">
        <v>32</v>
      </c>
      <c r="AO221" s="37">
        <v>45777</v>
      </c>
      <c r="AP221" s="36" t="s">
        <v>2477</v>
      </c>
      <c r="AQ221" s="36" t="s">
        <v>2485</v>
      </c>
      <c r="AR221" s="36" t="s">
        <v>76</v>
      </c>
      <c r="AS221" s="89"/>
      <c r="AT221" s="87">
        <v>7042320</v>
      </c>
      <c r="AU221" s="87">
        <v>704232</v>
      </c>
      <c r="AV221" s="87">
        <v>7746552</v>
      </c>
      <c r="AW221" s="38"/>
      <c r="AX221" s="85">
        <v>2025</v>
      </c>
      <c r="AY221" s="85">
        <v>4</v>
      </c>
      <c r="AZ221" s="36"/>
      <c r="BA221" s="1" t="s">
        <v>44</v>
      </c>
    </row>
    <row r="222" spans="10:53">
      <c r="J222" s="37"/>
      <c r="K222" s="36"/>
      <c r="L222" s="87"/>
      <c r="M222" s="38"/>
      <c r="N222" s="36"/>
      <c r="O222" s="36"/>
      <c r="P222" s="1"/>
      <c r="AA222" s="36" t="s">
        <v>32</v>
      </c>
      <c r="AB222" s="85">
        <v>2025</v>
      </c>
      <c r="AC222" s="85">
        <v>7</v>
      </c>
      <c r="AD222" s="37">
        <v>45869</v>
      </c>
      <c r="AE222" s="36" t="s">
        <v>1218</v>
      </c>
      <c r="AF222" s="36" t="s">
        <v>3012</v>
      </c>
      <c r="AG222" s="1" t="s">
        <v>44</v>
      </c>
      <c r="AH222" s="16">
        <f>SUMIFS(DB!$I:$I,DB!$C:$C,$AE222,DB!$D:$D,$AF222,DB!$K:$K,$AB222,DB!$L:$L,$AC222)</f>
        <v>660000</v>
      </c>
      <c r="AI222" s="16">
        <v>600000</v>
      </c>
      <c r="AJ222" s="153">
        <v>60000</v>
      </c>
      <c r="AK222" s="162">
        <v>45961</v>
      </c>
      <c r="AL222" s="16">
        <v>660000</v>
      </c>
      <c r="AM222" s="107">
        <v>0</v>
      </c>
      <c r="AN222" s="36" t="s">
        <v>32</v>
      </c>
      <c r="AO222" s="37">
        <v>45777</v>
      </c>
      <c r="AP222" s="36" t="s">
        <v>2478</v>
      </c>
      <c r="AQ222" s="36" t="s">
        <v>2487</v>
      </c>
      <c r="AR222" s="36" t="s">
        <v>78</v>
      </c>
      <c r="AS222" s="89"/>
      <c r="AT222" s="87">
        <v>9000000</v>
      </c>
      <c r="AU222" s="87">
        <v>900000</v>
      </c>
      <c r="AV222" s="87">
        <v>9900000</v>
      </c>
      <c r="AW222" s="38"/>
      <c r="AX222" s="85">
        <v>2025</v>
      </c>
      <c r="AY222" s="85">
        <v>4</v>
      </c>
      <c r="AZ222" s="36"/>
      <c r="BA222" s="1" t="s">
        <v>44</v>
      </c>
    </row>
    <row r="223" spans="10:53">
      <c r="J223" s="37"/>
      <c r="K223" s="36"/>
      <c r="L223" s="87"/>
      <c r="M223" s="87"/>
      <c r="N223" s="36"/>
      <c r="O223" s="36"/>
      <c r="P223" s="1"/>
      <c r="AA223" s="36" t="s">
        <v>32</v>
      </c>
      <c r="AB223" s="85">
        <v>2025</v>
      </c>
      <c r="AC223" s="85">
        <v>7</v>
      </c>
      <c r="AD223" s="37">
        <v>45869</v>
      </c>
      <c r="AE223" s="36" t="s">
        <v>3004</v>
      </c>
      <c r="AF223" s="36" t="s">
        <v>3013</v>
      </c>
      <c r="AG223" s="1" t="s">
        <v>44</v>
      </c>
      <c r="AH223" s="16">
        <f>SUMIFS(DB!$I:$I,DB!$C:$C,$AE223,DB!$D:$D,$AF223,DB!$K:$K,$AB223,DB!$L:$L,$AC223)</f>
        <v>44000000</v>
      </c>
      <c r="AI223" s="16">
        <v>40000000</v>
      </c>
      <c r="AJ223" s="153">
        <v>4000000</v>
      </c>
      <c r="AK223" s="162">
        <v>45869</v>
      </c>
      <c r="AL223" s="16">
        <v>44000000</v>
      </c>
      <c r="AM223" s="107">
        <v>0</v>
      </c>
      <c r="AN223" s="36" t="s">
        <v>32</v>
      </c>
      <c r="AO223" s="37">
        <v>45777</v>
      </c>
      <c r="AP223" s="36" t="s">
        <v>2823</v>
      </c>
      <c r="AQ223" s="36" t="s">
        <v>2830</v>
      </c>
      <c r="AR223" s="36" t="s">
        <v>1417</v>
      </c>
      <c r="AS223" s="89"/>
      <c r="AT223" s="87">
        <v>1600000</v>
      </c>
      <c r="AU223" s="87">
        <v>160000</v>
      </c>
      <c r="AV223" s="87">
        <v>1760000</v>
      </c>
      <c r="AW223" s="38"/>
      <c r="AX223" s="85">
        <v>2025</v>
      </c>
      <c r="AY223" s="85">
        <v>4</v>
      </c>
      <c r="AZ223" s="36"/>
      <c r="BA223" s="1" t="s">
        <v>44</v>
      </c>
    </row>
    <row r="224" spans="10:53">
      <c r="J224" s="37"/>
      <c r="K224" s="36"/>
      <c r="L224" s="87"/>
      <c r="M224" s="87"/>
      <c r="N224" s="36"/>
      <c r="O224" s="36"/>
      <c r="P224" s="1"/>
      <c r="AA224" s="36" t="s">
        <v>32</v>
      </c>
      <c r="AB224" s="85">
        <v>2025</v>
      </c>
      <c r="AC224" s="85">
        <v>7</v>
      </c>
      <c r="AD224" s="37">
        <v>45869</v>
      </c>
      <c r="AE224" s="36" t="s">
        <v>3005</v>
      </c>
      <c r="AF224" s="36" t="s">
        <v>3014</v>
      </c>
      <c r="AG224" s="1" t="s">
        <v>44</v>
      </c>
      <c r="AH224" s="16">
        <f>SUMIFS(DB!$I:$I,DB!$C:$C,$AE224,DB!$D:$D,$AF224,DB!$K:$K,$AB224,DB!$L:$L,$AC224)</f>
        <v>3384700</v>
      </c>
      <c r="AI224" s="16">
        <v>3077000</v>
      </c>
      <c r="AJ224" s="153">
        <v>307700</v>
      </c>
      <c r="AK224" s="162">
        <v>45869</v>
      </c>
      <c r="AL224" s="16">
        <v>3384700</v>
      </c>
      <c r="AM224" s="107">
        <v>0</v>
      </c>
      <c r="AN224" s="36" t="s">
        <v>32</v>
      </c>
      <c r="AO224" s="37">
        <v>45777</v>
      </c>
      <c r="AP224" s="36" t="s">
        <v>2627</v>
      </c>
      <c r="AQ224" s="36" t="s">
        <v>2831</v>
      </c>
      <c r="AR224" s="36" t="s">
        <v>78</v>
      </c>
      <c r="AS224" s="89"/>
      <c r="AT224" s="87">
        <v>17698920</v>
      </c>
      <c r="AU224" s="87">
        <v>1769892</v>
      </c>
      <c r="AV224" s="87">
        <v>19468812</v>
      </c>
      <c r="AW224" s="38"/>
      <c r="AX224" s="85">
        <v>2025</v>
      </c>
      <c r="AY224" s="85">
        <v>4</v>
      </c>
      <c r="AZ224" s="36"/>
      <c r="BA224" s="1" t="s">
        <v>44</v>
      </c>
    </row>
    <row r="225" spans="10:53">
      <c r="J225" s="37"/>
      <c r="K225" s="36"/>
      <c r="L225" s="87"/>
      <c r="M225" s="87"/>
      <c r="N225" s="36"/>
      <c r="O225" s="36"/>
      <c r="P225" s="1"/>
      <c r="AA225" s="36" t="s">
        <v>32</v>
      </c>
      <c r="AB225" s="85">
        <v>2025</v>
      </c>
      <c r="AC225" s="85">
        <v>7</v>
      </c>
      <c r="AD225" s="37">
        <v>45869</v>
      </c>
      <c r="AE225" s="36" t="s">
        <v>264</v>
      </c>
      <c r="AF225" s="36" t="s">
        <v>3015</v>
      </c>
      <c r="AG225" s="1" t="s">
        <v>44</v>
      </c>
      <c r="AH225" s="16">
        <f>SUMIFS(DB!$I:$I,DB!$C:$C,$AE225,DB!$D:$D,$AF225,DB!$K:$K,$AB225,DB!$L:$L,$AC225)</f>
        <v>17820000</v>
      </c>
      <c r="AI225" s="16">
        <v>16200000</v>
      </c>
      <c r="AJ225" s="153">
        <v>1620000</v>
      </c>
      <c r="AK225" s="162">
        <v>45961</v>
      </c>
      <c r="AL225" s="16">
        <v>17820000</v>
      </c>
      <c r="AM225" s="107">
        <v>0</v>
      </c>
      <c r="AN225" s="36" t="s">
        <v>32</v>
      </c>
      <c r="AO225" s="37">
        <v>45777</v>
      </c>
      <c r="AP225" s="36" t="s">
        <v>1587</v>
      </c>
      <c r="AQ225" s="36" t="s">
        <v>2285</v>
      </c>
      <c r="AR225" s="36" t="s">
        <v>1492</v>
      </c>
      <c r="AS225" s="89"/>
      <c r="AT225" s="87">
        <v>30924000</v>
      </c>
      <c r="AU225" s="87">
        <v>3092400</v>
      </c>
      <c r="AV225" s="87">
        <v>34016400</v>
      </c>
      <c r="AW225" s="38"/>
      <c r="AX225" s="85">
        <v>2025</v>
      </c>
      <c r="AY225" s="85">
        <v>4</v>
      </c>
      <c r="AZ225" s="36"/>
      <c r="BA225" s="1" t="s">
        <v>44</v>
      </c>
    </row>
    <row r="226" spans="10:53">
      <c r="J226" s="37"/>
      <c r="K226" s="36"/>
      <c r="L226" s="87"/>
      <c r="M226" s="38"/>
      <c r="N226" s="36"/>
      <c r="O226" s="36"/>
      <c r="P226" s="1"/>
      <c r="AA226" s="36" t="s">
        <v>32</v>
      </c>
      <c r="AB226" s="85">
        <v>2025</v>
      </c>
      <c r="AC226" s="85">
        <v>7</v>
      </c>
      <c r="AD226" s="37">
        <v>45869</v>
      </c>
      <c r="AE226" s="36" t="s">
        <v>661</v>
      </c>
      <c r="AF226" s="36" t="s">
        <v>2783</v>
      </c>
      <c r="AG226" s="1" t="s">
        <v>44</v>
      </c>
      <c r="AH226" s="16">
        <f>SUMIFS(DB!$I:$I,DB!$C:$C,$AE226,DB!$D:$D,$AF226,DB!$K:$K,$AB226,DB!$L:$L,$AC226)</f>
        <v>3441020</v>
      </c>
      <c r="AI226" s="16">
        <v>3128200</v>
      </c>
      <c r="AJ226" s="153">
        <v>312820</v>
      </c>
      <c r="AK226" s="162">
        <v>45869</v>
      </c>
      <c r="AL226" s="16">
        <v>3441020</v>
      </c>
      <c r="AM226" s="107">
        <v>0</v>
      </c>
      <c r="AN226" s="36" t="s">
        <v>32</v>
      </c>
      <c r="AO226" s="37">
        <v>45777</v>
      </c>
      <c r="AP226" s="36" t="s">
        <v>2824</v>
      </c>
      <c r="AQ226" s="36" t="s">
        <v>2832</v>
      </c>
      <c r="AR226" s="36" t="s">
        <v>76</v>
      </c>
      <c r="AS226" s="89"/>
      <c r="AT226" s="87">
        <v>6409000</v>
      </c>
      <c r="AU226" s="87">
        <v>640900</v>
      </c>
      <c r="AV226" s="87">
        <v>7049900</v>
      </c>
      <c r="AW226" s="38"/>
      <c r="AX226" s="85">
        <v>2025</v>
      </c>
      <c r="AY226" s="85">
        <v>4</v>
      </c>
      <c r="AZ226" s="36"/>
      <c r="BA226" s="1" t="s">
        <v>44</v>
      </c>
    </row>
    <row r="227" spans="10:53">
      <c r="J227" s="37"/>
      <c r="K227" s="36"/>
      <c r="L227" s="87"/>
      <c r="M227" s="38"/>
      <c r="N227" s="36"/>
      <c r="O227" s="36"/>
      <c r="P227" s="1"/>
      <c r="AA227" s="36" t="s">
        <v>32</v>
      </c>
      <c r="AB227" s="85">
        <v>2025</v>
      </c>
      <c r="AC227" s="85">
        <v>7</v>
      </c>
      <c r="AD227" s="37">
        <v>45869</v>
      </c>
      <c r="AE227" s="36" t="s">
        <v>2774</v>
      </c>
      <c r="AF227" s="36" t="s">
        <v>2784</v>
      </c>
      <c r="AG227" s="1" t="s">
        <v>44</v>
      </c>
      <c r="AH227" s="16">
        <f>SUMIFS(DB!$I:$I,DB!$C:$C,$AE227,DB!$D:$D,$AF227,DB!$K:$K,$AB227,DB!$L:$L,$AC227)</f>
        <v>13511960</v>
      </c>
      <c r="AI227" s="16">
        <v>12283600</v>
      </c>
      <c r="AJ227" s="153">
        <v>1228360</v>
      </c>
      <c r="AK227" s="162">
        <v>45910</v>
      </c>
      <c r="AL227" s="16">
        <v>13511960</v>
      </c>
      <c r="AM227" s="107">
        <v>0</v>
      </c>
      <c r="AN227" s="36" t="s">
        <v>32</v>
      </c>
      <c r="AO227" s="37">
        <v>45777</v>
      </c>
      <c r="AP227" s="36" t="s">
        <v>1462</v>
      </c>
      <c r="AQ227" s="36" t="s">
        <v>2962</v>
      </c>
      <c r="AR227" s="36" t="s">
        <v>76</v>
      </c>
      <c r="AS227" s="89"/>
      <c r="AT227" s="87">
        <v>18185671</v>
      </c>
      <c r="AU227" s="87">
        <v>1818567.1</v>
      </c>
      <c r="AV227" s="87">
        <v>20004238.100000001</v>
      </c>
      <c r="AW227" s="38"/>
      <c r="AX227" s="85">
        <v>2025</v>
      </c>
      <c r="AY227" s="85">
        <v>4</v>
      </c>
      <c r="AZ227" s="36"/>
      <c r="BA227" s="1" t="s">
        <v>44</v>
      </c>
    </row>
    <row r="228" spans="10:53">
      <c r="J228" s="37"/>
      <c r="K228" s="36"/>
      <c r="L228" s="87"/>
      <c r="M228" s="38"/>
      <c r="N228" s="36"/>
      <c r="O228" s="36"/>
      <c r="P228" s="1"/>
      <c r="AA228" s="36" t="s">
        <v>32</v>
      </c>
      <c r="AB228" s="85">
        <v>2025</v>
      </c>
      <c r="AC228" s="85">
        <v>7</v>
      </c>
      <c r="AD228" s="37">
        <v>45869</v>
      </c>
      <c r="AE228" s="36" t="s">
        <v>654</v>
      </c>
      <c r="AF228" s="36" t="s">
        <v>2588</v>
      </c>
      <c r="AG228" s="1" t="s">
        <v>44</v>
      </c>
      <c r="AH228" s="16">
        <f>SUMIFS(DB!$I:$I,DB!$C:$C,$AE228,DB!$D:$D,$AF228,DB!$K:$K,$AB228,DB!$L:$L,$AC228)</f>
        <v>8773204</v>
      </c>
      <c r="AI228" s="16">
        <v>7975640</v>
      </c>
      <c r="AJ228" s="153">
        <v>797564</v>
      </c>
      <c r="AK228" s="162">
        <v>45961</v>
      </c>
      <c r="AL228" s="16">
        <v>8773204</v>
      </c>
      <c r="AM228" s="107">
        <v>0</v>
      </c>
      <c r="AN228" s="36" t="s">
        <v>32</v>
      </c>
      <c r="AO228" s="37">
        <v>45777</v>
      </c>
      <c r="AP228" s="36" t="s">
        <v>2825</v>
      </c>
      <c r="AQ228" s="36" t="s">
        <v>2833</v>
      </c>
      <c r="AR228" s="36" t="s">
        <v>267</v>
      </c>
      <c r="AS228" s="89"/>
      <c r="AT228" s="87">
        <v>5709000</v>
      </c>
      <c r="AU228" s="87">
        <v>570900</v>
      </c>
      <c r="AV228" s="87">
        <v>6279900</v>
      </c>
      <c r="AW228" s="38"/>
      <c r="AX228" s="85">
        <v>2025</v>
      </c>
      <c r="AY228" s="85">
        <v>4</v>
      </c>
      <c r="AZ228" s="36"/>
      <c r="BA228" s="1" t="s">
        <v>44</v>
      </c>
    </row>
    <row r="229" spans="10:53">
      <c r="J229" s="37"/>
      <c r="K229" s="36"/>
      <c r="L229" s="87"/>
      <c r="M229" s="38"/>
      <c r="N229" s="36"/>
      <c r="O229" s="36"/>
      <c r="P229" s="1"/>
      <c r="AA229" s="36" t="s">
        <v>32</v>
      </c>
      <c r="AB229" s="85">
        <v>2025</v>
      </c>
      <c r="AC229" s="85">
        <v>7</v>
      </c>
      <c r="AD229" s="37">
        <v>45869</v>
      </c>
      <c r="AE229" s="36" t="s">
        <v>654</v>
      </c>
      <c r="AF229" s="36" t="s">
        <v>2541</v>
      </c>
      <c r="AG229" s="1" t="s">
        <v>44</v>
      </c>
      <c r="AH229" s="16">
        <f>SUMIFS(DB!$I:$I,DB!$C:$C,$AE229,DB!$D:$D,$AF229,DB!$K:$K,$AB229,DB!$L:$L,$AC229)</f>
        <v>49280000</v>
      </c>
      <c r="AI229" s="16">
        <v>44800000</v>
      </c>
      <c r="AJ229" s="153">
        <v>4480000</v>
      </c>
      <c r="AK229" s="162">
        <v>45961</v>
      </c>
      <c r="AL229" s="16">
        <v>49280000</v>
      </c>
      <c r="AM229" s="107">
        <v>0</v>
      </c>
      <c r="AN229" s="36" t="s">
        <v>32</v>
      </c>
      <c r="AO229" s="37">
        <v>45777</v>
      </c>
      <c r="AP229" s="36" t="s">
        <v>264</v>
      </c>
      <c r="AQ229" s="36" t="s">
        <v>2837</v>
      </c>
      <c r="AR229" s="36" t="s">
        <v>76</v>
      </c>
      <c r="AS229" s="89"/>
      <c r="AT229" s="87">
        <v>32600000</v>
      </c>
      <c r="AU229" s="87">
        <v>3260000</v>
      </c>
      <c r="AV229" s="87">
        <v>35860000</v>
      </c>
      <c r="AW229" s="38"/>
      <c r="AX229" s="85">
        <v>2025</v>
      </c>
      <c r="AY229" s="85">
        <v>4</v>
      </c>
      <c r="AZ229" s="36"/>
      <c r="BA229" s="1" t="s">
        <v>44</v>
      </c>
    </row>
    <row r="230" spans="10:53">
      <c r="J230" s="37"/>
      <c r="K230" s="36"/>
      <c r="L230" s="87"/>
      <c r="M230" s="38"/>
      <c r="N230" s="36"/>
      <c r="O230" s="36"/>
      <c r="P230" s="1"/>
      <c r="AA230" s="36" t="s">
        <v>32</v>
      </c>
      <c r="AB230" s="85">
        <v>2025</v>
      </c>
      <c r="AC230" s="85">
        <v>7</v>
      </c>
      <c r="AD230" s="37">
        <v>45869</v>
      </c>
      <c r="AE230" s="36" t="s">
        <v>654</v>
      </c>
      <c r="AF230" s="36" t="s">
        <v>1854</v>
      </c>
      <c r="AG230" s="1" t="s">
        <v>44</v>
      </c>
      <c r="AH230" s="16">
        <f>SUMIFS(DB!$I:$I,DB!$C:$C,$AE230,DB!$D:$D,$AF230,DB!$K:$K,$AB230,DB!$L:$L,$AC230)</f>
        <v>11000000</v>
      </c>
      <c r="AI230" s="16">
        <v>10000000</v>
      </c>
      <c r="AJ230" s="153">
        <v>1000000</v>
      </c>
      <c r="AK230" s="162">
        <v>45961</v>
      </c>
      <c r="AL230" s="16">
        <v>11000000</v>
      </c>
      <c r="AM230" s="107">
        <v>0</v>
      </c>
      <c r="AN230" s="36" t="s">
        <v>32</v>
      </c>
      <c r="AO230" s="37">
        <v>45777</v>
      </c>
      <c r="AP230" s="36" t="s">
        <v>2628</v>
      </c>
      <c r="AQ230" s="36" t="s">
        <v>2639</v>
      </c>
      <c r="AR230" s="36" t="s">
        <v>76</v>
      </c>
      <c r="AS230" s="89"/>
      <c r="AT230" s="87">
        <v>12826900</v>
      </c>
      <c r="AU230" s="87">
        <v>1282690</v>
      </c>
      <c r="AV230" s="87">
        <v>14109590</v>
      </c>
      <c r="AW230" s="38"/>
      <c r="AX230" s="85">
        <v>2025</v>
      </c>
      <c r="AY230" s="85">
        <v>4</v>
      </c>
      <c r="AZ230" s="36"/>
      <c r="BA230" s="1" t="s">
        <v>44</v>
      </c>
    </row>
    <row r="231" spans="10:53">
      <c r="J231" s="37"/>
      <c r="K231" s="36"/>
      <c r="L231" s="87"/>
      <c r="M231" s="38"/>
      <c r="N231" s="36"/>
      <c r="O231" s="36"/>
      <c r="P231" s="1"/>
      <c r="AA231" s="36" t="s">
        <v>32</v>
      </c>
      <c r="AB231" s="85">
        <v>2025</v>
      </c>
      <c r="AC231" s="85">
        <v>7</v>
      </c>
      <c r="AD231" s="37">
        <v>45869</v>
      </c>
      <c r="AE231" s="36" t="s">
        <v>1396</v>
      </c>
      <c r="AF231" s="36" t="s">
        <v>2953</v>
      </c>
      <c r="AG231" s="1" t="s">
        <v>44</v>
      </c>
      <c r="AH231" s="16">
        <f>SUMIFS(DB!$I:$I,DB!$C:$C,$AE231,DB!$D:$D,$AF231,DB!$K:$K,$AB231,DB!$L:$L,$AC231)</f>
        <v>5346000</v>
      </c>
      <c r="AI231" s="16">
        <v>4860000</v>
      </c>
      <c r="AJ231" s="153">
        <v>486000</v>
      </c>
      <c r="AK231" s="162">
        <v>45869</v>
      </c>
      <c r="AL231" s="16">
        <v>5346000</v>
      </c>
      <c r="AM231" s="107">
        <v>0</v>
      </c>
      <c r="AN231" s="36" t="s">
        <v>32</v>
      </c>
      <c r="AO231" s="37">
        <v>45777</v>
      </c>
      <c r="AP231" s="36" t="s">
        <v>654</v>
      </c>
      <c r="AQ231" s="36" t="s">
        <v>2588</v>
      </c>
      <c r="AR231" s="36" t="s">
        <v>2838</v>
      </c>
      <c r="AS231" s="89"/>
      <c r="AT231" s="87">
        <v>-12821000</v>
      </c>
      <c r="AU231" s="87">
        <v>-1282100</v>
      </c>
      <c r="AV231" s="87">
        <v>-14103100</v>
      </c>
      <c r="AW231" s="38"/>
      <c r="AX231" s="85">
        <v>2025</v>
      </c>
      <c r="AY231" s="85">
        <v>4</v>
      </c>
      <c r="AZ231" s="36"/>
      <c r="BA231" s="1" t="s">
        <v>44</v>
      </c>
    </row>
    <row r="232" spans="10:53">
      <c r="J232" s="37"/>
      <c r="K232" s="36"/>
      <c r="L232" s="87"/>
      <c r="M232" s="38"/>
      <c r="N232" s="36"/>
      <c r="O232" s="36"/>
      <c r="P232" s="1"/>
      <c r="AA232" s="36" t="s">
        <v>32</v>
      </c>
      <c r="AB232" s="85">
        <v>2025</v>
      </c>
      <c r="AC232" s="85">
        <v>7</v>
      </c>
      <c r="AD232" s="37">
        <v>45869</v>
      </c>
      <c r="AE232" s="36" t="s">
        <v>3002</v>
      </c>
      <c r="AF232" s="36" t="s">
        <v>3016</v>
      </c>
      <c r="AG232" s="1" t="s">
        <v>44</v>
      </c>
      <c r="AH232" s="16">
        <f>SUMIFS(DB!$I:$I,DB!$C:$C,$AE232,DB!$D:$D,$AF232,DB!$K:$K,$AB232,DB!$L:$L,$AC232)</f>
        <v>11594000</v>
      </c>
      <c r="AI232" s="16">
        <v>10540000</v>
      </c>
      <c r="AJ232" s="153">
        <v>1054000</v>
      </c>
      <c r="AL232" s="16">
        <v>0</v>
      </c>
      <c r="AM232" s="107">
        <v>11594000</v>
      </c>
      <c r="AN232" s="36" t="s">
        <v>32</v>
      </c>
      <c r="AO232" s="37">
        <v>45777</v>
      </c>
      <c r="AP232" s="36" t="s">
        <v>654</v>
      </c>
      <c r="AQ232" s="36" t="s">
        <v>2635</v>
      </c>
      <c r="AR232" s="36" t="s">
        <v>2838</v>
      </c>
      <c r="AS232" s="89"/>
      <c r="AT232" s="87">
        <v>-15000000</v>
      </c>
      <c r="AU232" s="87">
        <v>-1500000</v>
      </c>
      <c r="AV232" s="87">
        <v>-16500000</v>
      </c>
      <c r="AW232" s="38"/>
      <c r="AX232" s="85">
        <v>2025</v>
      </c>
      <c r="AY232" s="85">
        <v>4</v>
      </c>
      <c r="AZ232" s="36"/>
      <c r="BA232" s="1" t="s">
        <v>44</v>
      </c>
    </row>
    <row r="233" spans="10:53">
      <c r="J233" s="37"/>
      <c r="K233" s="36"/>
      <c r="L233" s="87"/>
      <c r="M233" s="38"/>
      <c r="N233" s="36"/>
      <c r="O233" s="36"/>
      <c r="P233" s="1"/>
      <c r="AA233" s="36" t="s">
        <v>32</v>
      </c>
      <c r="AB233" s="85">
        <v>2025</v>
      </c>
      <c r="AC233" s="85">
        <v>7</v>
      </c>
      <c r="AD233" s="37">
        <v>45869</v>
      </c>
      <c r="AE233" s="36" t="s">
        <v>291</v>
      </c>
      <c r="AF233" s="36" t="s">
        <v>3017</v>
      </c>
      <c r="AG233" s="1" t="s">
        <v>44</v>
      </c>
      <c r="AH233" s="16">
        <f>SUMIFS(DB!$I:$I,DB!$C:$C,$AE233,DB!$D:$D,$AF233,DB!$K:$K,$AB233,DB!$L:$L,$AC233)</f>
        <v>660000</v>
      </c>
      <c r="AI233" s="16">
        <v>600000</v>
      </c>
      <c r="AJ233" s="153">
        <v>60000</v>
      </c>
      <c r="AK233" s="162">
        <v>45869</v>
      </c>
      <c r="AL233" s="16">
        <v>660000</v>
      </c>
      <c r="AM233" s="107">
        <v>0</v>
      </c>
      <c r="AN233" s="36" t="s">
        <v>32</v>
      </c>
      <c r="AO233" s="37">
        <v>45777</v>
      </c>
      <c r="AP233" s="36" t="s">
        <v>1880</v>
      </c>
      <c r="AQ233" s="36" t="s">
        <v>2396</v>
      </c>
      <c r="AR233" s="36" t="s">
        <v>148</v>
      </c>
      <c r="AS233" s="89"/>
      <c r="AT233" s="87"/>
      <c r="AU233" s="87"/>
      <c r="AV233" s="87"/>
      <c r="AW233" s="87">
        <v>6600000</v>
      </c>
      <c r="AX233" s="85">
        <v>2025</v>
      </c>
      <c r="AY233" s="85">
        <v>4</v>
      </c>
      <c r="AZ233" s="282" t="s">
        <v>2839</v>
      </c>
      <c r="BA233" s="1" t="s">
        <v>44</v>
      </c>
    </row>
    <row r="234" spans="10:53">
      <c r="J234" s="37"/>
      <c r="K234" s="36"/>
      <c r="L234" s="87"/>
      <c r="M234" s="87"/>
      <c r="N234" s="36"/>
      <c r="O234" s="36"/>
      <c r="P234" s="1"/>
      <c r="AA234" s="36" t="s">
        <v>32</v>
      </c>
      <c r="AB234" s="85">
        <v>2025</v>
      </c>
      <c r="AC234" s="85">
        <v>7</v>
      </c>
      <c r="AD234" s="37">
        <v>45869</v>
      </c>
      <c r="AE234" s="36" t="s">
        <v>188</v>
      </c>
      <c r="AF234" s="36" t="s">
        <v>3018</v>
      </c>
      <c r="AG234" s="1" t="s">
        <v>44</v>
      </c>
      <c r="AH234" s="16">
        <f>SUMIFS(DB!$I:$I,DB!$C:$C,$AE234,DB!$D:$D,$AF234,DB!$K:$K,$AB234,DB!$L:$L,$AC234)</f>
        <v>7480000</v>
      </c>
      <c r="AI234" s="16">
        <v>6800000</v>
      </c>
      <c r="AJ234" s="153">
        <v>680000</v>
      </c>
      <c r="AK234" s="162">
        <v>45961</v>
      </c>
      <c r="AL234" s="16">
        <v>7480000</v>
      </c>
      <c r="AM234" s="107">
        <v>0</v>
      </c>
      <c r="AN234" s="36" t="s">
        <v>32</v>
      </c>
      <c r="AO234" s="37">
        <v>45785</v>
      </c>
      <c r="AP234" s="36" t="s">
        <v>1569</v>
      </c>
      <c r="AQ234" s="36" t="s">
        <v>2829</v>
      </c>
      <c r="AR234" s="36" t="s">
        <v>148</v>
      </c>
      <c r="AS234" s="89"/>
      <c r="AT234" s="87"/>
      <c r="AU234" s="87"/>
      <c r="AV234" s="87"/>
      <c r="AW234" s="87">
        <v>8104800</v>
      </c>
      <c r="AX234" s="85">
        <v>2025</v>
      </c>
      <c r="AY234" s="85">
        <v>4</v>
      </c>
      <c r="AZ234" s="36"/>
      <c r="BA234" s="1" t="s">
        <v>44</v>
      </c>
    </row>
    <row r="235" spans="10:53">
      <c r="J235" s="37"/>
      <c r="K235" s="36"/>
      <c r="L235" s="87"/>
      <c r="M235" s="38"/>
      <c r="N235" s="36"/>
      <c r="O235" s="36"/>
      <c r="P235" s="1"/>
      <c r="AA235" s="36" t="s">
        <v>32</v>
      </c>
      <c r="AB235" s="85">
        <v>2025</v>
      </c>
      <c r="AC235" s="85">
        <v>7</v>
      </c>
      <c r="AD235" s="37">
        <v>45869</v>
      </c>
      <c r="AE235" s="36" t="s">
        <v>2628</v>
      </c>
      <c r="AF235" s="36" t="s">
        <v>2639</v>
      </c>
      <c r="AG235" s="1" t="s">
        <v>44</v>
      </c>
      <c r="AH235" s="16">
        <f>SUMIFS(DB!$I:$I,DB!$C:$C,$AE235,DB!$D:$D,$AF235,DB!$K:$K,$AB235,DB!$L:$L,$AC235)</f>
        <v>9155520</v>
      </c>
      <c r="AI235" s="16">
        <v>8323200</v>
      </c>
      <c r="AJ235" s="153">
        <v>832320</v>
      </c>
      <c r="AK235" s="162">
        <v>45869</v>
      </c>
      <c r="AL235" s="16">
        <v>9155520</v>
      </c>
      <c r="AM235" s="107">
        <v>0</v>
      </c>
      <c r="AN235" s="36" t="s">
        <v>32</v>
      </c>
      <c r="AO235" s="37">
        <v>45789</v>
      </c>
      <c r="AP235" s="36" t="s">
        <v>1587</v>
      </c>
      <c r="AQ235" s="36" t="s">
        <v>2285</v>
      </c>
      <c r="AR235" s="36" t="s">
        <v>148</v>
      </c>
      <c r="AS235" s="89"/>
      <c r="AT235" s="87"/>
      <c r="AU235" s="87"/>
      <c r="AV235" s="87"/>
      <c r="AW235" s="87">
        <v>34016400</v>
      </c>
      <c r="AX235" s="85">
        <v>2025</v>
      </c>
      <c r="AY235" s="85">
        <v>4</v>
      </c>
      <c r="AZ235" s="36"/>
      <c r="BA235" s="1" t="s">
        <v>44</v>
      </c>
    </row>
    <row r="236" spans="10:53">
      <c r="J236" s="37"/>
      <c r="K236" s="36"/>
      <c r="L236" s="87"/>
      <c r="M236" s="38"/>
      <c r="N236" s="36"/>
      <c r="O236" s="36"/>
      <c r="P236" s="1"/>
      <c r="AA236" s="36" t="s">
        <v>32</v>
      </c>
      <c r="AB236" s="85">
        <v>2025</v>
      </c>
      <c r="AC236" s="85">
        <v>7</v>
      </c>
      <c r="AD236" s="37">
        <v>45869</v>
      </c>
      <c r="AE236" s="36" t="s">
        <v>1198</v>
      </c>
      <c r="AF236" s="36" t="s">
        <v>2889</v>
      </c>
      <c r="AG236" s="1" t="s">
        <v>44</v>
      </c>
      <c r="AH236" s="16">
        <f>SUMIFS(DB!$I:$I,DB!$C:$C,$AE236,DB!$D:$D,$AF236,DB!$K:$K,$AB236,DB!$L:$L,$AC236)</f>
        <v>970200</v>
      </c>
      <c r="AI236" s="16">
        <v>882000</v>
      </c>
      <c r="AJ236" s="153">
        <v>88200</v>
      </c>
      <c r="AL236" s="16">
        <v>0</v>
      </c>
      <c r="AM236" s="107">
        <v>970200</v>
      </c>
      <c r="AN236" s="36" t="s">
        <v>32</v>
      </c>
      <c r="AO236" s="37">
        <v>45790</v>
      </c>
      <c r="AP236" s="36" t="s">
        <v>1396</v>
      </c>
      <c r="AQ236" s="36" t="s">
        <v>2678</v>
      </c>
      <c r="AR236" s="36" t="s">
        <v>2785</v>
      </c>
      <c r="AS236" s="89"/>
      <c r="AT236" s="87"/>
      <c r="AU236" s="87"/>
      <c r="AV236" s="87"/>
      <c r="AW236" s="87">
        <v>1870000</v>
      </c>
      <c r="AX236" s="85">
        <v>2025</v>
      </c>
      <c r="AY236" s="85">
        <v>4</v>
      </c>
      <c r="AZ236" s="36"/>
      <c r="BA236" s="1" t="s">
        <v>44</v>
      </c>
    </row>
    <row r="237" spans="10:53">
      <c r="J237" s="37"/>
      <c r="K237" s="36"/>
      <c r="L237" s="87"/>
      <c r="M237" s="38"/>
      <c r="N237" s="36"/>
      <c r="O237" s="36"/>
      <c r="P237" s="1"/>
      <c r="AA237" s="36" t="s">
        <v>32</v>
      </c>
      <c r="AB237" s="85">
        <v>2025</v>
      </c>
      <c r="AC237" s="85">
        <v>7</v>
      </c>
      <c r="AD237" s="37">
        <v>45869</v>
      </c>
      <c r="AE237" s="36" t="s">
        <v>1198</v>
      </c>
      <c r="AF237" s="36" t="s">
        <v>2887</v>
      </c>
      <c r="AG237" s="1" t="s">
        <v>44</v>
      </c>
      <c r="AH237" s="16">
        <f>SUMIFS(DB!$I:$I,DB!$C:$C,$AE237,DB!$D:$D,$AF237,DB!$K:$K,$AB237,DB!$L:$L,$AC237)</f>
        <v>3572800</v>
      </c>
      <c r="AI237" s="16">
        <v>3248000</v>
      </c>
      <c r="AJ237" s="153">
        <v>324800</v>
      </c>
      <c r="AK237" s="162">
        <v>45950</v>
      </c>
      <c r="AL237" s="16">
        <v>3572800</v>
      </c>
      <c r="AM237" s="107">
        <v>0</v>
      </c>
      <c r="AN237" s="36" t="s">
        <v>32</v>
      </c>
      <c r="AO237" s="37">
        <v>45790</v>
      </c>
      <c r="AP237" s="36" t="s">
        <v>1396</v>
      </c>
      <c r="AQ237" s="36" t="s">
        <v>2954</v>
      </c>
      <c r="AR237" s="36" t="s">
        <v>2840</v>
      </c>
      <c r="AS237" s="89"/>
      <c r="AT237" s="87"/>
      <c r="AU237" s="87"/>
      <c r="AV237" s="87"/>
      <c r="AW237" s="87">
        <v>12430000</v>
      </c>
      <c r="AX237" s="85">
        <v>2025</v>
      </c>
      <c r="AY237" s="85">
        <v>4</v>
      </c>
      <c r="AZ237" s="36"/>
      <c r="BA237" s="1" t="s">
        <v>44</v>
      </c>
    </row>
    <row r="238" spans="10:53">
      <c r="J238" s="37"/>
      <c r="K238" s="36"/>
      <c r="L238" s="87"/>
      <c r="M238" s="38"/>
      <c r="N238" s="36"/>
      <c r="O238" s="36"/>
      <c r="P238" s="1"/>
      <c r="AA238" s="36" t="s">
        <v>32</v>
      </c>
      <c r="AB238" s="85">
        <v>2025</v>
      </c>
      <c r="AC238" s="85">
        <v>7</v>
      </c>
      <c r="AD238" s="37">
        <v>45869</v>
      </c>
      <c r="AE238" s="36" t="s">
        <v>1198</v>
      </c>
      <c r="AF238" s="36" t="s">
        <v>2998</v>
      </c>
      <c r="AG238" s="1" t="s">
        <v>44</v>
      </c>
      <c r="AH238" s="16">
        <f>SUMIFS(DB!$I:$I,DB!$C:$C,$AE238,DB!$D:$D,$AF238,DB!$K:$K,$AB238,DB!$L:$L,$AC238)</f>
        <v>7266600</v>
      </c>
      <c r="AI238" s="16">
        <v>6606000</v>
      </c>
      <c r="AJ238" s="153">
        <v>660600</v>
      </c>
      <c r="AK238" s="162">
        <v>45950</v>
      </c>
      <c r="AL238" s="16">
        <v>7266600</v>
      </c>
      <c r="AM238" s="107">
        <v>0</v>
      </c>
      <c r="AN238" s="36" t="s">
        <v>32</v>
      </c>
      <c r="AO238" s="37">
        <v>45790</v>
      </c>
      <c r="AP238" s="36" t="s">
        <v>1396</v>
      </c>
      <c r="AQ238" s="36" t="s">
        <v>2679</v>
      </c>
      <c r="AR238" s="36" t="s">
        <v>2706</v>
      </c>
      <c r="AS238" s="89"/>
      <c r="AT238" s="87"/>
      <c r="AU238" s="87"/>
      <c r="AV238" s="87"/>
      <c r="AW238" s="87">
        <v>1727000</v>
      </c>
      <c r="AX238" s="85">
        <v>2025</v>
      </c>
      <c r="AY238" s="85">
        <v>4</v>
      </c>
      <c r="AZ238" s="36"/>
      <c r="BA238" s="1" t="s">
        <v>44</v>
      </c>
    </row>
    <row r="239" spans="10:53">
      <c r="J239" s="37"/>
      <c r="K239" s="36"/>
      <c r="L239" s="87"/>
      <c r="M239" s="38"/>
      <c r="N239" s="36"/>
      <c r="O239" s="36"/>
      <c r="P239" s="1"/>
      <c r="AA239" s="36" t="s">
        <v>32</v>
      </c>
      <c r="AB239" s="85">
        <v>2025</v>
      </c>
      <c r="AC239" s="85">
        <v>7</v>
      </c>
      <c r="AD239" s="37">
        <v>45869</v>
      </c>
      <c r="AE239" s="36" t="s">
        <v>2868</v>
      </c>
      <c r="AF239" s="36" t="s">
        <v>2875</v>
      </c>
      <c r="AG239" s="1" t="s">
        <v>44</v>
      </c>
      <c r="AH239" s="16">
        <f>SUMIFS(DB!$I:$I,DB!$C:$C,$AE239,DB!$D:$D,$AF239,DB!$K:$K,$AB239,DB!$L:$L,$AC239)</f>
        <v>4180000</v>
      </c>
      <c r="AI239" s="16">
        <v>3800000</v>
      </c>
      <c r="AJ239" s="153">
        <v>380000</v>
      </c>
      <c r="AK239" s="162">
        <v>45930</v>
      </c>
      <c r="AL239" s="16">
        <v>4180000</v>
      </c>
      <c r="AM239" s="107">
        <v>0</v>
      </c>
      <c r="AN239" s="36" t="s">
        <v>32</v>
      </c>
      <c r="AO239" s="37">
        <v>45790</v>
      </c>
      <c r="AP239" s="36" t="s">
        <v>1396</v>
      </c>
      <c r="AQ239" s="36" t="s">
        <v>2680</v>
      </c>
      <c r="AR239" s="36" t="s">
        <v>2707</v>
      </c>
      <c r="AS239" s="89"/>
      <c r="AT239" s="87"/>
      <c r="AU239" s="87"/>
      <c r="AV239" s="87"/>
      <c r="AW239" s="87">
        <v>1870000</v>
      </c>
      <c r="AX239" s="85">
        <v>2025</v>
      </c>
      <c r="AY239" s="85">
        <v>4</v>
      </c>
      <c r="AZ239" s="36"/>
      <c r="BA239" s="1" t="s">
        <v>44</v>
      </c>
    </row>
    <row r="240" spans="10:53">
      <c r="J240" s="37"/>
      <c r="K240" s="36"/>
      <c r="L240" s="87"/>
      <c r="M240" s="38"/>
      <c r="N240" s="36"/>
      <c r="O240" s="36"/>
      <c r="P240" s="1"/>
      <c r="AA240" s="36" t="s">
        <v>32</v>
      </c>
      <c r="AB240" s="85">
        <v>2025</v>
      </c>
      <c r="AC240" s="85">
        <v>7</v>
      </c>
      <c r="AD240" s="37">
        <v>45869</v>
      </c>
      <c r="AE240" s="36" t="s">
        <v>2822</v>
      </c>
      <c r="AF240" s="36" t="s">
        <v>3019</v>
      </c>
      <c r="AG240" s="1" t="s">
        <v>44</v>
      </c>
      <c r="AH240" s="16">
        <f>SUMIFS(DB!$I:$I,DB!$C:$C,$AE240,DB!$D:$D,$AF240,DB!$K:$K,$AB240,DB!$L:$L,$AC240)</f>
        <v>1485000</v>
      </c>
      <c r="AI240" s="16">
        <v>1350000</v>
      </c>
      <c r="AJ240" s="153">
        <v>135000</v>
      </c>
      <c r="AK240" s="162">
        <v>45961</v>
      </c>
      <c r="AL240" s="16">
        <v>1485000</v>
      </c>
      <c r="AM240" s="107">
        <v>0</v>
      </c>
      <c r="AN240" s="36" t="s">
        <v>32</v>
      </c>
      <c r="AO240" s="37">
        <v>45792</v>
      </c>
      <c r="AP240" s="36" t="s">
        <v>2626</v>
      </c>
      <c r="AQ240" s="36" t="s">
        <v>2636</v>
      </c>
      <c r="AR240" s="36" t="s">
        <v>148</v>
      </c>
      <c r="AS240" s="89"/>
      <c r="AT240" s="87"/>
      <c r="AU240" s="87"/>
      <c r="AV240" s="87"/>
      <c r="AW240" s="87">
        <v>8072625</v>
      </c>
      <c r="AX240" s="85">
        <v>2025</v>
      </c>
      <c r="AY240" s="85">
        <v>4</v>
      </c>
      <c r="AZ240" s="36"/>
      <c r="BA240" s="1" t="s">
        <v>44</v>
      </c>
    </row>
    <row r="241" spans="10:53">
      <c r="J241" s="37"/>
      <c r="K241" s="36"/>
      <c r="L241" s="87"/>
      <c r="M241" s="38"/>
      <c r="N241" s="36"/>
      <c r="O241" s="36"/>
      <c r="P241" s="1"/>
      <c r="AA241" s="36" t="s">
        <v>32</v>
      </c>
      <c r="AB241" s="85">
        <v>2025</v>
      </c>
      <c r="AC241" s="85">
        <v>7</v>
      </c>
      <c r="AD241" s="37">
        <v>45869</v>
      </c>
      <c r="AE241" s="36" t="s">
        <v>2166</v>
      </c>
      <c r="AF241" s="36" t="s">
        <v>2836</v>
      </c>
      <c r="AG241" s="1" t="s">
        <v>44</v>
      </c>
      <c r="AH241" s="16">
        <f>SUMIFS(DB!$I:$I,DB!$C:$C,$AE241,DB!$D:$D,$AF241,DB!$K:$K,$AB241,DB!$L:$L,$AC241)</f>
        <v>13550922</v>
      </c>
      <c r="AI241" s="16">
        <v>12319020</v>
      </c>
      <c r="AJ241" s="153">
        <v>1231902</v>
      </c>
      <c r="AK241" s="162">
        <v>45961</v>
      </c>
      <c r="AL241" s="16">
        <v>13550922</v>
      </c>
      <c r="AM241" s="107">
        <v>0</v>
      </c>
      <c r="AN241" s="36" t="s">
        <v>32</v>
      </c>
      <c r="AO241" s="37">
        <v>45793</v>
      </c>
      <c r="AP241" s="36" t="s">
        <v>661</v>
      </c>
      <c r="AQ241" s="36" t="s">
        <v>2783</v>
      </c>
      <c r="AR241" s="36" t="s">
        <v>148</v>
      </c>
      <c r="AS241" s="89"/>
      <c r="AT241" s="87"/>
      <c r="AU241" s="87"/>
      <c r="AV241" s="87"/>
      <c r="AW241" s="87">
        <v>10527000</v>
      </c>
      <c r="AX241" s="85">
        <v>2025</v>
      </c>
      <c r="AY241" s="85">
        <v>3</v>
      </c>
      <c r="AZ241" s="36"/>
      <c r="BA241" s="1" t="s">
        <v>44</v>
      </c>
    </row>
    <row r="242" spans="10:53">
      <c r="J242" s="37"/>
      <c r="K242" s="36"/>
      <c r="L242" s="87"/>
      <c r="M242" s="38"/>
      <c r="N242" s="36"/>
      <c r="O242" s="36"/>
      <c r="P242" s="1"/>
      <c r="AA242" s="36" t="s">
        <v>32</v>
      </c>
      <c r="AB242" s="85">
        <v>2025</v>
      </c>
      <c r="AC242" s="85">
        <v>7</v>
      </c>
      <c r="AD242" s="37">
        <v>45869</v>
      </c>
      <c r="AE242" s="36" t="s">
        <v>2673</v>
      </c>
      <c r="AF242" s="36" t="s">
        <v>2686</v>
      </c>
      <c r="AG242" s="1" t="s">
        <v>44</v>
      </c>
      <c r="AH242" s="16">
        <f>SUMIFS(DB!$I:$I,DB!$C:$C,$AE242,DB!$D:$D,$AF242,DB!$K:$K,$AB242,DB!$L:$L,$AC242)</f>
        <v>2882352</v>
      </c>
      <c r="AI242" s="16">
        <v>2620320</v>
      </c>
      <c r="AJ242" s="153">
        <v>262032</v>
      </c>
      <c r="AK242" s="162">
        <v>45903</v>
      </c>
      <c r="AL242" s="16">
        <v>2882352</v>
      </c>
      <c r="AM242" s="107">
        <v>0</v>
      </c>
      <c r="AN242" s="36" t="s">
        <v>32</v>
      </c>
      <c r="AO242" s="37">
        <v>45796</v>
      </c>
      <c r="AP242" s="36" t="s">
        <v>2391</v>
      </c>
      <c r="AQ242" s="36" t="s">
        <v>2401</v>
      </c>
      <c r="AR242" s="36" t="s">
        <v>148</v>
      </c>
      <c r="AS242" s="89"/>
      <c r="AT242" s="87"/>
      <c r="AU242" s="87"/>
      <c r="AV242" s="87"/>
      <c r="AW242" s="87">
        <v>1320000</v>
      </c>
      <c r="AX242" s="85">
        <v>2025</v>
      </c>
      <c r="AY242" s="85">
        <v>3</v>
      </c>
      <c r="AZ242" s="36"/>
      <c r="BA242" s="1" t="s">
        <v>44</v>
      </c>
    </row>
    <row r="243" spans="10:53">
      <c r="J243" s="37"/>
      <c r="K243" s="36"/>
      <c r="L243" s="87"/>
      <c r="M243" s="87"/>
      <c r="N243" s="36"/>
      <c r="O243" s="36"/>
      <c r="P243" s="1"/>
      <c r="AA243" s="36" t="s">
        <v>32</v>
      </c>
      <c r="AB243" s="85">
        <v>2025</v>
      </c>
      <c r="AC243" s="85">
        <v>7</v>
      </c>
      <c r="AD243" s="37">
        <v>45869</v>
      </c>
      <c r="AE243" s="36" t="s">
        <v>2872</v>
      </c>
      <c r="AF243" s="36" t="s">
        <v>2885</v>
      </c>
      <c r="AG243" s="1" t="s">
        <v>44</v>
      </c>
      <c r="AH243" s="16">
        <f>SUMIFS(DB!$I:$I,DB!$C:$C,$AE243,DB!$D:$D,$AF243,DB!$K:$K,$AB243,DB!$L:$L,$AC243)</f>
        <v>10502800</v>
      </c>
      <c r="AI243" s="16">
        <v>9548000</v>
      </c>
      <c r="AJ243" s="153">
        <v>954800</v>
      </c>
      <c r="AK243" s="162">
        <v>45931</v>
      </c>
      <c r="AL243" s="16">
        <v>10502800</v>
      </c>
      <c r="AM243" s="107">
        <v>0</v>
      </c>
      <c r="AN243" s="36" t="s">
        <v>32</v>
      </c>
      <c r="AO243" s="37">
        <v>45796</v>
      </c>
      <c r="AP243" s="36" t="s">
        <v>2627</v>
      </c>
      <c r="AQ243" s="36" t="s">
        <v>2831</v>
      </c>
      <c r="AR243" s="36" t="s">
        <v>148</v>
      </c>
      <c r="AS243" s="89"/>
      <c r="AT243" s="87"/>
      <c r="AU243" s="87"/>
      <c r="AV243" s="87"/>
      <c r="AW243" s="87">
        <v>19468812</v>
      </c>
      <c r="AX243" s="85">
        <v>2025</v>
      </c>
      <c r="AY243" s="85">
        <v>4</v>
      </c>
      <c r="AZ243" s="36"/>
      <c r="BA243" s="1" t="s">
        <v>44</v>
      </c>
    </row>
    <row r="244" spans="10:53">
      <c r="J244" s="37"/>
      <c r="K244" s="36"/>
      <c r="L244" s="87"/>
      <c r="M244" s="38"/>
      <c r="N244" s="36"/>
      <c r="O244" s="36"/>
      <c r="P244" s="1"/>
      <c r="AA244" s="36" t="s">
        <v>32</v>
      </c>
      <c r="AB244" s="85">
        <v>2025</v>
      </c>
      <c r="AC244" s="85">
        <v>7</v>
      </c>
      <c r="AD244" s="37">
        <v>45869</v>
      </c>
      <c r="AE244" s="36" t="s">
        <v>2824</v>
      </c>
      <c r="AF244" s="36" t="s">
        <v>2832</v>
      </c>
      <c r="AG244" s="1" t="s">
        <v>44</v>
      </c>
      <c r="AH244" s="16">
        <f>SUMIFS(DB!$I:$I,DB!$C:$C,$AE244,DB!$D:$D,$AF244,DB!$K:$K,$AB244,DB!$L:$L,$AC244)</f>
        <v>54171590</v>
      </c>
      <c r="AI244" s="16">
        <v>49246900</v>
      </c>
      <c r="AJ244" s="153">
        <v>4924690</v>
      </c>
      <c r="AK244" s="162">
        <v>45961</v>
      </c>
      <c r="AL244" s="16">
        <v>54171590</v>
      </c>
      <c r="AM244" s="107">
        <v>0</v>
      </c>
      <c r="AN244" s="36" t="s">
        <v>32</v>
      </c>
      <c r="AO244" s="37">
        <v>45803</v>
      </c>
      <c r="AP244" s="36" t="s">
        <v>2477</v>
      </c>
      <c r="AQ244" s="36" t="s">
        <v>2485</v>
      </c>
      <c r="AR244" s="36" t="s">
        <v>148</v>
      </c>
      <c r="AS244" s="89"/>
      <c r="AT244" s="87"/>
      <c r="AU244" s="87"/>
      <c r="AV244" s="87"/>
      <c r="AW244" s="87">
        <v>7746552</v>
      </c>
      <c r="AX244" s="85">
        <v>2025</v>
      </c>
      <c r="AY244" s="85">
        <v>4</v>
      </c>
      <c r="AZ244" s="36" t="s">
        <v>2653</v>
      </c>
      <c r="BA244" s="1" t="s">
        <v>44</v>
      </c>
    </row>
    <row r="245" spans="10:53">
      <c r="J245" s="37"/>
      <c r="K245" s="36"/>
      <c r="L245" s="87"/>
      <c r="M245" s="38"/>
      <c r="N245" s="36"/>
      <c r="O245" s="36"/>
      <c r="P245" s="1"/>
      <c r="AA245" s="36" t="s">
        <v>32</v>
      </c>
      <c r="AB245" s="85">
        <v>2025</v>
      </c>
      <c r="AC245" s="85">
        <v>8</v>
      </c>
      <c r="AD245" s="37">
        <v>45897</v>
      </c>
      <c r="AE245" s="36" t="s">
        <v>654</v>
      </c>
      <c r="AF245" s="36" t="s">
        <v>2881</v>
      </c>
      <c r="AG245" s="1" t="s">
        <v>44</v>
      </c>
      <c r="AH245" s="16">
        <f>SUMIFS(DB!$I:$I,DB!$C:$C,$AE245,DB!$D:$D,$AF245,DB!$K:$K,$AB245,DB!$L:$L,$AC245)</f>
        <v>5500000</v>
      </c>
      <c r="AI245" s="16">
        <v>5000000</v>
      </c>
      <c r="AJ245" s="153">
        <v>500000</v>
      </c>
      <c r="AK245" s="162">
        <v>45961</v>
      </c>
      <c r="AL245" s="16">
        <v>5500000</v>
      </c>
      <c r="AM245" s="107">
        <v>0</v>
      </c>
      <c r="AN245" s="36" t="s">
        <v>32</v>
      </c>
      <c r="AO245" s="37">
        <v>45806</v>
      </c>
      <c r="AP245" s="36" t="s">
        <v>654</v>
      </c>
      <c r="AQ245" s="36" t="s">
        <v>2588</v>
      </c>
      <c r="AR245" s="36" t="s">
        <v>2844</v>
      </c>
      <c r="AS245" s="89"/>
      <c r="AT245" s="87"/>
      <c r="AU245" s="87"/>
      <c r="AV245" s="87"/>
      <c r="AW245" s="283">
        <v>33204490</v>
      </c>
      <c r="AX245" s="85">
        <v>2025</v>
      </c>
      <c r="AY245" s="85">
        <v>4</v>
      </c>
      <c r="AZ245" s="295" t="s">
        <v>2843</v>
      </c>
      <c r="BA245" s="1" t="s">
        <v>44</v>
      </c>
    </row>
    <row r="246" spans="10:53">
      <c r="J246" s="37"/>
      <c r="K246" s="36"/>
      <c r="L246" s="87"/>
      <c r="M246" s="87"/>
      <c r="N246" s="36"/>
      <c r="O246" s="36"/>
      <c r="P246" s="1"/>
      <c r="AA246" s="36" t="s">
        <v>32</v>
      </c>
      <c r="AB246" s="85">
        <v>2025</v>
      </c>
      <c r="AC246" s="85">
        <v>8</v>
      </c>
      <c r="AD246" s="37">
        <v>45900</v>
      </c>
      <c r="AE246" s="36" t="s">
        <v>654</v>
      </c>
      <c r="AF246" s="36" t="s">
        <v>2588</v>
      </c>
      <c r="AG246" s="1" t="s">
        <v>44</v>
      </c>
      <c r="AH246" s="16">
        <f>SUMIFS(DB!$I:$I,DB!$C:$C,$AE246,DB!$D:$D,$AF246,DB!$K:$K,$AB246,DB!$L:$L,$AC246)</f>
        <v>21564048</v>
      </c>
      <c r="AI246" s="16">
        <v>19603680</v>
      </c>
      <c r="AJ246" s="153">
        <v>1960368</v>
      </c>
      <c r="AK246" s="162">
        <v>45961</v>
      </c>
      <c r="AL246" s="16">
        <v>21564048</v>
      </c>
      <c r="AM246" s="107">
        <v>0</v>
      </c>
      <c r="AN246" s="36" t="s">
        <v>32</v>
      </c>
      <c r="AO246" s="37">
        <v>45807</v>
      </c>
      <c r="AP246" s="36" t="s">
        <v>654</v>
      </c>
      <c r="AQ246" s="36" t="s">
        <v>2826</v>
      </c>
      <c r="AR246" s="36" t="s">
        <v>2846</v>
      </c>
      <c r="AS246" s="89"/>
      <c r="AT246" s="87"/>
      <c r="AU246" s="87"/>
      <c r="AV246" s="87"/>
      <c r="AW246" s="87">
        <v>42983700</v>
      </c>
      <c r="AX246" s="85">
        <v>2025</v>
      </c>
      <c r="AY246" s="85">
        <v>4</v>
      </c>
      <c r="AZ246" s="36"/>
      <c r="BA246" s="1" t="s">
        <v>44</v>
      </c>
    </row>
    <row r="247" spans="10:53">
      <c r="J247" s="37"/>
      <c r="K247" s="36"/>
      <c r="L247" s="87"/>
      <c r="M247" s="87"/>
      <c r="N247" s="36"/>
      <c r="O247" s="36"/>
      <c r="P247" s="1"/>
      <c r="AA247" s="36" t="s">
        <v>32</v>
      </c>
      <c r="AB247" s="85">
        <v>2025</v>
      </c>
      <c r="AC247" s="85">
        <v>8</v>
      </c>
      <c r="AD247" s="37">
        <v>45900</v>
      </c>
      <c r="AE247" s="36" t="s">
        <v>654</v>
      </c>
      <c r="AF247" s="36" t="s">
        <v>2541</v>
      </c>
      <c r="AG247" s="1" t="s">
        <v>44</v>
      </c>
      <c r="AH247" s="16">
        <f>SUMIFS(DB!$I:$I,DB!$C:$C,$AE247,DB!$D:$D,$AF247,DB!$K:$K,$AB247,DB!$L:$L,$AC247)</f>
        <v>13544300</v>
      </c>
      <c r="AI247" s="16">
        <v>12313000</v>
      </c>
      <c r="AJ247" s="153">
        <v>1231300</v>
      </c>
      <c r="AK247" s="162">
        <v>45961</v>
      </c>
      <c r="AL247" s="16">
        <v>9884728</v>
      </c>
      <c r="AM247" s="107">
        <v>3659572</v>
      </c>
      <c r="AN247" s="36" t="s">
        <v>32</v>
      </c>
      <c r="AO247" s="37">
        <v>45807</v>
      </c>
      <c r="AP247" s="36" t="s">
        <v>2628</v>
      </c>
      <c r="AQ247" s="36" t="s">
        <v>2639</v>
      </c>
      <c r="AR247" s="36" t="s">
        <v>148</v>
      </c>
      <c r="AS247" s="89"/>
      <c r="AT247" s="87"/>
      <c r="AU247" s="87"/>
      <c r="AV247" s="87"/>
      <c r="AW247" s="87">
        <v>14109590</v>
      </c>
      <c r="AX247" s="85">
        <v>2025</v>
      </c>
      <c r="AY247" s="85">
        <v>4</v>
      </c>
      <c r="AZ247" s="36"/>
      <c r="BA247" s="1" t="s">
        <v>44</v>
      </c>
    </row>
    <row r="248" spans="10:53">
      <c r="J248" s="37"/>
      <c r="K248" s="36"/>
      <c r="L248" s="87"/>
      <c r="M248" s="38"/>
      <c r="N248" s="36"/>
      <c r="O248" s="36"/>
      <c r="P248" s="1"/>
      <c r="AA248" s="36" t="s">
        <v>32</v>
      </c>
      <c r="AB248" s="85">
        <v>2025</v>
      </c>
      <c r="AC248" s="85">
        <v>8</v>
      </c>
      <c r="AD248" s="37">
        <v>45900</v>
      </c>
      <c r="AE248" s="36" t="s">
        <v>654</v>
      </c>
      <c r="AF248" s="36" t="s">
        <v>3064</v>
      </c>
      <c r="AG248" s="1" t="s">
        <v>44</v>
      </c>
      <c r="AH248" s="16">
        <f>SUMIFS(DB!$I:$I,DB!$C:$C,$AE248,DB!$D:$D,$AF248,DB!$K:$K,$AB248,DB!$L:$L,$AC248)</f>
        <v>3696000</v>
      </c>
      <c r="AI248" s="16">
        <v>3360000</v>
      </c>
      <c r="AJ248" s="153">
        <v>336000</v>
      </c>
      <c r="AK248" s="162">
        <v>45964</v>
      </c>
      <c r="AL248" s="16">
        <v>3696000</v>
      </c>
      <c r="AM248" s="107">
        <v>0</v>
      </c>
      <c r="AN248" s="36" t="s">
        <v>32</v>
      </c>
      <c r="AO248" s="37">
        <v>45807</v>
      </c>
      <c r="AP248" s="36" t="s">
        <v>1470</v>
      </c>
      <c r="AQ248" s="36" t="s">
        <v>1487</v>
      </c>
      <c r="AR248" s="36" t="s">
        <v>148</v>
      </c>
      <c r="AS248" s="89"/>
      <c r="AT248" s="87"/>
      <c r="AU248" s="87"/>
      <c r="AV248" s="87"/>
      <c r="AW248" s="87">
        <v>32033760</v>
      </c>
      <c r="AX248" s="85">
        <v>2025</v>
      </c>
      <c r="AY248" s="85">
        <v>4</v>
      </c>
      <c r="AZ248" s="36"/>
      <c r="BA248" s="1" t="s">
        <v>44</v>
      </c>
    </row>
    <row r="249" spans="10:53">
      <c r="J249" s="37"/>
      <c r="K249" s="36"/>
      <c r="L249" s="87"/>
      <c r="M249" s="38"/>
      <c r="N249" s="36"/>
      <c r="O249" s="36"/>
      <c r="P249" s="1"/>
      <c r="AA249" s="36" t="s">
        <v>32</v>
      </c>
      <c r="AB249" s="85">
        <v>2025</v>
      </c>
      <c r="AC249" s="85">
        <v>8</v>
      </c>
      <c r="AD249" s="37">
        <v>45897</v>
      </c>
      <c r="AE249" s="36" t="s">
        <v>188</v>
      </c>
      <c r="AF249" s="36" t="s">
        <v>3065</v>
      </c>
      <c r="AG249" s="1" t="s">
        <v>44</v>
      </c>
      <c r="AH249" s="16">
        <f>SUMIFS(DB!$I:$I,DB!$C:$C,$AE249,DB!$D:$D,$AF249,DB!$K:$K,$AB249,DB!$L:$L,$AC249)</f>
        <v>7341620</v>
      </c>
      <c r="AI249" s="16">
        <v>6674200</v>
      </c>
      <c r="AJ249" s="153">
        <v>667420</v>
      </c>
      <c r="AK249" s="162">
        <v>45897</v>
      </c>
      <c r="AL249" s="16">
        <v>7341620</v>
      </c>
      <c r="AM249" s="107">
        <v>0</v>
      </c>
      <c r="AN249" s="36" t="s">
        <v>32</v>
      </c>
      <c r="AO249" s="37">
        <v>45807</v>
      </c>
      <c r="AP249" s="36" t="s">
        <v>2822</v>
      </c>
      <c r="AQ249" s="36" t="s">
        <v>2828</v>
      </c>
      <c r="AR249" s="36" t="s">
        <v>148</v>
      </c>
      <c r="AS249" s="89"/>
      <c r="AT249" s="87"/>
      <c r="AU249" s="87"/>
      <c r="AV249" s="87"/>
      <c r="AW249" s="87">
        <v>1188000</v>
      </c>
      <c r="AX249" s="85">
        <v>2025</v>
      </c>
      <c r="AY249" s="85">
        <v>4</v>
      </c>
      <c r="AZ249" s="36"/>
      <c r="BA249" s="1" t="s">
        <v>44</v>
      </c>
    </row>
    <row r="250" spans="10:53">
      <c r="J250" s="37"/>
      <c r="K250" s="36"/>
      <c r="L250" s="87"/>
      <c r="M250" s="38"/>
      <c r="N250" s="36"/>
      <c r="O250" s="36"/>
      <c r="P250" s="1"/>
      <c r="AA250" s="36" t="s">
        <v>32</v>
      </c>
      <c r="AB250" s="85">
        <v>2025</v>
      </c>
      <c r="AC250" s="85">
        <v>8</v>
      </c>
      <c r="AD250" s="37">
        <v>45900</v>
      </c>
      <c r="AE250" s="36" t="s">
        <v>3062</v>
      </c>
      <c r="AF250" s="36" t="s">
        <v>3066</v>
      </c>
      <c r="AG250" s="1" t="s">
        <v>44</v>
      </c>
      <c r="AH250" s="16">
        <f>SUMIFS(DB!$I:$I,DB!$C:$C,$AE250,DB!$D:$D,$AF250,DB!$K:$K,$AB250,DB!$L:$L,$AC250)</f>
        <v>2079000</v>
      </c>
      <c r="AI250" s="16">
        <v>1890000</v>
      </c>
      <c r="AJ250" s="153">
        <v>189000</v>
      </c>
      <c r="AK250" s="162">
        <v>45900</v>
      </c>
      <c r="AL250" s="16">
        <v>2079000</v>
      </c>
      <c r="AM250" s="107">
        <v>0</v>
      </c>
      <c r="AN250" s="36" t="s">
        <v>32</v>
      </c>
      <c r="AO250" s="37">
        <v>45777</v>
      </c>
      <c r="AP250" s="36" t="s">
        <v>1462</v>
      </c>
      <c r="AQ250" s="36" t="s">
        <v>2962</v>
      </c>
      <c r="AR250" s="36" t="s">
        <v>148</v>
      </c>
      <c r="AS250" s="89"/>
      <c r="AT250" s="87"/>
      <c r="AU250" s="87"/>
      <c r="AV250" s="87"/>
      <c r="AW250" s="38">
        <v>912478</v>
      </c>
      <c r="AX250" s="85">
        <v>2025</v>
      </c>
      <c r="AY250" s="85">
        <v>3</v>
      </c>
      <c r="AZ250" s="36" t="s">
        <v>2852</v>
      </c>
      <c r="BA250" s="1" t="s">
        <v>44</v>
      </c>
    </row>
    <row r="251" spans="10:53">
      <c r="J251" s="37"/>
      <c r="K251" s="36"/>
      <c r="L251" s="87"/>
      <c r="M251" s="38"/>
      <c r="N251" s="36"/>
      <c r="O251" s="36"/>
      <c r="P251" s="1"/>
      <c r="AA251" s="36" t="s">
        <v>32</v>
      </c>
      <c r="AB251" s="85">
        <v>2025</v>
      </c>
      <c r="AC251" s="85">
        <v>8</v>
      </c>
      <c r="AD251" s="37">
        <v>45900</v>
      </c>
      <c r="AE251" s="36" t="s">
        <v>2005</v>
      </c>
      <c r="AF251" s="36" t="s">
        <v>3009</v>
      </c>
      <c r="AG251" s="1" t="s">
        <v>44</v>
      </c>
      <c r="AH251" s="16">
        <f>SUMIFS(DB!$I:$I,DB!$C:$C,$AE251,DB!$D:$D,$AF251,DB!$K:$K,$AB251,DB!$L:$L,$AC251)</f>
        <v>8250000</v>
      </c>
      <c r="AI251" s="16">
        <v>7500000</v>
      </c>
      <c r="AJ251" s="153">
        <v>750000</v>
      </c>
      <c r="AK251" s="162">
        <v>45900</v>
      </c>
      <c r="AL251" s="16">
        <v>8250000</v>
      </c>
      <c r="AM251" s="107">
        <v>0</v>
      </c>
      <c r="AN251" s="36" t="s">
        <v>32</v>
      </c>
      <c r="AO251" s="37">
        <v>45807</v>
      </c>
      <c r="AP251" s="36" t="s">
        <v>2774</v>
      </c>
      <c r="AQ251" s="36" t="s">
        <v>2835</v>
      </c>
      <c r="AR251" s="36" t="s">
        <v>148</v>
      </c>
      <c r="AS251" s="89"/>
      <c r="AT251" s="87"/>
      <c r="AU251" s="87"/>
      <c r="AV251" s="87"/>
      <c r="AW251" s="87">
        <v>2323200</v>
      </c>
      <c r="AX251" s="85">
        <v>2025</v>
      </c>
      <c r="AY251" s="85">
        <v>4</v>
      </c>
      <c r="AZ251" s="36"/>
      <c r="BA251" s="1" t="s">
        <v>44</v>
      </c>
    </row>
    <row r="252" spans="10:53">
      <c r="J252" s="37"/>
      <c r="K252" s="257"/>
      <c r="L252" s="87"/>
      <c r="M252" s="38"/>
      <c r="N252" s="36"/>
      <c r="O252" s="36"/>
      <c r="P252" s="1"/>
      <c r="AA252" s="36" t="s">
        <v>32</v>
      </c>
      <c r="AB252" s="85">
        <v>2025</v>
      </c>
      <c r="AC252" s="85">
        <v>8</v>
      </c>
      <c r="AD252" s="37">
        <v>45900</v>
      </c>
      <c r="AE252" s="36" t="s">
        <v>1198</v>
      </c>
      <c r="AF252" s="36" t="s">
        <v>3067</v>
      </c>
      <c r="AG252" s="1" t="s">
        <v>44</v>
      </c>
      <c r="AH252" s="16">
        <f>SUMIFS(DB!$I:$I,DB!$C:$C,$AE252,DB!$D:$D,$AF252,DB!$K:$K,$AB252,DB!$L:$L,$AC252)</f>
        <v>7980720</v>
      </c>
      <c r="AI252" s="16">
        <v>7255200</v>
      </c>
      <c r="AJ252" s="153">
        <v>725520</v>
      </c>
      <c r="AK252" s="162">
        <v>45900</v>
      </c>
      <c r="AL252" s="16">
        <v>7980720</v>
      </c>
      <c r="AM252" s="107">
        <v>0</v>
      </c>
      <c r="AN252" s="36" t="s">
        <v>32</v>
      </c>
      <c r="AO252" s="37">
        <v>45807</v>
      </c>
      <c r="AP252" s="36" t="s">
        <v>2824</v>
      </c>
      <c r="AQ252" s="36" t="s">
        <v>2832</v>
      </c>
      <c r="AR252" s="36"/>
      <c r="AS252" s="89"/>
      <c r="AT252" s="87"/>
      <c r="AU252" s="87"/>
      <c r="AV252" s="87"/>
      <c r="AW252" s="87">
        <v>7049900</v>
      </c>
      <c r="AX252" s="85">
        <v>2025</v>
      </c>
      <c r="AY252" s="85">
        <v>4</v>
      </c>
      <c r="AZ252" s="36"/>
      <c r="BA252" s="1" t="s">
        <v>44</v>
      </c>
    </row>
    <row r="253" spans="10:53">
      <c r="J253" s="37"/>
      <c r="K253" s="36"/>
      <c r="L253" s="87"/>
      <c r="M253" s="87"/>
      <c r="N253" s="36"/>
      <c r="O253" s="36"/>
      <c r="P253" s="1"/>
      <c r="AA253" s="36" t="s">
        <v>32</v>
      </c>
      <c r="AB253" s="85">
        <v>2025</v>
      </c>
      <c r="AC253" s="85">
        <v>8</v>
      </c>
      <c r="AD253" s="37">
        <v>45900</v>
      </c>
      <c r="AE253" s="36" t="s">
        <v>334</v>
      </c>
      <c r="AF253" s="36" t="s">
        <v>3068</v>
      </c>
      <c r="AG253" s="1" t="s">
        <v>44</v>
      </c>
      <c r="AH253" s="16">
        <f>SUMIFS(DB!$I:$I,DB!$C:$C,$AE253,DB!$D:$D,$AF253,DB!$K:$K,$AB253,DB!$L:$L,$AC253)</f>
        <v>4400000</v>
      </c>
      <c r="AI253" s="16">
        <v>4000000</v>
      </c>
      <c r="AJ253" s="153">
        <v>400000</v>
      </c>
      <c r="AK253" s="162">
        <v>45980</v>
      </c>
      <c r="AL253" s="16">
        <v>4400000</v>
      </c>
      <c r="AM253" s="107">
        <v>0</v>
      </c>
      <c r="AN253" s="36" t="s">
        <v>32</v>
      </c>
      <c r="AO253" s="37">
        <v>45807</v>
      </c>
      <c r="AP253" s="36" t="s">
        <v>264</v>
      </c>
      <c r="AQ253" s="36" t="s">
        <v>2837</v>
      </c>
      <c r="AR253" s="36" t="s">
        <v>148</v>
      </c>
      <c r="AS253" s="89"/>
      <c r="AT253" s="87"/>
      <c r="AU253" s="87"/>
      <c r="AV253" s="87"/>
      <c r="AW253" s="87">
        <v>35860000</v>
      </c>
      <c r="AX253" s="85">
        <v>2025</v>
      </c>
      <c r="AY253" s="85">
        <v>4</v>
      </c>
      <c r="AZ253" s="36"/>
      <c r="BA253" s="1" t="s">
        <v>44</v>
      </c>
    </row>
    <row r="254" spans="10:53">
      <c r="J254" s="37"/>
      <c r="K254" s="36"/>
      <c r="L254" s="87"/>
      <c r="M254" s="87"/>
      <c r="N254" s="36"/>
      <c r="O254" s="36"/>
      <c r="P254" s="1"/>
      <c r="AA254" s="36" t="s">
        <v>32</v>
      </c>
      <c r="AB254" s="85">
        <v>2025</v>
      </c>
      <c r="AC254" s="85">
        <v>8</v>
      </c>
      <c r="AD254" s="37">
        <v>45900</v>
      </c>
      <c r="AE254" s="36" t="s">
        <v>3063</v>
      </c>
      <c r="AF254" s="36" t="s">
        <v>3069</v>
      </c>
      <c r="AG254" s="1" t="s">
        <v>44</v>
      </c>
      <c r="AH254" s="16">
        <f>SUMIFS(DB!$I:$I,DB!$C:$C,$AE254,DB!$D:$D,$AF254,DB!$K:$K,$AB254,DB!$L:$L,$AC254)</f>
        <v>4950000</v>
      </c>
      <c r="AI254" s="16">
        <v>4500000</v>
      </c>
      <c r="AJ254" s="153">
        <v>450000</v>
      </c>
      <c r="AK254" s="162">
        <v>45900</v>
      </c>
      <c r="AL254" s="16">
        <v>4950000</v>
      </c>
      <c r="AM254" s="107">
        <v>0</v>
      </c>
      <c r="AN254" s="36" t="s">
        <v>32</v>
      </c>
      <c r="AO254" s="37">
        <v>45810</v>
      </c>
      <c r="AP254" s="36" t="s">
        <v>2825</v>
      </c>
      <c r="AQ254" s="36" t="s">
        <v>2833</v>
      </c>
      <c r="AR254" s="36" t="s">
        <v>148</v>
      </c>
      <c r="AS254" s="89"/>
      <c r="AT254" s="87"/>
      <c r="AU254" s="87"/>
      <c r="AV254" s="87"/>
      <c r="AW254" s="87">
        <v>6279900</v>
      </c>
      <c r="AX254" s="85">
        <v>2025</v>
      </c>
      <c r="AY254" s="85">
        <v>4</v>
      </c>
      <c r="AZ254" s="36"/>
      <c r="BA254" s="1" t="s">
        <v>44</v>
      </c>
    </row>
    <row r="255" spans="10:53">
      <c r="J255" s="37"/>
      <c r="K255" s="36"/>
      <c r="L255" s="87"/>
      <c r="M255" s="38"/>
      <c r="N255" s="36"/>
      <c r="O255" s="36"/>
      <c r="P255" s="1"/>
      <c r="AA255" s="36" t="s">
        <v>32</v>
      </c>
      <c r="AB255" s="85">
        <v>2025</v>
      </c>
      <c r="AC255" s="85">
        <v>8</v>
      </c>
      <c r="AD255" s="37">
        <v>45900</v>
      </c>
      <c r="AE255" s="36" t="s">
        <v>2673</v>
      </c>
      <c r="AF255" s="36" t="s">
        <v>2686</v>
      </c>
      <c r="AG255" s="1" t="s">
        <v>44</v>
      </c>
      <c r="AH255" s="16">
        <f>SUMIFS(DB!$I:$I,DB!$C:$C,$AE255,DB!$D:$D,$AF255,DB!$K:$K,$AB255,DB!$L:$L,$AC255)</f>
        <v>1182720</v>
      </c>
      <c r="AI255" s="16">
        <v>1075200</v>
      </c>
      <c r="AJ255" s="153">
        <v>107520</v>
      </c>
      <c r="AK255" s="162">
        <v>45961</v>
      </c>
      <c r="AL255" s="16">
        <v>1182720</v>
      </c>
      <c r="AM255" s="107">
        <v>0</v>
      </c>
      <c r="AN255" s="36" t="s">
        <v>32</v>
      </c>
      <c r="AO255" s="37">
        <v>45810</v>
      </c>
      <c r="AP255" s="36" t="s">
        <v>209</v>
      </c>
      <c r="AQ255" s="36" t="s">
        <v>2494</v>
      </c>
      <c r="AR255" s="36" t="s">
        <v>2801</v>
      </c>
      <c r="AS255" s="89"/>
      <c r="AT255" s="87"/>
      <c r="AU255" s="87"/>
      <c r="AV255" s="87"/>
      <c r="AW255" s="87">
        <v>2325180</v>
      </c>
      <c r="AX255" s="85">
        <v>2025</v>
      </c>
      <c r="AY255" s="85">
        <v>4</v>
      </c>
      <c r="AZ255" s="36"/>
      <c r="BA255" s="1" t="s">
        <v>44</v>
      </c>
    </row>
    <row r="256" spans="10:53">
      <c r="J256" s="37"/>
      <c r="K256" s="36"/>
      <c r="L256" s="87"/>
      <c r="M256" s="38"/>
      <c r="N256" s="36"/>
      <c r="O256" s="36"/>
      <c r="P256" s="1"/>
      <c r="AA256" s="36" t="s">
        <v>32</v>
      </c>
      <c r="AB256" s="85">
        <v>2025</v>
      </c>
      <c r="AC256" s="85">
        <v>8</v>
      </c>
      <c r="AD256" s="37">
        <v>45900</v>
      </c>
      <c r="AE256" s="36" t="s">
        <v>2166</v>
      </c>
      <c r="AF256" s="36" t="s">
        <v>2836</v>
      </c>
      <c r="AG256" s="1" t="s">
        <v>44</v>
      </c>
      <c r="AH256" s="16">
        <f>SUMIFS(DB!$I:$I,DB!$C:$C,$AE256,DB!$D:$D,$AF256,DB!$K:$K,$AB256,DB!$L:$L,$AC256)</f>
        <v>41074132</v>
      </c>
      <c r="AI256" s="16">
        <v>37340120</v>
      </c>
      <c r="AJ256" s="153">
        <v>3734012</v>
      </c>
      <c r="AK256" s="162">
        <v>45900</v>
      </c>
      <c r="AL256" s="16">
        <v>41074132</v>
      </c>
      <c r="AM256" s="107">
        <v>0</v>
      </c>
      <c r="AN256" s="36" t="s">
        <v>32</v>
      </c>
      <c r="AO256" s="37">
        <v>45778</v>
      </c>
      <c r="AP256" s="36" t="s">
        <v>1587</v>
      </c>
      <c r="AQ256" s="36" t="s">
        <v>2271</v>
      </c>
      <c r="AR256" s="36" t="s">
        <v>1492</v>
      </c>
      <c r="AS256" s="89"/>
      <c r="AT256" s="87">
        <v>40000000</v>
      </c>
      <c r="AU256" s="87">
        <v>4000000</v>
      </c>
      <c r="AV256" s="87">
        <v>44000000</v>
      </c>
      <c r="AW256" s="38"/>
      <c r="AX256" s="85">
        <v>2025</v>
      </c>
      <c r="AY256" s="85">
        <v>5</v>
      </c>
      <c r="AZ256" s="36"/>
      <c r="BA256" s="1" t="s">
        <v>44</v>
      </c>
    </row>
    <row r="257" spans="10:53">
      <c r="J257" s="37"/>
      <c r="K257" s="36"/>
      <c r="L257" s="87"/>
      <c r="M257" s="38"/>
      <c r="N257" s="36"/>
      <c r="O257" s="36"/>
      <c r="P257" s="1"/>
      <c r="AA257" s="36" t="s">
        <v>32</v>
      </c>
      <c r="AB257" s="85">
        <v>2025</v>
      </c>
      <c r="AC257" s="85">
        <v>8</v>
      </c>
      <c r="AD257" s="37">
        <v>45900</v>
      </c>
      <c r="AE257" s="36" t="s">
        <v>2477</v>
      </c>
      <c r="AF257" s="36" t="s">
        <v>2485</v>
      </c>
      <c r="AG257" s="1" t="s">
        <v>44</v>
      </c>
      <c r="AH257" s="16">
        <f>SUMIFS(DB!$I:$I,DB!$C:$C,$AE257,DB!$D:$D,$AF257,DB!$K:$K,$AB257,DB!$L:$L,$AC257)</f>
        <v>1716000</v>
      </c>
      <c r="AI257" s="16">
        <v>1560000</v>
      </c>
      <c r="AJ257" s="153">
        <v>156000</v>
      </c>
      <c r="AK257" s="162">
        <v>45900</v>
      </c>
      <c r="AL257" s="16">
        <v>1716000</v>
      </c>
      <c r="AM257" s="107">
        <v>0</v>
      </c>
      <c r="AN257" s="36" t="s">
        <v>32</v>
      </c>
      <c r="AO257" s="37">
        <v>45778</v>
      </c>
      <c r="AP257" s="36" t="s">
        <v>2868</v>
      </c>
      <c r="AQ257" s="36" t="s">
        <v>2875</v>
      </c>
      <c r="AR257" s="36" t="s">
        <v>76</v>
      </c>
      <c r="AS257" s="89"/>
      <c r="AT257" s="87">
        <v>29000000</v>
      </c>
      <c r="AU257" s="87">
        <v>2900000</v>
      </c>
      <c r="AV257" s="87">
        <v>31900000</v>
      </c>
      <c r="AW257" s="38"/>
      <c r="AX257" s="85">
        <v>2025</v>
      </c>
      <c r="AY257" s="85">
        <v>5</v>
      </c>
      <c r="AZ257" s="36"/>
      <c r="BA257" s="1" t="s">
        <v>44</v>
      </c>
    </row>
    <row r="258" spans="10:53">
      <c r="J258" s="37"/>
      <c r="K258" s="36"/>
      <c r="L258" s="87"/>
      <c r="M258" s="38"/>
      <c r="N258" s="36"/>
      <c r="O258" s="36"/>
      <c r="P258" s="1"/>
      <c r="AA258" s="36" t="s">
        <v>32</v>
      </c>
      <c r="AB258" s="85">
        <v>2025</v>
      </c>
      <c r="AC258" s="85">
        <v>8</v>
      </c>
      <c r="AD258" s="37">
        <v>45900</v>
      </c>
      <c r="AE258" s="36" t="s">
        <v>2874</v>
      </c>
      <c r="AF258" s="36" t="s">
        <v>2854</v>
      </c>
      <c r="AG258" s="1" t="s">
        <v>44</v>
      </c>
      <c r="AH258" s="16">
        <f>SUMIFS(DB!$I:$I,DB!$C:$C,$AE258,DB!$D:$D,$AF258,DB!$K:$K,$AB258,DB!$L:$L,$AC258)</f>
        <v>49170000</v>
      </c>
      <c r="AI258" s="16">
        <v>44700000</v>
      </c>
      <c r="AJ258" s="153">
        <v>4470000</v>
      </c>
      <c r="AK258" s="162">
        <v>45900</v>
      </c>
      <c r="AL258" s="16">
        <v>49170000</v>
      </c>
      <c r="AM258" s="107">
        <v>0</v>
      </c>
      <c r="AN258" s="36" t="s">
        <v>32</v>
      </c>
      <c r="AO258" s="37">
        <v>45778</v>
      </c>
      <c r="AP258" s="36" t="s">
        <v>2005</v>
      </c>
      <c r="AQ258" s="36" t="s">
        <v>2876</v>
      </c>
      <c r="AR258" s="36" t="s">
        <v>78</v>
      </c>
      <c r="AS258" s="89"/>
      <c r="AT258" s="87">
        <v>20000000</v>
      </c>
      <c r="AU258" s="87">
        <v>2000000</v>
      </c>
      <c r="AV258" s="87">
        <v>22000000</v>
      </c>
      <c r="AW258" s="38"/>
      <c r="AX258" s="85">
        <v>2025</v>
      </c>
      <c r="AY258" s="85">
        <v>5</v>
      </c>
      <c r="AZ258" s="36"/>
      <c r="BA258" s="1" t="s">
        <v>44</v>
      </c>
    </row>
    <row r="259" spans="10:53">
      <c r="J259" s="37"/>
      <c r="K259" s="36"/>
      <c r="L259" s="87"/>
      <c r="M259" s="38"/>
      <c r="N259" s="36"/>
      <c r="O259" s="36"/>
      <c r="P259" s="1"/>
      <c r="AA259" s="36" t="s">
        <v>32</v>
      </c>
      <c r="AB259" s="85">
        <v>2025</v>
      </c>
      <c r="AC259" s="85">
        <v>8</v>
      </c>
      <c r="AD259" s="37">
        <v>45900</v>
      </c>
      <c r="AE259" s="36" t="s">
        <v>2674</v>
      </c>
      <c r="AF259" s="36" t="s">
        <v>2687</v>
      </c>
      <c r="AG259" s="1" t="s">
        <v>44</v>
      </c>
      <c r="AH259" s="16">
        <f>SUMIFS(DB!$I:$I,DB!$C:$C,$AE259,DB!$D:$D,$AF259,DB!$K:$K,$AB259,DB!$L:$L,$AC259)</f>
        <v>3767500</v>
      </c>
      <c r="AI259" s="16">
        <v>3425000</v>
      </c>
      <c r="AJ259" s="153">
        <v>342500</v>
      </c>
      <c r="AK259" s="162">
        <v>45900</v>
      </c>
      <c r="AL259" s="16">
        <v>3767500</v>
      </c>
      <c r="AM259" s="107">
        <v>0</v>
      </c>
      <c r="AN259" s="36" t="s">
        <v>32</v>
      </c>
      <c r="AO259" s="37">
        <v>45796</v>
      </c>
      <c r="AP259" s="36" t="s">
        <v>2766</v>
      </c>
      <c r="AQ259" s="36" t="s">
        <v>2877</v>
      </c>
      <c r="AR259" s="36" t="s">
        <v>78</v>
      </c>
      <c r="AS259" s="89"/>
      <c r="AT259" s="87">
        <v>9167000</v>
      </c>
      <c r="AU259" s="87">
        <v>916700</v>
      </c>
      <c r="AV259" s="87">
        <v>10083700</v>
      </c>
      <c r="AW259" s="38"/>
      <c r="AX259" s="85">
        <v>2025</v>
      </c>
      <c r="AY259" s="85">
        <v>5</v>
      </c>
      <c r="AZ259" s="36"/>
      <c r="BA259" s="1" t="s">
        <v>44</v>
      </c>
    </row>
    <row r="260" spans="10:53">
      <c r="J260" s="37"/>
      <c r="K260" s="36"/>
      <c r="L260" s="230"/>
      <c r="M260" s="258"/>
      <c r="N260" s="36"/>
      <c r="O260" s="36"/>
      <c r="P260" s="1"/>
      <c r="AA260" s="36" t="s">
        <v>32</v>
      </c>
      <c r="AB260" s="85">
        <v>2025</v>
      </c>
      <c r="AC260" s="85">
        <v>8</v>
      </c>
      <c r="AD260" s="37">
        <v>45900</v>
      </c>
      <c r="AE260" s="36" t="s">
        <v>264</v>
      </c>
      <c r="AF260" s="36" t="s">
        <v>3070</v>
      </c>
      <c r="AG260" s="1" t="s">
        <v>44</v>
      </c>
      <c r="AH260" s="16">
        <f>SUMIFS(DB!$I:$I,DB!$C:$C,$AE260,DB!$D:$D,$AF260,DB!$K:$K,$AB260,DB!$L:$L,$AC260)</f>
        <v>23760000</v>
      </c>
      <c r="AI260" s="16">
        <v>21600000</v>
      </c>
      <c r="AJ260" s="153">
        <v>2160000</v>
      </c>
      <c r="AK260" s="162">
        <v>45900</v>
      </c>
      <c r="AL260" s="16">
        <v>23760000</v>
      </c>
      <c r="AM260" s="107">
        <v>0</v>
      </c>
      <c r="AN260" s="36" t="s">
        <v>32</v>
      </c>
      <c r="AO260" s="37">
        <v>45799</v>
      </c>
      <c r="AP260" s="36" t="s">
        <v>2766</v>
      </c>
      <c r="AQ260" s="36" t="s">
        <v>2878</v>
      </c>
      <c r="AR260" s="36" t="s">
        <v>78</v>
      </c>
      <c r="AS260" s="89"/>
      <c r="AT260" s="87">
        <v>21115000</v>
      </c>
      <c r="AU260" s="87">
        <v>2111500</v>
      </c>
      <c r="AV260" s="87">
        <v>23226500</v>
      </c>
      <c r="AW260" s="38"/>
      <c r="AX260" s="85">
        <v>2025</v>
      </c>
      <c r="AY260" s="85">
        <v>5</v>
      </c>
      <c r="AZ260" s="36"/>
      <c r="BA260" s="1" t="s">
        <v>44</v>
      </c>
    </row>
    <row r="261" spans="10:53">
      <c r="J261" s="37"/>
      <c r="K261" s="36"/>
      <c r="L261" s="87"/>
      <c r="M261" s="87"/>
      <c r="N261" s="36"/>
      <c r="O261" s="36"/>
      <c r="P261" s="1"/>
      <c r="AA261" s="36" t="s">
        <v>32</v>
      </c>
      <c r="AB261" s="85">
        <v>2025</v>
      </c>
      <c r="AC261" s="85">
        <v>8</v>
      </c>
      <c r="AD261" s="37">
        <v>45900</v>
      </c>
      <c r="AE261" s="36" t="s">
        <v>2766</v>
      </c>
      <c r="AF261" s="36" t="s">
        <v>3081</v>
      </c>
      <c r="AG261" s="1" t="s">
        <v>44</v>
      </c>
      <c r="AH261" s="16">
        <f>SUMIFS(DB!$I:$I,DB!$C:$C,$AE261,DB!$D:$D,$AF261,DB!$K:$K,$AB261,DB!$L:$L,$AC261)</f>
        <v>11000000</v>
      </c>
      <c r="AI261" s="16">
        <v>10000000</v>
      </c>
      <c r="AJ261" s="153">
        <v>1000000</v>
      </c>
      <c r="AK261" s="162">
        <v>45900</v>
      </c>
      <c r="AL261" s="16">
        <v>11000000</v>
      </c>
      <c r="AM261" s="107">
        <v>0</v>
      </c>
      <c r="AN261" s="36" t="s">
        <v>32</v>
      </c>
      <c r="AO261" s="37">
        <v>45798</v>
      </c>
      <c r="AP261" s="36" t="s">
        <v>2395</v>
      </c>
      <c r="AQ261" s="36" t="s">
        <v>2895</v>
      </c>
      <c r="AR261" s="36" t="s">
        <v>78</v>
      </c>
      <c r="AS261" s="89"/>
      <c r="AT261" s="87">
        <v>154520160</v>
      </c>
      <c r="AU261" s="87">
        <v>15452016</v>
      </c>
      <c r="AV261" s="87">
        <v>169972176</v>
      </c>
      <c r="AW261" s="38"/>
      <c r="AX261" s="85">
        <v>2025</v>
      </c>
      <c r="AY261" s="85">
        <v>5</v>
      </c>
      <c r="AZ261" s="36"/>
      <c r="BA261" s="1" t="s">
        <v>44</v>
      </c>
    </row>
    <row r="262" spans="10:53">
      <c r="J262" s="37"/>
      <c r="K262" s="36"/>
      <c r="L262" s="87"/>
      <c r="M262" s="38"/>
      <c r="N262" s="36"/>
      <c r="O262" s="36"/>
      <c r="P262" s="1"/>
      <c r="AA262" s="36" t="s">
        <v>32</v>
      </c>
      <c r="AB262" s="85">
        <v>2025</v>
      </c>
      <c r="AC262" s="85">
        <v>8</v>
      </c>
      <c r="AD262" s="37">
        <v>45900</v>
      </c>
      <c r="AE262" s="36" t="s">
        <v>2872</v>
      </c>
      <c r="AF262" s="36" t="s">
        <v>2885</v>
      </c>
      <c r="AG262" s="1" t="s">
        <v>44</v>
      </c>
      <c r="AH262" s="16">
        <f>SUMIFS(DB!$I:$I,DB!$C:$C,$AE262,DB!$D:$D,$AF262,DB!$K:$K,$AB262,DB!$L:$L,$AC262)</f>
        <v>11000000</v>
      </c>
      <c r="AI262" s="16">
        <v>10000000</v>
      </c>
      <c r="AJ262" s="153">
        <v>1000000</v>
      </c>
      <c r="AK262" s="162">
        <v>45900</v>
      </c>
      <c r="AL262" s="16">
        <v>11000000</v>
      </c>
      <c r="AM262" s="107">
        <v>0</v>
      </c>
      <c r="AN262" s="36" t="s">
        <v>32</v>
      </c>
      <c r="AO262" s="37">
        <v>45808</v>
      </c>
      <c r="AP262" s="36" t="s">
        <v>2395</v>
      </c>
      <c r="AQ262" s="36" t="s">
        <v>2369</v>
      </c>
      <c r="AR262" s="36" t="s">
        <v>78</v>
      </c>
      <c r="AS262" s="89"/>
      <c r="AT262" s="87">
        <v>43981600</v>
      </c>
      <c r="AU262" s="87">
        <v>4398160</v>
      </c>
      <c r="AV262" s="87">
        <v>48379760</v>
      </c>
      <c r="AW262" s="38"/>
      <c r="AX262" s="85">
        <v>2025</v>
      </c>
      <c r="AY262" s="85">
        <v>5</v>
      </c>
      <c r="AZ262" s="36"/>
      <c r="BA262" s="1" t="s">
        <v>44</v>
      </c>
    </row>
    <row r="263" spans="10:53">
      <c r="J263" s="37"/>
      <c r="K263" s="36"/>
      <c r="L263" s="87"/>
      <c r="M263" s="283"/>
      <c r="N263" s="36"/>
      <c r="O263" s="36"/>
      <c r="P263" s="1"/>
      <c r="AA263" s="36" t="s">
        <v>32</v>
      </c>
      <c r="AB263" s="85">
        <v>2025</v>
      </c>
      <c r="AC263" s="85">
        <v>8</v>
      </c>
      <c r="AD263" s="37">
        <v>45900</v>
      </c>
      <c r="AE263" s="36" t="s">
        <v>2873</v>
      </c>
      <c r="AF263" s="36" t="s">
        <v>3115</v>
      </c>
      <c r="AG263" s="1" t="s">
        <v>44</v>
      </c>
      <c r="AH263" s="16">
        <f>SUMIFS(DB!$I:$I,DB!$C:$C,$AE263,DB!$D:$D,$AF263,DB!$K:$K,$AB263,DB!$L:$L,$AC263)</f>
        <v>2200000</v>
      </c>
      <c r="AI263" s="16">
        <v>2000000</v>
      </c>
      <c r="AJ263" s="153">
        <v>200000</v>
      </c>
      <c r="AK263" s="162">
        <v>45900</v>
      </c>
      <c r="AL263" s="16">
        <v>2200000</v>
      </c>
      <c r="AM263" s="107">
        <v>0</v>
      </c>
      <c r="AN263" s="36" t="s">
        <v>32</v>
      </c>
      <c r="AO263" s="37">
        <v>45778</v>
      </c>
      <c r="AP263" s="36" t="s">
        <v>1218</v>
      </c>
      <c r="AQ263" s="36" t="s">
        <v>2879</v>
      </c>
      <c r="AR263" s="36" t="s">
        <v>78</v>
      </c>
      <c r="AS263" s="89"/>
      <c r="AT263" s="87">
        <v>2970000</v>
      </c>
      <c r="AU263" s="87">
        <v>297000</v>
      </c>
      <c r="AV263" s="87">
        <v>3267000</v>
      </c>
      <c r="AW263" s="38"/>
      <c r="AX263" s="85">
        <v>2025</v>
      </c>
      <c r="AY263" s="85">
        <v>5</v>
      </c>
      <c r="AZ263" s="36"/>
      <c r="BA263" s="1" t="s">
        <v>44</v>
      </c>
    </row>
    <row r="264" spans="10:53">
      <c r="J264" s="37"/>
      <c r="K264" s="36"/>
      <c r="L264" s="87"/>
      <c r="M264" s="284"/>
      <c r="N264" s="36"/>
      <c r="O264" s="36"/>
      <c r="P264" s="1"/>
      <c r="AA264" s="36" t="s">
        <v>32</v>
      </c>
      <c r="AB264" s="85">
        <v>2025</v>
      </c>
      <c r="AC264" s="85">
        <v>8</v>
      </c>
      <c r="AD264" s="37">
        <v>45900</v>
      </c>
      <c r="AE264" s="36" t="s">
        <v>2824</v>
      </c>
      <c r="AF264" s="36" t="s">
        <v>2832</v>
      </c>
      <c r="AG264" s="1" t="s">
        <v>44</v>
      </c>
      <c r="AH264" s="16">
        <f>SUMIFS(DB!$I:$I,DB!$C:$C,$AE264,DB!$D:$D,$AF264,DB!$K:$K,$AB264,DB!$L:$L,$AC264)</f>
        <v>54228900</v>
      </c>
      <c r="AI264" s="16">
        <v>49299000</v>
      </c>
      <c r="AJ264" s="153">
        <v>4929900</v>
      </c>
      <c r="AK264" s="162">
        <v>45961</v>
      </c>
      <c r="AL264" s="16">
        <v>54228900</v>
      </c>
      <c r="AM264" s="107">
        <v>0</v>
      </c>
      <c r="AN264" s="36" t="s">
        <v>32</v>
      </c>
      <c r="AO264" s="37">
        <v>45806</v>
      </c>
      <c r="AP264" s="36" t="s">
        <v>2627</v>
      </c>
      <c r="AQ264" s="36" t="s">
        <v>2589</v>
      </c>
      <c r="AR264" s="36" t="s">
        <v>78</v>
      </c>
      <c r="AS264" s="89"/>
      <c r="AT264" s="87">
        <v>5000000</v>
      </c>
      <c r="AU264" s="87">
        <v>500000</v>
      </c>
      <c r="AV264" s="87">
        <v>5500000</v>
      </c>
      <c r="AW264" s="38"/>
      <c r="AX264" s="85">
        <v>2025</v>
      </c>
      <c r="AY264" s="85">
        <v>5</v>
      </c>
      <c r="AZ264" s="36"/>
      <c r="BA264" s="1" t="s">
        <v>44</v>
      </c>
    </row>
    <row r="265" spans="10:53">
      <c r="J265" s="37"/>
      <c r="K265" s="36"/>
      <c r="L265" s="87"/>
      <c r="M265" s="284"/>
      <c r="N265" s="36"/>
      <c r="O265" s="36"/>
      <c r="P265" s="1"/>
      <c r="AA265" s="36" t="s">
        <v>32</v>
      </c>
      <c r="AB265" s="85">
        <v>2025</v>
      </c>
      <c r="AC265" s="85">
        <v>8</v>
      </c>
      <c r="AD265" s="37">
        <v>45900</v>
      </c>
      <c r="AE265" s="36" t="s">
        <v>3138</v>
      </c>
      <c r="AF265" s="36" t="s">
        <v>3071</v>
      </c>
      <c r="AG265" s="1" t="s">
        <v>44</v>
      </c>
      <c r="AH265" s="16">
        <f>SUMIFS(DB!$I:$I,DB!$C:$C,$AE265,DB!$D:$D,$AF265,DB!$K:$K,$AB265,DB!$L:$L,$AC265)</f>
        <v>3895584</v>
      </c>
      <c r="AI265" s="16">
        <v>3541440</v>
      </c>
      <c r="AJ265" s="153">
        <v>354144</v>
      </c>
      <c r="AK265" s="162">
        <v>45972</v>
      </c>
      <c r="AL265" s="16">
        <v>3895584</v>
      </c>
      <c r="AM265" s="107">
        <v>0</v>
      </c>
      <c r="AN265" s="36" t="s">
        <v>32</v>
      </c>
      <c r="AO265" s="37">
        <v>45806</v>
      </c>
      <c r="AP265" s="36" t="s">
        <v>2869</v>
      </c>
      <c r="AQ265" s="36" t="s">
        <v>2880</v>
      </c>
      <c r="AR265" s="36" t="s">
        <v>78</v>
      </c>
      <c r="AS265" s="89"/>
      <c r="AT265" s="87">
        <v>5600000</v>
      </c>
      <c r="AU265" s="87">
        <v>560000</v>
      </c>
      <c r="AV265" s="87">
        <v>6160000</v>
      </c>
      <c r="AW265" s="38"/>
      <c r="AX265" s="85">
        <v>2025</v>
      </c>
      <c r="AY265" s="85">
        <v>5</v>
      </c>
      <c r="AZ265" s="36"/>
      <c r="BA265" s="1" t="s">
        <v>44</v>
      </c>
    </row>
    <row r="266" spans="10:53">
      <c r="J266" s="37"/>
      <c r="K266" s="36"/>
      <c r="L266" s="87"/>
      <c r="M266" s="87"/>
      <c r="N266" s="36"/>
      <c r="O266" s="36"/>
      <c r="P266" s="1"/>
      <c r="AA266" s="36" t="s">
        <v>32</v>
      </c>
      <c r="AB266" s="85">
        <v>2025</v>
      </c>
      <c r="AC266" s="85">
        <v>8</v>
      </c>
      <c r="AD266" s="37">
        <v>45900</v>
      </c>
      <c r="AE266" s="36" t="s">
        <v>1587</v>
      </c>
      <c r="AF266" s="36" t="s">
        <v>3072</v>
      </c>
      <c r="AG266" s="1" t="s">
        <v>44</v>
      </c>
      <c r="AH266" s="16">
        <f>SUMIFS(DB!$I:$I,DB!$C:$C,$AE266,DB!$D:$D,$AF266,DB!$K:$K,$AB266,DB!$L:$L,$AC266)</f>
        <v>6712200</v>
      </c>
      <c r="AI266" s="16">
        <v>6102000</v>
      </c>
      <c r="AJ266" s="153">
        <v>610200</v>
      </c>
      <c r="AK266" s="162">
        <v>45900</v>
      </c>
      <c r="AL266" s="16">
        <v>6712200</v>
      </c>
      <c r="AM266" s="107">
        <v>0</v>
      </c>
      <c r="AN266" s="36" t="s">
        <v>32</v>
      </c>
      <c r="AO266" s="37">
        <v>45806</v>
      </c>
      <c r="AP266" s="36" t="s">
        <v>209</v>
      </c>
      <c r="AQ266" s="36" t="s">
        <v>2494</v>
      </c>
      <c r="AR266" s="36" t="s">
        <v>1492</v>
      </c>
      <c r="AS266" s="89"/>
      <c r="AT266" s="87">
        <v>1759800</v>
      </c>
      <c r="AU266" s="87">
        <v>175980</v>
      </c>
      <c r="AV266" s="87">
        <v>1935780</v>
      </c>
      <c r="AW266" s="38"/>
      <c r="AX266" s="85">
        <v>2025</v>
      </c>
      <c r="AY266" s="85">
        <v>5</v>
      </c>
      <c r="AZ266" s="36"/>
      <c r="BA266" s="1" t="s">
        <v>44</v>
      </c>
    </row>
    <row r="267" spans="10:53">
      <c r="J267" s="37"/>
      <c r="K267" s="36"/>
      <c r="L267" s="230"/>
      <c r="M267" s="258"/>
      <c r="N267" s="36"/>
      <c r="O267" s="36"/>
      <c r="P267" s="1"/>
      <c r="AA267" s="36" t="s">
        <v>32</v>
      </c>
      <c r="AB267" s="85">
        <v>2025</v>
      </c>
      <c r="AC267" s="85">
        <v>9</v>
      </c>
      <c r="AD267" s="37">
        <v>45901</v>
      </c>
      <c r="AE267" s="36" t="s">
        <v>2868</v>
      </c>
      <c r="AF267" s="36" t="s">
        <v>2875</v>
      </c>
      <c r="AG267" s="1" t="s">
        <v>44</v>
      </c>
      <c r="AH267" s="16">
        <f>SUMIFS(DB!$I:$I,DB!$C:$C,$AE267,DB!$D:$D,$AF267,DB!$K:$K,$AB267,DB!$L:$L,$AC267)</f>
        <v>71500000</v>
      </c>
      <c r="AI267" s="16">
        <v>65000000</v>
      </c>
      <c r="AJ267" s="153">
        <v>6500000</v>
      </c>
      <c r="AK267" s="162">
        <v>45961</v>
      </c>
      <c r="AL267" s="16">
        <v>9900000</v>
      </c>
      <c r="AM267" s="107">
        <v>61600000</v>
      </c>
      <c r="AN267" s="36" t="s">
        <v>32</v>
      </c>
      <c r="AO267" s="37">
        <v>45806</v>
      </c>
      <c r="AP267" s="36" t="s">
        <v>209</v>
      </c>
      <c r="AQ267" s="36" t="s">
        <v>2551</v>
      </c>
      <c r="AR267" s="36" t="s">
        <v>76</v>
      </c>
      <c r="AS267" s="89"/>
      <c r="AT267" s="87">
        <v>4050000</v>
      </c>
      <c r="AU267" s="87">
        <v>405000</v>
      </c>
      <c r="AV267" s="87">
        <v>4455000</v>
      </c>
      <c r="AW267" s="38"/>
      <c r="AX267" s="85">
        <v>2025</v>
      </c>
      <c r="AY267" s="85">
        <v>5</v>
      </c>
      <c r="AZ267" s="36"/>
      <c r="BA267" s="1" t="s">
        <v>44</v>
      </c>
    </row>
    <row r="268" spans="10:53">
      <c r="J268" s="37"/>
      <c r="K268" s="36"/>
      <c r="L268" s="87"/>
      <c r="M268" s="38"/>
      <c r="N268" s="36"/>
      <c r="O268" s="36"/>
      <c r="P268" s="1"/>
      <c r="AA268" s="36" t="s">
        <v>32</v>
      </c>
      <c r="AB268" s="85">
        <v>2025</v>
      </c>
      <c r="AC268" s="85">
        <v>9</v>
      </c>
      <c r="AD268" s="37">
        <v>45930</v>
      </c>
      <c r="AE268" s="36" t="s">
        <v>3134</v>
      </c>
      <c r="AF268" s="36" t="s">
        <v>3140</v>
      </c>
      <c r="AG268" s="1" t="s">
        <v>44</v>
      </c>
      <c r="AH268" s="16">
        <f>SUMIFS(DB!$I:$I,DB!$C:$C,$AE268,DB!$D:$D,$AF268,DB!$K:$K,$AB268,DB!$L:$L,$AC268)</f>
        <v>6722375</v>
      </c>
      <c r="AI268" s="16">
        <v>6111250</v>
      </c>
      <c r="AJ268" s="153">
        <v>611125</v>
      </c>
      <c r="AK268" s="162">
        <v>45961</v>
      </c>
      <c r="AL268" s="16">
        <v>6722375</v>
      </c>
      <c r="AM268" s="107">
        <v>0</v>
      </c>
      <c r="AN268" s="36" t="s">
        <v>32</v>
      </c>
      <c r="AO268" s="37">
        <v>45808</v>
      </c>
      <c r="AP268" s="36" t="s">
        <v>2674</v>
      </c>
      <c r="AQ268" s="36" t="s">
        <v>2687</v>
      </c>
      <c r="AR268" s="36" t="s">
        <v>76</v>
      </c>
      <c r="AS268" s="89"/>
      <c r="AT268" s="87">
        <v>19187500</v>
      </c>
      <c r="AU268" s="87">
        <v>1918750</v>
      </c>
      <c r="AV268" s="87">
        <v>21106250</v>
      </c>
      <c r="AW268" s="38"/>
      <c r="AX268" s="85">
        <v>2025</v>
      </c>
      <c r="AY268" s="85">
        <v>5</v>
      </c>
      <c r="AZ268" s="36"/>
      <c r="BA268" s="1" t="s">
        <v>44</v>
      </c>
    </row>
    <row r="269" spans="10:53">
      <c r="J269" s="37"/>
      <c r="K269" s="36"/>
      <c r="L269" s="87"/>
      <c r="M269" s="38"/>
      <c r="N269" s="36"/>
      <c r="O269" s="36"/>
      <c r="P269" s="1"/>
      <c r="AA269" s="36" t="s">
        <v>32</v>
      </c>
      <c r="AB269" s="85">
        <v>2025</v>
      </c>
      <c r="AC269" s="85">
        <v>9</v>
      </c>
      <c r="AD269" s="37">
        <v>45930</v>
      </c>
      <c r="AE269" s="36" t="s">
        <v>334</v>
      </c>
      <c r="AF269" s="36" t="s">
        <v>2490</v>
      </c>
      <c r="AG269" s="1" t="s">
        <v>44</v>
      </c>
      <c r="AH269" s="16">
        <f>SUMIFS(DB!$I:$I,DB!$C:$C,$AE269,DB!$D:$D,$AF269,DB!$K:$K,$AB269,DB!$L:$L,$AC269)</f>
        <v>5500000</v>
      </c>
      <c r="AI269" s="16">
        <v>5000000</v>
      </c>
      <c r="AJ269" s="153">
        <v>500000</v>
      </c>
      <c r="AL269" s="16">
        <v>0</v>
      </c>
      <c r="AM269" s="107">
        <v>5500000</v>
      </c>
      <c r="AN269" s="36" t="s">
        <v>32</v>
      </c>
      <c r="AO269" s="37">
        <v>45808</v>
      </c>
      <c r="AP269" s="36" t="s">
        <v>2628</v>
      </c>
      <c r="AQ269" s="36" t="s">
        <v>2639</v>
      </c>
      <c r="AR269" s="36" t="s">
        <v>76</v>
      </c>
      <c r="AS269" s="89"/>
      <c r="AT269" s="87">
        <v>12984800</v>
      </c>
      <c r="AU269" s="87">
        <v>1298480</v>
      </c>
      <c r="AV269" s="87">
        <v>14283280</v>
      </c>
      <c r="AW269" s="38"/>
      <c r="AX269" s="85">
        <v>2025</v>
      </c>
      <c r="AY269" s="85">
        <v>5</v>
      </c>
      <c r="AZ269" s="36"/>
      <c r="BA269" s="1" t="s">
        <v>44</v>
      </c>
    </row>
    <row r="270" spans="10:53">
      <c r="J270" s="37"/>
      <c r="K270" s="36"/>
      <c r="L270" s="87"/>
      <c r="M270" s="38"/>
      <c r="N270" s="36"/>
      <c r="O270" s="36"/>
      <c r="P270" s="1"/>
      <c r="AA270" s="36" t="s">
        <v>32</v>
      </c>
      <c r="AB270" s="85">
        <v>2025</v>
      </c>
      <c r="AC270" s="85">
        <v>9</v>
      </c>
      <c r="AD270" s="37">
        <v>45930</v>
      </c>
      <c r="AE270" s="36" t="s">
        <v>2870</v>
      </c>
      <c r="AF270" s="36" t="s">
        <v>2882</v>
      </c>
      <c r="AG270" s="1" t="s">
        <v>44</v>
      </c>
      <c r="AH270" s="16">
        <f>SUMIFS(DB!$I:$I,DB!$C:$C,$AE270,DB!$D:$D,$AF270,DB!$K:$K,$AB270,DB!$L:$L,$AC270)</f>
        <v>7700000</v>
      </c>
      <c r="AI270" s="16">
        <v>7000000</v>
      </c>
      <c r="AJ270" s="153">
        <v>700000</v>
      </c>
      <c r="AK270" s="162">
        <v>45971</v>
      </c>
      <c r="AL270" s="16">
        <v>7700000</v>
      </c>
      <c r="AM270" s="107">
        <v>0</v>
      </c>
      <c r="AN270" s="36" t="s">
        <v>32</v>
      </c>
      <c r="AO270" s="37">
        <v>45808</v>
      </c>
      <c r="AP270" s="36" t="s">
        <v>188</v>
      </c>
      <c r="AQ270" s="36" t="s">
        <v>2881</v>
      </c>
      <c r="AR270" s="36" t="s">
        <v>78</v>
      </c>
      <c r="AS270" s="89"/>
      <c r="AT270" s="87">
        <v>1951600</v>
      </c>
      <c r="AU270" s="87">
        <v>195160</v>
      </c>
      <c r="AV270" s="87">
        <v>2146760</v>
      </c>
      <c r="AW270" s="38"/>
      <c r="AX270" s="85">
        <v>2025</v>
      </c>
      <c r="AY270" s="85">
        <v>5</v>
      </c>
      <c r="AZ270" s="36"/>
      <c r="BA270" s="1" t="s">
        <v>44</v>
      </c>
    </row>
    <row r="271" spans="10:53">
      <c r="J271" s="37"/>
      <c r="K271" s="36"/>
      <c r="L271" s="87"/>
      <c r="M271" s="38"/>
      <c r="N271" s="36"/>
      <c r="O271" s="36"/>
      <c r="P271" s="1"/>
      <c r="AA271" s="36" t="s">
        <v>32</v>
      </c>
      <c r="AB271" s="85">
        <v>2025</v>
      </c>
      <c r="AC271" s="85">
        <v>9</v>
      </c>
      <c r="AD271" s="37">
        <v>45930</v>
      </c>
      <c r="AE271" s="36" t="s">
        <v>3135</v>
      </c>
      <c r="AF271" s="36" t="s">
        <v>3141</v>
      </c>
      <c r="AG271" s="1" t="s">
        <v>44</v>
      </c>
      <c r="AH271" s="16">
        <f>SUMIFS(DB!$I:$I,DB!$C:$C,$AE271,DB!$D:$D,$AF271,DB!$K:$K,$AB271,DB!$L:$L,$AC271)</f>
        <v>4098160</v>
      </c>
      <c r="AI271" s="16">
        <v>3725600</v>
      </c>
      <c r="AJ271" s="153">
        <v>372560</v>
      </c>
      <c r="AK271" s="162">
        <v>45930</v>
      </c>
      <c r="AL271" s="16">
        <v>4098160</v>
      </c>
      <c r="AM271" s="107">
        <v>0</v>
      </c>
      <c r="AN271" s="36" t="s">
        <v>32</v>
      </c>
      <c r="AO271" s="37">
        <v>45808</v>
      </c>
      <c r="AP271" s="36" t="s">
        <v>2870</v>
      </c>
      <c r="AQ271" s="36" t="s">
        <v>2882</v>
      </c>
      <c r="AR271" s="36" t="s">
        <v>76</v>
      </c>
      <c r="AS271" s="89"/>
      <c r="AT271" s="87">
        <v>5500000</v>
      </c>
      <c r="AU271" s="87">
        <v>550000</v>
      </c>
      <c r="AV271" s="87">
        <v>6050000</v>
      </c>
      <c r="AW271" s="38"/>
      <c r="AX271" s="85">
        <v>2025</v>
      </c>
      <c r="AY271" s="85">
        <v>5</v>
      </c>
      <c r="AZ271" s="36"/>
      <c r="BA271" s="1" t="s">
        <v>44</v>
      </c>
    </row>
    <row r="272" spans="10:53">
      <c r="J272" s="37"/>
      <c r="K272" s="36"/>
      <c r="L272" s="87"/>
      <c r="M272" s="38"/>
      <c r="N272" s="36"/>
      <c r="O272" s="36"/>
      <c r="P272" s="1"/>
      <c r="AA272" s="36" t="s">
        <v>32</v>
      </c>
      <c r="AB272" s="85">
        <v>2025</v>
      </c>
      <c r="AC272" s="85">
        <v>9</v>
      </c>
      <c r="AD272" s="37">
        <v>45930</v>
      </c>
      <c r="AE272" s="36" t="s">
        <v>3004</v>
      </c>
      <c r="AF272" s="36" t="s">
        <v>3142</v>
      </c>
      <c r="AG272" s="1" t="s">
        <v>44</v>
      </c>
      <c r="AH272" s="16">
        <f>SUMIFS(DB!$I:$I,DB!$C:$C,$AE272,DB!$D:$D,$AF272,DB!$K:$K,$AB272,DB!$L:$L,$AC272)</f>
        <v>42350000</v>
      </c>
      <c r="AI272" s="16">
        <v>38500000</v>
      </c>
      <c r="AJ272" s="153">
        <v>3850000</v>
      </c>
      <c r="AK272" s="162">
        <v>45930</v>
      </c>
      <c r="AL272" s="16">
        <v>42350000</v>
      </c>
      <c r="AM272" s="107">
        <v>0</v>
      </c>
      <c r="AN272" s="36" t="s">
        <v>32</v>
      </c>
      <c r="AO272" s="37">
        <v>45808</v>
      </c>
      <c r="AP272" s="36" t="s">
        <v>2871</v>
      </c>
      <c r="AQ272" s="36" t="s">
        <v>2636</v>
      </c>
      <c r="AR272" s="36" t="s">
        <v>76</v>
      </c>
      <c r="AS272" s="89"/>
      <c r="AT272" s="87">
        <v>7155750</v>
      </c>
      <c r="AU272" s="87">
        <v>715575</v>
      </c>
      <c r="AV272" s="87">
        <v>7871325</v>
      </c>
      <c r="AW272" s="38"/>
      <c r="AX272" s="85">
        <v>2025</v>
      </c>
      <c r="AY272" s="85">
        <v>5</v>
      </c>
      <c r="AZ272" s="36"/>
      <c r="BA272" s="1" t="s">
        <v>44</v>
      </c>
    </row>
    <row r="273" spans="10:53">
      <c r="J273" s="37"/>
      <c r="K273" s="36"/>
      <c r="L273" s="87"/>
      <c r="M273" s="38"/>
      <c r="N273" s="36"/>
      <c r="O273" s="36"/>
      <c r="P273" s="1"/>
      <c r="AA273" s="36" t="s">
        <v>32</v>
      </c>
      <c r="AB273" s="85">
        <v>2025</v>
      </c>
      <c r="AC273" s="85">
        <v>9</v>
      </c>
      <c r="AD273" s="37">
        <v>45930</v>
      </c>
      <c r="AE273" s="36" t="s">
        <v>291</v>
      </c>
      <c r="AF273" s="36" t="s">
        <v>3143</v>
      </c>
      <c r="AG273" s="1" t="s">
        <v>44</v>
      </c>
      <c r="AH273" s="16">
        <f>SUMIFS(DB!$I:$I,DB!$C:$C,$AE273,DB!$D:$D,$AF273,DB!$K:$K,$AB273,DB!$L:$L,$AC273)</f>
        <v>1100000</v>
      </c>
      <c r="AI273" s="16">
        <v>1000000</v>
      </c>
      <c r="AJ273" s="153">
        <v>100000</v>
      </c>
      <c r="AK273" s="162">
        <v>45930</v>
      </c>
      <c r="AL273" s="16">
        <v>1100000</v>
      </c>
      <c r="AM273" s="107">
        <v>0</v>
      </c>
      <c r="AN273" s="36" t="s">
        <v>32</v>
      </c>
      <c r="AO273" s="37">
        <v>45808</v>
      </c>
      <c r="AP273" s="36" t="s">
        <v>334</v>
      </c>
      <c r="AQ273" s="36" t="s">
        <v>2486</v>
      </c>
      <c r="AR273" s="36" t="s">
        <v>78</v>
      </c>
      <c r="AS273" s="89"/>
      <c r="AT273" s="87">
        <v>6790000</v>
      </c>
      <c r="AU273" s="87">
        <v>679000</v>
      </c>
      <c r="AV273" s="87">
        <v>7469000</v>
      </c>
      <c r="AW273" s="38"/>
      <c r="AX273" s="85">
        <v>2025</v>
      </c>
      <c r="AY273" s="85">
        <v>5</v>
      </c>
      <c r="AZ273" s="36"/>
      <c r="BA273" s="1" t="s">
        <v>44</v>
      </c>
    </row>
    <row r="274" spans="10:53">
      <c r="J274" s="37"/>
      <c r="K274" s="36"/>
      <c r="L274" s="87"/>
      <c r="M274" s="38"/>
      <c r="N274" s="36"/>
      <c r="O274" s="36"/>
      <c r="P274" s="1"/>
      <c r="AA274" s="36" t="s">
        <v>32</v>
      </c>
      <c r="AB274" s="85">
        <v>2025</v>
      </c>
      <c r="AC274" s="85">
        <v>9</v>
      </c>
      <c r="AD274" s="37">
        <v>45929</v>
      </c>
      <c r="AE274" s="36" t="s">
        <v>2674</v>
      </c>
      <c r="AF274" s="36" t="s">
        <v>2687</v>
      </c>
      <c r="AG274" s="1" t="s">
        <v>44</v>
      </c>
      <c r="AH274" s="16">
        <f>SUMIFS(DB!$I:$I,DB!$C:$C,$AE274,DB!$D:$D,$AF274,DB!$K:$K,$AB274,DB!$L:$L,$AC274)</f>
        <v>3830750</v>
      </c>
      <c r="AI274" s="16">
        <v>3482500</v>
      </c>
      <c r="AJ274" s="153">
        <v>348250</v>
      </c>
      <c r="AK274" s="162">
        <v>45959</v>
      </c>
      <c r="AL274" s="16">
        <v>3830750</v>
      </c>
      <c r="AM274" s="107">
        <v>0</v>
      </c>
      <c r="AN274" s="36" t="s">
        <v>32</v>
      </c>
      <c r="AO274" s="37">
        <v>45808</v>
      </c>
      <c r="AP274" s="36" t="s">
        <v>661</v>
      </c>
      <c r="AQ274" s="36" t="s">
        <v>2783</v>
      </c>
      <c r="AR274" s="36" t="s">
        <v>1492</v>
      </c>
      <c r="AS274" s="89"/>
      <c r="AT274" s="87">
        <v>1046000</v>
      </c>
      <c r="AU274" s="87">
        <v>104600</v>
      </c>
      <c r="AV274" s="87">
        <v>1150600</v>
      </c>
      <c r="AW274" s="38"/>
      <c r="AX274" s="85">
        <v>2025</v>
      </c>
      <c r="AY274" s="85">
        <v>5</v>
      </c>
      <c r="AZ274" s="36"/>
      <c r="BA274" s="1" t="s">
        <v>44</v>
      </c>
    </row>
    <row r="275" spans="10:53">
      <c r="J275" s="37"/>
      <c r="K275" s="36"/>
      <c r="L275" s="87"/>
      <c r="M275" s="38"/>
      <c r="N275" s="36"/>
      <c r="O275" s="36"/>
      <c r="P275" s="1"/>
      <c r="AA275" s="36" t="s">
        <v>32</v>
      </c>
      <c r="AB275" s="85">
        <v>2025</v>
      </c>
      <c r="AC275" s="85">
        <v>9</v>
      </c>
      <c r="AD275" s="37">
        <v>45918</v>
      </c>
      <c r="AE275" s="36" t="s">
        <v>2478</v>
      </c>
      <c r="AF275" s="36" t="s">
        <v>2487</v>
      </c>
      <c r="AG275" s="1" t="s">
        <v>44</v>
      </c>
      <c r="AH275" s="16">
        <f>SUMIFS(DB!$I:$I,DB!$C:$C,$AE275,DB!$D:$D,$AF275,DB!$K:$K,$AB275,DB!$L:$L,$AC275)</f>
        <v>21191500</v>
      </c>
      <c r="AI275" s="16">
        <v>19265000</v>
      </c>
      <c r="AJ275" s="153">
        <v>1926500</v>
      </c>
      <c r="AK275" s="162">
        <v>45918</v>
      </c>
      <c r="AL275" s="16">
        <v>21191500</v>
      </c>
      <c r="AM275" s="107">
        <v>0</v>
      </c>
      <c r="AN275" s="36" t="s">
        <v>32</v>
      </c>
      <c r="AO275" s="37">
        <v>45808</v>
      </c>
      <c r="AP275" s="36" t="s">
        <v>2824</v>
      </c>
      <c r="AQ275" s="36" t="s">
        <v>2832</v>
      </c>
      <c r="AR275" s="36" t="s">
        <v>76</v>
      </c>
      <c r="AS275" s="89"/>
      <c r="AT275" s="87">
        <v>39106000</v>
      </c>
      <c r="AU275" s="87">
        <v>3910600</v>
      </c>
      <c r="AV275" s="87">
        <v>43016600</v>
      </c>
      <c r="AW275" s="38"/>
      <c r="AX275" s="85">
        <v>2025</v>
      </c>
      <c r="AY275" s="85">
        <v>5</v>
      </c>
      <c r="AZ275" s="36"/>
      <c r="BA275" s="1" t="s">
        <v>44</v>
      </c>
    </row>
    <row r="276" spans="10:53">
      <c r="J276" s="37"/>
      <c r="K276" s="36"/>
      <c r="L276" s="87"/>
      <c r="M276" s="284"/>
      <c r="N276" s="36"/>
      <c r="O276" s="295"/>
      <c r="P276" s="1"/>
      <c r="AA276" s="36" t="s">
        <v>32</v>
      </c>
      <c r="AB276" s="85">
        <v>2025</v>
      </c>
      <c r="AC276" s="85">
        <v>9</v>
      </c>
      <c r="AD276" s="37">
        <v>45930</v>
      </c>
      <c r="AE276" s="36" t="s">
        <v>1587</v>
      </c>
      <c r="AF276" s="36" t="s">
        <v>3144</v>
      </c>
      <c r="AG276" s="1" t="s">
        <v>44</v>
      </c>
      <c r="AH276" s="16">
        <f>SUMIFS(DB!$I:$I,DB!$C:$C,$AE276,DB!$D:$D,$AF276,DB!$K:$K,$AB276,DB!$L:$L,$AC276)</f>
        <v>6495500</v>
      </c>
      <c r="AI276" s="16">
        <v>5905000</v>
      </c>
      <c r="AJ276" s="153">
        <v>590500</v>
      </c>
      <c r="AK276" s="162">
        <v>45932</v>
      </c>
      <c r="AL276" s="16">
        <v>6495500</v>
      </c>
      <c r="AM276" s="107">
        <v>0</v>
      </c>
      <c r="AN276" s="36" t="s">
        <v>32</v>
      </c>
      <c r="AO276" s="37">
        <v>45808</v>
      </c>
      <c r="AP276" s="36" t="s">
        <v>654</v>
      </c>
      <c r="AQ276" s="36" t="s">
        <v>2883</v>
      </c>
      <c r="AR276" s="36" t="s">
        <v>76</v>
      </c>
      <c r="AS276" s="89"/>
      <c r="AT276" s="87">
        <v>4001740</v>
      </c>
      <c r="AU276" s="87">
        <v>400174</v>
      </c>
      <c r="AV276" s="87">
        <v>4401914</v>
      </c>
      <c r="AW276" s="38"/>
      <c r="AX276" s="85">
        <v>2025</v>
      </c>
      <c r="AY276" s="85">
        <v>5</v>
      </c>
      <c r="AZ276" s="36"/>
      <c r="BA276" s="1" t="s">
        <v>44</v>
      </c>
    </row>
    <row r="277" spans="10:53">
      <c r="J277" s="37"/>
      <c r="K277" s="36"/>
      <c r="L277" s="87"/>
      <c r="M277" s="283"/>
      <c r="N277" s="36"/>
      <c r="O277" s="295"/>
      <c r="P277" s="1"/>
      <c r="AA277" s="36" t="s">
        <v>32</v>
      </c>
      <c r="AB277" s="85">
        <v>2025</v>
      </c>
      <c r="AC277" s="85">
        <v>9</v>
      </c>
      <c r="AD277" s="37">
        <v>45930</v>
      </c>
      <c r="AE277" s="36" t="s">
        <v>2772</v>
      </c>
      <c r="AF277" s="36" t="s">
        <v>3145</v>
      </c>
      <c r="AG277" s="1" t="s">
        <v>44</v>
      </c>
      <c r="AH277" s="16">
        <f>SUMIFS(DB!$I:$I,DB!$C:$C,$AE277,DB!$D:$D,$AF277,DB!$K:$K,$AB277,DB!$L:$L,$AC277)</f>
        <v>9460000</v>
      </c>
      <c r="AI277" s="16">
        <v>8600000</v>
      </c>
      <c r="AJ277" s="153">
        <v>860000</v>
      </c>
      <c r="AK277" s="162">
        <v>45930</v>
      </c>
      <c r="AL277" s="16">
        <v>9460000</v>
      </c>
      <c r="AM277" s="107">
        <v>0</v>
      </c>
      <c r="AN277" s="36" t="s">
        <v>32</v>
      </c>
      <c r="AO277" s="37">
        <v>45808</v>
      </c>
      <c r="AP277" s="36" t="s">
        <v>654</v>
      </c>
      <c r="AQ277" s="36" t="s">
        <v>2588</v>
      </c>
      <c r="AR277" s="36" t="s">
        <v>2838</v>
      </c>
      <c r="AS277" s="89"/>
      <c r="AT277" s="87">
        <v>14786000</v>
      </c>
      <c r="AU277" s="87">
        <v>1478600</v>
      </c>
      <c r="AV277" s="87">
        <v>16264600</v>
      </c>
      <c r="AW277" s="38"/>
      <c r="AX277" s="85">
        <v>2025</v>
      </c>
      <c r="AY277" s="85">
        <v>5</v>
      </c>
      <c r="AZ277" s="36"/>
      <c r="BA277" s="1" t="s">
        <v>44</v>
      </c>
    </row>
    <row r="278" spans="10:53">
      <c r="J278" s="37"/>
      <c r="K278" s="36"/>
      <c r="L278" s="87"/>
      <c r="M278" s="87"/>
      <c r="N278" s="36"/>
      <c r="O278" s="36"/>
      <c r="P278" s="1"/>
      <c r="AA278" s="36" t="s">
        <v>32</v>
      </c>
      <c r="AB278" s="85">
        <v>2025</v>
      </c>
      <c r="AC278" s="85">
        <v>9</v>
      </c>
      <c r="AD278" s="37">
        <v>45930</v>
      </c>
      <c r="AE278" s="36" t="s">
        <v>1218</v>
      </c>
      <c r="AF278" s="36" t="s">
        <v>3012</v>
      </c>
      <c r="AG278" s="1" t="s">
        <v>44</v>
      </c>
      <c r="AH278" s="16">
        <f>SUMIFS(DB!$I:$I,DB!$C:$C,$AE278,DB!$D:$D,$AF278,DB!$K:$K,$AB278,DB!$L:$L,$AC278)</f>
        <v>660000</v>
      </c>
      <c r="AI278" s="16">
        <v>600000</v>
      </c>
      <c r="AJ278" s="153">
        <v>60000</v>
      </c>
      <c r="AK278" s="162">
        <v>45961</v>
      </c>
      <c r="AL278" s="16">
        <v>660000</v>
      </c>
      <c r="AM278" s="107">
        <v>0</v>
      </c>
      <c r="AN278" s="36" t="s">
        <v>32</v>
      </c>
      <c r="AO278" s="37">
        <v>45808</v>
      </c>
      <c r="AP278" s="36" t="s">
        <v>654</v>
      </c>
      <c r="AQ278" s="36" t="s">
        <v>2884</v>
      </c>
      <c r="AR278" s="36" t="s">
        <v>76</v>
      </c>
      <c r="AS278" s="89"/>
      <c r="AT278" s="87">
        <v>23343660</v>
      </c>
      <c r="AU278" s="87">
        <v>2334366</v>
      </c>
      <c r="AV278" s="87">
        <v>25678026</v>
      </c>
      <c r="AW278" s="38"/>
      <c r="AX278" s="85">
        <v>2025</v>
      </c>
      <c r="AY278" s="85">
        <v>5</v>
      </c>
      <c r="AZ278" s="36"/>
      <c r="BA278" s="1" t="s">
        <v>44</v>
      </c>
    </row>
    <row r="279" spans="10:53">
      <c r="J279" s="37"/>
      <c r="K279" s="36"/>
      <c r="L279" s="87"/>
      <c r="M279" s="87"/>
      <c r="N279" s="36"/>
      <c r="O279" s="36"/>
      <c r="P279" s="1"/>
      <c r="AA279" s="36" t="s">
        <v>32</v>
      </c>
      <c r="AB279" s="85">
        <v>2025</v>
      </c>
      <c r="AC279" s="85">
        <v>9</v>
      </c>
      <c r="AD279" s="37">
        <v>45930</v>
      </c>
      <c r="AE279" s="36" t="s">
        <v>2822</v>
      </c>
      <c r="AF279" s="36" t="s">
        <v>3019</v>
      </c>
      <c r="AG279" s="1" t="s">
        <v>44</v>
      </c>
      <c r="AH279" s="16">
        <f>SUMIFS(DB!$I:$I,DB!$C:$C,$AE279,DB!$D:$D,$AF279,DB!$K:$K,$AB279,DB!$L:$L,$AC279)</f>
        <v>891000</v>
      </c>
      <c r="AI279" s="16">
        <v>810000</v>
      </c>
      <c r="AJ279" s="153">
        <v>81000</v>
      </c>
      <c r="AK279" s="162">
        <v>45961</v>
      </c>
      <c r="AL279" s="16">
        <v>891000</v>
      </c>
      <c r="AM279" s="107">
        <v>0</v>
      </c>
      <c r="AN279" s="36" t="s">
        <v>32</v>
      </c>
      <c r="AO279" s="37">
        <v>45808</v>
      </c>
      <c r="AP279" s="36" t="s">
        <v>654</v>
      </c>
      <c r="AQ279" s="36" t="s">
        <v>2635</v>
      </c>
      <c r="AR279" s="36" t="s">
        <v>2838</v>
      </c>
      <c r="AS279" s="89"/>
      <c r="AT279" s="87">
        <v>30000000</v>
      </c>
      <c r="AU279" s="87">
        <v>3000000</v>
      </c>
      <c r="AV279" s="87">
        <v>33000000</v>
      </c>
      <c r="AW279" s="38"/>
      <c r="AX279" s="85">
        <v>2025</v>
      </c>
      <c r="AY279" s="85">
        <v>5</v>
      </c>
      <c r="AZ279" s="36"/>
      <c r="BA279" s="1" t="s">
        <v>44</v>
      </c>
    </row>
    <row r="280" spans="10:53">
      <c r="J280" s="37"/>
      <c r="K280" s="36"/>
      <c r="L280" s="87"/>
      <c r="M280" s="38"/>
      <c r="N280" s="36"/>
      <c r="O280" s="36"/>
      <c r="P280" s="1"/>
      <c r="AA280" s="36" t="s">
        <v>32</v>
      </c>
      <c r="AB280" s="85">
        <v>2025</v>
      </c>
      <c r="AC280" s="85">
        <v>9</v>
      </c>
      <c r="AD280" s="37">
        <v>45930</v>
      </c>
      <c r="AE280" s="36" t="s">
        <v>654</v>
      </c>
      <c r="AF280" s="36" t="s">
        <v>3064</v>
      </c>
      <c r="AG280" s="1" t="s">
        <v>44</v>
      </c>
      <c r="AH280" s="16">
        <f>SUMIFS(DB!$I:$I,DB!$C:$C,$AE280,DB!$D:$D,$AF280,DB!$K:$K,$AB280,DB!$L:$L,$AC280)</f>
        <v>13136332</v>
      </c>
      <c r="AI280" s="16">
        <v>11942120</v>
      </c>
      <c r="AJ280" s="153">
        <v>1194212</v>
      </c>
      <c r="AL280" s="16">
        <v>0</v>
      </c>
      <c r="AM280" s="107">
        <v>13136332</v>
      </c>
      <c r="AN280" s="36" t="s">
        <v>32</v>
      </c>
      <c r="AO280" s="37">
        <v>45808</v>
      </c>
      <c r="AP280" s="36" t="s">
        <v>2392</v>
      </c>
      <c r="AQ280" s="36" t="s">
        <v>2483</v>
      </c>
      <c r="AR280" s="36" t="s">
        <v>78</v>
      </c>
      <c r="AS280" s="89"/>
      <c r="AT280" s="87">
        <v>7968000</v>
      </c>
      <c r="AU280" s="87">
        <v>796800</v>
      </c>
      <c r="AV280" s="87">
        <v>8764800</v>
      </c>
      <c r="AW280" s="38"/>
      <c r="AX280" s="85">
        <v>2025</v>
      </c>
      <c r="AY280" s="85">
        <v>5</v>
      </c>
      <c r="AZ280" s="36"/>
      <c r="BA280" s="1" t="s">
        <v>44</v>
      </c>
    </row>
    <row r="281" spans="10:53">
      <c r="J281" s="37"/>
      <c r="K281" s="36"/>
      <c r="L281" s="87"/>
      <c r="M281" s="38"/>
      <c r="N281" s="36"/>
      <c r="O281" s="36"/>
      <c r="P281" s="1"/>
      <c r="AA281" s="36" t="s">
        <v>32</v>
      </c>
      <c r="AB281" s="85">
        <v>2025</v>
      </c>
      <c r="AC281" s="85">
        <v>9</v>
      </c>
      <c r="AD281" s="37">
        <v>45930</v>
      </c>
      <c r="AE281" s="36" t="s">
        <v>654</v>
      </c>
      <c r="AF281" s="36" t="s">
        <v>3146</v>
      </c>
      <c r="AG281" s="1" t="s">
        <v>44</v>
      </c>
      <c r="AH281" s="16">
        <f>SUMIFS(DB!$I:$I,DB!$C:$C,$AE281,DB!$D:$D,$AF281,DB!$K:$K,$AB281,DB!$L:$L,$AC281)</f>
        <v>29428080</v>
      </c>
      <c r="AI281" s="16">
        <v>26752800</v>
      </c>
      <c r="AJ281" s="153">
        <v>2675280</v>
      </c>
      <c r="AL281" s="16">
        <v>0</v>
      </c>
      <c r="AM281" s="107">
        <v>29428080</v>
      </c>
      <c r="AN281" s="36" t="s">
        <v>32</v>
      </c>
      <c r="AO281" s="37">
        <v>45808</v>
      </c>
      <c r="AP281" s="36" t="s">
        <v>1741</v>
      </c>
      <c r="AQ281" s="36" t="s">
        <v>1745</v>
      </c>
      <c r="AR281" s="36" t="s">
        <v>78</v>
      </c>
      <c r="AS281" s="89"/>
      <c r="AT281" s="87">
        <v>6000000</v>
      </c>
      <c r="AU281" s="87">
        <v>600000</v>
      </c>
      <c r="AV281" s="87">
        <v>6600000</v>
      </c>
      <c r="AW281" s="38"/>
      <c r="AX281" s="85">
        <v>2025</v>
      </c>
      <c r="AY281" s="85">
        <v>5</v>
      </c>
      <c r="AZ281" s="36"/>
      <c r="BA281" s="1" t="s">
        <v>44</v>
      </c>
    </row>
    <row r="282" spans="10:53">
      <c r="J282" s="37"/>
      <c r="K282" s="36"/>
      <c r="L282" s="87"/>
      <c r="M282" s="38"/>
      <c r="N282" s="36"/>
      <c r="O282" s="36"/>
      <c r="P282" s="1"/>
      <c r="AA282" s="36" t="s">
        <v>32</v>
      </c>
      <c r="AB282" s="85">
        <v>2025</v>
      </c>
      <c r="AC282" s="85">
        <v>9</v>
      </c>
      <c r="AD282" s="37">
        <v>45930</v>
      </c>
      <c r="AE282" s="36" t="s">
        <v>654</v>
      </c>
      <c r="AF282" s="36" t="s">
        <v>2541</v>
      </c>
      <c r="AG282" s="1" t="s">
        <v>44</v>
      </c>
      <c r="AH282" s="16">
        <f>SUMIFS(DB!$I:$I,DB!$C:$C,$AE282,DB!$D:$D,$AF282,DB!$K:$K,$AB282,DB!$L:$L,$AC282)</f>
        <v>5500000</v>
      </c>
      <c r="AI282" s="16">
        <v>5000000</v>
      </c>
      <c r="AJ282" s="153">
        <v>500000</v>
      </c>
      <c r="AL282" s="16">
        <v>0</v>
      </c>
      <c r="AM282" s="107">
        <v>5500000</v>
      </c>
      <c r="AN282" s="36" t="s">
        <v>32</v>
      </c>
      <c r="AO282" s="37">
        <v>45808</v>
      </c>
      <c r="AP282" s="36" t="s">
        <v>2872</v>
      </c>
      <c r="AQ282" s="36" t="s">
        <v>2885</v>
      </c>
      <c r="AR282" s="36" t="s">
        <v>76</v>
      </c>
      <c r="AS282" s="89"/>
      <c r="AT282" s="87">
        <v>5148000</v>
      </c>
      <c r="AU282" s="87">
        <v>514800</v>
      </c>
      <c r="AV282" s="87">
        <v>5662800</v>
      </c>
      <c r="AW282" s="38"/>
      <c r="AX282" s="85">
        <v>2025</v>
      </c>
      <c r="AY282" s="85">
        <v>5</v>
      </c>
      <c r="AZ282" s="36"/>
      <c r="BA282" s="1" t="s">
        <v>44</v>
      </c>
    </row>
    <row r="283" spans="10:53">
      <c r="J283" s="37"/>
      <c r="K283" s="36"/>
      <c r="L283" s="87"/>
      <c r="M283" s="38"/>
      <c r="N283" s="36"/>
      <c r="O283" s="36"/>
      <c r="P283" s="1"/>
      <c r="AA283" s="36" t="s">
        <v>32</v>
      </c>
      <c r="AB283" s="85">
        <v>2025</v>
      </c>
      <c r="AC283" s="85">
        <v>9</v>
      </c>
      <c r="AD283" s="37">
        <v>45930</v>
      </c>
      <c r="AE283" s="36" t="s">
        <v>654</v>
      </c>
      <c r="AF283" s="36" t="s">
        <v>2588</v>
      </c>
      <c r="AG283" s="1" t="s">
        <v>44</v>
      </c>
      <c r="AH283" s="16">
        <f>SUMIFS(DB!$I:$I,DB!$C:$C,$AE283,DB!$D:$D,$AF283,DB!$K:$K,$AB283,DB!$L:$L,$AC283)</f>
        <v>11646096</v>
      </c>
      <c r="AI283" s="16">
        <v>10587360</v>
      </c>
      <c r="AJ283" s="153">
        <v>1058736</v>
      </c>
      <c r="AK283" s="162">
        <v>45961</v>
      </c>
      <c r="AL283" s="16">
        <v>11646096</v>
      </c>
      <c r="AM283" s="107">
        <v>0</v>
      </c>
      <c r="AN283" s="36" t="s">
        <v>32</v>
      </c>
      <c r="AO283" s="37">
        <v>45808</v>
      </c>
      <c r="AP283" s="36" t="s">
        <v>2873</v>
      </c>
      <c r="AQ283" s="36" t="s">
        <v>3115</v>
      </c>
      <c r="AR283" s="36" t="s">
        <v>78</v>
      </c>
      <c r="AS283" s="89"/>
      <c r="AT283" s="87">
        <v>2000000</v>
      </c>
      <c r="AU283" s="87">
        <v>200000</v>
      </c>
      <c r="AV283" s="87">
        <v>2200000</v>
      </c>
      <c r="AW283" s="38"/>
      <c r="AX283" s="85">
        <v>2025</v>
      </c>
      <c r="AY283" s="85">
        <v>5</v>
      </c>
      <c r="AZ283" s="36"/>
      <c r="BA283" s="1" t="s">
        <v>44</v>
      </c>
    </row>
    <row r="284" spans="10:53">
      <c r="J284" s="37"/>
      <c r="K284" s="36"/>
      <c r="L284" s="87"/>
      <c r="M284" s="38"/>
      <c r="N284" s="36"/>
      <c r="O284" s="36"/>
      <c r="P284" s="1"/>
      <c r="AA284" s="36" t="s">
        <v>32</v>
      </c>
      <c r="AB284" s="85">
        <v>2025</v>
      </c>
      <c r="AC284" s="85">
        <v>9</v>
      </c>
      <c r="AD284" s="37">
        <v>45930</v>
      </c>
      <c r="AE284" s="36" t="s">
        <v>188</v>
      </c>
      <c r="AF284" s="36" t="s">
        <v>3147</v>
      </c>
      <c r="AG284" s="1" t="s">
        <v>44</v>
      </c>
      <c r="AH284" s="16">
        <f>SUMIFS(DB!$I:$I,DB!$C:$C,$AE284,DB!$D:$D,$AF284,DB!$K:$K,$AB284,DB!$L:$L,$AC284)</f>
        <v>12300860</v>
      </c>
      <c r="AI284" s="16">
        <v>11182600</v>
      </c>
      <c r="AJ284" s="153">
        <v>1118260</v>
      </c>
      <c r="AL284" s="16">
        <v>0</v>
      </c>
      <c r="AM284" s="107">
        <v>12300860</v>
      </c>
      <c r="AN284" s="36" t="s">
        <v>32</v>
      </c>
      <c r="AO284" s="37">
        <v>45807</v>
      </c>
      <c r="AP284" s="36" t="s">
        <v>2774</v>
      </c>
      <c r="AQ284" s="36" t="s">
        <v>2784</v>
      </c>
      <c r="AR284" s="36" t="s">
        <v>76</v>
      </c>
      <c r="AS284" s="89"/>
      <c r="AT284" s="87">
        <v>12605000</v>
      </c>
      <c r="AU284" s="87">
        <v>1260500</v>
      </c>
      <c r="AV284" s="87">
        <v>13865500</v>
      </c>
      <c r="AW284" s="38"/>
      <c r="AX284" s="85">
        <v>2025</v>
      </c>
      <c r="AY284" s="85">
        <v>5</v>
      </c>
      <c r="AZ284" s="36"/>
      <c r="BA284" s="1" t="s">
        <v>44</v>
      </c>
    </row>
    <row r="285" spans="10:53">
      <c r="J285" s="37"/>
      <c r="K285" s="36"/>
      <c r="L285" s="87"/>
      <c r="M285" s="38"/>
      <c r="N285" s="36"/>
      <c r="O285" s="36"/>
      <c r="P285" s="1"/>
      <c r="AA285" s="36" t="s">
        <v>32</v>
      </c>
      <c r="AB285" s="85">
        <v>2025</v>
      </c>
      <c r="AC285" s="85">
        <v>9</v>
      </c>
      <c r="AD285" s="37">
        <v>45930</v>
      </c>
      <c r="AE285" s="36" t="s">
        <v>3136</v>
      </c>
      <c r="AF285" s="36" t="s">
        <v>3148</v>
      </c>
      <c r="AG285" s="1" t="s">
        <v>44</v>
      </c>
      <c r="AH285" s="16">
        <f>SUMIFS(DB!$I:$I,DB!$C:$C,$AE285,DB!$D:$D,$AF285,DB!$K:$K,$AB285,DB!$L:$L,$AC285)</f>
        <v>4400000</v>
      </c>
      <c r="AI285" s="16">
        <v>4000000</v>
      </c>
      <c r="AJ285" s="153">
        <v>400000</v>
      </c>
      <c r="AK285" s="162">
        <v>45930</v>
      </c>
      <c r="AL285" s="16">
        <v>4400000</v>
      </c>
      <c r="AM285" s="107">
        <v>0</v>
      </c>
      <c r="AN285" s="36" t="s">
        <v>32</v>
      </c>
      <c r="AO285" s="37">
        <v>45808</v>
      </c>
      <c r="AP285" s="36" t="s">
        <v>1396</v>
      </c>
      <c r="AQ285" s="36" t="s">
        <v>2680</v>
      </c>
      <c r="AR285" s="36" t="s">
        <v>76</v>
      </c>
      <c r="AS285" s="89"/>
      <c r="AT285" s="87">
        <v>1700000</v>
      </c>
      <c r="AU285" s="87">
        <v>170000</v>
      </c>
      <c r="AV285" s="87">
        <v>1870000</v>
      </c>
      <c r="AW285" s="38"/>
      <c r="AX285" s="85">
        <v>2025</v>
      </c>
      <c r="AY285" s="85">
        <v>5</v>
      </c>
      <c r="AZ285" s="36"/>
      <c r="BA285" s="1" t="s">
        <v>44</v>
      </c>
    </row>
    <row r="286" spans="10:53">
      <c r="J286" s="37"/>
      <c r="K286" s="36"/>
      <c r="L286" s="87"/>
      <c r="M286" s="87"/>
      <c r="N286" s="36"/>
      <c r="O286" s="36"/>
      <c r="P286" s="1"/>
      <c r="AA286" s="36" t="s">
        <v>32</v>
      </c>
      <c r="AB286" s="85">
        <v>2025</v>
      </c>
      <c r="AC286" s="85">
        <v>9</v>
      </c>
      <c r="AD286" s="37">
        <v>45930</v>
      </c>
      <c r="AE286" s="36" t="s">
        <v>2824</v>
      </c>
      <c r="AF286" s="36" t="s">
        <v>2832</v>
      </c>
      <c r="AG286" s="1" t="s">
        <v>44</v>
      </c>
      <c r="AH286" s="16">
        <f>SUMIFS(DB!$I:$I,DB!$C:$C,$AE286,DB!$D:$D,$AF286,DB!$K:$K,$AB286,DB!$L:$L,$AC286)</f>
        <v>80528800</v>
      </c>
      <c r="AI286" s="16">
        <v>73208000</v>
      </c>
      <c r="AJ286" s="153">
        <v>7320800</v>
      </c>
      <c r="AK286" s="162">
        <v>45961</v>
      </c>
      <c r="AL286" s="16">
        <v>80528800</v>
      </c>
      <c r="AM286" s="107">
        <v>0</v>
      </c>
      <c r="AN286" s="36" t="s">
        <v>32</v>
      </c>
      <c r="AO286" s="37">
        <v>45808</v>
      </c>
      <c r="AP286" s="36" t="s">
        <v>1396</v>
      </c>
      <c r="AQ286" s="36" t="s">
        <v>2679</v>
      </c>
      <c r="AR286" s="36" t="s">
        <v>76</v>
      </c>
      <c r="AS286" s="89"/>
      <c r="AT286" s="87">
        <v>1570000</v>
      </c>
      <c r="AU286" s="87">
        <v>157000</v>
      </c>
      <c r="AV286" s="87">
        <v>1727000</v>
      </c>
      <c r="AW286" s="38"/>
      <c r="AX286" s="85">
        <v>2025</v>
      </c>
      <c r="AY286" s="85">
        <v>5</v>
      </c>
      <c r="AZ286" s="36"/>
      <c r="BA286" s="1" t="s">
        <v>44</v>
      </c>
    </row>
    <row r="287" spans="10:53">
      <c r="J287" s="37"/>
      <c r="K287" s="36"/>
      <c r="L287" s="87"/>
      <c r="M287" s="294"/>
      <c r="N287" s="36"/>
      <c r="O287" s="293"/>
      <c r="P287" s="1"/>
      <c r="AA287" s="36" t="s">
        <v>32</v>
      </c>
      <c r="AB287" s="85">
        <v>2025</v>
      </c>
      <c r="AC287" s="85">
        <v>9</v>
      </c>
      <c r="AD287" s="37">
        <v>45930</v>
      </c>
      <c r="AE287" s="36" t="s">
        <v>264</v>
      </c>
      <c r="AF287" s="36" t="s">
        <v>3149</v>
      </c>
      <c r="AG287" s="1" t="s">
        <v>44</v>
      </c>
      <c r="AH287" s="16">
        <f>SUMIFS(DB!$I:$I,DB!$C:$C,$AE287,DB!$D:$D,$AF287,DB!$K:$K,$AB287,DB!$L:$L,$AC287)</f>
        <v>11000000</v>
      </c>
      <c r="AI287" s="16">
        <v>10000000</v>
      </c>
      <c r="AJ287" s="153">
        <v>1000000</v>
      </c>
      <c r="AK287" s="162">
        <v>45961</v>
      </c>
      <c r="AL287" s="16">
        <v>11000000</v>
      </c>
      <c r="AM287" s="107">
        <v>0</v>
      </c>
      <c r="AN287" s="36" t="s">
        <v>32</v>
      </c>
      <c r="AO287" s="37">
        <v>45808</v>
      </c>
      <c r="AP287" s="36" t="s">
        <v>1396</v>
      </c>
      <c r="AQ287" s="36" t="s">
        <v>2677</v>
      </c>
      <c r="AR287" s="36" t="s">
        <v>76</v>
      </c>
      <c r="AS287" s="89"/>
      <c r="AT287" s="87">
        <v>7000000</v>
      </c>
      <c r="AU287" s="87">
        <v>700000</v>
      </c>
      <c r="AV287" s="87">
        <v>7700000</v>
      </c>
      <c r="AW287" s="38"/>
      <c r="AX287" s="85">
        <v>2025</v>
      </c>
      <c r="AY287" s="85">
        <v>5</v>
      </c>
      <c r="AZ287" s="36"/>
      <c r="BA287" s="1" t="s">
        <v>44</v>
      </c>
    </row>
    <row r="288" spans="10:53">
      <c r="J288" s="37"/>
      <c r="K288" s="36"/>
      <c r="L288" s="87"/>
      <c r="M288" s="292"/>
      <c r="N288" s="36"/>
      <c r="O288" s="293"/>
      <c r="P288" s="1"/>
      <c r="AA288" s="36" t="s">
        <v>32</v>
      </c>
      <c r="AB288" s="85">
        <v>2025</v>
      </c>
      <c r="AC288" s="85">
        <v>9</v>
      </c>
      <c r="AD288" s="37">
        <v>45930</v>
      </c>
      <c r="AE288" s="36" t="s">
        <v>2166</v>
      </c>
      <c r="AF288" s="36" t="s">
        <v>3150</v>
      </c>
      <c r="AG288" s="1" t="s">
        <v>44</v>
      </c>
      <c r="AH288" s="16">
        <f>SUMIFS(DB!$I:$I,DB!$C:$C,$AE288,DB!$D:$D,$AF288,DB!$K:$K,$AB288,DB!$L:$L,$AC288)</f>
        <v>12177572</v>
      </c>
      <c r="AI288" s="16">
        <v>11070520</v>
      </c>
      <c r="AJ288" s="153">
        <v>1107052</v>
      </c>
      <c r="AL288" s="16">
        <v>0</v>
      </c>
      <c r="AM288" s="107">
        <v>12177572</v>
      </c>
      <c r="AN288" s="36" t="s">
        <v>32</v>
      </c>
      <c r="AO288" s="37">
        <v>45808</v>
      </c>
      <c r="AP288" s="36" t="s">
        <v>1396</v>
      </c>
      <c r="AQ288" s="36" t="s">
        <v>2678</v>
      </c>
      <c r="AR288" s="36" t="s">
        <v>78</v>
      </c>
      <c r="AS288" s="89"/>
      <c r="AT288" s="87">
        <v>6600000</v>
      </c>
      <c r="AU288" s="87">
        <v>660000</v>
      </c>
      <c r="AV288" s="87">
        <v>7260000</v>
      </c>
      <c r="AW288" s="38"/>
      <c r="AX288" s="85">
        <v>2025</v>
      </c>
      <c r="AY288" s="85">
        <v>5</v>
      </c>
      <c r="AZ288" s="36"/>
      <c r="BA288" s="1" t="s">
        <v>44</v>
      </c>
    </row>
    <row r="289" spans="10:53">
      <c r="J289" s="37"/>
      <c r="K289" s="36"/>
      <c r="L289" s="87"/>
      <c r="M289" s="294"/>
      <c r="N289" s="36"/>
      <c r="O289" s="293"/>
      <c r="P289" s="1"/>
      <c r="AA289" s="36" t="s">
        <v>32</v>
      </c>
      <c r="AB289" s="85">
        <v>2025</v>
      </c>
      <c r="AC289" s="85">
        <v>9</v>
      </c>
      <c r="AD289" s="37">
        <v>45930</v>
      </c>
      <c r="AE289" s="36" t="s">
        <v>2673</v>
      </c>
      <c r="AF289" s="36" t="s">
        <v>2686</v>
      </c>
      <c r="AG289" s="1" t="s">
        <v>44</v>
      </c>
      <c r="AH289" s="16">
        <f>SUMIFS(DB!$I:$I,DB!$C:$C,$AE289,DB!$D:$D,$AF289,DB!$K:$K,$AB289,DB!$L:$L,$AC289)</f>
        <v>1382480</v>
      </c>
      <c r="AI289" s="16">
        <v>1256800</v>
      </c>
      <c r="AJ289" s="153">
        <v>125680</v>
      </c>
      <c r="AK289" s="162">
        <v>45961</v>
      </c>
      <c r="AL289" s="16">
        <v>1382480</v>
      </c>
      <c r="AM289" s="107">
        <v>0</v>
      </c>
      <c r="AN289" s="36" t="s">
        <v>32</v>
      </c>
      <c r="AO289" s="37">
        <v>45808</v>
      </c>
      <c r="AP289" s="36" t="s">
        <v>1396</v>
      </c>
      <c r="AQ289" s="36" t="s">
        <v>2954</v>
      </c>
      <c r="AR289" s="36" t="s">
        <v>76</v>
      </c>
      <c r="AS289" s="89"/>
      <c r="AT289" s="87">
        <v>1700000</v>
      </c>
      <c r="AU289" s="87">
        <v>170000</v>
      </c>
      <c r="AV289" s="87">
        <v>1870000</v>
      </c>
      <c r="AW289" s="38"/>
      <c r="AX289" s="85">
        <v>2025</v>
      </c>
      <c r="AY289" s="85">
        <v>5</v>
      </c>
      <c r="AZ289" s="36"/>
      <c r="BA289" s="1" t="s">
        <v>44</v>
      </c>
    </row>
    <row r="290" spans="10:53">
      <c r="J290" s="37"/>
      <c r="K290" s="36"/>
      <c r="L290" s="87"/>
      <c r="M290" s="292"/>
      <c r="N290" s="36"/>
      <c r="O290" s="293"/>
      <c r="P290" s="1"/>
      <c r="AA290" s="36" t="s">
        <v>32</v>
      </c>
      <c r="AB290" s="85">
        <v>2025</v>
      </c>
      <c r="AC290" s="85">
        <v>9</v>
      </c>
      <c r="AD290" s="37">
        <v>45930</v>
      </c>
      <c r="AE290" s="36" t="s">
        <v>1396</v>
      </c>
      <c r="AF290" s="36" t="s">
        <v>3151</v>
      </c>
      <c r="AG290" s="1" t="s">
        <v>44</v>
      </c>
      <c r="AH290" s="16">
        <f>SUMIFS(DB!$I:$I,DB!$C:$C,$AE290,DB!$D:$D,$AF290,DB!$K:$K,$AB290,DB!$L:$L,$AC290)</f>
        <v>2437380</v>
      </c>
      <c r="AI290" s="16">
        <v>2215800</v>
      </c>
      <c r="AJ290" s="153">
        <v>221580</v>
      </c>
      <c r="AL290" s="16">
        <v>0</v>
      </c>
      <c r="AM290" s="107">
        <v>2437380</v>
      </c>
      <c r="AN290" s="36" t="s">
        <v>32</v>
      </c>
      <c r="AO290" s="37">
        <v>45808</v>
      </c>
      <c r="AP290" s="36" t="s">
        <v>2868</v>
      </c>
      <c r="AQ290" s="36" t="s">
        <v>2875</v>
      </c>
      <c r="AR290" s="36" t="s">
        <v>76</v>
      </c>
      <c r="AS290" s="89"/>
      <c r="AT290" s="87">
        <v>43500000</v>
      </c>
      <c r="AU290" s="87">
        <v>4350000</v>
      </c>
      <c r="AV290" s="87">
        <v>47850000</v>
      </c>
      <c r="AW290" s="38"/>
      <c r="AX290" s="85">
        <v>2025</v>
      </c>
      <c r="AY290" s="85">
        <v>5</v>
      </c>
      <c r="AZ290" s="36"/>
      <c r="BA290" s="1" t="s">
        <v>44</v>
      </c>
    </row>
    <row r="291" spans="10:53">
      <c r="J291" s="37"/>
      <c r="K291" s="36"/>
      <c r="L291" s="87"/>
      <c r="M291" s="296"/>
      <c r="N291" s="36"/>
      <c r="O291" s="298"/>
      <c r="P291" s="1"/>
      <c r="AA291" s="36" t="s">
        <v>32</v>
      </c>
      <c r="AB291" s="85">
        <v>2025</v>
      </c>
      <c r="AC291" s="85">
        <v>9</v>
      </c>
      <c r="AD291" s="37">
        <v>45930</v>
      </c>
      <c r="AE291" s="36" t="s">
        <v>1396</v>
      </c>
      <c r="AF291" s="36" t="s">
        <v>3152</v>
      </c>
      <c r="AG291" s="1" t="s">
        <v>44</v>
      </c>
      <c r="AH291" s="16">
        <f>SUMIFS(DB!$I:$I,DB!$C:$C,$AE291,DB!$D:$D,$AF291,DB!$K:$K,$AB291,DB!$L:$L,$AC291)</f>
        <v>2431000</v>
      </c>
      <c r="AI291" s="16">
        <v>2210000</v>
      </c>
      <c r="AJ291" s="153">
        <v>221000</v>
      </c>
      <c r="AL291" s="16">
        <v>0</v>
      </c>
      <c r="AM291" s="107">
        <v>2431000</v>
      </c>
      <c r="AN291" s="36" t="s">
        <v>32</v>
      </c>
      <c r="AO291" s="37">
        <v>45808</v>
      </c>
      <c r="AP291" s="36" t="s">
        <v>2393</v>
      </c>
      <c r="AQ291" s="36" t="s">
        <v>2484</v>
      </c>
      <c r="AR291" s="36" t="s">
        <v>78</v>
      </c>
      <c r="AS291" s="89"/>
      <c r="AT291" s="87">
        <v>11818182</v>
      </c>
      <c r="AU291" s="87">
        <v>1181818.2</v>
      </c>
      <c r="AV291" s="87">
        <v>13000000.199999999</v>
      </c>
      <c r="AW291" s="38"/>
      <c r="AX291" s="85">
        <v>2025</v>
      </c>
      <c r="AY291" s="85">
        <v>5</v>
      </c>
      <c r="AZ291" s="36"/>
      <c r="BA291" s="1" t="s">
        <v>44</v>
      </c>
    </row>
    <row r="292" spans="10:53">
      <c r="J292" s="37"/>
      <c r="K292" s="36"/>
      <c r="L292" s="87"/>
      <c r="M292" s="297"/>
      <c r="N292" s="36"/>
      <c r="O292" s="299"/>
      <c r="P292" s="1"/>
      <c r="AA292" s="36" t="s">
        <v>32</v>
      </c>
      <c r="AB292" s="85">
        <v>2025</v>
      </c>
      <c r="AC292" s="85">
        <v>9</v>
      </c>
      <c r="AD292" s="37">
        <v>45930</v>
      </c>
      <c r="AE292" s="36" t="s">
        <v>1396</v>
      </c>
      <c r="AF292" s="36" t="s">
        <v>3153</v>
      </c>
      <c r="AG292" s="1" t="s">
        <v>44</v>
      </c>
      <c r="AH292" s="16">
        <f>SUMIFS(DB!$I:$I,DB!$C:$C,$AE292,DB!$D:$D,$AF292,DB!$K:$K,$AB292,DB!$L:$L,$AC292)</f>
        <v>1903000</v>
      </c>
      <c r="AI292" s="16">
        <v>1730000</v>
      </c>
      <c r="AJ292" s="153">
        <v>173000</v>
      </c>
      <c r="AL292" s="16">
        <v>0</v>
      </c>
      <c r="AM292" s="107">
        <v>1903000</v>
      </c>
      <c r="AN292" s="36" t="s">
        <v>32</v>
      </c>
      <c r="AO292" s="37">
        <v>45808</v>
      </c>
      <c r="AP292" s="36" t="s">
        <v>1198</v>
      </c>
      <c r="AQ292" s="36" t="s">
        <v>2886</v>
      </c>
      <c r="AR292" s="36" t="s">
        <v>78</v>
      </c>
      <c r="AS292" s="89"/>
      <c r="AT292" s="87">
        <v>810000</v>
      </c>
      <c r="AU292" s="87">
        <v>81000</v>
      </c>
      <c r="AV292" s="87">
        <v>891000</v>
      </c>
      <c r="AW292" s="38"/>
      <c r="AX292" s="85">
        <v>2025</v>
      </c>
      <c r="AY292" s="85">
        <v>5</v>
      </c>
      <c r="AZ292" s="36"/>
      <c r="BA292" s="1" t="s">
        <v>44</v>
      </c>
    </row>
    <row r="293" spans="10:53">
      <c r="J293" s="37"/>
      <c r="K293" s="36"/>
      <c r="L293" s="87"/>
      <c r="M293" s="38"/>
      <c r="N293" s="36"/>
      <c r="O293" s="36"/>
      <c r="P293" s="1"/>
      <c r="AA293" s="36" t="s">
        <v>32</v>
      </c>
      <c r="AB293" s="85">
        <v>2025</v>
      </c>
      <c r="AC293" s="85">
        <v>9</v>
      </c>
      <c r="AD293" s="37">
        <v>45930</v>
      </c>
      <c r="AE293" s="36" t="s">
        <v>1396</v>
      </c>
      <c r="AF293" s="36" t="s">
        <v>3154</v>
      </c>
      <c r="AG293" s="1" t="s">
        <v>44</v>
      </c>
      <c r="AH293" s="16">
        <f>SUMIFS(DB!$I:$I,DB!$C:$C,$AE293,DB!$D:$D,$AF293,DB!$K:$K,$AB293,DB!$L:$L,$AC293)</f>
        <v>6798000</v>
      </c>
      <c r="AI293" s="16">
        <v>6180000</v>
      </c>
      <c r="AJ293" s="153">
        <v>618000</v>
      </c>
      <c r="AL293" s="16">
        <v>0</v>
      </c>
      <c r="AM293" s="107">
        <v>6798000</v>
      </c>
      <c r="AN293" s="36" t="s">
        <v>32</v>
      </c>
      <c r="AO293" s="37">
        <v>45808</v>
      </c>
      <c r="AP293" s="36" t="s">
        <v>1198</v>
      </c>
      <c r="AQ293" s="36" t="s">
        <v>2887</v>
      </c>
      <c r="AR293" s="36" t="s">
        <v>78</v>
      </c>
      <c r="AS293" s="89"/>
      <c r="AT293" s="87">
        <v>5006400</v>
      </c>
      <c r="AU293" s="87">
        <v>500640</v>
      </c>
      <c r="AV293" s="87">
        <v>5507040</v>
      </c>
      <c r="AW293" s="38"/>
      <c r="AX293" s="85">
        <v>2025</v>
      </c>
      <c r="AY293" s="85">
        <v>5</v>
      </c>
      <c r="AZ293" s="36"/>
      <c r="BA293" s="1" t="s">
        <v>44</v>
      </c>
    </row>
    <row r="294" spans="10:53">
      <c r="J294" s="37"/>
      <c r="K294" s="36"/>
      <c r="L294" s="87"/>
      <c r="M294" s="38"/>
      <c r="N294" s="36"/>
      <c r="O294" s="36"/>
      <c r="P294" s="1"/>
      <c r="AA294" s="36" t="s">
        <v>32</v>
      </c>
      <c r="AB294" s="85">
        <v>2025</v>
      </c>
      <c r="AC294" s="85">
        <v>9</v>
      </c>
      <c r="AD294" s="37">
        <v>45930</v>
      </c>
      <c r="AE294" s="36" t="s">
        <v>3137</v>
      </c>
      <c r="AF294" s="36" t="s">
        <v>3155</v>
      </c>
      <c r="AG294" s="1" t="s">
        <v>44</v>
      </c>
      <c r="AH294" s="16">
        <f>SUMIFS(DB!$I:$I,DB!$C:$C,$AE294,DB!$D:$D,$AF294,DB!$K:$K,$AB294,DB!$L:$L,$AC294)</f>
        <v>2970000</v>
      </c>
      <c r="AI294" s="16">
        <v>2700000</v>
      </c>
      <c r="AJ294" s="153">
        <v>270000</v>
      </c>
      <c r="AK294" s="162">
        <v>45930</v>
      </c>
      <c r="AL294" s="16">
        <v>2970000</v>
      </c>
      <c r="AM294" s="107">
        <v>0</v>
      </c>
      <c r="AN294" s="36" t="s">
        <v>32</v>
      </c>
      <c r="AO294" s="37">
        <v>45808</v>
      </c>
      <c r="AP294" s="36" t="s">
        <v>1198</v>
      </c>
      <c r="AQ294" s="36" t="s">
        <v>2888</v>
      </c>
      <c r="AR294" s="36" t="s">
        <v>78</v>
      </c>
      <c r="AS294" s="89"/>
      <c r="AT294" s="87">
        <v>6044000</v>
      </c>
      <c r="AU294" s="87">
        <v>604400</v>
      </c>
      <c r="AV294" s="87">
        <v>6648400</v>
      </c>
      <c r="AW294" s="38"/>
      <c r="AX294" s="85">
        <v>2025</v>
      </c>
      <c r="AY294" s="85">
        <v>5</v>
      </c>
      <c r="AZ294" s="36"/>
      <c r="BA294" s="1" t="s">
        <v>44</v>
      </c>
    </row>
    <row r="295" spans="10:53">
      <c r="J295" s="37"/>
      <c r="K295" s="36"/>
      <c r="L295" s="87"/>
      <c r="M295" s="38"/>
      <c r="N295" s="36"/>
      <c r="O295" s="36"/>
      <c r="P295" s="1"/>
      <c r="AA295" s="36" t="s">
        <v>32</v>
      </c>
      <c r="AB295" s="85">
        <v>2025</v>
      </c>
      <c r="AC295" s="85">
        <v>9</v>
      </c>
      <c r="AD295" s="37">
        <v>45930</v>
      </c>
      <c r="AE295" s="36" t="s">
        <v>3137</v>
      </c>
      <c r="AF295" s="36" t="s">
        <v>3156</v>
      </c>
      <c r="AG295" s="1" t="s">
        <v>44</v>
      </c>
      <c r="AH295" s="16">
        <f>SUMIFS(DB!$I:$I,DB!$C:$C,$AE295,DB!$D:$D,$AF295,DB!$K:$K,$AB295,DB!$L:$L,$AC295)</f>
        <v>4950000</v>
      </c>
      <c r="AI295" s="16">
        <v>4500000</v>
      </c>
      <c r="AJ295" s="153">
        <v>450000</v>
      </c>
      <c r="AK295" s="162">
        <v>45961</v>
      </c>
      <c r="AL295" s="16">
        <v>4950000</v>
      </c>
      <c r="AM295" s="107">
        <v>0</v>
      </c>
      <c r="AN295" s="36" t="s">
        <v>32</v>
      </c>
      <c r="AO295" s="37">
        <v>45808</v>
      </c>
      <c r="AP295" s="36" t="s">
        <v>1198</v>
      </c>
      <c r="AQ295" s="36" t="s">
        <v>2889</v>
      </c>
      <c r="AR295" s="36" t="s">
        <v>78</v>
      </c>
      <c r="AS295" s="89"/>
      <c r="AT295" s="87">
        <v>1323000</v>
      </c>
      <c r="AU295" s="87">
        <v>132300</v>
      </c>
      <c r="AV295" s="87">
        <v>1455300</v>
      </c>
      <c r="AW295" s="38"/>
      <c r="AX295" s="85">
        <v>2025</v>
      </c>
      <c r="AY295" s="85">
        <v>5</v>
      </c>
      <c r="AZ295" s="36"/>
      <c r="BA295" s="1" t="s">
        <v>44</v>
      </c>
    </row>
    <row r="296" spans="10:53">
      <c r="J296" s="37"/>
      <c r="K296" s="36"/>
      <c r="L296" s="87"/>
      <c r="M296" s="38"/>
      <c r="N296" s="36"/>
      <c r="O296" s="36"/>
      <c r="P296" s="1"/>
      <c r="AA296" s="36" t="s">
        <v>32</v>
      </c>
      <c r="AB296" s="85">
        <v>2025</v>
      </c>
      <c r="AC296" s="85">
        <v>9</v>
      </c>
      <c r="AD296" s="37">
        <v>45930</v>
      </c>
      <c r="AE296" s="36" t="s">
        <v>334</v>
      </c>
      <c r="AF296" s="36" t="s">
        <v>3068</v>
      </c>
      <c r="AG296" s="1" t="s">
        <v>44</v>
      </c>
      <c r="AH296" s="16">
        <f>SUMIFS(DB!$I:$I,DB!$C:$C,$AE296,DB!$D:$D,$AF296,DB!$K:$K,$AB296,DB!$L:$L,$AC296)</f>
        <v>3300000</v>
      </c>
      <c r="AI296" s="16">
        <v>3000000</v>
      </c>
      <c r="AJ296" s="153">
        <v>300000</v>
      </c>
      <c r="AK296" s="162">
        <v>45980</v>
      </c>
      <c r="AL296" s="16">
        <v>3300000</v>
      </c>
      <c r="AM296" s="107">
        <v>0</v>
      </c>
      <c r="AN296" s="36" t="s">
        <v>32</v>
      </c>
      <c r="AO296" s="37">
        <v>45808</v>
      </c>
      <c r="AP296" s="36" t="s">
        <v>2766</v>
      </c>
      <c r="AQ296" s="36" t="s">
        <v>2890</v>
      </c>
      <c r="AR296" s="36" t="s">
        <v>76</v>
      </c>
      <c r="AS296" s="89"/>
      <c r="AT296" s="87">
        <v>2400000</v>
      </c>
      <c r="AU296" s="87">
        <v>240000</v>
      </c>
      <c r="AV296" s="87">
        <v>2640000</v>
      </c>
      <c r="AW296" s="38"/>
      <c r="AX296" s="85">
        <v>2025</v>
      </c>
      <c r="AY296" s="85">
        <v>5</v>
      </c>
      <c r="AZ296" s="36"/>
      <c r="BA296" s="1" t="s">
        <v>44</v>
      </c>
    </row>
    <row r="297" spans="10:53">
      <c r="J297" s="37"/>
      <c r="K297" s="36"/>
      <c r="L297" s="87"/>
      <c r="M297" s="38"/>
      <c r="N297" s="36"/>
      <c r="O297" s="36"/>
      <c r="P297" s="1"/>
      <c r="AA297" s="36" t="s">
        <v>32</v>
      </c>
      <c r="AB297" s="85">
        <v>2025</v>
      </c>
      <c r="AC297" s="85">
        <v>9</v>
      </c>
      <c r="AD297" s="37">
        <v>45930</v>
      </c>
      <c r="AE297" s="36" t="s">
        <v>334</v>
      </c>
      <c r="AF297" s="36" t="s">
        <v>3157</v>
      </c>
      <c r="AG297" s="1" t="s">
        <v>44</v>
      </c>
      <c r="AH297" s="16">
        <f>SUMIFS(DB!$I:$I,DB!$C:$C,$AE297,DB!$D:$D,$AF297,DB!$K:$K,$AB297,DB!$L:$L,$AC297)</f>
        <v>4250730</v>
      </c>
      <c r="AI297" s="16">
        <v>3864300</v>
      </c>
      <c r="AJ297" s="153">
        <v>386430</v>
      </c>
      <c r="AK297" s="162">
        <v>45980</v>
      </c>
      <c r="AL297" s="16">
        <v>4250730</v>
      </c>
      <c r="AM297" s="107">
        <v>0</v>
      </c>
      <c r="AN297" s="36" t="s">
        <v>32</v>
      </c>
      <c r="AO297" s="37">
        <v>45808</v>
      </c>
      <c r="AP297" s="36" t="s">
        <v>2477</v>
      </c>
      <c r="AQ297" s="36" t="s">
        <v>2485</v>
      </c>
      <c r="AR297" s="36" t="s">
        <v>76</v>
      </c>
      <c r="AS297" s="89"/>
      <c r="AT297" s="87">
        <v>4694400</v>
      </c>
      <c r="AU297" s="87">
        <v>469440</v>
      </c>
      <c r="AV297" s="87">
        <v>5163840</v>
      </c>
      <c r="AW297" s="38"/>
      <c r="AX297" s="85">
        <v>2025</v>
      </c>
      <c r="AY297" s="85">
        <v>5</v>
      </c>
      <c r="AZ297" s="36"/>
      <c r="BA297" s="1" t="s">
        <v>44</v>
      </c>
    </row>
    <row r="298" spans="10:53">
      <c r="J298" s="37"/>
      <c r="K298" s="36"/>
      <c r="L298" s="87"/>
      <c r="M298" s="38"/>
      <c r="N298" s="36"/>
      <c r="O298" s="36"/>
      <c r="P298" s="1"/>
      <c r="AA298" s="36" t="s">
        <v>32</v>
      </c>
      <c r="AB298" s="85">
        <v>2025</v>
      </c>
      <c r="AC298" s="85">
        <v>9</v>
      </c>
      <c r="AD298" s="37">
        <v>45930</v>
      </c>
      <c r="AE298" s="36" t="s">
        <v>1198</v>
      </c>
      <c r="AF298" s="36" t="s">
        <v>3067</v>
      </c>
      <c r="AG298" s="1" t="s">
        <v>44</v>
      </c>
      <c r="AH298" s="16">
        <f>SUMIFS(DB!$I:$I,DB!$C:$C,$AE298,DB!$D:$D,$AF298,DB!$K:$K,$AB298,DB!$L:$L,$AC298)</f>
        <v>7550730</v>
      </c>
      <c r="AI298" s="16">
        <v>6864300</v>
      </c>
      <c r="AJ298" s="153">
        <v>686430</v>
      </c>
      <c r="AK298" s="162">
        <v>45930</v>
      </c>
      <c r="AL298" s="16">
        <v>7550730</v>
      </c>
      <c r="AM298" s="107">
        <v>0</v>
      </c>
      <c r="AN298" s="36" t="s">
        <v>32</v>
      </c>
      <c r="AO298" s="37">
        <v>45808</v>
      </c>
      <c r="AP298" s="36" t="s">
        <v>2772</v>
      </c>
      <c r="AQ298" s="36" t="s">
        <v>2891</v>
      </c>
      <c r="AR298" s="36" t="s">
        <v>78</v>
      </c>
      <c r="AS298" s="89"/>
      <c r="AT298" s="87">
        <v>6750000</v>
      </c>
      <c r="AU298" s="87">
        <v>675000</v>
      </c>
      <c r="AV298" s="87">
        <v>7425000</v>
      </c>
      <c r="AW298" s="38"/>
      <c r="AX298" s="85">
        <v>2025</v>
      </c>
      <c r="AY298" s="85">
        <v>5</v>
      </c>
      <c r="AZ298" s="36"/>
      <c r="BA298" s="1" t="s">
        <v>44</v>
      </c>
    </row>
    <row r="299" spans="10:53">
      <c r="J299" s="37"/>
      <c r="K299" s="36"/>
      <c r="L299" s="87"/>
      <c r="M299" s="38"/>
      <c r="N299" s="36"/>
      <c r="O299" s="36"/>
      <c r="P299" s="1"/>
      <c r="AA299" s="36" t="s">
        <v>32</v>
      </c>
      <c r="AB299" s="85">
        <v>2025</v>
      </c>
      <c r="AC299" s="85">
        <v>9</v>
      </c>
      <c r="AD299" s="37">
        <v>45930</v>
      </c>
      <c r="AE299" s="36" t="s">
        <v>1198</v>
      </c>
      <c r="AF299" s="36" t="s">
        <v>2887</v>
      </c>
      <c r="AG299" s="1" t="s">
        <v>44</v>
      </c>
      <c r="AH299" s="16">
        <f>SUMIFS(DB!$I:$I,DB!$C:$C,$AE299,DB!$D:$D,$AF299,DB!$K:$K,$AB299,DB!$L:$L,$AC299)</f>
        <v>3339160</v>
      </c>
      <c r="AI299" s="16">
        <v>3035600</v>
      </c>
      <c r="AJ299" s="153">
        <v>303560</v>
      </c>
      <c r="AL299" s="16">
        <v>0</v>
      </c>
      <c r="AM299" s="107">
        <v>3339160</v>
      </c>
      <c r="AN299" s="36" t="s">
        <v>32</v>
      </c>
      <c r="AO299" s="37">
        <v>45808</v>
      </c>
      <c r="AP299" s="36" t="s">
        <v>2772</v>
      </c>
      <c r="AQ299" s="36" t="s">
        <v>2892</v>
      </c>
      <c r="AR299" s="36" t="s">
        <v>78</v>
      </c>
      <c r="AS299" s="89"/>
      <c r="AT299" s="87">
        <v>1342000</v>
      </c>
      <c r="AU299" s="87">
        <v>134200</v>
      </c>
      <c r="AV299" s="87">
        <v>1476200</v>
      </c>
      <c r="AW299" s="38"/>
      <c r="AX299" s="85">
        <v>2025</v>
      </c>
      <c r="AY299" s="85">
        <v>5</v>
      </c>
      <c r="AZ299" s="36"/>
      <c r="BA299" s="1" t="s">
        <v>44</v>
      </c>
    </row>
    <row r="300" spans="10:53">
      <c r="J300" s="37"/>
      <c r="K300" s="36"/>
      <c r="L300" s="87"/>
      <c r="M300" s="87"/>
      <c r="N300" s="36"/>
      <c r="O300" s="36"/>
      <c r="P300" s="1"/>
      <c r="AA300" s="36" t="s">
        <v>32</v>
      </c>
      <c r="AB300" s="85">
        <v>2025</v>
      </c>
      <c r="AC300" s="85">
        <v>9</v>
      </c>
      <c r="AD300" s="37">
        <v>45930</v>
      </c>
      <c r="AE300" s="36" t="s">
        <v>1198</v>
      </c>
      <c r="AF300" s="36" t="s">
        <v>2955</v>
      </c>
      <c r="AG300" s="1" t="s">
        <v>44</v>
      </c>
      <c r="AH300" s="16">
        <f>SUMIFS(DB!$I:$I,DB!$C:$C,$AE300,DB!$D:$D,$AF300,DB!$K:$K,$AB300,DB!$L:$L,$AC300)</f>
        <v>5078370</v>
      </c>
      <c r="AI300" s="16">
        <v>4616700</v>
      </c>
      <c r="AJ300" s="153">
        <v>461670</v>
      </c>
      <c r="AL300" s="16">
        <v>0</v>
      </c>
      <c r="AM300" s="107">
        <v>5078370</v>
      </c>
      <c r="AN300" s="36" t="s">
        <v>32</v>
      </c>
      <c r="AO300" s="37">
        <v>45808</v>
      </c>
      <c r="AP300" s="36" t="s">
        <v>264</v>
      </c>
      <c r="AQ300" s="36" t="s">
        <v>2893</v>
      </c>
      <c r="AR300" s="36" t="s">
        <v>76</v>
      </c>
      <c r="AS300" s="89"/>
      <c r="AT300" s="87">
        <v>30000000</v>
      </c>
      <c r="AU300" s="87">
        <v>3000000</v>
      </c>
      <c r="AV300" s="87">
        <v>33000000</v>
      </c>
      <c r="AW300" s="38"/>
      <c r="AX300" s="85">
        <v>2025</v>
      </c>
      <c r="AY300" s="85">
        <v>5</v>
      </c>
      <c r="AZ300" s="36"/>
      <c r="BA300" s="1" t="s">
        <v>44</v>
      </c>
    </row>
    <row r="301" spans="10:53">
      <c r="J301" s="37"/>
      <c r="K301" s="36"/>
      <c r="L301" s="87"/>
      <c r="M301" s="38"/>
      <c r="N301" s="36"/>
      <c r="O301" s="36"/>
      <c r="P301" s="1"/>
      <c r="AA301" s="36" t="s">
        <v>32</v>
      </c>
      <c r="AB301" s="85">
        <v>2025</v>
      </c>
      <c r="AC301" s="85">
        <v>9</v>
      </c>
      <c r="AD301" s="37">
        <v>45930</v>
      </c>
      <c r="AE301" s="36" t="s">
        <v>3138</v>
      </c>
      <c r="AF301" s="36" t="s">
        <v>3071</v>
      </c>
      <c r="AG301" s="1" t="s">
        <v>44</v>
      </c>
      <c r="AH301" s="16">
        <f>SUMIFS(DB!$I:$I,DB!$C:$C,$AE301,DB!$D:$D,$AF301,DB!$K:$K,$AB301,DB!$L:$L,$AC301)</f>
        <v>2597056</v>
      </c>
      <c r="AI301" s="16">
        <v>2360960</v>
      </c>
      <c r="AJ301" s="153">
        <v>236096</v>
      </c>
      <c r="AL301" s="16">
        <v>0</v>
      </c>
      <c r="AM301" s="107">
        <v>2597056</v>
      </c>
      <c r="AN301" s="36" t="s">
        <v>32</v>
      </c>
      <c r="AO301" s="37">
        <v>45808</v>
      </c>
      <c r="AP301" s="36" t="s">
        <v>1470</v>
      </c>
      <c r="AQ301" s="36" t="s">
        <v>1487</v>
      </c>
      <c r="AR301" s="36" t="s">
        <v>76</v>
      </c>
      <c r="AS301" s="89"/>
      <c r="AT301" s="87">
        <v>17397300</v>
      </c>
      <c r="AU301" s="87">
        <v>1739730</v>
      </c>
      <c r="AV301" s="87">
        <v>19137030</v>
      </c>
      <c r="AW301" s="38"/>
      <c r="AX301" s="85">
        <v>2025</v>
      </c>
      <c r="AY301" s="85">
        <v>5</v>
      </c>
      <c r="AZ301" s="36"/>
      <c r="BA301" s="1" t="s">
        <v>44</v>
      </c>
    </row>
    <row r="302" spans="10:53">
      <c r="J302" s="37"/>
      <c r="K302" s="36"/>
      <c r="L302" s="87"/>
      <c r="M302" s="283"/>
      <c r="N302" s="36"/>
      <c r="O302" s="295"/>
      <c r="P302" s="1"/>
      <c r="AA302" s="36" t="s">
        <v>32</v>
      </c>
      <c r="AB302" s="85">
        <v>2025</v>
      </c>
      <c r="AC302" s="85">
        <v>9</v>
      </c>
      <c r="AD302" s="37">
        <v>45930</v>
      </c>
      <c r="AE302" s="36" t="s">
        <v>2477</v>
      </c>
      <c r="AF302" s="36" t="s">
        <v>2485</v>
      </c>
      <c r="AG302" s="1" t="s">
        <v>44</v>
      </c>
      <c r="AH302" s="16">
        <f>SUMIFS(DB!$I:$I,DB!$C:$C,$AE302,DB!$D:$D,$AF302,DB!$K:$K,$AB302,DB!$L:$L,$AC302)</f>
        <v>28459376</v>
      </c>
      <c r="AI302" s="16">
        <v>25872160</v>
      </c>
      <c r="AJ302" s="153">
        <v>2587216</v>
      </c>
      <c r="AK302" s="162">
        <v>45930</v>
      </c>
      <c r="AL302" s="16">
        <v>28459376</v>
      </c>
      <c r="AM302" s="107">
        <v>0</v>
      </c>
      <c r="AN302" s="36" t="s">
        <v>32</v>
      </c>
      <c r="AO302" s="37">
        <v>45808</v>
      </c>
      <c r="AP302" s="36" t="s">
        <v>2874</v>
      </c>
      <c r="AQ302" s="36" t="s">
        <v>2854</v>
      </c>
      <c r="AR302" s="36" t="s">
        <v>78</v>
      </c>
      <c r="AS302" s="89"/>
      <c r="AT302" s="87">
        <v>44700000</v>
      </c>
      <c r="AU302" s="87">
        <v>4470000</v>
      </c>
      <c r="AV302" s="87">
        <v>49170000</v>
      </c>
      <c r="AW302" s="38"/>
      <c r="AX302" s="85">
        <v>2025</v>
      </c>
      <c r="AY302" s="85">
        <v>5</v>
      </c>
      <c r="AZ302" s="36"/>
      <c r="BA302" s="1" t="s">
        <v>44</v>
      </c>
    </row>
    <row r="303" spans="10:53">
      <c r="J303" s="37"/>
      <c r="K303" s="36"/>
      <c r="L303" s="87"/>
      <c r="M303" s="284"/>
      <c r="N303" s="36"/>
      <c r="O303" s="295"/>
      <c r="P303" s="1"/>
      <c r="AA303" s="36" t="s">
        <v>32</v>
      </c>
      <c r="AB303" s="85">
        <v>2025</v>
      </c>
      <c r="AC303" s="85">
        <v>9</v>
      </c>
      <c r="AD303" s="37">
        <v>45930</v>
      </c>
      <c r="AE303" s="36" t="s">
        <v>3139</v>
      </c>
      <c r="AF303" s="36" t="s">
        <v>3158</v>
      </c>
      <c r="AG303" s="1" t="s">
        <v>44</v>
      </c>
      <c r="AH303" s="16">
        <f>SUMIFS(DB!$I:$I,DB!$C:$C,$AE303,DB!$D:$D,$AF303,DB!$K:$K,$AB303,DB!$L:$L,$AC303)</f>
        <v>5645090</v>
      </c>
      <c r="AI303" s="16">
        <v>5131900</v>
      </c>
      <c r="AJ303" s="153">
        <v>513190</v>
      </c>
      <c r="AL303" s="16">
        <v>0</v>
      </c>
      <c r="AM303" s="107">
        <v>5645090</v>
      </c>
      <c r="AN303" s="36" t="s">
        <v>32</v>
      </c>
      <c r="AO303" s="37">
        <v>45808</v>
      </c>
      <c r="AP303" s="36" t="s">
        <v>1569</v>
      </c>
      <c r="AQ303" s="36" t="s">
        <v>2466</v>
      </c>
      <c r="AR303" s="36" t="s">
        <v>1492</v>
      </c>
      <c r="AS303" s="89"/>
      <c r="AT303" s="87">
        <v>6189840</v>
      </c>
      <c r="AU303" s="87">
        <v>618984</v>
      </c>
      <c r="AV303" s="87">
        <v>6808824</v>
      </c>
      <c r="AW303" s="38"/>
      <c r="AX303" s="85">
        <v>2025</v>
      </c>
      <c r="AY303" s="85">
        <v>5</v>
      </c>
      <c r="AZ303" s="36"/>
      <c r="BA303" s="1" t="s">
        <v>44</v>
      </c>
    </row>
    <row r="304" spans="10:53">
      <c r="J304" s="37"/>
      <c r="K304" s="36"/>
      <c r="L304" s="87"/>
      <c r="M304" s="284"/>
      <c r="N304" s="36"/>
      <c r="O304" s="295"/>
      <c r="P304" s="1"/>
      <c r="AA304" s="36" t="s">
        <v>32</v>
      </c>
      <c r="AB304" s="85">
        <v>2025</v>
      </c>
      <c r="AC304" s="85">
        <v>9</v>
      </c>
      <c r="AD304" s="37">
        <v>45930</v>
      </c>
      <c r="AE304" s="36" t="s">
        <v>3005</v>
      </c>
      <c r="AF304" s="36" t="s">
        <v>3014</v>
      </c>
      <c r="AG304" s="1" t="s">
        <v>44</v>
      </c>
      <c r="AH304" s="16">
        <f>SUMIFS(DB!$I:$I,DB!$C:$C,$AE304,DB!$D:$D,$AF304,DB!$K:$K,$AB304,DB!$L:$L,$AC304)</f>
        <v>1427800</v>
      </c>
      <c r="AI304" s="16">
        <v>1298000</v>
      </c>
      <c r="AJ304" s="153">
        <v>129800</v>
      </c>
      <c r="AL304" s="16">
        <v>0</v>
      </c>
      <c r="AM304" s="107">
        <v>1427800</v>
      </c>
      <c r="AN304" s="36" t="s">
        <v>32</v>
      </c>
      <c r="AO304" s="37">
        <v>45808</v>
      </c>
      <c r="AP304" s="36" t="s">
        <v>654</v>
      </c>
      <c r="AQ304" s="36" t="s">
        <v>2588</v>
      </c>
      <c r="AR304" s="36" t="s">
        <v>2838</v>
      </c>
      <c r="AS304" s="89"/>
      <c r="AT304" s="87">
        <v>-14786000</v>
      </c>
      <c r="AU304" s="87">
        <v>-1478600</v>
      </c>
      <c r="AV304" s="87">
        <v>-16264600</v>
      </c>
      <c r="AW304" s="38"/>
      <c r="AX304" s="85">
        <v>2025</v>
      </c>
      <c r="AY304" s="85">
        <v>5</v>
      </c>
      <c r="AZ304" s="36"/>
      <c r="BA304" s="1" t="s">
        <v>44</v>
      </c>
    </row>
    <row r="305" spans="10:53">
      <c r="J305" s="37"/>
      <c r="K305" s="36"/>
      <c r="L305" s="87"/>
      <c r="M305" s="38"/>
      <c r="N305" s="36"/>
      <c r="O305" s="36"/>
      <c r="P305" s="1"/>
      <c r="AA305" s="36" t="s">
        <v>32</v>
      </c>
      <c r="AB305" s="85">
        <v>2025</v>
      </c>
      <c r="AC305" s="85">
        <v>9</v>
      </c>
      <c r="AD305" s="37">
        <v>45930</v>
      </c>
      <c r="AE305" s="36" t="s">
        <v>1179</v>
      </c>
      <c r="AF305" s="36" t="s">
        <v>3159</v>
      </c>
      <c r="AG305" s="1" t="s">
        <v>44</v>
      </c>
      <c r="AH305" s="16">
        <f>SUMIFS(DB!$I:$I,DB!$C:$C,$AE305,DB!$D:$D,$AF305,DB!$K:$K,$AB305,DB!$L:$L,$AC305)</f>
        <v>21519300</v>
      </c>
      <c r="AI305" s="16">
        <v>19563000</v>
      </c>
      <c r="AJ305" s="153">
        <v>1956300</v>
      </c>
      <c r="AL305" s="16">
        <v>0</v>
      </c>
      <c r="AM305" s="107">
        <v>21519300</v>
      </c>
      <c r="AN305" s="36" t="s">
        <v>32</v>
      </c>
      <c r="AO305" s="37">
        <v>45808</v>
      </c>
      <c r="AP305" s="36" t="s">
        <v>654</v>
      </c>
      <c r="AQ305" s="36" t="s">
        <v>2635</v>
      </c>
      <c r="AR305" s="36" t="s">
        <v>2838</v>
      </c>
      <c r="AS305" s="89"/>
      <c r="AT305" s="87">
        <v>-30000000</v>
      </c>
      <c r="AU305" s="87">
        <v>-3000000</v>
      </c>
      <c r="AV305" s="87">
        <v>-33000000</v>
      </c>
      <c r="AW305" s="38"/>
      <c r="AX305" s="85">
        <v>2025</v>
      </c>
      <c r="AY305" s="85">
        <v>5</v>
      </c>
      <c r="AZ305" s="36"/>
      <c r="BA305" s="1" t="s">
        <v>44</v>
      </c>
    </row>
    <row r="306" spans="10:53">
      <c r="J306" s="37"/>
      <c r="K306" s="36"/>
      <c r="L306" s="87"/>
      <c r="M306" s="38"/>
      <c r="N306" s="36"/>
      <c r="O306" s="36"/>
      <c r="P306" s="1"/>
      <c r="AA306" s="36" t="s">
        <v>32</v>
      </c>
      <c r="AB306" s="85">
        <v>2025</v>
      </c>
      <c r="AC306" s="85">
        <v>10</v>
      </c>
      <c r="AD306" s="37">
        <v>45931</v>
      </c>
      <c r="AE306" s="36" t="s">
        <v>3196</v>
      </c>
      <c r="AF306" s="36" t="s">
        <v>3198</v>
      </c>
      <c r="AG306" s="1" t="s">
        <v>44</v>
      </c>
      <c r="AH306" s="16">
        <f>SUMIFS(DB!$I:$I,DB!$C:$C,$AE306,DB!$D:$D,$AF306,DB!$K:$K,$AB306,DB!$L:$L,$AC306)</f>
        <v>2944700</v>
      </c>
      <c r="AI306" s="16">
        <v>2677000</v>
      </c>
      <c r="AJ306" s="153">
        <v>267700</v>
      </c>
      <c r="AK306" s="162">
        <v>45968</v>
      </c>
      <c r="AL306" s="16">
        <v>2944700</v>
      </c>
      <c r="AM306" s="107">
        <v>0</v>
      </c>
      <c r="AN306" s="36" t="s">
        <v>32</v>
      </c>
      <c r="AO306" s="37">
        <v>45798</v>
      </c>
      <c r="AP306" s="36" t="s">
        <v>1587</v>
      </c>
      <c r="AQ306" s="36" t="s">
        <v>2271</v>
      </c>
      <c r="AR306" s="36" t="s">
        <v>2894</v>
      </c>
      <c r="AS306" s="89"/>
      <c r="AT306" s="87"/>
      <c r="AU306" s="87"/>
      <c r="AV306" s="87"/>
      <c r="AW306" s="38">
        <v>44000000</v>
      </c>
      <c r="AX306" s="85">
        <v>2025</v>
      </c>
      <c r="AY306" s="85">
        <v>5</v>
      </c>
      <c r="AZ306" s="36"/>
      <c r="BA306" s="1" t="s">
        <v>44</v>
      </c>
    </row>
    <row r="307" spans="10:53">
      <c r="J307" s="37"/>
      <c r="K307" s="36"/>
      <c r="L307" s="87"/>
      <c r="M307" s="38"/>
      <c r="N307" s="36"/>
      <c r="O307" s="36"/>
      <c r="P307" s="1"/>
      <c r="AA307" s="36" t="s">
        <v>32</v>
      </c>
      <c r="AB307" s="85">
        <v>2025</v>
      </c>
      <c r="AC307" s="85">
        <v>10</v>
      </c>
      <c r="AD307" s="37">
        <v>45931</v>
      </c>
      <c r="AE307" s="36" t="s">
        <v>3196</v>
      </c>
      <c r="AF307" s="36" t="s">
        <v>3199</v>
      </c>
      <c r="AG307" s="1" t="s">
        <v>44</v>
      </c>
      <c r="AH307" s="16">
        <f>SUMIFS(DB!$I:$I,DB!$C:$C,$AE307,DB!$D:$D,$AF307,DB!$K:$K,$AB307,DB!$L:$L,$AC307)</f>
        <v>8176300</v>
      </c>
      <c r="AI307" s="16">
        <v>7433000</v>
      </c>
      <c r="AJ307" s="153">
        <v>743300</v>
      </c>
      <c r="AK307" s="162">
        <v>45968</v>
      </c>
      <c r="AL307" s="16">
        <v>8176300</v>
      </c>
      <c r="AM307" s="107">
        <v>0</v>
      </c>
      <c r="AN307" s="36" t="s">
        <v>32</v>
      </c>
      <c r="AO307" s="37">
        <v>45793</v>
      </c>
      <c r="AP307" s="36" t="s">
        <v>2005</v>
      </c>
      <c r="AQ307" s="36" t="s">
        <v>2876</v>
      </c>
      <c r="AR307" s="36" t="s">
        <v>77</v>
      </c>
      <c r="AS307" s="89"/>
      <c r="AT307" s="87"/>
      <c r="AU307" s="87"/>
      <c r="AV307" s="87"/>
      <c r="AW307" s="38">
        <v>22000000</v>
      </c>
      <c r="AX307" s="85">
        <v>2025</v>
      </c>
      <c r="AY307" s="85">
        <v>5</v>
      </c>
      <c r="AZ307" s="36"/>
      <c r="BA307" s="1" t="s">
        <v>44</v>
      </c>
    </row>
    <row r="308" spans="10:53">
      <c r="J308" s="37"/>
      <c r="K308" s="36"/>
      <c r="L308" s="87"/>
      <c r="M308" s="292"/>
      <c r="N308" s="36"/>
      <c r="O308" s="293"/>
      <c r="P308" s="1"/>
      <c r="AA308" s="36" t="s">
        <v>32</v>
      </c>
      <c r="AB308" s="85">
        <v>2025</v>
      </c>
      <c r="AC308" s="85">
        <v>10</v>
      </c>
      <c r="AD308" s="37">
        <v>45961</v>
      </c>
      <c r="AE308" s="36" t="s">
        <v>1396</v>
      </c>
      <c r="AF308" s="36" t="s">
        <v>3200</v>
      </c>
      <c r="AG308" s="1" t="s">
        <v>44</v>
      </c>
      <c r="AH308" s="16">
        <f>SUMIFS(DB!$I:$I,DB!$C:$C,$AE308,DB!$D:$D,$AF308,DB!$K:$K,$AB308,DB!$L:$L,$AC308)</f>
        <v>8107000</v>
      </c>
      <c r="AI308" s="16">
        <v>7370000</v>
      </c>
      <c r="AJ308" s="153">
        <v>737000</v>
      </c>
      <c r="AL308" s="16">
        <v>0</v>
      </c>
      <c r="AM308" s="107">
        <v>8107000</v>
      </c>
      <c r="AN308" s="36" t="s">
        <v>32</v>
      </c>
      <c r="AO308" s="37">
        <v>45799</v>
      </c>
      <c r="AP308" s="36" t="s">
        <v>2395</v>
      </c>
      <c r="AQ308" s="36" t="s">
        <v>2895</v>
      </c>
      <c r="AR308" s="36" t="s">
        <v>77</v>
      </c>
      <c r="AS308" s="89"/>
      <c r="AT308" s="87"/>
      <c r="AU308" s="87"/>
      <c r="AV308" s="87"/>
      <c r="AW308" s="38">
        <v>169972176</v>
      </c>
      <c r="AX308" s="85">
        <v>2025</v>
      </c>
      <c r="AY308" s="85">
        <v>5</v>
      </c>
      <c r="AZ308" s="36"/>
      <c r="BA308" s="1" t="s">
        <v>44</v>
      </c>
    </row>
    <row r="309" spans="10:53">
      <c r="J309" s="37"/>
      <c r="K309" s="36"/>
      <c r="L309" s="87"/>
      <c r="M309" s="294"/>
      <c r="N309" s="36"/>
      <c r="O309" s="293"/>
      <c r="P309" s="1"/>
      <c r="AA309" s="36" t="s">
        <v>32</v>
      </c>
      <c r="AB309" s="85">
        <v>2025</v>
      </c>
      <c r="AC309" s="85">
        <v>10</v>
      </c>
      <c r="AD309" s="37">
        <v>45961</v>
      </c>
      <c r="AE309" s="36" t="s">
        <v>3212</v>
      </c>
      <c r="AF309" s="36" t="s">
        <v>3174</v>
      </c>
      <c r="AG309" s="1" t="s">
        <v>44</v>
      </c>
      <c r="AH309" s="16">
        <f>SUMIFS(DB!$I:$I,DB!$C:$C,$AE309,DB!$D:$D,$AF309,DB!$K:$K,$AB309,DB!$L:$L,$AC309)</f>
        <v>28516335.100000001</v>
      </c>
      <c r="AI309" s="16">
        <v>25923941</v>
      </c>
      <c r="AJ309" s="153">
        <v>2592394.1</v>
      </c>
      <c r="AL309" s="16">
        <v>0</v>
      </c>
      <c r="AM309" s="107">
        <v>28516335.100000001</v>
      </c>
      <c r="AN309" s="36" t="s">
        <v>32</v>
      </c>
      <c r="AO309" s="37">
        <v>45810</v>
      </c>
      <c r="AP309" s="36" t="s">
        <v>2395</v>
      </c>
      <c r="AQ309" s="36" t="s">
        <v>2369</v>
      </c>
      <c r="AR309" s="36" t="s">
        <v>77</v>
      </c>
      <c r="AS309" s="89"/>
      <c r="AT309" s="87"/>
      <c r="AU309" s="87"/>
      <c r="AV309" s="87"/>
      <c r="AW309" s="38">
        <v>22000000</v>
      </c>
      <c r="AX309" s="85">
        <v>2025</v>
      </c>
      <c r="AY309" s="85">
        <v>5</v>
      </c>
      <c r="AZ309" s="36"/>
      <c r="BA309" s="1" t="s">
        <v>44</v>
      </c>
    </row>
    <row r="310" spans="10:53">
      <c r="J310" s="309"/>
      <c r="K310" s="304"/>
      <c r="L310" s="302"/>
      <c r="M310" s="302"/>
      <c r="N310" s="304"/>
      <c r="O310" s="304"/>
      <c r="P310" s="232"/>
      <c r="AA310" s="36" t="s">
        <v>32</v>
      </c>
      <c r="AB310" s="85">
        <v>2025</v>
      </c>
      <c r="AC310" s="85">
        <v>10</v>
      </c>
      <c r="AD310" s="37">
        <v>45961</v>
      </c>
      <c r="AE310" s="36" t="s">
        <v>654</v>
      </c>
      <c r="AF310" s="36" t="s">
        <v>3203</v>
      </c>
      <c r="AG310" s="1" t="s">
        <v>44</v>
      </c>
      <c r="AH310" s="16">
        <f>SUMIFS(DB!$I:$I,DB!$C:$C,$AE310,DB!$D:$D,$AF310,DB!$K:$K,$AB310,DB!$L:$L,$AC310)</f>
        <v>19525968</v>
      </c>
      <c r="AI310" s="16">
        <v>17750880</v>
      </c>
      <c r="AJ310" s="153">
        <v>1775088</v>
      </c>
      <c r="AL310" s="16">
        <v>0</v>
      </c>
      <c r="AM310" s="107">
        <v>19525968</v>
      </c>
      <c r="AN310" s="36" t="s">
        <v>32</v>
      </c>
      <c r="AO310" s="37">
        <v>45818</v>
      </c>
      <c r="AP310" s="36" t="s">
        <v>2766</v>
      </c>
      <c r="AQ310" s="36" t="s">
        <v>2877</v>
      </c>
      <c r="AR310" s="36" t="s">
        <v>2897</v>
      </c>
      <c r="AS310" s="89"/>
      <c r="AT310" s="87"/>
      <c r="AU310" s="87"/>
      <c r="AV310" s="87"/>
      <c r="AW310" s="87">
        <v>10083700</v>
      </c>
      <c r="AX310" s="85">
        <v>2025</v>
      </c>
      <c r="AY310" s="85">
        <v>5</v>
      </c>
      <c r="AZ310" s="36"/>
      <c r="BA310" s="1" t="s">
        <v>44</v>
      </c>
    </row>
    <row r="311" spans="10:53">
      <c r="J311" s="37"/>
      <c r="K311" s="36"/>
      <c r="L311" s="87"/>
      <c r="M311" s="296"/>
      <c r="N311" s="36"/>
      <c r="O311" s="298"/>
      <c r="P311" s="1"/>
      <c r="AA311" s="36" t="s">
        <v>32</v>
      </c>
      <c r="AB311" s="85">
        <v>2025</v>
      </c>
      <c r="AC311" s="85">
        <v>10</v>
      </c>
      <c r="AD311" s="37">
        <v>45961</v>
      </c>
      <c r="AE311" s="36" t="s">
        <v>654</v>
      </c>
      <c r="AF311" s="36" t="s">
        <v>3064</v>
      </c>
      <c r="AG311" s="1" t="s">
        <v>44</v>
      </c>
      <c r="AH311" s="16">
        <f>SUMIFS(DB!$I:$I,DB!$C:$C,$AE311,DB!$D:$D,$AF311,DB!$K:$K,$AB311,DB!$L:$L,$AC311)</f>
        <v>31132398</v>
      </c>
      <c r="AI311" s="16">
        <v>28302180</v>
      </c>
      <c r="AJ311" s="153">
        <v>2830218</v>
      </c>
      <c r="AL311" s="16">
        <v>0</v>
      </c>
      <c r="AM311" s="107">
        <v>31132398</v>
      </c>
      <c r="AN311" s="36" t="s">
        <v>32</v>
      </c>
      <c r="AO311" s="37">
        <v>45819</v>
      </c>
      <c r="AP311" s="36" t="s">
        <v>1396</v>
      </c>
      <c r="AQ311" s="36" t="s">
        <v>2680</v>
      </c>
      <c r="AR311" s="36" t="s">
        <v>2898</v>
      </c>
      <c r="AS311" s="89"/>
      <c r="AT311" s="87"/>
      <c r="AU311" s="87"/>
      <c r="AV311" s="87"/>
      <c r="AW311" s="87">
        <v>1870000</v>
      </c>
      <c r="AX311" s="85">
        <v>2025</v>
      </c>
      <c r="AY311" s="85">
        <v>5</v>
      </c>
      <c r="AZ311" s="36"/>
      <c r="BA311" s="1" t="s">
        <v>44</v>
      </c>
    </row>
    <row r="312" spans="10:53">
      <c r="J312" s="37"/>
      <c r="K312" s="36"/>
      <c r="L312" s="87"/>
      <c r="M312" s="297"/>
      <c r="N312" s="36"/>
      <c r="O312" s="298"/>
      <c r="P312" s="1"/>
      <c r="AA312" s="36" t="s">
        <v>32</v>
      </c>
      <c r="AB312" s="85">
        <v>2025</v>
      </c>
      <c r="AC312" s="85">
        <v>10</v>
      </c>
      <c r="AD312" s="37">
        <v>45961</v>
      </c>
      <c r="AE312" s="36" t="s">
        <v>1179</v>
      </c>
      <c r="AF312" s="36" t="s">
        <v>3204</v>
      </c>
      <c r="AG312" s="1" t="s">
        <v>44</v>
      </c>
      <c r="AH312" s="16">
        <f>SUMIFS(DB!$I:$I,DB!$C:$C,$AE312,DB!$D:$D,$AF312,DB!$K:$K,$AB312,DB!$L:$L,$AC312)</f>
        <v>1178540</v>
      </c>
      <c r="AI312" s="16">
        <v>1071400</v>
      </c>
      <c r="AJ312" s="153">
        <v>107140</v>
      </c>
      <c r="AL312" s="16">
        <v>0</v>
      </c>
      <c r="AM312" s="107">
        <v>1178540</v>
      </c>
      <c r="AN312" s="36" t="s">
        <v>32</v>
      </c>
      <c r="AO312" s="37">
        <v>45819</v>
      </c>
      <c r="AP312" s="36" t="s">
        <v>1396</v>
      </c>
      <c r="AQ312" s="36" t="s">
        <v>2679</v>
      </c>
      <c r="AR312" s="36" t="s">
        <v>2899</v>
      </c>
      <c r="AS312" s="89"/>
      <c r="AT312" s="87"/>
      <c r="AU312" s="87"/>
      <c r="AV312" s="87"/>
      <c r="AW312" s="87">
        <v>1727000</v>
      </c>
      <c r="AX312" s="85">
        <v>2025</v>
      </c>
      <c r="AY312" s="85">
        <v>5</v>
      </c>
      <c r="AZ312" s="36"/>
      <c r="BA312" s="1" t="s">
        <v>44</v>
      </c>
    </row>
    <row r="313" spans="10:53">
      <c r="J313" s="37"/>
      <c r="K313" s="36"/>
      <c r="L313" s="87"/>
      <c r="M313" s="297"/>
      <c r="N313" s="36"/>
      <c r="O313" s="298"/>
      <c r="P313" s="1"/>
      <c r="AA313" s="36" t="s">
        <v>32</v>
      </c>
      <c r="AB313" s="85">
        <v>2025</v>
      </c>
      <c r="AC313" s="85">
        <v>10</v>
      </c>
      <c r="AD313" s="37">
        <v>45961</v>
      </c>
      <c r="AE313" s="36" t="s">
        <v>188</v>
      </c>
      <c r="AF313" s="36" t="s">
        <v>3147</v>
      </c>
      <c r="AG313" s="1" t="s">
        <v>44</v>
      </c>
      <c r="AH313" s="16">
        <f>SUMIFS(DB!$I:$I,DB!$C:$C,$AE313,DB!$D:$D,$AF313,DB!$K:$K,$AB313,DB!$L:$L,$AC313)</f>
        <v>9724000</v>
      </c>
      <c r="AI313" s="16">
        <v>8840000</v>
      </c>
      <c r="AJ313" s="153">
        <v>884000</v>
      </c>
      <c r="AL313" s="16">
        <v>0</v>
      </c>
      <c r="AM313" s="107">
        <v>9724000</v>
      </c>
      <c r="AN313" s="36" t="s">
        <v>32</v>
      </c>
      <c r="AO313" s="37">
        <v>45818</v>
      </c>
      <c r="AP313" s="36" t="s">
        <v>2393</v>
      </c>
      <c r="AQ313" s="36" t="s">
        <v>2484</v>
      </c>
      <c r="AR313" s="36" t="s">
        <v>2900</v>
      </c>
      <c r="AS313" s="89"/>
      <c r="AT313" s="87"/>
      <c r="AU313" s="87"/>
      <c r="AV313" s="87"/>
      <c r="AW313" s="87">
        <v>13000000.199999999</v>
      </c>
      <c r="AX313" s="85">
        <v>2025</v>
      </c>
      <c r="AY313" s="85">
        <v>5</v>
      </c>
      <c r="AZ313" s="36"/>
      <c r="BA313" s="1" t="s">
        <v>44</v>
      </c>
    </row>
    <row r="314" spans="10:53">
      <c r="J314" s="309"/>
      <c r="K314" s="304"/>
      <c r="L314" s="302"/>
      <c r="M314" s="310"/>
      <c r="N314" s="304"/>
      <c r="O314" s="304"/>
      <c r="P314" s="232"/>
      <c r="AA314" s="36" t="s">
        <v>32</v>
      </c>
      <c r="AB314" s="85">
        <v>2025</v>
      </c>
      <c r="AC314" s="85">
        <v>10</v>
      </c>
      <c r="AD314" s="37">
        <v>45961</v>
      </c>
      <c r="AE314" s="36" t="s">
        <v>3139</v>
      </c>
      <c r="AF314" s="36" t="s">
        <v>3158</v>
      </c>
      <c r="AG314" s="1" t="s">
        <v>44</v>
      </c>
      <c r="AH314" s="16">
        <f>SUMIFS(DB!$I:$I,DB!$C:$C,$AE314,DB!$D:$D,$AF314,DB!$K:$K,$AB314,DB!$L:$L,$AC314)</f>
        <v>8127900</v>
      </c>
      <c r="AI314" s="16">
        <v>7389000</v>
      </c>
      <c r="AJ314" s="153">
        <v>738900</v>
      </c>
      <c r="AL314" s="16">
        <v>0</v>
      </c>
      <c r="AM314" s="107">
        <v>8127900</v>
      </c>
      <c r="AN314" s="36" t="s">
        <v>32</v>
      </c>
      <c r="AO314" s="37">
        <v>45805</v>
      </c>
      <c r="AP314" s="36" t="s">
        <v>209</v>
      </c>
      <c r="AQ314" s="36" t="s">
        <v>2551</v>
      </c>
      <c r="AR314" s="36" t="s">
        <v>2797</v>
      </c>
      <c r="AS314" s="89"/>
      <c r="AT314" s="87"/>
      <c r="AU314" s="87"/>
      <c r="AV314" s="87"/>
      <c r="AW314" s="87">
        <v>4900500</v>
      </c>
      <c r="AX314" s="85">
        <v>2025</v>
      </c>
      <c r="AY314" s="85">
        <v>4</v>
      </c>
      <c r="AZ314" s="36"/>
      <c r="BA314" s="1" t="s">
        <v>44</v>
      </c>
    </row>
    <row r="315" spans="10:53">
      <c r="J315" s="37"/>
      <c r="K315" s="36"/>
      <c r="L315" s="87"/>
      <c r="M315" s="302"/>
      <c r="N315" s="36"/>
      <c r="O315" s="304"/>
      <c r="P315" s="232"/>
      <c r="AA315" s="36" t="s">
        <v>32</v>
      </c>
      <c r="AB315" s="85">
        <v>2025</v>
      </c>
      <c r="AC315" s="85">
        <v>10</v>
      </c>
      <c r="AD315" s="37">
        <v>45961</v>
      </c>
      <c r="AE315" s="36" t="s">
        <v>2166</v>
      </c>
      <c r="AF315" s="36" t="s">
        <v>2836</v>
      </c>
      <c r="AG315" s="1" t="s">
        <v>44</v>
      </c>
      <c r="AH315" s="16">
        <f>SUMIFS(DB!$I:$I,DB!$C:$C,$AE315,DB!$D:$D,$AF315,DB!$K:$K,$AB315,DB!$L:$L,$AC315)</f>
        <v>19289512</v>
      </c>
      <c r="AI315" s="16">
        <v>17535920</v>
      </c>
      <c r="AJ315" s="153">
        <v>1753592</v>
      </c>
      <c r="AL315" s="16">
        <v>0</v>
      </c>
      <c r="AM315" s="107">
        <v>19289512</v>
      </c>
      <c r="AN315" s="36" t="s">
        <v>32</v>
      </c>
      <c r="AO315" s="37">
        <v>45820</v>
      </c>
      <c r="AP315" s="36" t="s">
        <v>1569</v>
      </c>
      <c r="AQ315" s="36" t="s">
        <v>2466</v>
      </c>
      <c r="AR315" s="36" t="s">
        <v>2901</v>
      </c>
      <c r="AS315" s="89"/>
      <c r="AT315" s="87"/>
      <c r="AU315" s="87"/>
      <c r="AV315" s="87"/>
      <c r="AW315" s="87">
        <v>6808824</v>
      </c>
      <c r="AX315" s="85">
        <v>2025</v>
      </c>
      <c r="AY315" s="85">
        <v>5</v>
      </c>
      <c r="AZ315" s="36"/>
      <c r="BA315" s="1" t="s">
        <v>44</v>
      </c>
    </row>
    <row r="316" spans="10:53">
      <c r="J316" s="37"/>
      <c r="K316" s="36"/>
      <c r="L316" s="87"/>
      <c r="M316" s="302"/>
      <c r="N316" s="36"/>
      <c r="O316" s="304"/>
      <c r="P316" s="232"/>
      <c r="AA316" s="36" t="s">
        <v>32</v>
      </c>
      <c r="AB316" s="85">
        <v>2025</v>
      </c>
      <c r="AC316" s="85">
        <v>10</v>
      </c>
      <c r="AD316" s="37">
        <v>45961</v>
      </c>
      <c r="AE316" s="36" t="s">
        <v>3135</v>
      </c>
      <c r="AF316" s="36" t="s">
        <v>3141</v>
      </c>
      <c r="AG316" s="1" t="s">
        <v>44</v>
      </c>
      <c r="AH316" s="16">
        <f>SUMIFS(DB!$I:$I,DB!$C:$C,$AE316,DB!$D:$D,$AF316,DB!$K:$K,$AB316,DB!$L:$L,$AC316)</f>
        <v>8046720</v>
      </c>
      <c r="AI316" s="16">
        <v>7315200</v>
      </c>
      <c r="AJ316" s="153">
        <v>731520</v>
      </c>
      <c r="AL316" s="16">
        <v>0</v>
      </c>
      <c r="AM316" s="107">
        <v>8046720</v>
      </c>
      <c r="AN316" s="36" t="s">
        <v>32</v>
      </c>
      <c r="AO316" s="37">
        <v>45799</v>
      </c>
      <c r="AP316" s="36" t="s">
        <v>2766</v>
      </c>
      <c r="AQ316" s="36" t="s">
        <v>2878</v>
      </c>
      <c r="AR316" s="36" t="s">
        <v>2902</v>
      </c>
      <c r="AS316" s="89"/>
      <c r="AT316" s="87"/>
      <c r="AU316" s="87"/>
      <c r="AV316" s="87"/>
      <c r="AW316" s="87">
        <v>23226500</v>
      </c>
      <c r="AX316" s="85">
        <v>2025</v>
      </c>
      <c r="AY316" s="85">
        <v>5</v>
      </c>
      <c r="AZ316" s="36"/>
      <c r="BA316" s="1" t="s">
        <v>44</v>
      </c>
    </row>
    <row r="317" spans="10:53">
      <c r="J317" s="37"/>
      <c r="K317" s="36"/>
      <c r="L317" s="87"/>
      <c r="M317" s="87"/>
      <c r="N317" s="36"/>
      <c r="O317" s="36"/>
      <c r="P317" s="1"/>
      <c r="AA317" s="36" t="s">
        <v>32</v>
      </c>
      <c r="AB317" s="85">
        <v>2025</v>
      </c>
      <c r="AC317" s="85">
        <v>10</v>
      </c>
      <c r="AD317" s="37">
        <v>45961</v>
      </c>
      <c r="AE317" s="36" t="s">
        <v>3137</v>
      </c>
      <c r="AF317" s="36" t="s">
        <v>3205</v>
      </c>
      <c r="AG317" s="1" t="s">
        <v>44</v>
      </c>
      <c r="AH317" s="16">
        <f>SUMIFS(DB!$I:$I,DB!$C:$C,$AE317,DB!$D:$D,$AF317,DB!$K:$K,$AB317,DB!$L:$L,$AC317)</f>
        <v>9652500</v>
      </c>
      <c r="AI317" s="16">
        <v>8775000</v>
      </c>
      <c r="AJ317" s="153">
        <v>877500</v>
      </c>
      <c r="AL317" s="16">
        <v>0</v>
      </c>
      <c r="AM317" s="107">
        <v>9652500</v>
      </c>
      <c r="AN317" s="36" t="s">
        <v>32</v>
      </c>
      <c r="AO317" s="37">
        <v>45799</v>
      </c>
      <c r="AP317" s="36" t="s">
        <v>1396</v>
      </c>
      <c r="AQ317" s="36" t="s">
        <v>2677</v>
      </c>
      <c r="AR317" s="36" t="s">
        <v>2903</v>
      </c>
      <c r="AS317" s="89"/>
      <c r="AT317" s="87"/>
      <c r="AU317" s="87"/>
      <c r="AV317" s="87"/>
      <c r="AW317" s="87">
        <v>1980000</v>
      </c>
      <c r="AX317" s="85">
        <v>2025</v>
      </c>
      <c r="AY317" s="85">
        <v>4</v>
      </c>
      <c r="AZ317" s="36"/>
      <c r="BA317" s="1" t="s">
        <v>44</v>
      </c>
    </row>
    <row r="318" spans="10:53">
      <c r="J318" s="37"/>
      <c r="K318" s="36"/>
      <c r="L318" s="87"/>
      <c r="M318" s="87"/>
      <c r="N318" s="36"/>
      <c r="O318" s="36"/>
      <c r="P318" s="1"/>
      <c r="AA318" s="36" t="s">
        <v>32</v>
      </c>
      <c r="AB318" s="85">
        <v>2025</v>
      </c>
      <c r="AC318" s="85">
        <v>10</v>
      </c>
      <c r="AD318" s="37">
        <v>45961</v>
      </c>
      <c r="AE318" s="36" t="s">
        <v>3195</v>
      </c>
      <c r="AF318" s="36" t="s">
        <v>3206</v>
      </c>
      <c r="AG318" s="1" t="s">
        <v>44</v>
      </c>
      <c r="AH318" s="16">
        <f>SUMIFS(DB!$I:$I,DB!$C:$C,$AE318,DB!$D:$D,$AF318,DB!$K:$K,$AB318,DB!$L:$L,$AC318)</f>
        <v>7549080</v>
      </c>
      <c r="AI318" s="16">
        <v>6862800</v>
      </c>
      <c r="AJ318" s="153">
        <v>686280</v>
      </c>
      <c r="AL318" s="16">
        <v>0</v>
      </c>
      <c r="AM318" s="107">
        <v>7549080</v>
      </c>
      <c r="AN318" s="36" t="s">
        <v>32</v>
      </c>
      <c r="AO318" s="37">
        <v>45821</v>
      </c>
      <c r="AP318" s="36" t="s">
        <v>2774</v>
      </c>
      <c r="AQ318" s="36" t="s">
        <v>2834</v>
      </c>
      <c r="AR318" s="36" t="s">
        <v>148</v>
      </c>
      <c r="AS318" s="89"/>
      <c r="AT318" s="87"/>
      <c r="AU318" s="87"/>
      <c r="AV318" s="87"/>
      <c r="AW318" s="87">
        <v>7700000</v>
      </c>
      <c r="AX318" s="85">
        <v>2025</v>
      </c>
      <c r="AY318" s="85">
        <v>4</v>
      </c>
      <c r="AZ318" s="36"/>
      <c r="BA318" s="1" t="s">
        <v>44</v>
      </c>
    </row>
    <row r="319" spans="10:53">
      <c r="J319" s="37"/>
      <c r="K319" s="36"/>
      <c r="L319" s="87"/>
      <c r="M319" s="87"/>
      <c r="N319" s="36"/>
      <c r="O319" s="36"/>
      <c r="P319" s="1"/>
      <c r="AA319" s="36" t="s">
        <v>32</v>
      </c>
      <c r="AB319" s="85">
        <v>2025</v>
      </c>
      <c r="AC319" s="85">
        <v>10</v>
      </c>
      <c r="AD319" s="37">
        <v>45961</v>
      </c>
      <c r="AE319" s="36" t="s">
        <v>654</v>
      </c>
      <c r="AF319" s="36" t="s">
        <v>2588</v>
      </c>
      <c r="AG319" s="1" t="s">
        <v>44</v>
      </c>
      <c r="AH319" s="16">
        <f>SUMIFS(DB!$I:$I,DB!$C:$C,$AE319,DB!$D:$D,$AF319,DB!$K:$K,$AB319,DB!$L:$L,$AC319)</f>
        <v>13565816</v>
      </c>
      <c r="AI319" s="16">
        <v>12332560</v>
      </c>
      <c r="AJ319" s="153">
        <v>1233256</v>
      </c>
      <c r="AL319" s="16">
        <v>0</v>
      </c>
      <c r="AM319" s="107">
        <v>13565816</v>
      </c>
      <c r="AN319" s="36" t="s">
        <v>32</v>
      </c>
      <c r="AO319" s="37">
        <v>45822</v>
      </c>
      <c r="AP319" s="36" t="s">
        <v>2772</v>
      </c>
      <c r="AQ319" s="36" t="s">
        <v>2891</v>
      </c>
      <c r="AR319" s="36" t="s">
        <v>2906</v>
      </c>
      <c r="AS319" s="89"/>
      <c r="AT319" s="87"/>
      <c r="AU319" s="87"/>
      <c r="AV319" s="87"/>
      <c r="AW319" s="87">
        <v>7425000</v>
      </c>
      <c r="AX319" s="85">
        <v>2025</v>
      </c>
      <c r="AY319" s="85">
        <v>5</v>
      </c>
      <c r="AZ319" s="36"/>
      <c r="BA319" s="1" t="s">
        <v>44</v>
      </c>
    </row>
    <row r="320" spans="10:53">
      <c r="J320" s="37"/>
      <c r="K320" s="36"/>
      <c r="L320" s="87"/>
      <c r="M320" s="230"/>
      <c r="N320" s="36"/>
      <c r="O320" s="36"/>
      <c r="P320" s="1"/>
      <c r="AA320" s="36" t="s">
        <v>32</v>
      </c>
      <c r="AB320" s="85">
        <v>2025</v>
      </c>
      <c r="AC320" s="85">
        <v>10</v>
      </c>
      <c r="AD320" s="37">
        <v>45961</v>
      </c>
      <c r="AE320" s="36" t="s">
        <v>3213</v>
      </c>
      <c r="AF320" s="36" t="s">
        <v>3207</v>
      </c>
      <c r="AG320" s="1" t="s">
        <v>44</v>
      </c>
      <c r="AH320" s="16">
        <f>SUMIFS(DB!$I:$I,DB!$C:$C,$AE320,DB!$D:$D,$AF320,DB!$K:$K,$AB320,DB!$L:$L,$AC320)</f>
        <v>1584000</v>
      </c>
      <c r="AI320" s="16">
        <v>1440000</v>
      </c>
      <c r="AJ320" s="153">
        <v>144000</v>
      </c>
      <c r="AL320" s="16">
        <v>0</v>
      </c>
      <c r="AM320" s="107">
        <v>1584000</v>
      </c>
      <c r="AN320" s="36" t="s">
        <v>32</v>
      </c>
      <c r="AO320" s="37">
        <v>45822</v>
      </c>
      <c r="AP320" s="36" t="s">
        <v>2772</v>
      </c>
      <c r="AQ320" s="36" t="s">
        <v>2892</v>
      </c>
      <c r="AR320" s="36" t="s">
        <v>2907</v>
      </c>
      <c r="AS320" s="89"/>
      <c r="AT320" s="87"/>
      <c r="AU320" s="87"/>
      <c r="AV320" s="87"/>
      <c r="AW320" s="87">
        <v>1476200</v>
      </c>
      <c r="AX320" s="85">
        <v>2025</v>
      </c>
      <c r="AY320" s="85">
        <v>5</v>
      </c>
      <c r="AZ320" s="36"/>
      <c r="BA320" s="1" t="s">
        <v>44</v>
      </c>
    </row>
    <row r="321" spans="10:53">
      <c r="J321" s="309"/>
      <c r="K321" s="304"/>
      <c r="L321" s="302"/>
      <c r="M321" s="310"/>
      <c r="N321" s="304"/>
      <c r="O321" s="304"/>
      <c r="P321" s="232"/>
      <c r="AA321" s="36" t="s">
        <v>32</v>
      </c>
      <c r="AB321" s="85">
        <v>2025</v>
      </c>
      <c r="AC321" s="85">
        <v>10</v>
      </c>
      <c r="AD321" s="37">
        <v>45961</v>
      </c>
      <c r="AE321" s="36" t="s">
        <v>264</v>
      </c>
      <c r="AF321" s="36" t="s">
        <v>3070</v>
      </c>
      <c r="AG321" s="1" t="s">
        <v>44</v>
      </c>
      <c r="AH321" s="16">
        <f>SUMIFS(DB!$I:$I,DB!$C:$C,$AE321,DB!$D:$D,$AF321,DB!$K:$K,$AB321,DB!$L:$L,$AC321)</f>
        <v>15730000</v>
      </c>
      <c r="AI321" s="16">
        <v>14300000</v>
      </c>
      <c r="AJ321" s="153">
        <v>1430000</v>
      </c>
      <c r="AL321" s="16">
        <v>0</v>
      </c>
      <c r="AM321" s="107">
        <v>15730000</v>
      </c>
      <c r="AN321" s="36" t="s">
        <v>32</v>
      </c>
      <c r="AO321" s="37">
        <v>45824</v>
      </c>
      <c r="AP321" s="36" t="s">
        <v>2005</v>
      </c>
      <c r="AQ321" s="36" t="s">
        <v>2689</v>
      </c>
      <c r="AR321" s="36" t="s">
        <v>148</v>
      </c>
      <c r="AS321" s="89"/>
      <c r="AT321" s="87"/>
      <c r="AU321" s="87"/>
      <c r="AV321" s="87"/>
      <c r="AW321" s="87">
        <v>3300000</v>
      </c>
      <c r="AX321" s="85">
        <v>2025</v>
      </c>
      <c r="AY321" s="85">
        <v>2</v>
      </c>
      <c r="AZ321" s="36" t="s">
        <v>2909</v>
      </c>
      <c r="BA321" s="1" t="s">
        <v>44</v>
      </c>
    </row>
    <row r="322" spans="10:53">
      <c r="J322" s="37"/>
      <c r="K322" s="36"/>
      <c r="L322" s="87"/>
      <c r="M322" s="292"/>
      <c r="N322" s="36"/>
      <c r="O322" s="293"/>
      <c r="P322" s="1"/>
      <c r="AA322" s="36" t="s">
        <v>32</v>
      </c>
      <c r="AB322" s="85">
        <v>2025</v>
      </c>
      <c r="AC322" s="85">
        <v>10</v>
      </c>
      <c r="AD322" s="37">
        <v>45961</v>
      </c>
      <c r="AE322" s="36" t="s">
        <v>3211</v>
      </c>
      <c r="AF322" s="36" t="s">
        <v>3201</v>
      </c>
      <c r="AG322" s="1" t="s">
        <v>44</v>
      </c>
      <c r="AH322" s="16">
        <f>SUMIFS(DB!$I:$I,DB!$C:$C,$AE322,DB!$D:$D,$AF322,DB!$K:$K,$AB322,DB!$L:$L,$AC322)</f>
        <v>8438100</v>
      </c>
      <c r="AI322" s="16">
        <v>7671000</v>
      </c>
      <c r="AJ322" s="153">
        <v>767100</v>
      </c>
      <c r="AL322" s="16">
        <v>0</v>
      </c>
      <c r="AM322" s="107">
        <v>8438100</v>
      </c>
      <c r="AN322" s="36" t="s">
        <v>32</v>
      </c>
      <c r="AO322" s="37">
        <v>45825</v>
      </c>
      <c r="AP322" s="36" t="s">
        <v>2627</v>
      </c>
      <c r="AQ322" s="36" t="s">
        <v>2589</v>
      </c>
      <c r="AR322" s="36" t="s">
        <v>148</v>
      </c>
      <c r="AS322" s="89"/>
      <c r="AT322" s="87"/>
      <c r="AU322" s="87"/>
      <c r="AV322" s="87"/>
      <c r="AW322" s="87">
        <v>5500000</v>
      </c>
      <c r="AX322" s="85">
        <v>2025</v>
      </c>
      <c r="AY322" s="85">
        <v>5</v>
      </c>
      <c r="AZ322" s="36"/>
      <c r="BA322" s="1" t="s">
        <v>44</v>
      </c>
    </row>
    <row r="323" spans="10:53">
      <c r="J323" s="37"/>
      <c r="K323" s="36"/>
      <c r="L323" s="87"/>
      <c r="M323" s="38"/>
      <c r="N323" s="36"/>
      <c r="O323" s="36"/>
      <c r="P323" s="1"/>
      <c r="AA323" s="36" t="s">
        <v>32</v>
      </c>
      <c r="AB323" s="85">
        <v>2025</v>
      </c>
      <c r="AC323" s="85">
        <v>10</v>
      </c>
      <c r="AD323" s="37">
        <v>45961</v>
      </c>
      <c r="AE323" s="36" t="s">
        <v>3197</v>
      </c>
      <c r="AF323" s="36" t="s">
        <v>2875</v>
      </c>
      <c r="AG323" s="1" t="s">
        <v>44</v>
      </c>
      <c r="AH323" s="16">
        <f>SUMIFS(DB!$I:$I,DB!$C:$C,$AE323,DB!$D:$D,$AF323,DB!$K:$K,$AB323,DB!$L:$L,$AC323)</f>
        <v>33000000</v>
      </c>
      <c r="AI323" s="16">
        <v>30000000</v>
      </c>
      <c r="AJ323" s="153">
        <v>3000000</v>
      </c>
      <c r="AL323" s="16">
        <v>0</v>
      </c>
      <c r="AM323" s="107">
        <v>33000000</v>
      </c>
      <c r="AN323" s="36" t="s">
        <v>32</v>
      </c>
      <c r="AO323" s="37">
        <v>45826</v>
      </c>
      <c r="AP323" s="36" t="s">
        <v>2869</v>
      </c>
      <c r="AQ323" s="36" t="s">
        <v>2880</v>
      </c>
      <c r="AR323" s="36" t="s">
        <v>148</v>
      </c>
      <c r="AS323" s="89"/>
      <c r="AT323" s="87"/>
      <c r="AU323" s="87"/>
      <c r="AV323" s="87"/>
      <c r="AW323" s="87">
        <v>6160000</v>
      </c>
      <c r="AX323" s="85">
        <v>2025</v>
      </c>
      <c r="AY323" s="85">
        <v>5</v>
      </c>
      <c r="AZ323" s="36"/>
      <c r="BA323" s="1" t="s">
        <v>44</v>
      </c>
    </row>
    <row r="324" spans="10:53">
      <c r="J324" s="37"/>
      <c r="K324" s="36"/>
      <c r="L324" s="87"/>
      <c r="M324" s="38"/>
      <c r="N324" s="36"/>
      <c r="O324" s="36"/>
      <c r="P324" s="1"/>
      <c r="AA324" s="36" t="s">
        <v>32</v>
      </c>
      <c r="AB324" s="85">
        <v>2025</v>
      </c>
      <c r="AC324" s="85">
        <v>10</v>
      </c>
      <c r="AD324" s="37">
        <v>45961</v>
      </c>
      <c r="AE324" s="36" t="s">
        <v>3134</v>
      </c>
      <c r="AF324" s="36" t="s">
        <v>3140</v>
      </c>
      <c r="AG324" s="1" t="s">
        <v>44</v>
      </c>
      <c r="AH324" s="16">
        <f>SUMIFS(DB!$I:$I,DB!$C:$C,$AE324,DB!$D:$D,$AF324,DB!$K:$K,$AB324,DB!$L:$L,$AC324)</f>
        <v>6722375</v>
      </c>
      <c r="AI324" s="16">
        <v>6111250</v>
      </c>
      <c r="AJ324" s="153">
        <v>611125</v>
      </c>
      <c r="AL324" s="16">
        <v>0</v>
      </c>
      <c r="AM324" s="107">
        <v>6722375</v>
      </c>
      <c r="AN324" s="36" t="s">
        <v>32</v>
      </c>
      <c r="AO324" s="37">
        <v>45827</v>
      </c>
      <c r="AP324" s="36" t="s">
        <v>1198</v>
      </c>
      <c r="AQ324" s="36" t="s">
        <v>2886</v>
      </c>
      <c r="AR324" s="36" t="s">
        <v>2910</v>
      </c>
      <c r="AS324" s="89"/>
      <c r="AT324" s="87"/>
      <c r="AU324" s="87"/>
      <c r="AV324" s="87"/>
      <c r="AW324" s="87">
        <v>891000</v>
      </c>
      <c r="AX324" s="85">
        <v>2025</v>
      </c>
      <c r="AY324" s="85">
        <v>5</v>
      </c>
      <c r="AZ324" s="36"/>
      <c r="BA324" s="1" t="s">
        <v>44</v>
      </c>
    </row>
    <row r="325" spans="10:53">
      <c r="J325" s="37"/>
      <c r="K325" s="36"/>
      <c r="L325" s="87"/>
      <c r="M325" s="38"/>
      <c r="N325" s="36"/>
      <c r="O325" s="36"/>
      <c r="P325" s="1"/>
      <c r="AA325" s="36" t="s">
        <v>32</v>
      </c>
      <c r="AB325" s="85">
        <v>2025</v>
      </c>
      <c r="AC325" s="85">
        <v>10</v>
      </c>
      <c r="AD325" s="37">
        <v>45961</v>
      </c>
      <c r="AE325" s="36" t="s">
        <v>2822</v>
      </c>
      <c r="AF325" s="36" t="s">
        <v>3019</v>
      </c>
      <c r="AG325" s="1" t="s">
        <v>44</v>
      </c>
      <c r="AH325" s="16">
        <f>SUMIFS(DB!$I:$I,DB!$C:$C,$AE325,DB!$D:$D,$AF325,DB!$K:$K,$AB325,DB!$L:$L,$AC325)</f>
        <v>8225250</v>
      </c>
      <c r="AI325" s="16">
        <v>7477500</v>
      </c>
      <c r="AJ325" s="153">
        <v>747750</v>
      </c>
      <c r="AL325" s="16">
        <v>0</v>
      </c>
      <c r="AM325" s="107">
        <v>8225250</v>
      </c>
      <c r="AN325" s="36" t="s">
        <v>32</v>
      </c>
      <c r="AO325" s="37">
        <v>45832</v>
      </c>
      <c r="AP325" s="36" t="s">
        <v>1741</v>
      </c>
      <c r="AQ325" s="36" t="s">
        <v>1745</v>
      </c>
      <c r="AR325" s="36" t="s">
        <v>148</v>
      </c>
      <c r="AS325" s="89"/>
      <c r="AT325" s="87"/>
      <c r="AU325" s="87"/>
      <c r="AV325" s="87"/>
      <c r="AW325" s="87">
        <v>6600000</v>
      </c>
      <c r="AX325" s="85">
        <v>2025</v>
      </c>
      <c r="AY325" s="85">
        <v>5</v>
      </c>
      <c r="AZ325" s="36"/>
      <c r="BA325" s="1" t="s">
        <v>44</v>
      </c>
    </row>
    <row r="326" spans="10:53">
      <c r="J326" s="37"/>
      <c r="K326" s="36"/>
      <c r="L326" s="87"/>
      <c r="M326" s="38"/>
      <c r="N326" s="36"/>
      <c r="O326" s="36"/>
      <c r="P326" s="1"/>
      <c r="AA326" s="36" t="s">
        <v>32</v>
      </c>
      <c r="AB326" s="85">
        <v>2025</v>
      </c>
      <c r="AC326" s="85">
        <v>10</v>
      </c>
      <c r="AD326" s="37">
        <v>45961</v>
      </c>
      <c r="AE326" s="36" t="s">
        <v>1218</v>
      </c>
      <c r="AF326" s="36" t="s">
        <v>3208</v>
      </c>
      <c r="AG326" s="1" t="s">
        <v>44</v>
      </c>
      <c r="AH326" s="16">
        <f>SUMIFS(DB!$I:$I,DB!$C:$C,$AE326,DB!$D:$D,$AF326,DB!$K:$K,$AB326,DB!$L:$L,$AC326)</f>
        <v>2079000</v>
      </c>
      <c r="AI326" s="16">
        <v>1890000</v>
      </c>
      <c r="AJ326" s="153">
        <v>189000</v>
      </c>
      <c r="AL326" s="16">
        <v>0</v>
      </c>
      <c r="AM326" s="107">
        <v>2079000</v>
      </c>
      <c r="AN326" s="36" t="s">
        <v>32</v>
      </c>
      <c r="AO326" s="37">
        <v>45833</v>
      </c>
      <c r="AP326" s="36" t="s">
        <v>2871</v>
      </c>
      <c r="AQ326" s="36" t="s">
        <v>2636</v>
      </c>
      <c r="AR326" s="36" t="s">
        <v>148</v>
      </c>
      <c r="AS326" s="89"/>
      <c r="AT326" s="87"/>
      <c r="AU326" s="87"/>
      <c r="AV326" s="87"/>
      <c r="AW326" s="87">
        <v>7871325</v>
      </c>
      <c r="AX326" s="85">
        <v>2025</v>
      </c>
      <c r="AY326" s="85">
        <v>5</v>
      </c>
      <c r="AZ326" s="36"/>
      <c r="BA326" s="1" t="s">
        <v>44</v>
      </c>
    </row>
    <row r="327" spans="10:53">
      <c r="J327" s="37"/>
      <c r="K327" s="36"/>
      <c r="L327" s="87"/>
      <c r="M327" s="306"/>
      <c r="N327" s="36"/>
      <c r="O327" s="307"/>
      <c r="P327" s="1"/>
      <c r="AA327" s="36" t="s">
        <v>32</v>
      </c>
      <c r="AB327" s="85">
        <v>2025</v>
      </c>
      <c r="AC327" s="85">
        <v>10</v>
      </c>
      <c r="AD327" s="37">
        <v>45961</v>
      </c>
      <c r="AE327" s="36" t="s">
        <v>1218</v>
      </c>
      <c r="AF327" s="36" t="s">
        <v>3202</v>
      </c>
      <c r="AG327" s="1" t="s">
        <v>44</v>
      </c>
      <c r="AH327" s="16">
        <f>SUMIFS(DB!$I:$I,DB!$C:$C,$AE327,DB!$D:$D,$AF327,DB!$K:$K,$AB327,DB!$L:$L,$AC327)</f>
        <v>2376000</v>
      </c>
      <c r="AI327" s="16">
        <v>2160000</v>
      </c>
      <c r="AJ327" s="153">
        <v>216000</v>
      </c>
      <c r="AL327" s="16">
        <v>0</v>
      </c>
      <c r="AM327" s="107">
        <v>2376000</v>
      </c>
      <c r="AN327" s="36" t="s">
        <v>32</v>
      </c>
      <c r="AO327" s="37">
        <v>45834</v>
      </c>
      <c r="AP327" s="36" t="s">
        <v>654</v>
      </c>
      <c r="AQ327" s="36" t="s">
        <v>2826</v>
      </c>
      <c r="AR327" s="36" t="s">
        <v>2846</v>
      </c>
      <c r="AS327" s="89"/>
      <c r="AT327" s="87"/>
      <c r="AU327" s="87"/>
      <c r="AV327" s="87"/>
      <c r="AW327" s="87">
        <v>10000000</v>
      </c>
      <c r="AX327" s="85">
        <v>2025</v>
      </c>
      <c r="AY327" s="85">
        <v>4</v>
      </c>
      <c r="AZ327" s="36"/>
      <c r="BA327" s="1" t="s">
        <v>44</v>
      </c>
    </row>
    <row r="328" spans="10:53">
      <c r="J328" s="37"/>
      <c r="K328" s="36"/>
      <c r="L328" s="87"/>
      <c r="M328" s="308"/>
      <c r="N328" s="36"/>
      <c r="O328" s="307"/>
      <c r="P328" s="1"/>
      <c r="AA328" s="36" t="s">
        <v>32</v>
      </c>
      <c r="AB328" s="85">
        <v>2025</v>
      </c>
      <c r="AC328" s="85">
        <v>10</v>
      </c>
      <c r="AD328" s="37">
        <v>45961</v>
      </c>
      <c r="AE328" s="36" t="s">
        <v>3209</v>
      </c>
      <c r="AF328" s="36" t="s">
        <v>2832</v>
      </c>
      <c r="AG328" s="1" t="s">
        <v>44</v>
      </c>
      <c r="AH328" s="16">
        <f>SUMIFS(DB!$I:$I,DB!$C:$C,$AE328,DB!$D:$D,$AF328,DB!$K:$K,$AB328,DB!$L:$L,$AC328)</f>
        <v>84696700</v>
      </c>
      <c r="AI328" s="16">
        <v>76997000</v>
      </c>
      <c r="AJ328" s="153">
        <v>7699700</v>
      </c>
      <c r="AL328" s="16">
        <v>0</v>
      </c>
      <c r="AM328" s="107">
        <v>84696700</v>
      </c>
      <c r="AN328" s="36" t="s">
        <v>32</v>
      </c>
      <c r="AO328" s="37">
        <v>45834</v>
      </c>
      <c r="AP328" s="36" t="s">
        <v>654</v>
      </c>
      <c r="AQ328" s="36" t="s">
        <v>2884</v>
      </c>
      <c r="AR328" s="36" t="s">
        <v>2911</v>
      </c>
      <c r="AS328" s="89"/>
      <c r="AT328" s="87"/>
      <c r="AU328" s="87"/>
      <c r="AV328" s="87"/>
      <c r="AW328" s="294">
        <v>25678026</v>
      </c>
      <c r="AX328" s="85">
        <v>2025</v>
      </c>
      <c r="AY328" s="85">
        <v>5</v>
      </c>
      <c r="AZ328" s="293" t="s">
        <v>2912</v>
      </c>
      <c r="BA328" s="1" t="s">
        <v>44</v>
      </c>
    </row>
    <row r="329" spans="10:53">
      <c r="J329" s="37"/>
      <c r="K329" s="36"/>
      <c r="L329" s="87"/>
      <c r="M329" s="230"/>
      <c r="N329" s="36"/>
      <c r="O329" s="36"/>
      <c r="P329" s="1"/>
      <c r="AD329"/>
      <c r="AG329"/>
      <c r="AM329" s="107"/>
      <c r="AN329" s="36" t="s">
        <v>32</v>
      </c>
      <c r="AO329" s="37">
        <v>45835</v>
      </c>
      <c r="AP329" s="36" t="s">
        <v>2872</v>
      </c>
      <c r="AQ329" s="36" t="s">
        <v>2885</v>
      </c>
      <c r="AR329" s="36" t="s">
        <v>148</v>
      </c>
      <c r="AS329" s="89"/>
      <c r="AT329" s="87"/>
      <c r="AU329" s="87"/>
      <c r="AV329" s="87"/>
      <c r="AW329" s="87">
        <v>5662800</v>
      </c>
      <c r="AX329" s="85">
        <v>2025</v>
      </c>
      <c r="AY329" s="85">
        <v>5</v>
      </c>
      <c r="AZ329" s="36"/>
      <c r="BA329" s="1" t="s">
        <v>44</v>
      </c>
    </row>
    <row r="330" spans="10:53">
      <c r="J330" s="37"/>
      <c r="K330" s="36"/>
      <c r="L330" s="87"/>
      <c r="M330" s="308"/>
      <c r="N330" s="36"/>
      <c r="O330" s="307"/>
      <c r="P330" s="1"/>
      <c r="AD330"/>
      <c r="AG330"/>
      <c r="AM330" s="107"/>
      <c r="AN330" s="36" t="s">
        <v>32</v>
      </c>
      <c r="AO330" s="37">
        <v>45835</v>
      </c>
      <c r="AP330" s="36" t="s">
        <v>2628</v>
      </c>
      <c r="AQ330" s="36" t="s">
        <v>2639</v>
      </c>
      <c r="AR330" s="36" t="s">
        <v>148</v>
      </c>
      <c r="AS330" s="89"/>
      <c r="AT330" s="87"/>
      <c r="AU330" s="87"/>
      <c r="AV330" s="87"/>
      <c r="AW330" s="87">
        <v>14283280</v>
      </c>
      <c r="AX330" s="85">
        <v>2025</v>
      </c>
      <c r="AY330" s="85">
        <v>5</v>
      </c>
      <c r="AZ330" s="36"/>
      <c r="BA330" s="1" t="s">
        <v>44</v>
      </c>
    </row>
    <row r="331" spans="10:53">
      <c r="J331" s="37"/>
      <c r="K331" s="36"/>
      <c r="L331" s="87"/>
      <c r="M331" s="230"/>
      <c r="N331" s="36"/>
      <c r="O331" s="36"/>
      <c r="P331" s="1"/>
      <c r="AD331"/>
      <c r="AG331"/>
      <c r="AM331" s="107"/>
      <c r="AN331" s="36" t="s">
        <v>32</v>
      </c>
      <c r="AO331" s="37">
        <v>45838</v>
      </c>
      <c r="AP331" s="36" t="s">
        <v>2873</v>
      </c>
      <c r="AQ331" s="36" t="s">
        <v>3115</v>
      </c>
      <c r="AR331" s="36" t="s">
        <v>148</v>
      </c>
      <c r="AS331" s="89"/>
      <c r="AT331" s="87"/>
      <c r="AU331" s="87"/>
      <c r="AV331" s="87"/>
      <c r="AW331" s="87">
        <v>2200000</v>
      </c>
      <c r="AX331" s="85">
        <v>2025</v>
      </c>
      <c r="AY331" s="85">
        <v>5</v>
      </c>
      <c r="AZ331" s="36"/>
      <c r="BA331" s="1" t="s">
        <v>44</v>
      </c>
    </row>
    <row r="332" spans="10:53">
      <c r="J332" s="37"/>
      <c r="K332" s="36"/>
      <c r="L332" s="87"/>
      <c r="M332" s="38"/>
      <c r="N332" s="36"/>
      <c r="O332" s="36"/>
      <c r="P332" s="1"/>
      <c r="AD332"/>
      <c r="AG332"/>
      <c r="AM332" s="107"/>
      <c r="AN332" s="36" t="s">
        <v>32</v>
      </c>
      <c r="AO332" s="37">
        <v>45838</v>
      </c>
      <c r="AP332" s="36" t="s">
        <v>654</v>
      </c>
      <c r="AQ332" s="36" t="s">
        <v>2883</v>
      </c>
      <c r="AR332" s="36" t="s">
        <v>2922</v>
      </c>
      <c r="AS332" s="89"/>
      <c r="AT332" s="87"/>
      <c r="AU332" s="87"/>
      <c r="AV332" s="87"/>
      <c r="AW332" s="296">
        <v>4401914</v>
      </c>
      <c r="AX332" s="85">
        <v>2025</v>
      </c>
      <c r="AY332" s="85">
        <v>5</v>
      </c>
      <c r="AZ332" s="298" t="s">
        <v>2923</v>
      </c>
      <c r="BA332" s="1" t="s">
        <v>44</v>
      </c>
    </row>
    <row r="333" spans="10:53">
      <c r="J333" s="37"/>
      <c r="K333" s="36"/>
      <c r="L333" s="87"/>
      <c r="M333" s="87"/>
      <c r="N333" s="36"/>
      <c r="O333" s="36"/>
      <c r="P333" s="1"/>
      <c r="AD333"/>
      <c r="AG333"/>
      <c r="AM333" s="107"/>
      <c r="AN333" s="36" t="s">
        <v>32</v>
      </c>
      <c r="AO333" s="37">
        <v>45838</v>
      </c>
      <c r="AP333" s="36" t="s">
        <v>2477</v>
      </c>
      <c r="AQ333" s="36" t="s">
        <v>2485</v>
      </c>
      <c r="AR333" s="36" t="s">
        <v>148</v>
      </c>
      <c r="AS333" s="89"/>
      <c r="AT333" s="87"/>
      <c r="AU333" s="87"/>
      <c r="AV333" s="87"/>
      <c r="AW333" s="87">
        <v>5163840</v>
      </c>
      <c r="AX333" s="85">
        <v>2025</v>
      </c>
      <c r="AY333" s="85">
        <v>5</v>
      </c>
      <c r="AZ333" s="36" t="s">
        <v>2653</v>
      </c>
      <c r="BA333" s="1" t="s">
        <v>44</v>
      </c>
    </row>
    <row r="334" spans="10:53">
      <c r="J334" s="37"/>
      <c r="K334" s="36"/>
      <c r="L334" s="87"/>
      <c r="M334" s="87"/>
      <c r="N334" s="36"/>
      <c r="O334" s="36"/>
      <c r="P334" s="1"/>
      <c r="AD334"/>
      <c r="AG334"/>
      <c r="AM334" s="107"/>
      <c r="AN334" s="36" t="s">
        <v>32</v>
      </c>
      <c r="AO334" s="37">
        <v>45838</v>
      </c>
      <c r="AP334" s="36" t="s">
        <v>264</v>
      </c>
      <c r="AQ334" s="36" t="s">
        <v>2893</v>
      </c>
      <c r="AR334" s="36" t="s">
        <v>148</v>
      </c>
      <c r="AS334" s="89"/>
      <c r="AT334" s="87"/>
      <c r="AU334" s="87"/>
      <c r="AV334" s="87"/>
      <c r="AW334" s="87">
        <v>33000000</v>
      </c>
      <c r="AX334" s="85">
        <v>2025</v>
      </c>
      <c r="AY334" s="85">
        <v>5</v>
      </c>
      <c r="AZ334" s="36"/>
      <c r="BA334" s="1" t="s">
        <v>44</v>
      </c>
    </row>
    <row r="335" spans="10:53">
      <c r="J335" s="37"/>
      <c r="K335" s="36"/>
      <c r="L335" s="87"/>
      <c r="M335" s="87"/>
      <c r="N335" s="36"/>
      <c r="O335" s="36"/>
      <c r="P335" s="1"/>
      <c r="AD335"/>
      <c r="AG335"/>
      <c r="AM335" s="107"/>
      <c r="AN335" s="36" t="s">
        <v>32</v>
      </c>
      <c r="AO335" s="37">
        <v>45838</v>
      </c>
      <c r="AP335" s="36" t="s">
        <v>2868</v>
      </c>
      <c r="AQ335" s="36" t="s">
        <v>2875</v>
      </c>
      <c r="AR335" s="36" t="s">
        <v>148</v>
      </c>
      <c r="AS335" s="89"/>
      <c r="AT335" s="87"/>
      <c r="AU335" s="87"/>
      <c r="AV335" s="87"/>
      <c r="AW335" s="87">
        <v>31900000</v>
      </c>
      <c r="AX335" s="85">
        <v>2025</v>
      </c>
      <c r="AY335" s="85">
        <v>5</v>
      </c>
      <c r="AZ335" s="36"/>
      <c r="BA335" s="1" t="s">
        <v>44</v>
      </c>
    </row>
    <row r="336" spans="10:53">
      <c r="J336" s="37"/>
      <c r="K336" s="36"/>
      <c r="L336" s="87"/>
      <c r="M336" s="87"/>
      <c r="N336" s="36"/>
      <c r="O336" s="36"/>
      <c r="P336" s="1"/>
      <c r="AD336"/>
      <c r="AG336"/>
      <c r="AM336" s="107"/>
      <c r="AN336" s="36" t="s">
        <v>32</v>
      </c>
      <c r="AO336" s="37">
        <v>45838</v>
      </c>
      <c r="AP336" s="36" t="s">
        <v>188</v>
      </c>
      <c r="AQ336" s="36" t="s">
        <v>2827</v>
      </c>
      <c r="AR336" s="36" t="s">
        <v>2925</v>
      </c>
      <c r="AS336" s="89"/>
      <c r="AT336" s="87"/>
      <c r="AU336" s="87"/>
      <c r="AV336" s="87"/>
      <c r="AW336" s="87">
        <v>3938000</v>
      </c>
      <c r="AX336" s="85">
        <v>2025</v>
      </c>
      <c r="AY336" s="85">
        <v>4</v>
      </c>
      <c r="AZ336" s="36"/>
      <c r="BA336" s="1" t="s">
        <v>44</v>
      </c>
    </row>
    <row r="337" spans="10:53">
      <c r="J337" s="37"/>
      <c r="K337" s="36"/>
      <c r="L337" s="87"/>
      <c r="M337" s="38"/>
      <c r="N337" s="36"/>
      <c r="O337" s="36"/>
      <c r="P337" s="1"/>
      <c r="AD337"/>
      <c r="AG337"/>
      <c r="AM337" s="107"/>
      <c r="AN337" s="36" t="s">
        <v>32</v>
      </c>
      <c r="AO337" s="37">
        <v>45838</v>
      </c>
      <c r="AP337" s="36" t="s">
        <v>188</v>
      </c>
      <c r="AQ337" s="36" t="s">
        <v>2881</v>
      </c>
      <c r="AR337" s="36" t="s">
        <v>2926</v>
      </c>
      <c r="AS337" s="89"/>
      <c r="AT337" s="87"/>
      <c r="AU337" s="87"/>
      <c r="AV337" s="87"/>
      <c r="AW337" s="87">
        <v>2146760</v>
      </c>
      <c r="AX337" s="85">
        <v>2025</v>
      </c>
      <c r="AY337" s="85">
        <v>5</v>
      </c>
      <c r="AZ337" s="36"/>
      <c r="BA337" s="1" t="s">
        <v>44</v>
      </c>
    </row>
    <row r="338" spans="10:53">
      <c r="J338" s="37"/>
      <c r="K338" s="36"/>
      <c r="L338" s="87"/>
      <c r="M338" s="38"/>
      <c r="N338" s="36"/>
      <c r="O338" s="36"/>
      <c r="P338" s="1"/>
      <c r="AD338"/>
      <c r="AG338"/>
      <c r="AM338" s="107"/>
      <c r="AN338" s="36" t="s">
        <v>32</v>
      </c>
      <c r="AO338" s="37">
        <v>45838</v>
      </c>
      <c r="AP338" s="36" t="s">
        <v>2395</v>
      </c>
      <c r="AQ338" s="36" t="s">
        <v>2369</v>
      </c>
      <c r="AR338" s="36" t="s">
        <v>77</v>
      </c>
      <c r="AS338" s="89"/>
      <c r="AT338" s="87"/>
      <c r="AU338" s="87"/>
      <c r="AV338" s="87"/>
      <c r="AW338" s="38">
        <v>26379760</v>
      </c>
      <c r="AX338" s="85">
        <v>2025</v>
      </c>
      <c r="AY338" s="85">
        <v>5</v>
      </c>
      <c r="AZ338" s="36"/>
      <c r="BA338" s="1" t="s">
        <v>44</v>
      </c>
    </row>
    <row r="339" spans="10:53">
      <c r="J339" s="37"/>
      <c r="K339" s="36"/>
      <c r="L339" s="87"/>
      <c r="M339" s="38"/>
      <c r="N339" s="36"/>
      <c r="O339" s="36"/>
      <c r="P339" s="1"/>
      <c r="AD339"/>
      <c r="AG339"/>
      <c r="AM339" s="107"/>
      <c r="AN339" s="36" t="s">
        <v>32</v>
      </c>
      <c r="AO339" s="37">
        <v>45840</v>
      </c>
      <c r="AP339" s="36" t="s">
        <v>1218</v>
      </c>
      <c r="AQ339" s="36" t="s">
        <v>2879</v>
      </c>
      <c r="AR339" s="36" t="s">
        <v>2929</v>
      </c>
      <c r="AS339" s="89"/>
      <c r="AT339" s="87"/>
      <c r="AU339" s="87"/>
      <c r="AV339" s="87"/>
      <c r="AW339" s="87">
        <v>2970000</v>
      </c>
      <c r="AX339" s="85">
        <v>2025</v>
      </c>
      <c r="AY339" s="85">
        <v>5</v>
      </c>
      <c r="AZ339" s="36"/>
      <c r="BA339" s="1" t="s">
        <v>44</v>
      </c>
    </row>
    <row r="340" spans="10:53">
      <c r="J340" s="37"/>
      <c r="K340" s="36"/>
      <c r="L340" s="87"/>
      <c r="M340" s="38"/>
      <c r="N340" s="36"/>
      <c r="O340" s="36"/>
      <c r="P340" s="1"/>
      <c r="AD340"/>
      <c r="AG340"/>
      <c r="AM340" s="107"/>
      <c r="AN340" s="36" t="s">
        <v>32</v>
      </c>
      <c r="AO340" s="37">
        <v>45839</v>
      </c>
      <c r="AP340" s="36" t="s">
        <v>1198</v>
      </c>
      <c r="AQ340" s="36" t="s">
        <v>2889</v>
      </c>
      <c r="AR340" s="36" t="s">
        <v>2930</v>
      </c>
      <c r="AS340" s="89"/>
      <c r="AT340" s="87"/>
      <c r="AU340" s="87"/>
      <c r="AV340" s="87"/>
      <c r="AW340" s="87">
        <v>1455300</v>
      </c>
      <c r="AX340" s="85">
        <v>2025</v>
      </c>
      <c r="AY340" s="85">
        <v>5</v>
      </c>
      <c r="AZ340" s="36"/>
      <c r="BA340" s="1" t="s">
        <v>44</v>
      </c>
    </row>
    <row r="341" spans="10:53">
      <c r="J341" s="37"/>
      <c r="K341" s="36"/>
      <c r="L341" s="87"/>
      <c r="M341" s="38"/>
      <c r="N341" s="36"/>
      <c r="O341" s="36"/>
      <c r="P341" s="1"/>
      <c r="AD341"/>
      <c r="AG341"/>
      <c r="AM341" s="107"/>
      <c r="AN341" s="36" t="s">
        <v>32</v>
      </c>
      <c r="AO341" s="37">
        <v>45845</v>
      </c>
      <c r="AP341" s="36" t="s">
        <v>2870</v>
      </c>
      <c r="AQ341" s="36" t="s">
        <v>2882</v>
      </c>
      <c r="AR341" s="36" t="s">
        <v>148</v>
      </c>
      <c r="AS341" s="89"/>
      <c r="AT341" s="87"/>
      <c r="AU341" s="87"/>
      <c r="AV341" s="87"/>
      <c r="AW341" s="87">
        <v>6050000</v>
      </c>
      <c r="AX341" s="85">
        <v>2025</v>
      </c>
      <c r="AY341" s="85">
        <v>5</v>
      </c>
      <c r="AZ341" s="36"/>
      <c r="BA341" s="1" t="s">
        <v>44</v>
      </c>
    </row>
    <row r="342" spans="10:53">
      <c r="J342" s="37"/>
      <c r="K342" s="36"/>
      <c r="L342" s="87"/>
      <c r="M342" s="38"/>
      <c r="N342" s="36"/>
      <c r="O342" s="36"/>
      <c r="P342" s="1"/>
      <c r="AD342"/>
      <c r="AG342"/>
      <c r="AM342" s="107"/>
      <c r="AN342" s="36" t="s">
        <v>32</v>
      </c>
      <c r="AO342" s="37">
        <v>45845</v>
      </c>
      <c r="AP342" s="36" t="s">
        <v>2674</v>
      </c>
      <c r="AQ342" s="36" t="s">
        <v>2687</v>
      </c>
      <c r="AR342" s="36" t="s">
        <v>148</v>
      </c>
      <c r="AS342" s="89"/>
      <c r="AT342" s="87"/>
      <c r="AU342" s="87"/>
      <c r="AV342" s="87"/>
      <c r="AW342" s="87">
        <v>21106250</v>
      </c>
      <c r="AX342" s="85">
        <v>2025</v>
      </c>
      <c r="AY342" s="85">
        <v>5</v>
      </c>
      <c r="AZ342" s="36"/>
      <c r="BA342" s="1" t="s">
        <v>44</v>
      </c>
    </row>
    <row r="343" spans="10:53">
      <c r="J343" s="37"/>
      <c r="K343" s="36"/>
      <c r="L343" s="87"/>
      <c r="M343" s="38"/>
      <c r="N343" s="36"/>
      <c r="O343" s="36"/>
      <c r="P343" s="1"/>
      <c r="AD343"/>
      <c r="AG343"/>
      <c r="AM343" s="107"/>
      <c r="AN343" s="36" t="s">
        <v>32</v>
      </c>
      <c r="AO343" s="37">
        <v>45847</v>
      </c>
      <c r="AP343" s="36" t="s">
        <v>2774</v>
      </c>
      <c r="AQ343" s="36" t="s">
        <v>2784</v>
      </c>
      <c r="AR343" s="36" t="s">
        <v>148</v>
      </c>
      <c r="AS343" s="89"/>
      <c r="AT343" s="87"/>
      <c r="AU343" s="87"/>
      <c r="AV343" s="87"/>
      <c r="AW343" s="87">
        <v>13865500</v>
      </c>
      <c r="AX343" s="85">
        <v>2025</v>
      </c>
      <c r="AY343" s="85">
        <v>5</v>
      </c>
      <c r="AZ343" s="36"/>
      <c r="BA343" s="1" t="s">
        <v>44</v>
      </c>
    </row>
    <row r="344" spans="10:53">
      <c r="J344" s="37"/>
      <c r="K344" s="36"/>
      <c r="L344" s="87"/>
      <c r="M344" s="38"/>
      <c r="N344" s="36"/>
      <c r="O344" s="36"/>
      <c r="P344" s="1"/>
      <c r="AD344"/>
      <c r="AG344"/>
      <c r="AM344" s="107"/>
      <c r="AN344" s="36" t="s">
        <v>32</v>
      </c>
      <c r="AO344" s="37">
        <v>45828</v>
      </c>
      <c r="AP344" s="36" t="s">
        <v>2166</v>
      </c>
      <c r="AQ344" s="36" t="s">
        <v>2836</v>
      </c>
      <c r="AR344" s="36" t="s">
        <v>148</v>
      </c>
      <c r="AS344" s="89"/>
      <c r="AT344" s="87"/>
      <c r="AU344" s="87"/>
      <c r="AV344" s="87"/>
      <c r="AW344" s="87">
        <v>13331648</v>
      </c>
      <c r="AX344" s="85">
        <v>2025</v>
      </c>
      <c r="AY344" s="85">
        <v>4</v>
      </c>
      <c r="AZ344" s="36"/>
      <c r="BA344" s="1" t="s">
        <v>44</v>
      </c>
    </row>
    <row r="345" spans="10:53">
      <c r="J345" s="37"/>
      <c r="K345" s="36"/>
      <c r="L345" s="87"/>
      <c r="M345" s="87"/>
      <c r="N345" s="36"/>
      <c r="O345" s="36"/>
      <c r="P345" s="1"/>
      <c r="AD345"/>
      <c r="AG345"/>
      <c r="AM345" s="107"/>
      <c r="AN345" s="18" t="s">
        <v>32</v>
      </c>
      <c r="AO345" s="122">
        <v>45829</v>
      </c>
      <c r="AP345" s="18" t="s">
        <v>1396</v>
      </c>
      <c r="AQ345" s="18" t="s">
        <v>2677</v>
      </c>
      <c r="AR345" s="18" t="s">
        <v>2903</v>
      </c>
      <c r="AS345" s="123"/>
      <c r="AT345" s="124"/>
      <c r="AU345" s="124"/>
      <c r="AV345" s="124"/>
      <c r="AW345" s="125">
        <v>5808000</v>
      </c>
      <c r="AX345" s="127">
        <v>2025</v>
      </c>
      <c r="AY345" s="127">
        <v>5</v>
      </c>
      <c r="AZ345" s="18" t="s">
        <v>2959</v>
      </c>
      <c r="BA345" s="231" t="s">
        <v>44</v>
      </c>
    </row>
    <row r="346" spans="10:53">
      <c r="J346" s="37"/>
      <c r="K346" s="36"/>
      <c r="L346" s="87"/>
      <c r="M346" s="87"/>
      <c r="N346" s="36"/>
      <c r="O346" s="36"/>
      <c r="P346" s="1"/>
      <c r="AD346"/>
      <c r="AG346"/>
      <c r="AM346" s="107"/>
      <c r="AN346" s="36" t="s">
        <v>32</v>
      </c>
      <c r="AO346" s="37">
        <v>45810</v>
      </c>
      <c r="AP346" s="36" t="s">
        <v>2943</v>
      </c>
      <c r="AQ346" s="36" t="s">
        <v>2946</v>
      </c>
      <c r="AR346" s="36" t="s">
        <v>76</v>
      </c>
      <c r="AS346" s="89"/>
      <c r="AT346" s="87">
        <v>4300000</v>
      </c>
      <c r="AU346" s="87">
        <v>430000</v>
      </c>
      <c r="AV346" s="87">
        <v>4730000</v>
      </c>
      <c r="AW346" s="38"/>
      <c r="AX346" s="85">
        <v>2025</v>
      </c>
      <c r="AY346" s="85">
        <v>6</v>
      </c>
      <c r="AZ346" s="36"/>
      <c r="BA346" s="1" t="s">
        <v>44</v>
      </c>
    </row>
    <row r="347" spans="10:53">
      <c r="J347" s="37"/>
      <c r="K347" s="36"/>
      <c r="L347" s="87"/>
      <c r="M347" s="87"/>
      <c r="N347" s="36"/>
      <c r="O347" s="36"/>
      <c r="P347" s="1"/>
      <c r="AD347"/>
      <c r="AG347"/>
      <c r="AM347" s="107"/>
      <c r="AN347" s="36" t="s">
        <v>32</v>
      </c>
      <c r="AO347" s="37">
        <v>45820</v>
      </c>
      <c r="AP347" s="36" t="s">
        <v>2005</v>
      </c>
      <c r="AQ347" s="36" t="s">
        <v>2947</v>
      </c>
      <c r="AR347" s="36" t="s">
        <v>267</v>
      </c>
      <c r="AS347" s="89"/>
      <c r="AT347" s="87">
        <v>13000000</v>
      </c>
      <c r="AU347" s="87">
        <v>1300000</v>
      </c>
      <c r="AV347" s="87">
        <v>14300000</v>
      </c>
      <c r="AW347" s="38"/>
      <c r="AX347" s="85">
        <v>2025</v>
      </c>
      <c r="AY347" s="85">
        <v>6</v>
      </c>
      <c r="AZ347" s="36"/>
      <c r="BA347" s="1" t="s">
        <v>44</v>
      </c>
    </row>
    <row r="348" spans="10:53">
      <c r="J348" s="37"/>
      <c r="K348" s="36"/>
      <c r="L348" s="87"/>
      <c r="M348" s="87"/>
      <c r="N348" s="36"/>
      <c r="O348" s="36"/>
      <c r="P348" s="1"/>
      <c r="AD348"/>
      <c r="AG348"/>
      <c r="AM348" s="107"/>
      <c r="AN348" s="36" t="s">
        <v>32</v>
      </c>
      <c r="AO348" s="37">
        <v>45809</v>
      </c>
      <c r="AP348" s="36" t="s">
        <v>1218</v>
      </c>
      <c r="AQ348" s="36" t="s">
        <v>1492</v>
      </c>
      <c r="AR348" s="36" t="s">
        <v>1492</v>
      </c>
      <c r="AS348" s="89"/>
      <c r="AT348" s="87">
        <v>30000000</v>
      </c>
      <c r="AU348" s="87">
        <v>3000000</v>
      </c>
      <c r="AV348" s="87">
        <v>33000000</v>
      </c>
      <c r="AW348" s="38"/>
      <c r="AX348" s="85">
        <v>2025</v>
      </c>
      <c r="AY348" s="85">
        <v>6</v>
      </c>
      <c r="AZ348" s="36"/>
      <c r="BA348" s="1" t="s">
        <v>44</v>
      </c>
    </row>
    <row r="349" spans="10:53">
      <c r="J349" s="37"/>
      <c r="K349" s="36"/>
      <c r="L349" s="87"/>
      <c r="M349" s="87"/>
      <c r="N349" s="36"/>
      <c r="O349" s="36"/>
      <c r="P349" s="1"/>
      <c r="AD349"/>
      <c r="AG349"/>
      <c r="AM349" s="107"/>
      <c r="AN349" s="36" t="s">
        <v>32</v>
      </c>
      <c r="AO349" s="37">
        <v>45818</v>
      </c>
      <c r="AP349" s="36" t="s">
        <v>1218</v>
      </c>
      <c r="AQ349" s="36" t="s">
        <v>1492</v>
      </c>
      <c r="AR349" s="36" t="s">
        <v>1492</v>
      </c>
      <c r="AS349" s="89"/>
      <c r="AT349" s="87">
        <v>20000000</v>
      </c>
      <c r="AU349" s="87">
        <v>2000000</v>
      </c>
      <c r="AV349" s="87">
        <v>22000000</v>
      </c>
      <c r="AW349" s="38"/>
      <c r="AX349" s="85">
        <v>2025</v>
      </c>
      <c r="AY349" s="85">
        <v>6</v>
      </c>
      <c r="AZ349" s="36"/>
      <c r="BA349" s="1" t="s">
        <v>44</v>
      </c>
    </row>
    <row r="350" spans="10:53">
      <c r="J350" s="37"/>
      <c r="K350" s="36"/>
      <c r="L350" s="87"/>
      <c r="M350" s="87"/>
      <c r="N350" s="36"/>
      <c r="O350" s="36"/>
      <c r="P350" s="1"/>
      <c r="AD350"/>
      <c r="AG350"/>
      <c r="AM350" s="107"/>
      <c r="AN350" s="36" t="s">
        <v>32</v>
      </c>
      <c r="AO350" s="37">
        <v>45828</v>
      </c>
      <c r="AP350" s="36" t="s">
        <v>1395</v>
      </c>
      <c r="AQ350" s="36" t="s">
        <v>2948</v>
      </c>
      <c r="AR350" s="36" t="s">
        <v>76</v>
      </c>
      <c r="AS350" s="89"/>
      <c r="AT350" s="87">
        <v>5090909</v>
      </c>
      <c r="AU350" s="87">
        <v>509090.9</v>
      </c>
      <c r="AV350" s="87">
        <v>5599999.9000000004</v>
      </c>
      <c r="AW350" s="38"/>
      <c r="AX350" s="85">
        <v>2025</v>
      </c>
      <c r="AY350" s="85">
        <v>6</v>
      </c>
      <c r="AZ350" s="36"/>
      <c r="BA350" s="1" t="s">
        <v>44</v>
      </c>
    </row>
    <row r="351" spans="10:53">
      <c r="J351" s="37"/>
      <c r="K351" s="36"/>
      <c r="L351" s="87"/>
      <c r="M351" s="87"/>
      <c r="N351" s="36"/>
      <c r="O351" s="36"/>
      <c r="P351" s="1"/>
      <c r="AD351"/>
      <c r="AG351"/>
      <c r="AM351" s="107"/>
      <c r="AN351" s="36" t="s">
        <v>32</v>
      </c>
      <c r="AO351" s="37">
        <v>45835</v>
      </c>
      <c r="AP351" s="36" t="s">
        <v>209</v>
      </c>
      <c r="AQ351" s="36" t="s">
        <v>2551</v>
      </c>
      <c r="AR351" s="36" t="s">
        <v>76</v>
      </c>
      <c r="AS351" s="89"/>
      <c r="AT351" s="87">
        <v>15445200</v>
      </c>
      <c r="AU351" s="87">
        <v>1544520</v>
      </c>
      <c r="AV351" s="87">
        <v>16989720</v>
      </c>
      <c r="AW351" s="38"/>
      <c r="AX351" s="85">
        <v>2025</v>
      </c>
      <c r="AY351" s="85">
        <v>6</v>
      </c>
      <c r="AZ351" s="36"/>
      <c r="BA351" s="1" t="s">
        <v>44</v>
      </c>
    </row>
    <row r="352" spans="10:53">
      <c r="J352" s="37"/>
      <c r="K352" s="36"/>
      <c r="L352" s="87"/>
      <c r="M352" s="38"/>
      <c r="N352" s="36"/>
      <c r="O352" s="36"/>
      <c r="P352" s="1"/>
      <c r="AD352"/>
      <c r="AG352"/>
      <c r="AM352" s="107"/>
      <c r="AN352" s="36" t="s">
        <v>32</v>
      </c>
      <c r="AO352" s="37">
        <v>45835</v>
      </c>
      <c r="AP352" s="36" t="s">
        <v>209</v>
      </c>
      <c r="AQ352" s="36" t="s">
        <v>2494</v>
      </c>
      <c r="AR352" s="36" t="s">
        <v>1492</v>
      </c>
      <c r="AS352" s="89"/>
      <c r="AT352" s="87">
        <v>2099200</v>
      </c>
      <c r="AU352" s="87">
        <v>209920</v>
      </c>
      <c r="AV352" s="87">
        <v>2309120</v>
      </c>
      <c r="AW352" s="38"/>
      <c r="AX352" s="85">
        <v>2025</v>
      </c>
      <c r="AY352" s="85">
        <v>6</v>
      </c>
      <c r="AZ352" s="36"/>
      <c r="BA352" s="1" t="s">
        <v>44</v>
      </c>
    </row>
    <row r="353" spans="10:53">
      <c r="J353" s="37"/>
      <c r="K353" s="36"/>
      <c r="L353" s="87"/>
      <c r="M353" s="38"/>
      <c r="N353" s="36"/>
      <c r="O353" s="36"/>
      <c r="P353" s="1"/>
      <c r="AD353"/>
      <c r="AG353"/>
      <c r="AM353" s="107"/>
      <c r="AN353" s="36" t="s">
        <v>32</v>
      </c>
      <c r="AO353" s="37">
        <v>45809</v>
      </c>
      <c r="AP353" s="36" t="s">
        <v>2166</v>
      </c>
      <c r="AQ353" s="36" t="s">
        <v>2949</v>
      </c>
      <c r="AR353" s="36" t="s">
        <v>76</v>
      </c>
      <c r="AS353" s="89"/>
      <c r="AT353" s="87">
        <v>44331460</v>
      </c>
      <c r="AU353" s="87">
        <v>4433146</v>
      </c>
      <c r="AV353" s="87">
        <v>48764606</v>
      </c>
      <c r="AW353" s="38"/>
      <c r="AX353" s="85">
        <v>2025</v>
      </c>
      <c r="AY353" s="85">
        <v>6</v>
      </c>
      <c r="AZ353" s="36"/>
      <c r="BA353" s="1" t="s">
        <v>44</v>
      </c>
    </row>
    <row r="354" spans="10:53">
      <c r="J354" s="37"/>
      <c r="K354" s="36"/>
      <c r="L354" s="87"/>
      <c r="M354" s="38"/>
      <c r="N354" s="36"/>
      <c r="O354" s="36"/>
      <c r="P354" s="1"/>
      <c r="AD354"/>
      <c r="AG354"/>
      <c r="AM354" s="107"/>
      <c r="AN354" s="36" t="s">
        <v>32</v>
      </c>
      <c r="AO354" s="37">
        <v>45817</v>
      </c>
      <c r="AP354" s="36" t="s">
        <v>2193</v>
      </c>
      <c r="AQ354" s="36" t="s">
        <v>2950</v>
      </c>
      <c r="AR354" s="36" t="s">
        <v>76</v>
      </c>
      <c r="AS354" s="89"/>
      <c r="AT354" s="87">
        <v>9090909</v>
      </c>
      <c r="AU354" s="87">
        <v>909090.9</v>
      </c>
      <c r="AV354" s="87">
        <v>9999999.9000000004</v>
      </c>
      <c r="AW354" s="38"/>
      <c r="AX354" s="85">
        <v>2025</v>
      </c>
      <c r="AY354" s="85">
        <v>6</v>
      </c>
      <c r="AZ354" s="36"/>
      <c r="BA354" s="1" t="s">
        <v>44</v>
      </c>
    </row>
    <row r="355" spans="10:53">
      <c r="J355" s="37"/>
      <c r="K355" s="36"/>
      <c r="L355" s="87"/>
      <c r="M355" s="38"/>
      <c r="N355" s="36"/>
      <c r="O355" s="36"/>
      <c r="P355" s="1"/>
      <c r="AD355"/>
      <c r="AG355"/>
      <c r="AM355" s="107"/>
      <c r="AN355" s="36" t="s">
        <v>32</v>
      </c>
      <c r="AO355" s="37">
        <v>45838</v>
      </c>
      <c r="AP355" s="36" t="s">
        <v>2871</v>
      </c>
      <c r="AQ355" s="36" t="s">
        <v>2636</v>
      </c>
      <c r="AR355" s="36" t="s">
        <v>76</v>
      </c>
      <c r="AS355" s="89"/>
      <c r="AT355" s="87">
        <v>1115000</v>
      </c>
      <c r="AU355" s="87">
        <v>111500</v>
      </c>
      <c r="AV355" s="87">
        <v>1226500</v>
      </c>
      <c r="AW355" s="38"/>
      <c r="AX355" s="85">
        <v>2025</v>
      </c>
      <c r="AY355" s="85">
        <v>6</v>
      </c>
      <c r="AZ355" s="36"/>
      <c r="BA355" s="1" t="s">
        <v>44</v>
      </c>
    </row>
    <row r="356" spans="10:53">
      <c r="J356" s="37"/>
      <c r="K356" s="36"/>
      <c r="L356" s="87"/>
      <c r="M356" s="38"/>
      <c r="N356" s="36"/>
      <c r="O356" s="36"/>
      <c r="P356" s="1"/>
      <c r="AD356"/>
      <c r="AG356"/>
      <c r="AM356" s="107"/>
      <c r="AN356" s="36" t="s">
        <v>32</v>
      </c>
      <c r="AO356" s="37">
        <v>45838</v>
      </c>
      <c r="AP356" s="36" t="s">
        <v>2944</v>
      </c>
      <c r="AQ356" s="36" t="s">
        <v>2951</v>
      </c>
      <c r="AR356" s="36" t="s">
        <v>76</v>
      </c>
      <c r="AS356" s="89"/>
      <c r="AT356" s="87">
        <v>2520000</v>
      </c>
      <c r="AU356" s="87">
        <v>252000</v>
      </c>
      <c r="AV356" s="87">
        <v>2772000</v>
      </c>
      <c r="AW356" s="38"/>
      <c r="AX356" s="85">
        <v>2025</v>
      </c>
      <c r="AY356" s="85">
        <v>6</v>
      </c>
      <c r="AZ356" s="36"/>
      <c r="BA356" s="1" t="s">
        <v>44</v>
      </c>
    </row>
    <row r="357" spans="10:53">
      <c r="J357" s="37"/>
      <c r="K357" s="36"/>
      <c r="L357" s="87"/>
      <c r="M357" s="38"/>
      <c r="N357" s="36"/>
      <c r="O357" s="36"/>
      <c r="P357" s="1"/>
      <c r="AD357"/>
      <c r="AG357"/>
      <c r="AM357" s="107"/>
      <c r="AN357" s="36" t="s">
        <v>32</v>
      </c>
      <c r="AO357" s="37">
        <v>45838</v>
      </c>
      <c r="AP357" s="36" t="s">
        <v>2941</v>
      </c>
      <c r="AQ357" s="36" t="s">
        <v>2952</v>
      </c>
      <c r="AR357" s="36" t="s">
        <v>2957</v>
      </c>
      <c r="AS357" s="89"/>
      <c r="AT357" s="87">
        <v>7000000</v>
      </c>
      <c r="AU357" s="87">
        <v>700000</v>
      </c>
      <c r="AV357" s="87">
        <v>7700000</v>
      </c>
      <c r="AW357" s="38"/>
      <c r="AX357" s="85">
        <v>2025</v>
      </c>
      <c r="AY357" s="85">
        <v>6</v>
      </c>
      <c r="AZ357" s="36"/>
      <c r="BA357" s="1" t="s">
        <v>44</v>
      </c>
    </row>
    <row r="358" spans="10:53">
      <c r="J358" s="37"/>
      <c r="K358" s="36"/>
      <c r="L358" s="87"/>
      <c r="M358" s="38"/>
      <c r="N358" s="36"/>
      <c r="O358" s="36"/>
      <c r="P358" s="1"/>
      <c r="AD358"/>
      <c r="AG358"/>
      <c r="AM358" s="107"/>
      <c r="AN358" s="36" t="s">
        <v>32</v>
      </c>
      <c r="AO358" s="37">
        <v>45838</v>
      </c>
      <c r="AP358" s="36" t="s">
        <v>1396</v>
      </c>
      <c r="AQ358" s="36" t="s">
        <v>2953</v>
      </c>
      <c r="AR358" s="36" t="s">
        <v>78</v>
      </c>
      <c r="AS358" s="89"/>
      <c r="AT358" s="87">
        <v>10950000</v>
      </c>
      <c r="AU358" s="87">
        <v>1095000</v>
      </c>
      <c r="AV358" s="87">
        <v>12045000</v>
      </c>
      <c r="AW358" s="38"/>
      <c r="AX358" s="85">
        <v>2025</v>
      </c>
      <c r="AY358" s="85">
        <v>6</v>
      </c>
      <c r="AZ358" s="36"/>
      <c r="BA358" s="1" t="s">
        <v>44</v>
      </c>
    </row>
    <row r="359" spans="10:53">
      <c r="J359" s="37"/>
      <c r="K359" s="36"/>
      <c r="L359" s="87"/>
      <c r="M359" s="87"/>
      <c r="N359" s="36"/>
      <c r="O359" s="36"/>
      <c r="P359" s="1"/>
      <c r="AD359"/>
      <c r="AG359"/>
      <c r="AM359" s="107"/>
      <c r="AN359" s="36" t="s">
        <v>32</v>
      </c>
      <c r="AO359" s="37">
        <v>45838</v>
      </c>
      <c r="AP359" s="36" t="s">
        <v>1396</v>
      </c>
      <c r="AQ359" s="36" t="s">
        <v>2679</v>
      </c>
      <c r="AR359" s="36" t="s">
        <v>76</v>
      </c>
      <c r="AS359" s="89"/>
      <c r="AT359" s="87">
        <v>4410000</v>
      </c>
      <c r="AU359" s="87">
        <v>441000</v>
      </c>
      <c r="AV359" s="87">
        <v>4851000</v>
      </c>
      <c r="AW359" s="38"/>
      <c r="AX359" s="85">
        <v>2025</v>
      </c>
      <c r="AY359" s="85">
        <v>6</v>
      </c>
      <c r="AZ359" s="36"/>
      <c r="BA359" s="1" t="s">
        <v>44</v>
      </c>
    </row>
    <row r="360" spans="10:53">
      <c r="J360" s="37"/>
      <c r="K360" s="36"/>
      <c r="L360" s="87"/>
      <c r="M360" s="87"/>
      <c r="N360" s="36"/>
      <c r="O360" s="36"/>
      <c r="P360" s="1"/>
      <c r="AD360"/>
      <c r="AG360"/>
      <c r="AM360" s="107"/>
      <c r="AN360" s="36" t="s">
        <v>32</v>
      </c>
      <c r="AO360" s="37">
        <v>45838</v>
      </c>
      <c r="AP360" s="36" t="s">
        <v>1396</v>
      </c>
      <c r="AQ360" s="36" t="s">
        <v>2680</v>
      </c>
      <c r="AR360" s="36" t="s">
        <v>76</v>
      </c>
      <c r="AS360" s="89"/>
      <c r="AT360" s="87">
        <v>4780000</v>
      </c>
      <c r="AU360" s="87">
        <v>478000</v>
      </c>
      <c r="AV360" s="87">
        <v>5258000</v>
      </c>
      <c r="AW360" s="38"/>
      <c r="AX360" s="85">
        <v>2025</v>
      </c>
      <c r="AY360" s="85">
        <v>6</v>
      </c>
      <c r="AZ360" s="36"/>
      <c r="BA360" s="1" t="s">
        <v>44</v>
      </c>
    </row>
    <row r="361" spans="10:53">
      <c r="J361" s="37"/>
      <c r="K361" s="36"/>
      <c r="L361" s="87"/>
      <c r="M361" s="87"/>
      <c r="N361" s="36"/>
      <c r="O361" s="36"/>
      <c r="P361" s="1"/>
      <c r="AD361"/>
      <c r="AG361"/>
      <c r="AM361" s="107"/>
      <c r="AN361" s="36" t="s">
        <v>32</v>
      </c>
      <c r="AO361" s="37">
        <v>45838</v>
      </c>
      <c r="AP361" s="36" t="s">
        <v>1396</v>
      </c>
      <c r="AQ361" s="36" t="s">
        <v>2954</v>
      </c>
      <c r="AR361" s="36" t="s">
        <v>76</v>
      </c>
      <c r="AS361" s="89"/>
      <c r="AT361" s="87">
        <v>1730000</v>
      </c>
      <c r="AU361" s="87">
        <v>173000</v>
      </c>
      <c r="AV361" s="87">
        <v>1903000</v>
      </c>
      <c r="AW361" s="38"/>
      <c r="AX361" s="85">
        <v>2025</v>
      </c>
      <c r="AY361" s="85">
        <v>6</v>
      </c>
      <c r="AZ361" s="36"/>
      <c r="BA361" s="1" t="s">
        <v>44</v>
      </c>
    </row>
    <row r="362" spans="10:53">
      <c r="J362" s="37"/>
      <c r="K362" s="36"/>
      <c r="L362" s="87"/>
      <c r="M362" s="87"/>
      <c r="N362" s="36"/>
      <c r="O362" s="36"/>
      <c r="P362" s="1"/>
      <c r="AD362"/>
      <c r="AG362"/>
      <c r="AM362" s="107"/>
      <c r="AN362" s="36" t="s">
        <v>32</v>
      </c>
      <c r="AO362" s="37">
        <v>45838</v>
      </c>
      <c r="AP362" s="36" t="s">
        <v>2868</v>
      </c>
      <c r="AQ362" s="36" t="s">
        <v>2875</v>
      </c>
      <c r="AR362" s="36" t="s">
        <v>76</v>
      </c>
      <c r="AS362" s="89"/>
      <c r="AT362" s="87">
        <v>18000000</v>
      </c>
      <c r="AU362" s="87">
        <v>1800000</v>
      </c>
      <c r="AV362" s="87">
        <v>19800000</v>
      </c>
      <c r="AW362" s="38"/>
      <c r="AX362" s="85">
        <v>2025</v>
      </c>
      <c r="AY362" s="85">
        <v>6</v>
      </c>
      <c r="AZ362" s="36"/>
      <c r="BA362" s="1" t="s">
        <v>44</v>
      </c>
    </row>
    <row r="363" spans="10:53">
      <c r="J363" s="37"/>
      <c r="K363" s="36"/>
      <c r="L363" s="87"/>
      <c r="M363" s="87"/>
      <c r="N363" s="36"/>
      <c r="O363" s="36"/>
      <c r="P363" s="1"/>
      <c r="AD363"/>
      <c r="AG363"/>
      <c r="AM363" s="107"/>
      <c r="AN363" s="36" t="s">
        <v>32</v>
      </c>
      <c r="AO363" s="37">
        <v>45838</v>
      </c>
      <c r="AP363" s="36" t="s">
        <v>2825</v>
      </c>
      <c r="AQ363" s="36" t="s">
        <v>2833</v>
      </c>
      <c r="AR363" s="36" t="s">
        <v>76</v>
      </c>
      <c r="AS363" s="89"/>
      <c r="AT363" s="87">
        <v>8499000</v>
      </c>
      <c r="AU363" s="87">
        <v>849900</v>
      </c>
      <c r="AV363" s="87">
        <v>9348900</v>
      </c>
      <c r="AW363" s="38"/>
      <c r="AX363" s="85">
        <v>2025</v>
      </c>
      <c r="AY363" s="85">
        <v>6</v>
      </c>
      <c r="AZ363" s="36"/>
      <c r="BA363" s="1" t="s">
        <v>44</v>
      </c>
    </row>
    <row r="364" spans="10:53">
      <c r="J364" s="37"/>
      <c r="K364" s="36"/>
      <c r="L364" s="87"/>
      <c r="M364" s="87"/>
      <c r="N364" s="36"/>
      <c r="O364" s="36"/>
      <c r="P364" s="1"/>
      <c r="AD364"/>
      <c r="AG364"/>
      <c r="AM364" s="107"/>
      <c r="AN364" s="36" t="s">
        <v>32</v>
      </c>
      <c r="AO364" s="37">
        <v>45838</v>
      </c>
      <c r="AP364" s="36" t="s">
        <v>2774</v>
      </c>
      <c r="AQ364" s="36" t="s">
        <v>2784</v>
      </c>
      <c r="AR364" s="36" t="s">
        <v>76</v>
      </c>
      <c r="AS364" s="89"/>
      <c r="AT364" s="87">
        <v>12111800</v>
      </c>
      <c r="AU364" s="87">
        <v>1211180</v>
      </c>
      <c r="AV364" s="87">
        <v>13322980</v>
      </c>
      <c r="AW364" s="38"/>
      <c r="AX364" s="85">
        <v>2025</v>
      </c>
      <c r="AY364" s="85">
        <v>6</v>
      </c>
      <c r="AZ364" s="36"/>
      <c r="BA364" s="1" t="s">
        <v>44</v>
      </c>
    </row>
    <row r="365" spans="10:53">
      <c r="J365" s="37"/>
      <c r="K365" s="36"/>
      <c r="L365" s="87"/>
      <c r="M365" s="87"/>
      <c r="N365" s="36"/>
      <c r="O365" s="36"/>
      <c r="P365" s="1"/>
      <c r="AD365"/>
      <c r="AG365"/>
      <c r="AM365" s="107"/>
      <c r="AN365" s="36" t="s">
        <v>32</v>
      </c>
      <c r="AO365" s="37">
        <v>45838</v>
      </c>
      <c r="AP365" s="36" t="s">
        <v>2774</v>
      </c>
      <c r="AQ365" s="36" t="s">
        <v>2784</v>
      </c>
      <c r="AR365" s="36" t="s">
        <v>76</v>
      </c>
      <c r="AS365" s="89"/>
      <c r="AT365" s="87">
        <v>1454500</v>
      </c>
      <c r="AU365" s="87">
        <v>145450</v>
      </c>
      <c r="AV365" s="87">
        <v>1599950</v>
      </c>
      <c r="AW365" s="38"/>
      <c r="AX365" s="85">
        <v>2025</v>
      </c>
      <c r="AY365" s="85">
        <v>6</v>
      </c>
      <c r="AZ365" s="36"/>
      <c r="BA365" s="1" t="s">
        <v>44</v>
      </c>
    </row>
    <row r="366" spans="10:53">
      <c r="J366" s="37"/>
      <c r="K366" s="36"/>
      <c r="L366" s="87"/>
      <c r="M366" s="38"/>
      <c r="N366" s="36"/>
      <c r="O366" s="36"/>
      <c r="P366" s="1"/>
      <c r="AD366"/>
      <c r="AG366"/>
      <c r="AM366" s="107"/>
      <c r="AN366" s="36" t="s">
        <v>32</v>
      </c>
      <c r="AO366" s="37">
        <v>45838</v>
      </c>
      <c r="AP366" s="36" t="s">
        <v>654</v>
      </c>
      <c r="AQ366" s="36" t="s">
        <v>1854</v>
      </c>
      <c r="AR366" s="36" t="s">
        <v>76</v>
      </c>
      <c r="AS366" s="89"/>
      <c r="AT366" s="87">
        <v>4001060</v>
      </c>
      <c r="AU366" s="87">
        <v>400106</v>
      </c>
      <c r="AV366" s="87">
        <v>4401166</v>
      </c>
      <c r="AW366" s="38"/>
      <c r="AX366" s="85">
        <v>2025</v>
      </c>
      <c r="AY366" s="85">
        <v>6</v>
      </c>
      <c r="AZ366" s="36"/>
      <c r="BA366" s="1" t="s">
        <v>44</v>
      </c>
    </row>
    <row r="367" spans="10:53">
      <c r="J367" s="37"/>
      <c r="K367" s="36"/>
      <c r="L367" s="87"/>
      <c r="M367" s="38"/>
      <c r="N367" s="36"/>
      <c r="O367" s="36"/>
      <c r="P367" s="1"/>
      <c r="AD367"/>
      <c r="AG367"/>
      <c r="AM367" s="107"/>
      <c r="AN367" s="36" t="s">
        <v>32</v>
      </c>
      <c r="AO367" s="37">
        <v>45838</v>
      </c>
      <c r="AP367" s="36" t="s">
        <v>654</v>
      </c>
      <c r="AQ367" s="36" t="s">
        <v>2588</v>
      </c>
      <c r="AR367" s="36" t="s">
        <v>76</v>
      </c>
      <c r="AS367" s="89"/>
      <c r="AT367" s="87">
        <v>10587500</v>
      </c>
      <c r="AU367" s="87">
        <v>1058750</v>
      </c>
      <c r="AV367" s="87">
        <v>11646250</v>
      </c>
      <c r="AW367" s="38"/>
      <c r="AX367" s="85">
        <v>2025</v>
      </c>
      <c r="AY367" s="85">
        <v>6</v>
      </c>
      <c r="AZ367" s="36"/>
      <c r="BA367" s="1" t="s">
        <v>44</v>
      </c>
    </row>
    <row r="368" spans="10:53">
      <c r="J368" s="37"/>
      <c r="K368" s="36"/>
      <c r="L368" s="87"/>
      <c r="M368" s="38"/>
      <c r="N368" s="36"/>
      <c r="O368" s="36"/>
      <c r="P368" s="1"/>
      <c r="AD368"/>
      <c r="AG368"/>
      <c r="AM368" s="107"/>
      <c r="AN368" s="36" t="s">
        <v>32</v>
      </c>
      <c r="AO368" s="37">
        <v>45838</v>
      </c>
      <c r="AP368" s="36" t="s">
        <v>654</v>
      </c>
      <c r="AQ368" s="36" t="s">
        <v>2588</v>
      </c>
      <c r="AR368" s="36" t="s">
        <v>2648</v>
      </c>
      <c r="AS368" s="89"/>
      <c r="AT368" s="87">
        <v>12463000</v>
      </c>
      <c r="AU368" s="87">
        <v>1246300</v>
      </c>
      <c r="AV368" s="87">
        <v>13709300</v>
      </c>
      <c r="AW368" s="38"/>
      <c r="AX368" s="85">
        <v>2025</v>
      </c>
      <c r="AY368" s="85">
        <v>6</v>
      </c>
      <c r="AZ368" s="36"/>
      <c r="BA368" s="1" t="s">
        <v>44</v>
      </c>
    </row>
    <row r="369" spans="10:53">
      <c r="J369" s="37"/>
      <c r="K369" s="36"/>
      <c r="L369" s="87"/>
      <c r="M369" s="38"/>
      <c r="N369" s="36"/>
      <c r="O369" s="36"/>
      <c r="P369" s="1"/>
      <c r="AD369"/>
      <c r="AG369"/>
      <c r="AM369" s="107"/>
      <c r="AN369" s="36" t="s">
        <v>32</v>
      </c>
      <c r="AO369" s="37">
        <v>45838</v>
      </c>
      <c r="AP369" s="36" t="s">
        <v>654</v>
      </c>
      <c r="AQ369" s="36" t="s">
        <v>2541</v>
      </c>
      <c r="AR369" s="36" t="s">
        <v>76</v>
      </c>
      <c r="AS369" s="89"/>
      <c r="AT369" s="87">
        <v>25458000</v>
      </c>
      <c r="AU369" s="87">
        <v>2545800</v>
      </c>
      <c r="AV369" s="87">
        <v>28003800</v>
      </c>
      <c r="AW369" s="38"/>
      <c r="AX369" s="85">
        <v>2025</v>
      </c>
      <c r="AY369" s="85">
        <v>6</v>
      </c>
      <c r="AZ369" s="36"/>
      <c r="BA369" s="1" t="s">
        <v>44</v>
      </c>
    </row>
    <row r="370" spans="10:53">
      <c r="J370" s="37"/>
      <c r="K370" s="36"/>
      <c r="L370" s="87"/>
      <c r="M370" s="87"/>
      <c r="N370" s="36"/>
      <c r="O370" s="36"/>
      <c r="P370" s="1"/>
      <c r="AD370"/>
      <c r="AG370"/>
      <c r="AM370" s="107"/>
      <c r="AN370" s="36" t="s">
        <v>32</v>
      </c>
      <c r="AO370" s="37">
        <v>45838</v>
      </c>
      <c r="AP370" s="36" t="s">
        <v>654</v>
      </c>
      <c r="AQ370" s="36" t="s">
        <v>2635</v>
      </c>
      <c r="AR370" s="36" t="s">
        <v>2648</v>
      </c>
      <c r="AS370" s="89"/>
      <c r="AT370" s="87">
        <v>13785000</v>
      </c>
      <c r="AU370" s="87">
        <v>1378500</v>
      </c>
      <c r="AV370" s="87">
        <v>15163500</v>
      </c>
      <c r="AW370" s="38"/>
      <c r="AX370" s="85">
        <v>2025</v>
      </c>
      <c r="AY370" s="85">
        <v>6</v>
      </c>
      <c r="AZ370" s="36"/>
      <c r="BA370" s="1" t="s">
        <v>44</v>
      </c>
    </row>
    <row r="371" spans="10:53">
      <c r="J371" s="37"/>
      <c r="K371" s="36"/>
      <c r="L371" s="87"/>
      <c r="M371" s="87"/>
      <c r="N371" s="36"/>
      <c r="O371" s="36"/>
      <c r="P371" s="1"/>
      <c r="AD371"/>
      <c r="AG371"/>
      <c r="AM371" s="107"/>
      <c r="AN371" s="36" t="s">
        <v>32</v>
      </c>
      <c r="AO371" s="37">
        <v>45838</v>
      </c>
      <c r="AP371" s="36" t="s">
        <v>2824</v>
      </c>
      <c r="AQ371" s="36" t="s">
        <v>2832</v>
      </c>
      <c r="AR371" s="36" t="s">
        <v>76</v>
      </c>
      <c r="AS371" s="89"/>
      <c r="AT371" s="87">
        <v>33582000</v>
      </c>
      <c r="AU371" s="87">
        <v>3358200</v>
      </c>
      <c r="AV371" s="87">
        <v>36940200</v>
      </c>
      <c r="AW371" s="38"/>
      <c r="AX371" s="85">
        <v>2025</v>
      </c>
      <c r="AY371" s="85">
        <v>6</v>
      </c>
      <c r="AZ371" s="36"/>
      <c r="BA371" s="1" t="s">
        <v>44</v>
      </c>
    </row>
    <row r="372" spans="10:53">
      <c r="J372" s="37"/>
      <c r="K372" s="36"/>
      <c r="L372" s="87"/>
      <c r="M372" s="87"/>
      <c r="N372" s="36"/>
      <c r="O372" s="36"/>
      <c r="P372" s="1"/>
      <c r="AD372"/>
      <c r="AG372"/>
      <c r="AM372" s="107"/>
      <c r="AN372" s="36" t="s">
        <v>32</v>
      </c>
      <c r="AO372" s="37">
        <v>45838</v>
      </c>
      <c r="AP372" s="36" t="s">
        <v>2477</v>
      </c>
      <c r="AQ372" s="36" t="s">
        <v>2485</v>
      </c>
      <c r="AR372" s="36" t="s">
        <v>76</v>
      </c>
      <c r="AS372" s="89"/>
      <c r="AT372" s="87">
        <v>6297120</v>
      </c>
      <c r="AU372" s="87">
        <v>629712</v>
      </c>
      <c r="AV372" s="87">
        <v>6926832</v>
      </c>
      <c r="AW372" s="38"/>
      <c r="AX372" s="85">
        <v>2025</v>
      </c>
      <c r="AY372" s="85">
        <v>6</v>
      </c>
      <c r="AZ372" s="36"/>
      <c r="BA372" s="1" t="s">
        <v>44</v>
      </c>
    </row>
    <row r="373" spans="10:53">
      <c r="J373" s="37"/>
      <c r="K373" s="36"/>
      <c r="L373" s="87"/>
      <c r="M373" s="87"/>
      <c r="N373" s="36"/>
      <c r="O373" s="36"/>
      <c r="P373" s="1"/>
      <c r="AD373"/>
      <c r="AG373"/>
      <c r="AM373" s="107"/>
      <c r="AN373" s="36" t="s">
        <v>32</v>
      </c>
      <c r="AO373" s="37">
        <v>45838</v>
      </c>
      <c r="AP373" s="36" t="s">
        <v>1198</v>
      </c>
      <c r="AQ373" s="36" t="s">
        <v>2887</v>
      </c>
      <c r="AR373" s="36" t="s">
        <v>78</v>
      </c>
      <c r="AS373" s="89"/>
      <c r="AT373" s="87">
        <v>2529000</v>
      </c>
      <c r="AU373" s="87">
        <v>252900</v>
      </c>
      <c r="AV373" s="87">
        <v>2781900</v>
      </c>
      <c r="AW373" s="38"/>
      <c r="AX373" s="85">
        <v>2025</v>
      </c>
      <c r="AY373" s="85">
        <v>6</v>
      </c>
      <c r="AZ373" s="36"/>
      <c r="BA373" s="1" t="s">
        <v>44</v>
      </c>
    </row>
    <row r="374" spans="10:53">
      <c r="J374" s="37"/>
      <c r="K374" s="36"/>
      <c r="L374" s="87"/>
      <c r="M374" s="38"/>
      <c r="N374" s="36"/>
      <c r="O374" s="36"/>
      <c r="P374" s="1"/>
      <c r="AD374"/>
      <c r="AG374"/>
      <c r="AM374" s="107"/>
      <c r="AN374" s="36" t="s">
        <v>32</v>
      </c>
      <c r="AO374" s="37">
        <v>45838</v>
      </c>
      <c r="AP374" s="36" t="s">
        <v>1198</v>
      </c>
      <c r="AQ374" s="36" t="s">
        <v>2955</v>
      </c>
      <c r="AR374" s="36" t="s">
        <v>78</v>
      </c>
      <c r="AS374" s="89"/>
      <c r="AT374" s="87">
        <v>6862600</v>
      </c>
      <c r="AU374" s="87">
        <v>686260</v>
      </c>
      <c r="AV374" s="87">
        <v>7548860</v>
      </c>
      <c r="AW374" s="38"/>
      <c r="AX374" s="85">
        <v>2025</v>
      </c>
      <c r="AY374" s="85">
        <v>6</v>
      </c>
      <c r="AZ374" s="36"/>
      <c r="BA374" s="1" t="s">
        <v>44</v>
      </c>
    </row>
    <row r="375" spans="10:53">
      <c r="J375" s="37"/>
      <c r="K375" s="36"/>
      <c r="L375" s="87"/>
      <c r="M375" s="38"/>
      <c r="N375" s="36"/>
      <c r="O375" s="36"/>
      <c r="P375" s="1"/>
      <c r="AD375"/>
      <c r="AG375"/>
      <c r="AM375" s="107"/>
      <c r="AN375" s="36" t="s">
        <v>32</v>
      </c>
      <c r="AO375" s="37">
        <v>45838</v>
      </c>
      <c r="AP375" s="36" t="s">
        <v>2945</v>
      </c>
      <c r="AQ375" s="36" t="s">
        <v>2956</v>
      </c>
      <c r="AR375" s="36" t="s">
        <v>78</v>
      </c>
      <c r="AS375" s="89"/>
      <c r="AT375" s="87">
        <v>780000</v>
      </c>
      <c r="AU375" s="87">
        <v>78000</v>
      </c>
      <c r="AV375" s="87">
        <v>858000</v>
      </c>
      <c r="AW375" s="38"/>
      <c r="AX375" s="85">
        <v>2025</v>
      </c>
      <c r="AY375" s="85">
        <v>6</v>
      </c>
      <c r="AZ375" s="36"/>
      <c r="BA375" s="1" t="s">
        <v>44</v>
      </c>
    </row>
    <row r="376" spans="10:53">
      <c r="J376" s="37"/>
      <c r="K376" s="36"/>
      <c r="L376" s="87"/>
      <c r="M376" s="38"/>
      <c r="N376" s="36"/>
      <c r="O376" s="36"/>
      <c r="P376" s="1"/>
      <c r="AD376"/>
      <c r="AG376"/>
      <c r="AM376" s="107"/>
      <c r="AN376" s="36" t="s">
        <v>32</v>
      </c>
      <c r="AO376" s="37">
        <v>45838</v>
      </c>
      <c r="AP376" s="36" t="s">
        <v>2166</v>
      </c>
      <c r="AQ376" s="36" t="s">
        <v>2836</v>
      </c>
      <c r="AR376" s="36" t="s">
        <v>76</v>
      </c>
      <c r="AS376" s="89"/>
      <c r="AT376" s="87">
        <v>32648180</v>
      </c>
      <c r="AU376" s="87">
        <v>3264818</v>
      </c>
      <c r="AV376" s="87">
        <v>35912998</v>
      </c>
      <c r="AW376" s="38"/>
      <c r="AX376" s="85">
        <v>2025</v>
      </c>
      <c r="AY376" s="85">
        <v>6</v>
      </c>
      <c r="AZ376" s="36"/>
      <c r="BA376" s="1" t="s">
        <v>44</v>
      </c>
    </row>
    <row r="377" spans="10:53">
      <c r="J377" s="37"/>
      <c r="K377" s="36"/>
      <c r="L377" s="87"/>
      <c r="M377" s="87"/>
      <c r="N377" s="36"/>
      <c r="O377" s="36"/>
      <c r="P377" s="1"/>
      <c r="AD377"/>
      <c r="AG377"/>
      <c r="AM377" s="107"/>
      <c r="AN377" s="36" t="s">
        <v>32</v>
      </c>
      <c r="AO377" s="37">
        <v>45838</v>
      </c>
      <c r="AP377" s="36" t="s">
        <v>2966</v>
      </c>
      <c r="AQ377" s="36" t="s">
        <v>2271</v>
      </c>
      <c r="AR377" s="36" t="s">
        <v>1492</v>
      </c>
      <c r="AS377" s="89"/>
      <c r="AT377" s="87">
        <v>1936716</v>
      </c>
      <c r="AU377" s="87">
        <v>193671.6</v>
      </c>
      <c r="AV377" s="87">
        <v>2130387.6</v>
      </c>
      <c r="AW377" s="38"/>
      <c r="AX377" s="85">
        <v>2025</v>
      </c>
      <c r="AY377" s="85">
        <v>6</v>
      </c>
      <c r="AZ377" s="36"/>
      <c r="BA377" s="1" t="s">
        <v>44</v>
      </c>
    </row>
    <row r="378" spans="10:53">
      <c r="J378" s="37"/>
      <c r="K378" s="36"/>
      <c r="L378" s="87"/>
      <c r="M378" s="38"/>
      <c r="N378" s="36"/>
      <c r="O378" s="36"/>
      <c r="P378" s="1"/>
      <c r="AD378"/>
      <c r="AG378"/>
      <c r="AM378" s="107"/>
      <c r="AN378" s="36" t="s">
        <v>32</v>
      </c>
      <c r="AO378" s="37">
        <v>45838</v>
      </c>
      <c r="AP378" s="36" t="s">
        <v>2872</v>
      </c>
      <c r="AQ378" s="36" t="s">
        <v>2885</v>
      </c>
      <c r="AR378" s="36" t="s">
        <v>76</v>
      </c>
      <c r="AS378" s="89"/>
      <c r="AT378" s="87">
        <v>15000000</v>
      </c>
      <c r="AU378" s="87">
        <v>1500000</v>
      </c>
      <c r="AV378" s="87">
        <v>16500000</v>
      </c>
      <c r="AW378" s="38"/>
      <c r="AX378" s="85">
        <v>2025</v>
      </c>
      <c r="AY378" s="85">
        <v>6</v>
      </c>
      <c r="AZ378" s="36"/>
      <c r="BA378" s="1" t="s">
        <v>44</v>
      </c>
    </row>
    <row r="379" spans="10:53">
      <c r="J379" s="37"/>
      <c r="K379" s="36"/>
      <c r="L379" s="87"/>
      <c r="M379" s="38"/>
      <c r="N379" s="36"/>
      <c r="O379" s="36"/>
      <c r="P379" s="1"/>
      <c r="AD379"/>
      <c r="AG379"/>
      <c r="AM379" s="107"/>
      <c r="AN379" s="36" t="s">
        <v>32</v>
      </c>
      <c r="AO379" s="37">
        <v>45838</v>
      </c>
      <c r="AP379" s="36" t="s">
        <v>188</v>
      </c>
      <c r="AQ379" s="36" t="s">
        <v>2937</v>
      </c>
      <c r="AR379" s="36" t="s">
        <v>76</v>
      </c>
      <c r="AS379" s="89"/>
      <c r="AT379" s="87">
        <v>13126701</v>
      </c>
      <c r="AU379" s="87">
        <v>1312670.1000000001</v>
      </c>
      <c r="AV379" s="87">
        <v>14439371.1</v>
      </c>
      <c r="AW379" s="38"/>
      <c r="AX379" s="85">
        <v>2025</v>
      </c>
      <c r="AY379" s="85">
        <v>6</v>
      </c>
      <c r="AZ379" s="36"/>
      <c r="BA379" s="1" t="s">
        <v>44</v>
      </c>
    </row>
    <row r="380" spans="10:53">
      <c r="J380" s="37"/>
      <c r="K380" s="36"/>
      <c r="L380" s="87"/>
      <c r="M380" s="87"/>
      <c r="N380" s="36"/>
      <c r="O380" s="36"/>
      <c r="P380" s="1"/>
      <c r="AD380"/>
      <c r="AG380"/>
      <c r="AM380" s="107"/>
      <c r="AN380" s="36" t="s">
        <v>32</v>
      </c>
      <c r="AO380" s="37">
        <v>45838</v>
      </c>
      <c r="AP380" s="36" t="s">
        <v>654</v>
      </c>
      <c r="AQ380" s="36" t="s">
        <v>2588</v>
      </c>
      <c r="AR380" s="36" t="s">
        <v>2648</v>
      </c>
      <c r="AS380" s="89"/>
      <c r="AT380" s="87">
        <v>-12463000</v>
      </c>
      <c r="AU380" s="87">
        <v>-1246300</v>
      </c>
      <c r="AV380" s="87">
        <v>-13709300</v>
      </c>
      <c r="AW380" s="38"/>
      <c r="AX380" s="85">
        <v>2025</v>
      </c>
      <c r="AY380" s="85">
        <v>6</v>
      </c>
      <c r="AZ380" s="36"/>
      <c r="BA380" s="1" t="s">
        <v>44</v>
      </c>
    </row>
    <row r="381" spans="10:53">
      <c r="J381" s="37"/>
      <c r="K381" s="36"/>
      <c r="L381" s="87"/>
      <c r="M381" s="38"/>
      <c r="N381" s="36"/>
      <c r="O381" s="36"/>
      <c r="P381" s="1"/>
      <c r="AD381"/>
      <c r="AG381"/>
      <c r="AM381" s="107"/>
      <c r="AN381" s="36" t="s">
        <v>32</v>
      </c>
      <c r="AO381" s="37">
        <v>45838</v>
      </c>
      <c r="AP381" s="36" t="s">
        <v>654</v>
      </c>
      <c r="AQ381" s="36" t="s">
        <v>2635</v>
      </c>
      <c r="AR381" s="36" t="s">
        <v>2648</v>
      </c>
      <c r="AS381" s="89"/>
      <c r="AT381" s="87">
        <v>-13785000</v>
      </c>
      <c r="AU381" s="87">
        <v>-1378500</v>
      </c>
      <c r="AV381" s="87">
        <v>-15163500</v>
      </c>
      <c r="AW381" s="38"/>
      <c r="AX381" s="85">
        <v>2025</v>
      </c>
      <c r="AY381" s="85">
        <v>6</v>
      </c>
      <c r="AZ381" s="36"/>
      <c r="BA381" s="1" t="s">
        <v>44</v>
      </c>
    </row>
    <row r="382" spans="10:53">
      <c r="J382" s="37"/>
      <c r="K382" s="36"/>
      <c r="L382" s="87"/>
      <c r="M382" s="87"/>
      <c r="N382" s="36"/>
      <c r="O382" s="36"/>
      <c r="P382" s="1"/>
      <c r="AD382"/>
      <c r="AG382"/>
      <c r="AM382" s="107"/>
      <c r="AN382" s="36" t="s">
        <v>32</v>
      </c>
      <c r="AO382" s="37">
        <v>45826</v>
      </c>
      <c r="AP382" s="36" t="s">
        <v>2943</v>
      </c>
      <c r="AQ382" s="36" t="s">
        <v>2946</v>
      </c>
      <c r="AR382" s="36" t="s">
        <v>77</v>
      </c>
      <c r="AS382" s="89"/>
      <c r="AT382" s="87"/>
      <c r="AU382" s="87"/>
      <c r="AV382" s="87"/>
      <c r="AW382" s="38">
        <v>4730000</v>
      </c>
      <c r="AX382" s="85">
        <v>2025</v>
      </c>
      <c r="AY382" s="85">
        <v>6</v>
      </c>
      <c r="AZ382" s="36"/>
      <c r="BA382" s="1" t="s">
        <v>44</v>
      </c>
    </row>
    <row r="383" spans="10:53">
      <c r="J383" s="37"/>
      <c r="K383" s="36"/>
      <c r="L383" s="87"/>
      <c r="M383" s="38"/>
      <c r="N383" s="36"/>
      <c r="O383" s="36"/>
      <c r="P383" s="1"/>
      <c r="AD383"/>
      <c r="AG383"/>
      <c r="AM383" s="107"/>
      <c r="AN383" s="36" t="s">
        <v>32</v>
      </c>
      <c r="AO383" s="37">
        <v>45824</v>
      </c>
      <c r="AP383" s="36" t="s">
        <v>2005</v>
      </c>
      <c r="AQ383" s="36" t="s">
        <v>2947</v>
      </c>
      <c r="AR383" s="36" t="s">
        <v>77</v>
      </c>
      <c r="AS383" s="89"/>
      <c r="AT383" s="87"/>
      <c r="AU383" s="87"/>
      <c r="AV383" s="87"/>
      <c r="AW383" s="38">
        <v>14300000</v>
      </c>
      <c r="AX383" s="85">
        <v>2025</v>
      </c>
      <c r="AY383" s="85">
        <v>6</v>
      </c>
      <c r="AZ383" s="36" t="s">
        <v>2958</v>
      </c>
      <c r="BA383" s="1" t="s">
        <v>44</v>
      </c>
    </row>
    <row r="384" spans="10:53">
      <c r="J384" s="37"/>
      <c r="K384" s="36"/>
      <c r="L384" s="87"/>
      <c r="M384" s="38"/>
      <c r="N384" s="36"/>
      <c r="O384" s="36"/>
      <c r="P384" s="1"/>
      <c r="AD384"/>
      <c r="AG384"/>
      <c r="AM384" s="107"/>
      <c r="AN384" s="36" t="s">
        <v>32</v>
      </c>
      <c r="AO384" s="37">
        <v>45831</v>
      </c>
      <c r="AP384" s="36" t="s">
        <v>1218</v>
      </c>
      <c r="AQ384" s="36" t="s">
        <v>1492</v>
      </c>
      <c r="AR384" s="36" t="s">
        <v>77</v>
      </c>
      <c r="AS384" s="89"/>
      <c r="AT384" s="87"/>
      <c r="AU384" s="87"/>
      <c r="AV384" s="87"/>
      <c r="AW384" s="38">
        <v>33000000</v>
      </c>
      <c r="AX384" s="85">
        <v>2025</v>
      </c>
      <c r="AY384" s="85">
        <v>6</v>
      </c>
      <c r="AZ384" s="36"/>
      <c r="BA384" s="1" t="s">
        <v>44</v>
      </c>
    </row>
    <row r="385" spans="10:53">
      <c r="J385" s="37"/>
      <c r="K385" s="36"/>
      <c r="L385" s="87"/>
      <c r="M385" s="38"/>
      <c r="N385" s="36"/>
      <c r="O385" s="36"/>
      <c r="P385" s="1"/>
      <c r="AD385"/>
      <c r="AG385"/>
      <c r="AM385" s="107"/>
      <c r="AN385" s="36" t="s">
        <v>32</v>
      </c>
      <c r="AO385" s="37">
        <v>45840</v>
      </c>
      <c r="AP385" s="36" t="s">
        <v>1218</v>
      </c>
      <c r="AQ385" s="36" t="s">
        <v>1492</v>
      </c>
      <c r="AR385" s="36" t="s">
        <v>77</v>
      </c>
      <c r="AS385" s="89"/>
      <c r="AT385" s="87"/>
      <c r="AU385" s="87"/>
      <c r="AV385" s="87"/>
      <c r="AW385" s="38">
        <v>22000000</v>
      </c>
      <c r="AX385" s="85">
        <v>2025</v>
      </c>
      <c r="AY385" s="85">
        <v>6</v>
      </c>
      <c r="AZ385" s="36"/>
      <c r="BA385" s="1" t="s">
        <v>44</v>
      </c>
    </row>
    <row r="386" spans="10:53">
      <c r="J386" s="37"/>
      <c r="K386" s="36"/>
      <c r="L386" s="87"/>
      <c r="M386" s="38"/>
      <c r="N386" s="36"/>
      <c r="O386" s="36"/>
      <c r="P386" s="1"/>
      <c r="AD386"/>
      <c r="AG386"/>
      <c r="AM386" s="107"/>
      <c r="AN386" s="36" t="s">
        <v>32</v>
      </c>
      <c r="AO386" s="37">
        <v>45828</v>
      </c>
      <c r="AP386" s="36" t="s">
        <v>1395</v>
      </c>
      <c r="AQ386" s="36" t="s">
        <v>2948</v>
      </c>
      <c r="AR386" s="36" t="s">
        <v>77</v>
      </c>
      <c r="AS386" s="89"/>
      <c r="AT386" s="87"/>
      <c r="AU386" s="87"/>
      <c r="AV386" s="87"/>
      <c r="AW386" s="38">
        <v>5600000</v>
      </c>
      <c r="AX386" s="85">
        <v>2025</v>
      </c>
      <c r="AY386" s="85">
        <v>6</v>
      </c>
      <c r="AZ386" s="36"/>
      <c r="BA386" s="1" t="s">
        <v>44</v>
      </c>
    </row>
    <row r="387" spans="10:53">
      <c r="J387" s="37"/>
      <c r="K387" s="36"/>
      <c r="L387" s="87"/>
      <c r="M387" s="87"/>
      <c r="N387" s="36"/>
      <c r="O387" s="36"/>
      <c r="P387" s="1"/>
      <c r="AD387"/>
      <c r="AG387"/>
      <c r="AM387" s="107"/>
      <c r="AN387" s="36" t="s">
        <v>32</v>
      </c>
      <c r="AO387" s="37">
        <v>45838</v>
      </c>
      <c r="AP387" s="36" t="s">
        <v>2193</v>
      </c>
      <c r="AQ387" s="36" t="s">
        <v>2950</v>
      </c>
      <c r="AR387" s="36" t="s">
        <v>77</v>
      </c>
      <c r="AS387" s="89"/>
      <c r="AT387" s="87"/>
      <c r="AU387" s="87"/>
      <c r="AV387" s="87"/>
      <c r="AW387" s="38">
        <v>10000000</v>
      </c>
      <c r="AX387" s="85">
        <v>2025</v>
      </c>
      <c r="AY387" s="85">
        <v>6</v>
      </c>
      <c r="AZ387" s="36"/>
      <c r="BA387" s="1" t="s">
        <v>44</v>
      </c>
    </row>
    <row r="388" spans="10:53">
      <c r="J388" s="37"/>
      <c r="K388" s="36"/>
      <c r="L388" s="87"/>
      <c r="M388" s="87"/>
      <c r="N388" s="36"/>
      <c r="O388" s="36"/>
      <c r="P388" s="1"/>
      <c r="AD388"/>
      <c r="AG388"/>
      <c r="AM388" s="107"/>
      <c r="AN388" s="36" t="s">
        <v>32</v>
      </c>
      <c r="AO388" s="37">
        <v>45838</v>
      </c>
      <c r="AP388" s="36" t="s">
        <v>2824</v>
      </c>
      <c r="AQ388" s="36" t="s">
        <v>2832</v>
      </c>
      <c r="AR388" s="36" t="s">
        <v>148</v>
      </c>
      <c r="AS388" s="89"/>
      <c r="AT388" s="87"/>
      <c r="AU388" s="87"/>
      <c r="AV388" s="87"/>
      <c r="AW388" s="87">
        <v>43016600</v>
      </c>
      <c r="AX388" s="85">
        <v>2025</v>
      </c>
      <c r="AY388" s="85">
        <v>5</v>
      </c>
      <c r="AZ388" s="36"/>
      <c r="BA388" s="1" t="s">
        <v>44</v>
      </c>
    </row>
    <row r="389" spans="10:53">
      <c r="J389" s="37"/>
      <c r="K389" s="36"/>
      <c r="L389" s="87"/>
      <c r="M389" s="87"/>
      <c r="N389" s="36"/>
      <c r="O389" s="36"/>
      <c r="P389" s="1"/>
      <c r="AD389"/>
      <c r="AG389"/>
      <c r="AM389" s="107"/>
      <c r="AN389" s="36" t="s">
        <v>32</v>
      </c>
      <c r="AO389" s="37">
        <v>45833</v>
      </c>
      <c r="AP389" s="36" t="s">
        <v>209</v>
      </c>
      <c r="AQ389" s="36" t="s">
        <v>2551</v>
      </c>
      <c r="AR389" s="36" t="s">
        <v>2797</v>
      </c>
      <c r="AS389" s="89"/>
      <c r="AT389" s="87"/>
      <c r="AU389" s="87"/>
      <c r="AV389" s="87"/>
      <c r="AW389" s="87">
        <v>4455000</v>
      </c>
      <c r="AX389" s="85">
        <v>2025</v>
      </c>
      <c r="AY389" s="85">
        <v>5</v>
      </c>
      <c r="AZ389" s="36"/>
      <c r="BA389" s="1" t="s">
        <v>44</v>
      </c>
    </row>
    <row r="390" spans="10:53">
      <c r="J390" s="37"/>
      <c r="K390" s="36"/>
      <c r="L390" s="87"/>
      <c r="M390" s="87"/>
      <c r="N390" s="36"/>
      <c r="O390" s="36"/>
      <c r="P390" s="1"/>
      <c r="AD390"/>
      <c r="AG390"/>
      <c r="AM390" s="107"/>
      <c r="AN390" s="36" t="s">
        <v>32</v>
      </c>
      <c r="AO390" s="37">
        <v>45824</v>
      </c>
      <c r="AP390" s="36" t="s">
        <v>2673</v>
      </c>
      <c r="AQ390" s="36" t="s">
        <v>2686</v>
      </c>
      <c r="AR390" s="36" t="s">
        <v>148</v>
      </c>
      <c r="AS390" s="89"/>
      <c r="AT390" s="87"/>
      <c r="AU390" s="87"/>
      <c r="AV390" s="87"/>
      <c r="AW390" s="87">
        <v>4367682</v>
      </c>
      <c r="AX390" s="85">
        <v>2025</v>
      </c>
      <c r="AY390" s="85">
        <v>3</v>
      </c>
      <c r="AZ390" s="36"/>
      <c r="BA390" s="1" t="s">
        <v>44</v>
      </c>
    </row>
    <row r="391" spans="10:53">
      <c r="J391" s="37"/>
      <c r="K391" s="36"/>
      <c r="L391" s="87"/>
      <c r="M391" s="38"/>
      <c r="N391" s="36"/>
      <c r="O391" s="36"/>
      <c r="P391" s="1"/>
      <c r="AD391"/>
      <c r="AG391"/>
      <c r="AM391" s="107"/>
      <c r="AN391" s="36" t="s">
        <v>32</v>
      </c>
      <c r="AO391" s="37">
        <v>45853</v>
      </c>
      <c r="AP391" s="36" t="s">
        <v>2166</v>
      </c>
      <c r="AQ391" s="36" t="s">
        <v>2949</v>
      </c>
      <c r="AR391" s="36" t="s">
        <v>2960</v>
      </c>
      <c r="AS391" s="89"/>
      <c r="AT391" s="87"/>
      <c r="AU391" s="87"/>
      <c r="AV391" s="87"/>
      <c r="AW391" s="87">
        <v>48764606</v>
      </c>
      <c r="AX391" s="85">
        <v>2025</v>
      </c>
      <c r="AY391" s="85">
        <v>6</v>
      </c>
      <c r="AZ391" s="36"/>
      <c r="BA391" s="1" t="s">
        <v>44</v>
      </c>
    </row>
    <row r="392" spans="10:53">
      <c r="J392" s="37"/>
      <c r="K392" s="36"/>
      <c r="L392" s="87"/>
      <c r="M392" s="38"/>
      <c r="N392" s="36"/>
      <c r="O392" s="36"/>
      <c r="P392" s="1"/>
      <c r="AD392"/>
      <c r="AG392"/>
      <c r="AM392" s="107"/>
      <c r="AN392" s="36" t="s">
        <v>32</v>
      </c>
      <c r="AO392" s="37">
        <v>45853</v>
      </c>
      <c r="AP392" s="36" t="s">
        <v>2629</v>
      </c>
      <c r="AQ392" s="36" t="s">
        <v>2642</v>
      </c>
      <c r="AR392" s="36" t="s">
        <v>148</v>
      </c>
      <c r="AS392" s="89"/>
      <c r="AT392" s="87"/>
      <c r="AU392" s="87"/>
      <c r="AV392" s="87"/>
      <c r="AW392" s="87">
        <v>2970000</v>
      </c>
      <c r="AX392" s="85">
        <v>2025</v>
      </c>
      <c r="AY392" s="85">
        <v>1</v>
      </c>
      <c r="AZ392" s="36"/>
      <c r="BA392" s="1" t="s">
        <v>44</v>
      </c>
    </row>
    <row r="393" spans="10:53">
      <c r="J393" s="37"/>
      <c r="K393" s="36"/>
      <c r="L393" s="87"/>
      <c r="M393" s="87"/>
      <c r="N393" s="36"/>
      <c r="O393" s="36"/>
      <c r="P393" s="1"/>
      <c r="AD393"/>
      <c r="AG393"/>
      <c r="AM393" s="107"/>
      <c r="AN393" s="36" t="s">
        <v>32</v>
      </c>
      <c r="AO393" s="37">
        <v>45856</v>
      </c>
      <c r="AP393" s="36" t="s">
        <v>1462</v>
      </c>
      <c r="AQ393" s="36" t="s">
        <v>2962</v>
      </c>
      <c r="AR393" s="36" t="s">
        <v>76</v>
      </c>
      <c r="AS393" s="89"/>
      <c r="AT393" s="87">
        <v>-9090909</v>
      </c>
      <c r="AU393" s="87">
        <v>-909090.9</v>
      </c>
      <c r="AV393" s="87">
        <v>-9999999.9000000004</v>
      </c>
      <c r="AW393" s="38"/>
      <c r="AX393" s="85">
        <v>2025</v>
      </c>
      <c r="AY393" s="85">
        <v>4</v>
      </c>
      <c r="AZ393" s="36"/>
      <c r="BA393" s="1" t="s">
        <v>44</v>
      </c>
    </row>
    <row r="394" spans="10:53">
      <c r="J394" s="37"/>
      <c r="K394" s="36"/>
      <c r="L394" s="87"/>
      <c r="M394" s="38"/>
      <c r="N394" s="36"/>
      <c r="O394" s="36"/>
      <c r="P394" s="1"/>
      <c r="AD394"/>
      <c r="AG394"/>
      <c r="AM394" s="107"/>
      <c r="AN394" s="36" t="s">
        <v>32</v>
      </c>
      <c r="AO394" s="37">
        <v>45860</v>
      </c>
      <c r="AP394" s="36" t="s">
        <v>654</v>
      </c>
      <c r="AQ394" s="36" t="s">
        <v>2633</v>
      </c>
      <c r="AR394" s="36" t="s">
        <v>148</v>
      </c>
      <c r="AS394" s="89"/>
      <c r="AT394" s="87"/>
      <c r="AU394" s="87"/>
      <c r="AV394" s="87"/>
      <c r="AW394" s="87">
        <v>14873452</v>
      </c>
      <c r="AX394" s="85">
        <v>2025</v>
      </c>
      <c r="AY394" s="85">
        <v>1</v>
      </c>
      <c r="AZ394" s="36"/>
      <c r="BA394" s="1" t="s">
        <v>44</v>
      </c>
    </row>
    <row r="395" spans="10:53">
      <c r="J395" s="37"/>
      <c r="K395" s="36"/>
      <c r="L395" s="87"/>
      <c r="M395" s="38"/>
      <c r="N395" s="36"/>
      <c r="O395" s="36"/>
      <c r="P395" s="1"/>
      <c r="AD395"/>
      <c r="AG395"/>
      <c r="AM395" s="107"/>
      <c r="AN395" s="36" t="s">
        <v>32</v>
      </c>
      <c r="AO395" s="37">
        <v>45860</v>
      </c>
      <c r="AP395" s="36" t="s">
        <v>2966</v>
      </c>
      <c r="AQ395" s="36" t="s">
        <v>2271</v>
      </c>
      <c r="AR395" s="36" t="s">
        <v>148</v>
      </c>
      <c r="AS395" s="89"/>
      <c r="AT395" s="87"/>
      <c r="AU395" s="87"/>
      <c r="AV395" s="87"/>
      <c r="AW395" s="87">
        <v>1936716</v>
      </c>
      <c r="AX395" s="85">
        <v>2025</v>
      </c>
      <c r="AY395" s="85">
        <v>6</v>
      </c>
      <c r="AZ395" s="36"/>
      <c r="BA395" s="1" t="s">
        <v>44</v>
      </c>
    </row>
    <row r="396" spans="10:53">
      <c r="J396" s="37"/>
      <c r="K396" s="36"/>
      <c r="L396" s="87"/>
      <c r="M396" s="87"/>
      <c r="N396" s="36"/>
      <c r="O396" s="36"/>
      <c r="P396" s="1"/>
      <c r="AD396"/>
      <c r="AG396"/>
      <c r="AM396" s="107"/>
      <c r="AN396" s="36" t="s">
        <v>32</v>
      </c>
      <c r="AO396" s="37">
        <v>45864</v>
      </c>
      <c r="AP396" s="36" t="s">
        <v>2966</v>
      </c>
      <c r="AQ396" s="36" t="s">
        <v>2271</v>
      </c>
      <c r="AR396" s="36" t="s">
        <v>148</v>
      </c>
      <c r="AS396" s="89"/>
      <c r="AT396" s="87"/>
      <c r="AU396" s="87"/>
      <c r="AV396" s="87"/>
      <c r="AW396" s="38">
        <v>193672</v>
      </c>
      <c r="AX396" s="85">
        <v>2025</v>
      </c>
      <c r="AY396" s="85">
        <v>6</v>
      </c>
      <c r="AZ396" s="36"/>
      <c r="BA396" s="1" t="s">
        <v>44</v>
      </c>
    </row>
    <row r="397" spans="10:53">
      <c r="J397" s="37"/>
      <c r="K397" s="36"/>
      <c r="L397" s="87"/>
      <c r="M397" s="38"/>
      <c r="N397" s="36"/>
      <c r="O397" s="36"/>
      <c r="P397" s="1"/>
      <c r="AD397"/>
      <c r="AG397"/>
      <c r="AM397" s="107"/>
      <c r="AN397" s="36" t="s">
        <v>32</v>
      </c>
      <c r="AO397" s="37">
        <v>45863</v>
      </c>
      <c r="AP397" s="36" t="s">
        <v>209</v>
      </c>
      <c r="AQ397" s="36" t="s">
        <v>2551</v>
      </c>
      <c r="AR397" s="36" t="s">
        <v>2797</v>
      </c>
      <c r="AS397" s="89"/>
      <c r="AT397" s="87"/>
      <c r="AU397" s="87"/>
      <c r="AV397" s="87"/>
      <c r="AW397" s="87">
        <v>16989720</v>
      </c>
      <c r="AX397" s="85">
        <v>2025</v>
      </c>
      <c r="AY397" s="85">
        <v>6</v>
      </c>
      <c r="AZ397" s="36"/>
      <c r="BA397" s="1" t="s">
        <v>44</v>
      </c>
    </row>
    <row r="398" spans="10:53">
      <c r="J398" s="37"/>
      <c r="K398" s="36"/>
      <c r="L398" s="87"/>
      <c r="M398" s="38"/>
      <c r="N398" s="36"/>
      <c r="O398" s="36"/>
      <c r="P398" s="1"/>
      <c r="AD398"/>
      <c r="AG398"/>
      <c r="AM398" s="107"/>
      <c r="AN398" s="36" t="s">
        <v>32</v>
      </c>
      <c r="AO398" s="37">
        <v>45868</v>
      </c>
      <c r="AP398" s="36" t="s">
        <v>654</v>
      </c>
      <c r="AQ398" s="36" t="s">
        <v>2541</v>
      </c>
      <c r="AR398" s="36" t="s">
        <v>2733</v>
      </c>
      <c r="AS398" s="89"/>
      <c r="AT398" s="87"/>
      <c r="AU398" s="87"/>
      <c r="AV398" s="87"/>
      <c r="AW398" s="283">
        <v>28003800</v>
      </c>
      <c r="AX398" s="85">
        <v>2025</v>
      </c>
      <c r="AY398" s="85">
        <v>6</v>
      </c>
      <c r="AZ398" s="295" t="s">
        <v>2969</v>
      </c>
      <c r="BA398" s="1" t="s">
        <v>44</v>
      </c>
    </row>
    <row r="399" spans="10:53">
      <c r="J399" s="37"/>
      <c r="K399" s="36"/>
      <c r="L399" s="87"/>
      <c r="M399" s="87"/>
      <c r="N399" s="36"/>
      <c r="O399" s="36"/>
      <c r="P399" s="1"/>
      <c r="AD399"/>
      <c r="AG399"/>
      <c r="AM399" s="107"/>
      <c r="AN399" s="36" t="s">
        <v>32</v>
      </c>
      <c r="AO399" s="37">
        <v>45869</v>
      </c>
      <c r="AP399" s="36" t="s">
        <v>2825</v>
      </c>
      <c r="AQ399" s="36" t="s">
        <v>2833</v>
      </c>
      <c r="AR399" s="36" t="s">
        <v>148</v>
      </c>
      <c r="AS399" s="89"/>
      <c r="AT399" s="87"/>
      <c r="AU399" s="87"/>
      <c r="AV399" s="87"/>
      <c r="AW399" s="87">
        <v>9348900</v>
      </c>
      <c r="AX399" s="85">
        <v>2025</v>
      </c>
      <c r="AY399" s="85">
        <v>6</v>
      </c>
      <c r="AZ399" s="36"/>
      <c r="BA399" s="1" t="s">
        <v>44</v>
      </c>
    </row>
    <row r="400" spans="10:53">
      <c r="J400" s="37"/>
      <c r="K400" s="36"/>
      <c r="L400" s="87"/>
      <c r="M400" s="87"/>
      <c r="N400" s="36"/>
      <c r="O400" s="36"/>
      <c r="P400" s="1"/>
      <c r="AD400"/>
      <c r="AG400"/>
      <c r="AM400" s="107"/>
      <c r="AN400" s="36" t="s">
        <v>32</v>
      </c>
      <c r="AO400" s="37">
        <v>45869</v>
      </c>
      <c r="AP400" s="36" t="s">
        <v>2868</v>
      </c>
      <c r="AQ400" s="36" t="s">
        <v>2875</v>
      </c>
      <c r="AR400" s="36" t="s">
        <v>148</v>
      </c>
      <c r="AS400" s="89"/>
      <c r="AT400" s="87"/>
      <c r="AU400" s="87"/>
      <c r="AV400" s="87"/>
      <c r="AW400" s="87">
        <v>47850000</v>
      </c>
      <c r="AX400" s="85">
        <v>2025</v>
      </c>
      <c r="AY400" s="85">
        <v>5</v>
      </c>
      <c r="AZ400" s="36"/>
      <c r="BA400" s="1" t="s">
        <v>44</v>
      </c>
    </row>
    <row r="401" spans="10:53">
      <c r="J401" s="37"/>
      <c r="K401" s="36"/>
      <c r="L401" s="87"/>
      <c r="M401" s="38"/>
      <c r="N401" s="36"/>
      <c r="O401" s="36"/>
      <c r="P401" s="1"/>
      <c r="AD401"/>
      <c r="AG401"/>
      <c r="AM401" s="107"/>
      <c r="AN401" s="36" t="s">
        <v>32</v>
      </c>
      <c r="AO401" s="37">
        <v>45869</v>
      </c>
      <c r="AP401" s="36" t="s">
        <v>2941</v>
      </c>
      <c r="AQ401" s="36" t="s">
        <v>2952</v>
      </c>
      <c r="AR401" s="36" t="s">
        <v>148</v>
      </c>
      <c r="AS401" s="89"/>
      <c r="AT401" s="87"/>
      <c r="AU401" s="87"/>
      <c r="AV401" s="87"/>
      <c r="AW401" s="87">
        <v>7700000</v>
      </c>
      <c r="AX401" s="85">
        <v>2025</v>
      </c>
      <c r="AY401" s="85">
        <v>6</v>
      </c>
      <c r="AZ401" s="36"/>
      <c r="BA401" s="1" t="s">
        <v>44</v>
      </c>
    </row>
    <row r="402" spans="10:53">
      <c r="J402" s="37"/>
      <c r="K402" s="36"/>
      <c r="L402" s="87"/>
      <c r="M402" s="87"/>
      <c r="N402" s="36"/>
      <c r="O402" s="36"/>
      <c r="P402" s="1"/>
      <c r="AD402"/>
      <c r="AG402"/>
      <c r="AM402" s="107"/>
      <c r="AN402" s="36" t="s">
        <v>32</v>
      </c>
      <c r="AO402" s="37">
        <v>45869</v>
      </c>
      <c r="AP402" s="36" t="s">
        <v>1470</v>
      </c>
      <c r="AQ402" s="36" t="s">
        <v>1487</v>
      </c>
      <c r="AR402" s="36" t="s">
        <v>148</v>
      </c>
      <c r="AS402" s="89"/>
      <c r="AT402" s="87"/>
      <c r="AU402" s="87"/>
      <c r="AV402" s="87"/>
      <c r="AW402" s="87">
        <v>19137030</v>
      </c>
      <c r="AX402" s="85">
        <v>2025</v>
      </c>
      <c r="AY402" s="85">
        <v>5</v>
      </c>
      <c r="AZ402" s="36"/>
      <c r="BA402" s="1" t="s">
        <v>44</v>
      </c>
    </row>
    <row r="403" spans="10:53">
      <c r="J403" s="37"/>
      <c r="K403" s="36"/>
      <c r="L403" s="87"/>
      <c r="M403" s="87"/>
      <c r="N403" s="36"/>
      <c r="O403" s="36"/>
      <c r="P403" s="1"/>
      <c r="AD403"/>
      <c r="AG403"/>
      <c r="AM403" s="107"/>
      <c r="AN403" s="36" t="s">
        <v>32</v>
      </c>
      <c r="AO403" s="37">
        <v>45869</v>
      </c>
      <c r="AP403" s="36" t="s">
        <v>2166</v>
      </c>
      <c r="AQ403" s="36" t="s">
        <v>2836</v>
      </c>
      <c r="AR403" s="36" t="s">
        <v>2971</v>
      </c>
      <c r="AS403" s="89"/>
      <c r="AT403" s="87"/>
      <c r="AU403" s="87"/>
      <c r="AV403" s="87"/>
      <c r="AW403" s="38">
        <v>20000000</v>
      </c>
      <c r="AX403" s="85">
        <v>2025</v>
      </c>
      <c r="AY403" s="85">
        <v>6</v>
      </c>
      <c r="AZ403" s="36"/>
      <c r="BA403" s="1" t="s">
        <v>44</v>
      </c>
    </row>
    <row r="404" spans="10:53">
      <c r="J404" s="37"/>
      <c r="K404" s="36"/>
      <c r="L404" s="87"/>
      <c r="M404" s="87"/>
      <c r="N404" s="36"/>
      <c r="O404" s="36"/>
      <c r="P404" s="1"/>
      <c r="AD404"/>
      <c r="AG404"/>
      <c r="AM404" s="107"/>
      <c r="AN404" s="36" t="s">
        <v>32</v>
      </c>
      <c r="AO404" s="37">
        <v>45869</v>
      </c>
      <c r="AP404" s="36" t="s">
        <v>2774</v>
      </c>
      <c r="AQ404" s="36" t="s">
        <v>2784</v>
      </c>
      <c r="AR404" s="36" t="s">
        <v>148</v>
      </c>
      <c r="AS404" s="89"/>
      <c r="AT404" s="87"/>
      <c r="AU404" s="87"/>
      <c r="AV404" s="87"/>
      <c r="AW404" s="87">
        <v>1599950</v>
      </c>
      <c r="AX404" s="85">
        <v>2025</v>
      </c>
      <c r="AY404" s="85">
        <v>6</v>
      </c>
      <c r="AZ404" s="36"/>
      <c r="BA404" s="1" t="s">
        <v>44</v>
      </c>
    </row>
    <row r="405" spans="10:53">
      <c r="J405" s="37"/>
      <c r="K405" s="36"/>
      <c r="L405" s="87"/>
      <c r="M405" s="38"/>
      <c r="N405" s="36"/>
      <c r="O405" s="36"/>
      <c r="P405" s="208"/>
      <c r="AD405"/>
      <c r="AG405"/>
      <c r="AM405" s="107"/>
      <c r="AN405" s="36" t="s">
        <v>32</v>
      </c>
      <c r="AO405" s="37">
        <v>45869</v>
      </c>
      <c r="AP405" s="36" t="s">
        <v>2824</v>
      </c>
      <c r="AQ405" s="36" t="s">
        <v>2832</v>
      </c>
      <c r="AR405" s="36" t="s">
        <v>148</v>
      </c>
      <c r="AS405" s="89"/>
      <c r="AT405" s="87"/>
      <c r="AU405" s="87"/>
      <c r="AV405" s="87"/>
      <c r="AW405" s="87">
        <v>36940200</v>
      </c>
      <c r="AX405" s="85">
        <v>2025</v>
      </c>
      <c r="AY405" s="85">
        <v>6</v>
      </c>
      <c r="AZ405" s="36"/>
      <c r="BA405" s="1" t="s">
        <v>44</v>
      </c>
    </row>
    <row r="406" spans="10:53">
      <c r="J406" s="37"/>
      <c r="K406" s="36"/>
      <c r="L406" s="87"/>
      <c r="M406" s="87"/>
      <c r="N406" s="36"/>
      <c r="O406" s="36"/>
      <c r="P406" s="208"/>
      <c r="AD406"/>
      <c r="AG406"/>
      <c r="AM406" s="107"/>
      <c r="AN406" s="36" t="s">
        <v>32</v>
      </c>
      <c r="AO406" s="37">
        <v>45873</v>
      </c>
      <c r="AP406" s="36" t="s">
        <v>2874</v>
      </c>
      <c r="AQ406" s="36" t="s">
        <v>2854</v>
      </c>
      <c r="AR406" s="36" t="s">
        <v>148</v>
      </c>
      <c r="AS406" s="89"/>
      <c r="AT406" s="87"/>
      <c r="AU406" s="87"/>
      <c r="AV406" s="87"/>
      <c r="AW406" s="87">
        <v>49170000</v>
      </c>
      <c r="AX406" s="85">
        <v>2025</v>
      </c>
      <c r="AY406" s="85">
        <v>5</v>
      </c>
      <c r="AZ406" s="36"/>
      <c r="BA406" s="1" t="s">
        <v>44</v>
      </c>
    </row>
    <row r="407" spans="10:53">
      <c r="J407" s="37"/>
      <c r="K407" s="36"/>
      <c r="L407" s="87"/>
      <c r="M407" s="38"/>
      <c r="N407" s="36"/>
      <c r="O407" s="36"/>
      <c r="P407" s="208"/>
      <c r="AD407"/>
      <c r="AG407"/>
      <c r="AM407" s="107"/>
      <c r="AN407" s="36" t="s">
        <v>32</v>
      </c>
      <c r="AO407" s="37">
        <v>45874</v>
      </c>
      <c r="AP407" s="36" t="s">
        <v>2774</v>
      </c>
      <c r="AQ407" s="36" t="s">
        <v>2784</v>
      </c>
      <c r="AR407" s="36" t="s">
        <v>148</v>
      </c>
      <c r="AS407" s="89"/>
      <c r="AT407" s="87"/>
      <c r="AU407" s="87"/>
      <c r="AV407" s="87"/>
      <c r="AW407" s="87">
        <v>13322980</v>
      </c>
      <c r="AX407" s="85">
        <v>2025</v>
      </c>
      <c r="AY407" s="85">
        <v>6</v>
      </c>
      <c r="AZ407" s="36"/>
      <c r="BA407" s="1" t="s">
        <v>44</v>
      </c>
    </row>
    <row r="408" spans="10:53">
      <c r="J408" s="37"/>
      <c r="K408" s="36"/>
      <c r="L408" s="87"/>
      <c r="M408" s="87"/>
      <c r="N408" s="36"/>
      <c r="O408" s="36"/>
      <c r="P408" s="208"/>
      <c r="AD408"/>
      <c r="AG408"/>
      <c r="AM408" s="107"/>
      <c r="AN408" s="36" t="s">
        <v>32</v>
      </c>
      <c r="AO408" s="37">
        <v>45875</v>
      </c>
      <c r="AP408" s="36" t="s">
        <v>334</v>
      </c>
      <c r="AQ408" s="36" t="s">
        <v>2486</v>
      </c>
      <c r="AR408" s="36" t="s">
        <v>2507</v>
      </c>
      <c r="AS408" s="89"/>
      <c r="AT408" s="87"/>
      <c r="AU408" s="87"/>
      <c r="AV408" s="87"/>
      <c r="AW408" s="87">
        <v>7469000</v>
      </c>
      <c r="AX408" s="85">
        <v>2025</v>
      </c>
      <c r="AY408" s="85">
        <v>5</v>
      </c>
      <c r="AZ408" s="36"/>
      <c r="BA408" s="1" t="s">
        <v>44</v>
      </c>
    </row>
    <row r="409" spans="10:53">
      <c r="J409" s="37"/>
      <c r="K409" s="36"/>
      <c r="L409" s="87"/>
      <c r="M409" s="38"/>
      <c r="N409" s="36"/>
      <c r="O409" s="36"/>
      <c r="P409" s="208"/>
      <c r="AD409"/>
      <c r="AG409"/>
      <c r="AM409" s="107"/>
      <c r="AN409" s="36" t="s">
        <v>32</v>
      </c>
      <c r="AO409" s="37">
        <v>45875</v>
      </c>
      <c r="AP409" s="36" t="s">
        <v>1396</v>
      </c>
      <c r="AQ409" s="36" t="s">
        <v>2953</v>
      </c>
      <c r="AR409" s="36" t="s">
        <v>2974</v>
      </c>
      <c r="AS409" s="89"/>
      <c r="AT409" s="87"/>
      <c r="AU409" s="87"/>
      <c r="AV409" s="87"/>
      <c r="AW409" s="87">
        <v>12045000</v>
      </c>
      <c r="AX409" s="85">
        <v>2025</v>
      </c>
      <c r="AY409" s="85">
        <v>6</v>
      </c>
      <c r="AZ409" s="36"/>
      <c r="BA409" s="1" t="s">
        <v>44</v>
      </c>
    </row>
    <row r="410" spans="10:53">
      <c r="J410" s="37"/>
      <c r="K410" s="36"/>
      <c r="L410" s="87"/>
      <c r="M410" s="38"/>
      <c r="N410" s="36"/>
      <c r="O410" s="36"/>
      <c r="P410" s="208"/>
      <c r="AD410"/>
      <c r="AG410"/>
      <c r="AM410" s="107"/>
      <c r="AN410" s="36" t="s">
        <v>32</v>
      </c>
      <c r="AO410" s="37">
        <v>45875</v>
      </c>
      <c r="AP410" s="36" t="s">
        <v>1396</v>
      </c>
      <c r="AQ410" s="36" t="s">
        <v>2679</v>
      </c>
      <c r="AR410" s="36" t="s">
        <v>2706</v>
      </c>
      <c r="AS410" s="89"/>
      <c r="AT410" s="87"/>
      <c r="AU410" s="87"/>
      <c r="AV410" s="87"/>
      <c r="AW410" s="87">
        <v>4851000</v>
      </c>
      <c r="AX410" s="85">
        <v>2025</v>
      </c>
      <c r="AY410" s="85">
        <v>6</v>
      </c>
      <c r="AZ410" s="36"/>
      <c r="BA410" s="1" t="s">
        <v>44</v>
      </c>
    </row>
    <row r="411" spans="10:53">
      <c r="J411" s="37"/>
      <c r="K411" s="36"/>
      <c r="L411" s="87"/>
      <c r="M411" s="38"/>
      <c r="N411" s="36"/>
      <c r="O411" s="36"/>
      <c r="P411" s="208"/>
      <c r="AD411"/>
      <c r="AG411"/>
      <c r="AM411" s="107"/>
      <c r="AN411" s="36" t="s">
        <v>32</v>
      </c>
      <c r="AO411" s="37">
        <v>45875</v>
      </c>
      <c r="AP411" s="36" t="s">
        <v>1396</v>
      </c>
      <c r="AQ411" s="36" t="s">
        <v>2680</v>
      </c>
      <c r="AR411" s="36" t="s">
        <v>2707</v>
      </c>
      <c r="AS411" s="89"/>
      <c r="AT411" s="87"/>
      <c r="AU411" s="87"/>
      <c r="AV411" s="87"/>
      <c r="AW411" s="87">
        <v>5258000</v>
      </c>
      <c r="AX411" s="85">
        <v>2025</v>
      </c>
      <c r="AY411" s="85">
        <v>6</v>
      </c>
      <c r="AZ411" s="36"/>
      <c r="BA411" s="1" t="s">
        <v>44</v>
      </c>
    </row>
    <row r="412" spans="10:53">
      <c r="J412" s="37"/>
      <c r="K412" s="36"/>
      <c r="L412" s="87"/>
      <c r="M412" s="38"/>
      <c r="N412" s="36"/>
      <c r="O412" s="36"/>
      <c r="P412" s="208"/>
      <c r="AD412"/>
      <c r="AG412"/>
      <c r="AM412" s="107"/>
      <c r="AN412" s="36" t="s">
        <v>32</v>
      </c>
      <c r="AO412" s="37">
        <v>45875</v>
      </c>
      <c r="AP412" s="36" t="s">
        <v>1396</v>
      </c>
      <c r="AQ412" s="36" t="s">
        <v>2954</v>
      </c>
      <c r="AR412" s="36" t="s">
        <v>2975</v>
      </c>
      <c r="AS412" s="89"/>
      <c r="AT412" s="87"/>
      <c r="AU412" s="87"/>
      <c r="AV412" s="87"/>
      <c r="AW412" s="87">
        <v>1903000</v>
      </c>
      <c r="AX412" s="85">
        <v>2025</v>
      </c>
      <c r="AY412" s="85">
        <v>6</v>
      </c>
      <c r="AZ412" s="36"/>
      <c r="BA412" s="1" t="s">
        <v>44</v>
      </c>
    </row>
    <row r="413" spans="10:53">
      <c r="J413" s="37"/>
      <c r="K413" s="36"/>
      <c r="L413" s="87"/>
      <c r="M413" s="38"/>
      <c r="N413" s="36"/>
      <c r="O413" s="36"/>
      <c r="P413" s="208"/>
      <c r="AD413"/>
      <c r="AG413"/>
      <c r="AM413" s="107"/>
      <c r="AN413" s="36" t="s">
        <v>32</v>
      </c>
      <c r="AO413" s="37">
        <v>45875</v>
      </c>
      <c r="AP413" s="36" t="s">
        <v>1396</v>
      </c>
      <c r="AQ413" s="36" t="s">
        <v>2677</v>
      </c>
      <c r="AR413" s="36" t="s">
        <v>2903</v>
      </c>
      <c r="AS413" s="89"/>
      <c r="AT413" s="87"/>
      <c r="AU413" s="87"/>
      <c r="AV413" s="87"/>
      <c r="AW413" s="125">
        <v>1892000</v>
      </c>
      <c r="AX413" s="127">
        <v>2025</v>
      </c>
      <c r="AY413" s="127">
        <v>5</v>
      </c>
      <c r="AZ413" s="18" t="s">
        <v>2976</v>
      </c>
      <c r="BA413" s="231" t="s">
        <v>44</v>
      </c>
    </row>
    <row r="414" spans="10:53">
      <c r="J414" s="37"/>
      <c r="K414" s="36"/>
      <c r="L414" s="87"/>
      <c r="M414" s="38"/>
      <c r="N414" s="36"/>
      <c r="O414" s="36"/>
      <c r="P414" s="208"/>
      <c r="AD414"/>
      <c r="AG414"/>
      <c r="AM414" s="107"/>
      <c r="AN414" s="36" t="s">
        <v>32</v>
      </c>
      <c r="AO414" s="37">
        <v>45875</v>
      </c>
      <c r="AP414" s="36" t="s">
        <v>1396</v>
      </c>
      <c r="AQ414" s="36" t="s">
        <v>2678</v>
      </c>
      <c r="AR414" s="36" t="s">
        <v>2785</v>
      </c>
      <c r="AS414" s="89"/>
      <c r="AT414" s="87"/>
      <c r="AU414" s="87"/>
      <c r="AV414" s="87"/>
      <c r="AW414" s="124">
        <v>7260000</v>
      </c>
      <c r="AX414" s="127">
        <v>2025</v>
      </c>
      <c r="AY414" s="127">
        <v>5</v>
      </c>
      <c r="AZ414" s="18" t="s">
        <v>2976</v>
      </c>
      <c r="BA414" s="231" t="s">
        <v>44</v>
      </c>
    </row>
    <row r="415" spans="10:53">
      <c r="J415" s="37"/>
      <c r="K415" s="36"/>
      <c r="L415" s="87"/>
      <c r="M415" s="87"/>
      <c r="N415" s="36"/>
      <c r="O415" s="36"/>
      <c r="P415" s="208"/>
      <c r="AD415"/>
      <c r="AG415"/>
      <c r="AM415" s="107"/>
      <c r="AN415" s="36" t="s">
        <v>32</v>
      </c>
      <c r="AO415" s="37">
        <v>45875</v>
      </c>
      <c r="AP415" s="36" t="s">
        <v>1396</v>
      </c>
      <c r="AQ415" s="36" t="s">
        <v>2954</v>
      </c>
      <c r="AR415" s="36" t="s">
        <v>2975</v>
      </c>
      <c r="AS415" s="89"/>
      <c r="AT415" s="87"/>
      <c r="AU415" s="87"/>
      <c r="AV415" s="87"/>
      <c r="AW415" s="124">
        <v>1870000</v>
      </c>
      <c r="AX415" s="127">
        <v>2025</v>
      </c>
      <c r="AY415" s="127">
        <v>5</v>
      </c>
      <c r="AZ415" s="18" t="s">
        <v>2976</v>
      </c>
      <c r="BA415" s="231" t="s">
        <v>44</v>
      </c>
    </row>
    <row r="416" spans="10:53">
      <c r="J416" s="37"/>
      <c r="K416" s="36"/>
      <c r="L416" s="87"/>
      <c r="M416" s="87"/>
      <c r="N416" s="36"/>
      <c r="O416" s="36"/>
      <c r="P416" s="208"/>
      <c r="AD416"/>
      <c r="AG416"/>
      <c r="AM416" s="107"/>
      <c r="AN416" s="36" t="s">
        <v>32</v>
      </c>
      <c r="AO416" s="37">
        <v>45875</v>
      </c>
      <c r="AP416" s="36" t="s">
        <v>1396</v>
      </c>
      <c r="AQ416" s="36" t="s">
        <v>2954</v>
      </c>
      <c r="AR416" s="36" t="s">
        <v>2975</v>
      </c>
      <c r="AS416" s="89"/>
      <c r="AT416" s="87"/>
      <c r="AU416" s="87"/>
      <c r="AV416" s="87"/>
      <c r="AW416" s="125">
        <v>1023000</v>
      </c>
      <c r="AX416" s="127">
        <v>2025</v>
      </c>
      <c r="AY416" s="127">
        <v>7</v>
      </c>
      <c r="AZ416" s="18" t="s">
        <v>3039</v>
      </c>
      <c r="BA416" s="231" t="s">
        <v>44</v>
      </c>
    </row>
    <row r="417" spans="10:53">
      <c r="J417" s="37"/>
      <c r="K417" s="36"/>
      <c r="L417" s="87"/>
      <c r="M417" s="87"/>
      <c r="N417" s="36"/>
      <c r="O417" s="36"/>
      <c r="P417" s="208"/>
      <c r="AD417"/>
      <c r="AG417"/>
      <c r="AM417" s="107"/>
      <c r="AN417" s="36" t="s">
        <v>32</v>
      </c>
      <c r="AO417" s="37">
        <v>45876</v>
      </c>
      <c r="AP417" s="36" t="s">
        <v>2872</v>
      </c>
      <c r="AQ417" s="36" t="s">
        <v>2885</v>
      </c>
      <c r="AR417" s="36" t="s">
        <v>148</v>
      </c>
      <c r="AS417" s="89"/>
      <c r="AT417" s="87"/>
      <c r="AU417" s="87"/>
      <c r="AV417" s="87"/>
      <c r="AW417" s="87">
        <v>16500000</v>
      </c>
      <c r="AX417" s="85">
        <v>2025</v>
      </c>
      <c r="AY417" s="85">
        <v>6</v>
      </c>
      <c r="AZ417" s="36"/>
      <c r="BA417" s="1" t="s">
        <v>44</v>
      </c>
    </row>
    <row r="418" spans="10:53">
      <c r="J418" s="37"/>
      <c r="K418" s="36"/>
      <c r="L418" s="87"/>
      <c r="M418" s="87"/>
      <c r="N418" s="36"/>
      <c r="O418" s="36"/>
      <c r="P418" s="208"/>
      <c r="AD418"/>
      <c r="AG418"/>
      <c r="AM418" s="107"/>
      <c r="AN418" s="36" t="s">
        <v>32</v>
      </c>
      <c r="AO418" s="37">
        <v>45869</v>
      </c>
      <c r="AP418" s="36" t="s">
        <v>1462</v>
      </c>
      <c r="AQ418" s="36" t="s">
        <v>2962</v>
      </c>
      <c r="AR418" s="36" t="s">
        <v>76</v>
      </c>
      <c r="AS418" s="89"/>
      <c r="AT418" s="87">
        <v>-2095995</v>
      </c>
      <c r="AU418" s="87">
        <v>-209599.5</v>
      </c>
      <c r="AV418" s="87">
        <v>-2305594.5</v>
      </c>
      <c r="AW418" s="38"/>
      <c r="AX418" s="85">
        <v>2025</v>
      </c>
      <c r="AY418" s="85">
        <v>3</v>
      </c>
      <c r="AZ418" s="36"/>
      <c r="BA418" s="1" t="s">
        <v>44</v>
      </c>
    </row>
    <row r="419" spans="10:53">
      <c r="J419" s="37"/>
      <c r="K419" s="36"/>
      <c r="L419" s="87"/>
      <c r="M419" s="87"/>
      <c r="N419" s="36"/>
      <c r="O419" s="36"/>
      <c r="P419" s="208"/>
      <c r="AD419"/>
      <c r="AG419"/>
      <c r="AM419" s="107"/>
      <c r="AN419" s="36" t="s">
        <v>32</v>
      </c>
      <c r="AO419" s="37">
        <v>45869</v>
      </c>
      <c r="AP419" s="36" t="s">
        <v>2671</v>
      </c>
      <c r="AQ419" s="36" t="s">
        <v>2683</v>
      </c>
      <c r="AR419" s="36" t="s">
        <v>76</v>
      </c>
      <c r="AS419" s="89"/>
      <c r="AT419" s="87">
        <v>-7904005</v>
      </c>
      <c r="AU419" s="87">
        <v>-790400.5</v>
      </c>
      <c r="AV419" s="87">
        <v>-8694405.5</v>
      </c>
      <c r="AW419" s="38"/>
      <c r="AX419" s="85">
        <v>2025</v>
      </c>
      <c r="AY419" s="85">
        <v>3</v>
      </c>
      <c r="AZ419" s="36"/>
      <c r="BA419" s="1" t="s">
        <v>44</v>
      </c>
    </row>
    <row r="420" spans="10:53">
      <c r="J420" s="37"/>
      <c r="K420" s="36"/>
      <c r="L420" s="87"/>
      <c r="M420" s="38"/>
      <c r="N420" s="36"/>
      <c r="O420" s="36"/>
      <c r="P420" s="208"/>
      <c r="AD420"/>
      <c r="AG420"/>
      <c r="AM420" s="107"/>
      <c r="AN420" s="36" t="s">
        <v>32</v>
      </c>
      <c r="AO420" s="37">
        <v>45880</v>
      </c>
      <c r="AP420" s="36" t="s">
        <v>1198</v>
      </c>
      <c r="AQ420" s="36" t="s">
        <v>2887</v>
      </c>
      <c r="AR420" s="36" t="s">
        <v>2520</v>
      </c>
      <c r="AS420" s="89"/>
      <c r="AT420" s="87"/>
      <c r="AU420" s="87"/>
      <c r="AV420" s="87"/>
      <c r="AW420" s="87">
        <v>5507040</v>
      </c>
      <c r="AX420" s="85">
        <v>2025</v>
      </c>
      <c r="AY420" s="85">
        <v>5</v>
      </c>
      <c r="AZ420" s="36"/>
      <c r="BA420" s="1" t="s">
        <v>44</v>
      </c>
    </row>
    <row r="421" spans="10:53">
      <c r="J421" s="37"/>
      <c r="K421" s="36"/>
      <c r="L421" s="87"/>
      <c r="M421" s="38"/>
      <c r="N421" s="36"/>
      <c r="O421" s="36"/>
      <c r="P421" s="208"/>
      <c r="AD421"/>
      <c r="AG421"/>
      <c r="AM421" s="107"/>
      <c r="AN421" s="36" t="s">
        <v>32</v>
      </c>
      <c r="AO421" s="37">
        <v>45880</v>
      </c>
      <c r="AP421" s="36" t="s">
        <v>1198</v>
      </c>
      <c r="AQ421" s="36" t="s">
        <v>2887</v>
      </c>
      <c r="AR421" s="36" t="s">
        <v>2887</v>
      </c>
      <c r="AS421" s="89"/>
      <c r="AT421" s="87"/>
      <c r="AU421" s="87"/>
      <c r="AV421" s="87"/>
      <c r="AW421" s="87">
        <v>2781900</v>
      </c>
      <c r="AX421" s="85">
        <v>2025</v>
      </c>
      <c r="AY421" s="85">
        <v>6</v>
      </c>
      <c r="AZ421" s="36"/>
      <c r="BA421" s="1" t="s">
        <v>44</v>
      </c>
    </row>
    <row r="422" spans="10:53">
      <c r="J422" s="37"/>
      <c r="K422" s="36"/>
      <c r="L422" s="87"/>
      <c r="M422" s="38"/>
      <c r="N422" s="36"/>
      <c r="O422" s="36"/>
      <c r="P422" s="208"/>
      <c r="AD422"/>
      <c r="AG422"/>
      <c r="AM422" s="107"/>
      <c r="AN422" s="36" t="s">
        <v>32</v>
      </c>
      <c r="AO422" s="37">
        <v>45856</v>
      </c>
      <c r="AP422" s="36" t="s">
        <v>3002</v>
      </c>
      <c r="AQ422" s="36" t="s">
        <v>3006</v>
      </c>
      <c r="AR422" s="36" t="s">
        <v>267</v>
      </c>
      <c r="AS422" s="89"/>
      <c r="AT422" s="87">
        <v>9090909</v>
      </c>
      <c r="AU422" s="87">
        <v>909090.9</v>
      </c>
      <c r="AV422" s="87">
        <v>9999999.9000000004</v>
      </c>
      <c r="AW422" s="38"/>
      <c r="AX422" s="85">
        <v>2025</v>
      </c>
      <c r="AY422" s="85">
        <v>7</v>
      </c>
      <c r="AZ422" s="36"/>
      <c r="BA422" s="1" t="s">
        <v>44</v>
      </c>
    </row>
    <row r="423" spans="10:53">
      <c r="J423" s="37"/>
      <c r="K423" s="36"/>
      <c r="L423" s="87"/>
      <c r="M423" s="38"/>
      <c r="N423" s="36"/>
      <c r="O423" s="36"/>
      <c r="P423" s="208"/>
      <c r="AD423"/>
      <c r="AG423"/>
      <c r="AM423" s="107"/>
      <c r="AN423" s="36" t="s">
        <v>32</v>
      </c>
      <c r="AO423" s="37">
        <v>45853</v>
      </c>
      <c r="AP423" s="36" t="s">
        <v>2545</v>
      </c>
      <c r="AQ423" s="36" t="s">
        <v>3007</v>
      </c>
      <c r="AR423" s="36" t="s">
        <v>3020</v>
      </c>
      <c r="AS423" s="89"/>
      <c r="AT423" s="87">
        <v>5000000</v>
      </c>
      <c r="AU423" s="87">
        <v>500000</v>
      </c>
      <c r="AV423" s="87">
        <v>5500000</v>
      </c>
      <c r="AW423" s="38"/>
      <c r="AX423" s="85">
        <v>2025</v>
      </c>
      <c r="AY423" s="85">
        <v>7</v>
      </c>
      <c r="AZ423" s="36"/>
      <c r="BA423" s="1" t="s">
        <v>44</v>
      </c>
    </row>
    <row r="424" spans="10:53">
      <c r="J424" s="37"/>
      <c r="K424" s="36"/>
      <c r="L424" s="87"/>
      <c r="M424" s="38"/>
      <c r="N424" s="36"/>
      <c r="O424" s="36"/>
      <c r="P424" s="208"/>
      <c r="AD424"/>
      <c r="AG424"/>
      <c r="AM424" s="107"/>
      <c r="AN424" s="36" t="s">
        <v>32</v>
      </c>
      <c r="AO424" s="37">
        <v>45861</v>
      </c>
      <c r="AP424" s="36" t="s">
        <v>3003</v>
      </c>
      <c r="AQ424" s="36" t="s">
        <v>3008</v>
      </c>
      <c r="AR424" s="36" t="s">
        <v>267</v>
      </c>
      <c r="AS424" s="89"/>
      <c r="AT424" s="87">
        <v>5000000</v>
      </c>
      <c r="AU424" s="87">
        <v>500000</v>
      </c>
      <c r="AV424" s="87">
        <v>5500000</v>
      </c>
      <c r="AW424" s="38"/>
      <c r="AX424" s="85">
        <v>2025</v>
      </c>
      <c r="AY424" s="85">
        <v>7</v>
      </c>
      <c r="AZ424" s="36"/>
      <c r="BA424" s="1" t="s">
        <v>44</v>
      </c>
    </row>
    <row r="425" spans="10:53">
      <c r="J425" s="37"/>
      <c r="K425" s="36"/>
      <c r="L425" s="87"/>
      <c r="M425" s="38"/>
      <c r="N425" s="36"/>
      <c r="O425" s="36"/>
      <c r="P425" s="208"/>
      <c r="AD425"/>
      <c r="AG425"/>
      <c r="AM425" s="107"/>
      <c r="AN425" s="36" t="s">
        <v>32</v>
      </c>
      <c r="AO425" s="37">
        <v>45866</v>
      </c>
      <c r="AP425" s="36" t="s">
        <v>2005</v>
      </c>
      <c r="AQ425" s="36" t="s">
        <v>3009</v>
      </c>
      <c r="AR425" s="36" t="s">
        <v>267</v>
      </c>
      <c r="AS425" s="89"/>
      <c r="AT425" s="87">
        <v>7500000</v>
      </c>
      <c r="AU425" s="87">
        <v>750000</v>
      </c>
      <c r="AV425" s="87">
        <v>8250000</v>
      </c>
      <c r="AW425" s="38"/>
      <c r="AX425" s="85">
        <v>2025</v>
      </c>
      <c r="AY425" s="85">
        <v>7</v>
      </c>
      <c r="AZ425" s="36"/>
      <c r="BA425" s="1" t="s">
        <v>44</v>
      </c>
    </row>
    <row r="426" spans="10:53">
      <c r="J426" s="37"/>
      <c r="K426" s="36"/>
      <c r="L426" s="87"/>
      <c r="M426" s="38"/>
      <c r="N426" s="36"/>
      <c r="O426" s="36"/>
      <c r="P426" s="208"/>
      <c r="AD426"/>
      <c r="AG426"/>
      <c r="AM426" s="107"/>
      <c r="AN426" s="36" t="s">
        <v>32</v>
      </c>
      <c r="AO426" s="37">
        <v>45869</v>
      </c>
      <c r="AP426" s="36" t="s">
        <v>2476</v>
      </c>
      <c r="AQ426" s="36" t="s">
        <v>3010</v>
      </c>
      <c r="AR426" s="36" t="s">
        <v>267</v>
      </c>
      <c r="AS426" s="89"/>
      <c r="AT426" s="87">
        <v>5460000</v>
      </c>
      <c r="AU426" s="87">
        <v>546000</v>
      </c>
      <c r="AV426" s="87">
        <v>6006000</v>
      </c>
      <c r="AW426" s="38"/>
      <c r="AX426" s="85">
        <v>2025</v>
      </c>
      <c r="AY426" s="85">
        <v>7</v>
      </c>
      <c r="AZ426" s="36"/>
      <c r="BA426" s="1" t="s">
        <v>44</v>
      </c>
    </row>
    <row r="427" spans="10:53">
      <c r="J427" s="37"/>
      <c r="K427" s="36"/>
      <c r="L427" s="87"/>
      <c r="M427" s="38"/>
      <c r="N427" s="36"/>
      <c r="O427" s="36"/>
      <c r="P427" s="208"/>
      <c r="AD427"/>
      <c r="AG427"/>
      <c r="AM427" s="107"/>
      <c r="AN427" s="36" t="s">
        <v>32</v>
      </c>
      <c r="AO427" s="37">
        <v>45869</v>
      </c>
      <c r="AP427" s="36" t="s">
        <v>209</v>
      </c>
      <c r="AQ427" s="36" t="s">
        <v>3011</v>
      </c>
      <c r="AR427" s="36" t="s">
        <v>76</v>
      </c>
      <c r="AS427" s="89"/>
      <c r="AT427" s="87">
        <v>1620000</v>
      </c>
      <c r="AU427" s="87">
        <v>162000</v>
      </c>
      <c r="AV427" s="87">
        <v>1782000</v>
      </c>
      <c r="AW427" s="38"/>
      <c r="AX427" s="85">
        <v>2025</v>
      </c>
      <c r="AY427" s="85">
        <v>7</v>
      </c>
      <c r="AZ427" s="36"/>
      <c r="BA427" s="1" t="s">
        <v>44</v>
      </c>
    </row>
    <row r="428" spans="10:53">
      <c r="J428" s="37"/>
      <c r="K428" s="36"/>
      <c r="L428" s="87"/>
      <c r="M428" s="38"/>
      <c r="N428" s="36"/>
      <c r="O428" s="36"/>
      <c r="P428" s="208"/>
      <c r="AD428"/>
      <c r="AG428"/>
      <c r="AM428" s="107"/>
      <c r="AN428" s="36" t="s">
        <v>32</v>
      </c>
      <c r="AO428" s="37">
        <v>45869</v>
      </c>
      <c r="AP428" s="36" t="s">
        <v>1218</v>
      </c>
      <c r="AQ428" s="36" t="s">
        <v>3012</v>
      </c>
      <c r="AR428" s="36" t="s">
        <v>267</v>
      </c>
      <c r="AS428" s="89"/>
      <c r="AT428" s="87">
        <v>600000</v>
      </c>
      <c r="AU428" s="87">
        <v>60000</v>
      </c>
      <c r="AV428" s="87">
        <v>660000</v>
      </c>
      <c r="AW428" s="38"/>
      <c r="AX428" s="85">
        <v>2025</v>
      </c>
      <c r="AY428" s="85">
        <v>7</v>
      </c>
      <c r="AZ428" s="36"/>
      <c r="BA428" s="1" t="s">
        <v>44</v>
      </c>
    </row>
    <row r="429" spans="10:53">
      <c r="J429" s="37"/>
      <c r="K429" s="36"/>
      <c r="L429" s="87"/>
      <c r="M429" s="38"/>
      <c r="N429" s="36"/>
      <c r="O429" s="36"/>
      <c r="P429" s="208"/>
      <c r="AD429"/>
      <c r="AG429"/>
      <c r="AM429" s="107"/>
      <c r="AN429" s="36" t="s">
        <v>32</v>
      </c>
      <c r="AO429" s="37">
        <v>45869</v>
      </c>
      <c r="AP429" s="36" t="s">
        <v>3004</v>
      </c>
      <c r="AQ429" s="36" t="s">
        <v>3013</v>
      </c>
      <c r="AR429" s="36" t="s">
        <v>267</v>
      </c>
      <c r="AS429" s="89"/>
      <c r="AT429" s="87">
        <v>40000000</v>
      </c>
      <c r="AU429" s="87">
        <v>4000000</v>
      </c>
      <c r="AV429" s="87">
        <v>44000000</v>
      </c>
      <c r="AW429" s="38"/>
      <c r="AX429" s="85">
        <v>2025</v>
      </c>
      <c r="AY429" s="85">
        <v>7</v>
      </c>
      <c r="AZ429" s="36"/>
      <c r="BA429" s="1" t="s">
        <v>44</v>
      </c>
    </row>
    <row r="430" spans="10:53">
      <c r="J430" s="37"/>
      <c r="K430" s="36"/>
      <c r="L430" s="87"/>
      <c r="M430" s="38"/>
      <c r="N430" s="36"/>
      <c r="O430" s="36"/>
      <c r="P430" s="208"/>
      <c r="AD430"/>
      <c r="AG430"/>
      <c r="AM430" s="107"/>
      <c r="AN430" s="36" t="s">
        <v>32</v>
      </c>
      <c r="AO430" s="37">
        <v>45869</v>
      </c>
      <c r="AP430" s="36" t="s">
        <v>3005</v>
      </c>
      <c r="AQ430" s="36" t="s">
        <v>3014</v>
      </c>
      <c r="AR430" s="36" t="s">
        <v>630</v>
      </c>
      <c r="AS430" s="89"/>
      <c r="AT430" s="87">
        <v>3077000</v>
      </c>
      <c r="AU430" s="87">
        <v>307700</v>
      </c>
      <c r="AV430" s="87">
        <v>3384700</v>
      </c>
      <c r="AW430" s="38"/>
      <c r="AX430" s="85">
        <v>2025</v>
      </c>
      <c r="AY430" s="85">
        <v>7</v>
      </c>
      <c r="AZ430" s="36"/>
      <c r="BA430" s="1" t="s">
        <v>44</v>
      </c>
    </row>
    <row r="431" spans="10:53">
      <c r="J431" s="37"/>
      <c r="K431" s="36"/>
      <c r="L431" s="87"/>
      <c r="M431" s="87"/>
      <c r="N431" s="36"/>
      <c r="O431" s="36"/>
      <c r="P431" s="208"/>
      <c r="AD431"/>
      <c r="AG431"/>
      <c r="AM431" s="107"/>
      <c r="AN431" s="36" t="s">
        <v>32</v>
      </c>
      <c r="AO431" s="37">
        <v>45869</v>
      </c>
      <c r="AP431" s="36" t="s">
        <v>264</v>
      </c>
      <c r="AQ431" s="36" t="s">
        <v>3015</v>
      </c>
      <c r="AR431" s="36" t="s">
        <v>76</v>
      </c>
      <c r="AS431" s="89"/>
      <c r="AT431" s="87">
        <v>16200000</v>
      </c>
      <c r="AU431" s="87">
        <v>1620000</v>
      </c>
      <c r="AV431" s="87">
        <v>17820000</v>
      </c>
      <c r="AW431" s="38"/>
      <c r="AX431" s="85">
        <v>2025</v>
      </c>
      <c r="AY431" s="85">
        <v>7</v>
      </c>
      <c r="AZ431" s="36"/>
      <c r="BA431" s="1" t="s">
        <v>44</v>
      </c>
    </row>
    <row r="432" spans="10:53">
      <c r="J432" s="37"/>
      <c r="K432" s="36"/>
      <c r="L432" s="87"/>
      <c r="M432" s="38"/>
      <c r="N432" s="36"/>
      <c r="O432" s="36"/>
      <c r="P432" s="208"/>
      <c r="AD432"/>
      <c r="AG432"/>
      <c r="AM432" s="107"/>
      <c r="AN432" s="36" t="s">
        <v>32</v>
      </c>
      <c r="AO432" s="37">
        <v>45869</v>
      </c>
      <c r="AP432" s="36" t="s">
        <v>661</v>
      </c>
      <c r="AQ432" s="36" t="s">
        <v>2783</v>
      </c>
      <c r="AR432" s="36" t="s">
        <v>1492</v>
      </c>
      <c r="AS432" s="89"/>
      <c r="AT432" s="87">
        <v>3128200</v>
      </c>
      <c r="AU432" s="87">
        <v>312820</v>
      </c>
      <c r="AV432" s="87">
        <v>3441020</v>
      </c>
      <c r="AW432" s="38"/>
      <c r="AX432" s="85">
        <v>2025</v>
      </c>
      <c r="AY432" s="85">
        <v>7</v>
      </c>
      <c r="AZ432" s="36"/>
      <c r="BA432" s="1" t="s">
        <v>44</v>
      </c>
    </row>
    <row r="433" spans="10:53">
      <c r="J433" s="37"/>
      <c r="K433" s="36"/>
      <c r="L433" s="87"/>
      <c r="M433" s="87"/>
      <c r="N433" s="36"/>
      <c r="O433" s="36"/>
      <c r="P433" s="208"/>
      <c r="AD433"/>
      <c r="AG433"/>
      <c r="AM433" s="107"/>
      <c r="AN433" s="36" t="s">
        <v>32</v>
      </c>
      <c r="AO433" s="37">
        <v>45869</v>
      </c>
      <c r="AP433" s="36" t="s">
        <v>2774</v>
      </c>
      <c r="AQ433" s="36" t="s">
        <v>2784</v>
      </c>
      <c r="AR433" s="36" t="s">
        <v>76</v>
      </c>
      <c r="AS433" s="89"/>
      <c r="AT433" s="87">
        <v>12283600</v>
      </c>
      <c r="AU433" s="87">
        <v>1228360</v>
      </c>
      <c r="AV433" s="87">
        <v>13511960</v>
      </c>
      <c r="AW433" s="38"/>
      <c r="AX433" s="85">
        <v>2025</v>
      </c>
      <c r="AY433" s="85">
        <v>7</v>
      </c>
      <c r="AZ433" s="36"/>
      <c r="BA433" s="1" t="s">
        <v>44</v>
      </c>
    </row>
    <row r="434" spans="10:53">
      <c r="J434" s="37"/>
      <c r="K434" s="36"/>
      <c r="L434" s="87"/>
      <c r="M434" s="38"/>
      <c r="N434" s="36"/>
      <c r="O434" s="36"/>
      <c r="P434" s="208"/>
      <c r="AD434"/>
      <c r="AG434"/>
      <c r="AM434" s="107"/>
      <c r="AN434" s="36" t="s">
        <v>32</v>
      </c>
      <c r="AO434" s="37">
        <v>45869</v>
      </c>
      <c r="AP434" s="36" t="s">
        <v>654</v>
      </c>
      <c r="AQ434" s="36" t="s">
        <v>2588</v>
      </c>
      <c r="AR434" s="36" t="s">
        <v>76</v>
      </c>
      <c r="AS434" s="89"/>
      <c r="AT434" s="87">
        <v>7975640</v>
      </c>
      <c r="AU434" s="87">
        <v>797564</v>
      </c>
      <c r="AV434" s="87">
        <v>8773204</v>
      </c>
      <c r="AW434" s="38"/>
      <c r="AX434" s="85">
        <v>2025</v>
      </c>
      <c r="AY434" s="85">
        <v>7</v>
      </c>
      <c r="AZ434" s="36"/>
      <c r="BA434" s="1" t="s">
        <v>44</v>
      </c>
    </row>
    <row r="435" spans="10:53">
      <c r="J435" s="37"/>
      <c r="K435" s="36"/>
      <c r="L435" s="87"/>
      <c r="M435" s="38"/>
      <c r="N435" s="36"/>
      <c r="O435" s="36"/>
      <c r="P435" s="208"/>
      <c r="AD435"/>
      <c r="AG435"/>
      <c r="AM435" s="107"/>
      <c r="AN435" s="36" t="s">
        <v>32</v>
      </c>
      <c r="AO435" s="37">
        <v>45869</v>
      </c>
      <c r="AP435" s="36" t="s">
        <v>654</v>
      </c>
      <c r="AQ435" s="36" t="s">
        <v>2541</v>
      </c>
      <c r="AR435" s="36" t="s">
        <v>76</v>
      </c>
      <c r="AS435" s="89"/>
      <c r="AT435" s="87">
        <v>44800000</v>
      </c>
      <c r="AU435" s="87">
        <v>4480000</v>
      </c>
      <c r="AV435" s="87">
        <v>49280000</v>
      </c>
      <c r="AW435" s="38"/>
      <c r="AX435" s="85">
        <v>2025</v>
      </c>
      <c r="AY435" s="85">
        <v>7</v>
      </c>
      <c r="AZ435" s="36"/>
      <c r="BA435" s="1" t="s">
        <v>44</v>
      </c>
    </row>
    <row r="436" spans="10:53">
      <c r="J436" s="37"/>
      <c r="K436" s="36"/>
      <c r="L436" s="87"/>
      <c r="M436" s="87"/>
      <c r="N436" s="36"/>
      <c r="O436" s="36"/>
      <c r="P436" s="208"/>
      <c r="AD436"/>
      <c r="AG436"/>
      <c r="AM436" s="107"/>
      <c r="AN436" s="36" t="s">
        <v>32</v>
      </c>
      <c r="AO436" s="37">
        <v>45869</v>
      </c>
      <c r="AP436" s="36" t="s">
        <v>654</v>
      </c>
      <c r="AQ436" s="36" t="s">
        <v>1854</v>
      </c>
      <c r="AR436" s="36" t="s">
        <v>637</v>
      </c>
      <c r="AS436" s="89"/>
      <c r="AT436" s="87">
        <v>10000000</v>
      </c>
      <c r="AU436" s="87">
        <v>1000000</v>
      </c>
      <c r="AV436" s="87">
        <v>11000000</v>
      </c>
      <c r="AW436" s="38"/>
      <c r="AX436" s="85">
        <v>2025</v>
      </c>
      <c r="AY436" s="85">
        <v>7</v>
      </c>
      <c r="AZ436" s="36"/>
      <c r="BA436" s="1" t="s">
        <v>44</v>
      </c>
    </row>
    <row r="437" spans="10:53">
      <c r="J437" s="37"/>
      <c r="K437" s="36"/>
      <c r="L437" s="87"/>
      <c r="M437" s="38"/>
      <c r="N437" s="36"/>
      <c r="O437" s="36"/>
      <c r="P437" s="208"/>
      <c r="AD437"/>
      <c r="AG437"/>
      <c r="AM437" s="107"/>
      <c r="AN437" s="36" t="s">
        <v>32</v>
      </c>
      <c r="AO437" s="37">
        <v>45869</v>
      </c>
      <c r="AP437" s="36" t="s">
        <v>1396</v>
      </c>
      <c r="AQ437" s="36" t="s">
        <v>2953</v>
      </c>
      <c r="AR437" s="36" t="s">
        <v>267</v>
      </c>
      <c r="AS437" s="89"/>
      <c r="AT437" s="87">
        <v>4860000</v>
      </c>
      <c r="AU437" s="87">
        <v>486000</v>
      </c>
      <c r="AV437" s="87">
        <v>5346000</v>
      </c>
      <c r="AW437" s="38"/>
      <c r="AX437" s="85">
        <v>2025</v>
      </c>
      <c r="AY437" s="85">
        <v>7</v>
      </c>
      <c r="AZ437" s="36"/>
      <c r="BA437" s="1" t="s">
        <v>44</v>
      </c>
    </row>
    <row r="438" spans="10:53">
      <c r="J438" s="37"/>
      <c r="K438" s="36"/>
      <c r="L438" s="87"/>
      <c r="M438" s="87"/>
      <c r="N438" s="36"/>
      <c r="O438" s="36"/>
      <c r="P438" s="208"/>
      <c r="AD438"/>
      <c r="AG438"/>
      <c r="AM438" s="107"/>
      <c r="AN438" s="36" t="s">
        <v>32</v>
      </c>
      <c r="AO438" s="37">
        <v>45869</v>
      </c>
      <c r="AP438" s="36" t="s">
        <v>1396</v>
      </c>
      <c r="AQ438" s="36" t="s">
        <v>2954</v>
      </c>
      <c r="AR438" s="36" t="s">
        <v>1492</v>
      </c>
      <c r="AS438" s="89"/>
      <c r="AT438" s="87">
        <v>1730000</v>
      </c>
      <c r="AU438" s="87">
        <v>173000</v>
      </c>
      <c r="AV438" s="87">
        <v>1903000</v>
      </c>
      <c r="AW438" s="38"/>
      <c r="AX438" s="85">
        <v>2025</v>
      </c>
      <c r="AY438" s="85">
        <v>7</v>
      </c>
      <c r="AZ438" s="36"/>
      <c r="BA438" s="1" t="s">
        <v>44</v>
      </c>
    </row>
    <row r="439" spans="10:53">
      <c r="J439" s="37"/>
      <c r="K439" s="36"/>
      <c r="L439" s="87"/>
      <c r="M439" s="38"/>
      <c r="N439" s="36"/>
      <c r="O439" s="36"/>
      <c r="P439" s="208"/>
      <c r="AD439"/>
      <c r="AG439"/>
      <c r="AM439" s="107"/>
      <c r="AN439" s="36" t="s">
        <v>32</v>
      </c>
      <c r="AO439" s="37">
        <v>45869</v>
      </c>
      <c r="AP439" s="36" t="s">
        <v>3002</v>
      </c>
      <c r="AQ439" s="36" t="s">
        <v>3016</v>
      </c>
      <c r="AR439" s="36" t="s">
        <v>76</v>
      </c>
      <c r="AS439" s="89"/>
      <c r="AT439" s="87">
        <v>10540000</v>
      </c>
      <c r="AU439" s="87">
        <v>1054000</v>
      </c>
      <c r="AV439" s="87">
        <v>11594000</v>
      </c>
      <c r="AW439" s="38"/>
      <c r="AX439" s="85">
        <v>2025</v>
      </c>
      <c r="AY439" s="85">
        <v>7</v>
      </c>
      <c r="AZ439" s="36"/>
      <c r="BA439" s="1" t="s">
        <v>44</v>
      </c>
    </row>
    <row r="440" spans="10:53">
      <c r="J440" s="37"/>
      <c r="K440" s="36"/>
      <c r="L440" s="87"/>
      <c r="M440" s="38"/>
      <c r="N440" s="36"/>
      <c r="O440" s="36"/>
      <c r="P440" s="208"/>
      <c r="AD440"/>
      <c r="AG440"/>
      <c r="AM440" s="107"/>
      <c r="AN440" s="36" t="s">
        <v>32</v>
      </c>
      <c r="AO440" s="37">
        <v>45869</v>
      </c>
      <c r="AP440" s="36" t="s">
        <v>291</v>
      </c>
      <c r="AQ440" s="36" t="s">
        <v>3017</v>
      </c>
      <c r="AR440" s="36" t="s">
        <v>267</v>
      </c>
      <c r="AS440" s="89"/>
      <c r="AT440" s="87">
        <v>600000</v>
      </c>
      <c r="AU440" s="87">
        <v>60000</v>
      </c>
      <c r="AV440" s="87">
        <v>660000</v>
      </c>
      <c r="AW440" s="38"/>
      <c r="AX440" s="85">
        <v>2025</v>
      </c>
      <c r="AY440" s="85">
        <v>7</v>
      </c>
      <c r="AZ440" s="36"/>
      <c r="BA440" s="1" t="s">
        <v>44</v>
      </c>
    </row>
    <row r="441" spans="10:53">
      <c r="J441" s="37"/>
      <c r="K441" s="36"/>
      <c r="L441" s="87"/>
      <c r="M441" s="87"/>
      <c r="N441" s="36"/>
      <c r="O441" s="36"/>
      <c r="P441" s="208"/>
      <c r="AD441"/>
      <c r="AG441"/>
      <c r="AM441" s="107"/>
      <c r="AN441" s="36" t="s">
        <v>32</v>
      </c>
      <c r="AO441" s="37">
        <v>45869</v>
      </c>
      <c r="AP441" s="36" t="s">
        <v>188</v>
      </c>
      <c r="AQ441" s="36" t="s">
        <v>3018</v>
      </c>
      <c r="AR441" s="36" t="s">
        <v>267</v>
      </c>
      <c r="AS441" s="89"/>
      <c r="AT441" s="87">
        <v>6800000</v>
      </c>
      <c r="AU441" s="87">
        <v>680000</v>
      </c>
      <c r="AV441" s="87">
        <v>7480000</v>
      </c>
      <c r="AW441" s="38"/>
      <c r="AX441" s="85">
        <v>2025</v>
      </c>
      <c r="AY441" s="85">
        <v>7</v>
      </c>
      <c r="AZ441" s="36"/>
      <c r="BA441" s="1" t="s">
        <v>44</v>
      </c>
    </row>
    <row r="442" spans="10:53">
      <c r="J442" s="37"/>
      <c r="K442" s="36"/>
      <c r="L442" s="87"/>
      <c r="M442" s="38"/>
      <c r="N442" s="36"/>
      <c r="O442" s="36"/>
      <c r="P442" s="208"/>
      <c r="AD442"/>
      <c r="AG442"/>
      <c r="AM442" s="107"/>
      <c r="AN442" s="36" t="s">
        <v>32</v>
      </c>
      <c r="AO442" s="37">
        <v>45869</v>
      </c>
      <c r="AP442" s="36" t="s">
        <v>2628</v>
      </c>
      <c r="AQ442" s="36" t="s">
        <v>2639</v>
      </c>
      <c r="AR442" s="36" t="s">
        <v>76</v>
      </c>
      <c r="AS442" s="89"/>
      <c r="AT442" s="87">
        <v>8323200</v>
      </c>
      <c r="AU442" s="87">
        <v>832320</v>
      </c>
      <c r="AV442" s="87">
        <v>9155520</v>
      </c>
      <c r="AW442" s="38"/>
      <c r="AX442" s="85">
        <v>2025</v>
      </c>
      <c r="AY442" s="85">
        <v>7</v>
      </c>
      <c r="AZ442" s="36"/>
      <c r="BA442" s="1" t="s">
        <v>44</v>
      </c>
    </row>
    <row r="443" spans="10:53">
      <c r="J443" s="37"/>
      <c r="K443" s="36"/>
      <c r="L443" s="87"/>
      <c r="M443" s="87"/>
      <c r="N443" s="36"/>
      <c r="O443" s="36"/>
      <c r="P443" s="208"/>
      <c r="AD443"/>
      <c r="AG443"/>
      <c r="AM443" s="107"/>
      <c r="AN443" s="36" t="s">
        <v>32</v>
      </c>
      <c r="AO443" s="37">
        <v>45869</v>
      </c>
      <c r="AP443" s="36" t="s">
        <v>1198</v>
      </c>
      <c r="AQ443" s="36" t="s">
        <v>2889</v>
      </c>
      <c r="AR443" s="36" t="s">
        <v>267</v>
      </c>
      <c r="AS443" s="89"/>
      <c r="AT443" s="87">
        <v>882000</v>
      </c>
      <c r="AU443" s="87">
        <v>88200</v>
      </c>
      <c r="AV443" s="87">
        <v>970200</v>
      </c>
      <c r="AW443" s="38"/>
      <c r="AX443" s="85">
        <v>2025</v>
      </c>
      <c r="AY443" s="85">
        <v>7</v>
      </c>
      <c r="AZ443" s="36"/>
      <c r="BA443" s="1" t="s">
        <v>44</v>
      </c>
    </row>
    <row r="444" spans="10:53">
      <c r="J444" s="37"/>
      <c r="K444" s="36"/>
      <c r="L444" s="87"/>
      <c r="M444" s="38"/>
      <c r="N444" s="36"/>
      <c r="O444" s="36"/>
      <c r="P444" s="208"/>
      <c r="AD444"/>
      <c r="AG444"/>
      <c r="AM444" s="107"/>
      <c r="AN444" s="36" t="s">
        <v>32</v>
      </c>
      <c r="AO444" s="37">
        <v>45869</v>
      </c>
      <c r="AP444" s="36" t="s">
        <v>1198</v>
      </c>
      <c r="AQ444" s="36" t="s">
        <v>2887</v>
      </c>
      <c r="AR444" s="36" t="s">
        <v>267</v>
      </c>
      <c r="AS444" s="89"/>
      <c r="AT444" s="87">
        <v>3248000</v>
      </c>
      <c r="AU444" s="87">
        <v>324800</v>
      </c>
      <c r="AV444" s="87">
        <v>3572800</v>
      </c>
      <c r="AW444" s="38"/>
      <c r="AX444" s="85">
        <v>2025</v>
      </c>
      <c r="AY444" s="85">
        <v>7</v>
      </c>
      <c r="AZ444" s="36"/>
      <c r="BA444" s="1" t="s">
        <v>44</v>
      </c>
    </row>
    <row r="445" spans="10:53">
      <c r="J445" s="37"/>
      <c r="K445" s="36"/>
      <c r="L445" s="87"/>
      <c r="M445" s="38"/>
      <c r="N445" s="36"/>
      <c r="O445" s="36"/>
      <c r="P445" s="208"/>
      <c r="AD445"/>
      <c r="AG445"/>
      <c r="AM445" s="107"/>
      <c r="AN445" s="36" t="s">
        <v>32</v>
      </c>
      <c r="AO445" s="37">
        <v>45869</v>
      </c>
      <c r="AP445" s="36" t="s">
        <v>1198</v>
      </c>
      <c r="AQ445" s="36" t="s">
        <v>2998</v>
      </c>
      <c r="AR445" s="36" t="s">
        <v>267</v>
      </c>
      <c r="AS445" s="89"/>
      <c r="AT445" s="87">
        <v>6606000</v>
      </c>
      <c r="AU445" s="87">
        <v>660600</v>
      </c>
      <c r="AV445" s="87">
        <v>7266600</v>
      </c>
      <c r="AW445" s="38"/>
      <c r="AX445" s="85">
        <v>2025</v>
      </c>
      <c r="AY445" s="85">
        <v>7</v>
      </c>
      <c r="AZ445" s="36"/>
      <c r="BA445" s="1" t="s">
        <v>44</v>
      </c>
    </row>
    <row r="446" spans="10:53">
      <c r="J446" s="37"/>
      <c r="K446" s="36"/>
      <c r="L446" s="87"/>
      <c r="M446" s="38"/>
      <c r="N446" s="36"/>
      <c r="O446" s="36"/>
      <c r="P446" s="208"/>
      <c r="AD446"/>
      <c r="AG446"/>
      <c r="AM446" s="107"/>
      <c r="AN446" s="36" t="s">
        <v>32</v>
      </c>
      <c r="AO446" s="37">
        <v>45869</v>
      </c>
      <c r="AP446" s="36" t="s">
        <v>2868</v>
      </c>
      <c r="AQ446" s="36" t="s">
        <v>2875</v>
      </c>
      <c r="AR446" s="36" t="s">
        <v>76</v>
      </c>
      <c r="AS446" s="89"/>
      <c r="AT446" s="87">
        <v>3800000</v>
      </c>
      <c r="AU446" s="87">
        <v>380000</v>
      </c>
      <c r="AV446" s="87">
        <v>4180000</v>
      </c>
      <c r="AW446" s="38"/>
      <c r="AX446" s="85">
        <v>2025</v>
      </c>
      <c r="AY446" s="85">
        <v>7</v>
      </c>
      <c r="AZ446" s="36"/>
      <c r="BA446" s="1" t="s">
        <v>44</v>
      </c>
    </row>
    <row r="447" spans="10:53">
      <c r="J447" s="37"/>
      <c r="K447" s="36"/>
      <c r="L447" s="87"/>
      <c r="M447" s="38"/>
      <c r="N447" s="36"/>
      <c r="O447" s="36"/>
      <c r="P447" s="208"/>
      <c r="AD447"/>
      <c r="AG447"/>
      <c r="AM447" s="107"/>
      <c r="AN447" s="36" t="s">
        <v>32</v>
      </c>
      <c r="AO447" s="37">
        <v>45869</v>
      </c>
      <c r="AP447" s="36" t="s">
        <v>2822</v>
      </c>
      <c r="AQ447" s="36" t="s">
        <v>3019</v>
      </c>
      <c r="AR447" s="36" t="s">
        <v>267</v>
      </c>
      <c r="AS447" s="89"/>
      <c r="AT447" s="87">
        <v>1350000</v>
      </c>
      <c r="AU447" s="87">
        <v>135000</v>
      </c>
      <c r="AV447" s="87">
        <v>1485000</v>
      </c>
      <c r="AW447" s="38"/>
      <c r="AX447" s="85">
        <v>2025</v>
      </c>
      <c r="AY447" s="85">
        <v>7</v>
      </c>
      <c r="AZ447" s="36"/>
      <c r="BA447" s="1" t="s">
        <v>44</v>
      </c>
    </row>
    <row r="448" spans="10:53">
      <c r="J448" s="37"/>
      <c r="K448" s="36"/>
      <c r="L448" s="87"/>
      <c r="M448" s="87"/>
      <c r="N448" s="36"/>
      <c r="O448" s="36"/>
      <c r="P448" s="208"/>
      <c r="AD448"/>
      <c r="AG448"/>
      <c r="AM448" s="107"/>
      <c r="AN448" s="36" t="s">
        <v>32</v>
      </c>
      <c r="AO448" s="37">
        <v>45869</v>
      </c>
      <c r="AP448" s="36" t="s">
        <v>2166</v>
      </c>
      <c r="AQ448" s="36" t="s">
        <v>2836</v>
      </c>
      <c r="AR448" s="36" t="s">
        <v>76</v>
      </c>
      <c r="AS448" s="89"/>
      <c r="AT448" s="87">
        <v>12319020</v>
      </c>
      <c r="AU448" s="87">
        <v>1231902</v>
      </c>
      <c r="AV448" s="87">
        <v>13550922</v>
      </c>
      <c r="AW448" s="38"/>
      <c r="AX448" s="85">
        <v>2025</v>
      </c>
      <c r="AY448" s="85">
        <v>7</v>
      </c>
      <c r="AZ448" s="36"/>
      <c r="BA448" s="1" t="s">
        <v>44</v>
      </c>
    </row>
    <row r="449" spans="10:53">
      <c r="J449" s="37"/>
      <c r="K449" s="36"/>
      <c r="L449" s="87"/>
      <c r="M449" s="87"/>
      <c r="N449" s="36"/>
      <c r="O449" s="36"/>
      <c r="P449" s="208"/>
      <c r="AD449"/>
      <c r="AG449"/>
      <c r="AM449" s="107"/>
      <c r="AN449" s="36" t="s">
        <v>32</v>
      </c>
      <c r="AO449" s="37">
        <v>45869</v>
      </c>
      <c r="AP449" s="36" t="s">
        <v>2673</v>
      </c>
      <c r="AQ449" s="36" t="s">
        <v>2686</v>
      </c>
      <c r="AR449" s="36" t="s">
        <v>76</v>
      </c>
      <c r="AS449" s="89"/>
      <c r="AT449" s="87">
        <v>2620320</v>
      </c>
      <c r="AU449" s="87">
        <v>262032</v>
      </c>
      <c r="AV449" s="87">
        <v>2882352</v>
      </c>
      <c r="AW449" s="38"/>
      <c r="AX449" s="85">
        <v>2025</v>
      </c>
      <c r="AY449" s="85">
        <v>7</v>
      </c>
      <c r="AZ449" s="36"/>
      <c r="BA449" s="1" t="s">
        <v>44</v>
      </c>
    </row>
    <row r="450" spans="10:53">
      <c r="J450" s="37"/>
      <c r="K450" s="36"/>
      <c r="L450" s="87"/>
      <c r="M450" s="38"/>
      <c r="N450" s="36"/>
      <c r="O450" s="36"/>
      <c r="P450" s="208"/>
      <c r="AD450"/>
      <c r="AG450"/>
      <c r="AM450" s="107"/>
      <c r="AN450" s="36" t="s">
        <v>32</v>
      </c>
      <c r="AO450" s="37">
        <v>45869</v>
      </c>
      <c r="AP450" s="36" t="s">
        <v>2872</v>
      </c>
      <c r="AQ450" s="36" t="s">
        <v>2885</v>
      </c>
      <c r="AR450" s="36" t="s">
        <v>76</v>
      </c>
      <c r="AS450" s="89"/>
      <c r="AT450" s="87">
        <v>9548000</v>
      </c>
      <c r="AU450" s="87">
        <v>954800</v>
      </c>
      <c r="AV450" s="87">
        <v>10502800</v>
      </c>
      <c r="AW450" s="38"/>
      <c r="AX450" s="85">
        <v>2025</v>
      </c>
      <c r="AY450" s="85">
        <v>7</v>
      </c>
      <c r="AZ450" s="36"/>
      <c r="BA450" s="1" t="s">
        <v>44</v>
      </c>
    </row>
    <row r="451" spans="10:53">
      <c r="J451" s="37"/>
      <c r="K451" s="36"/>
      <c r="L451" s="87"/>
      <c r="M451" s="38"/>
      <c r="N451" s="36"/>
      <c r="O451" s="36"/>
      <c r="P451" s="208"/>
      <c r="AD451"/>
      <c r="AG451"/>
      <c r="AM451" s="107"/>
      <c r="AN451" s="36" t="s">
        <v>32</v>
      </c>
      <c r="AO451" s="37">
        <v>45869</v>
      </c>
      <c r="AP451" s="36" t="s">
        <v>2824</v>
      </c>
      <c r="AQ451" s="36" t="s">
        <v>2832</v>
      </c>
      <c r="AR451" s="36" t="s">
        <v>76</v>
      </c>
      <c r="AS451" s="89"/>
      <c r="AT451" s="87">
        <v>49246900</v>
      </c>
      <c r="AU451" s="87">
        <v>4924690</v>
      </c>
      <c r="AV451" s="87">
        <v>54171590</v>
      </c>
      <c r="AW451" s="38"/>
      <c r="AX451" s="85">
        <v>2025</v>
      </c>
      <c r="AY451" s="85">
        <v>7</v>
      </c>
      <c r="AZ451" s="36"/>
      <c r="BA451" s="1" t="s">
        <v>44</v>
      </c>
    </row>
    <row r="452" spans="10:53">
      <c r="J452" s="37"/>
      <c r="K452" s="36"/>
      <c r="L452" s="87"/>
      <c r="M452" s="38"/>
      <c r="N452" s="36"/>
      <c r="O452" s="36"/>
      <c r="P452" s="208"/>
      <c r="AD452"/>
      <c r="AG452"/>
      <c r="AM452" s="107"/>
      <c r="AN452" s="36" t="s">
        <v>32</v>
      </c>
      <c r="AO452" s="37">
        <v>45861</v>
      </c>
      <c r="AP452" s="36" t="s">
        <v>3002</v>
      </c>
      <c r="AQ452" s="36" t="s">
        <v>3006</v>
      </c>
      <c r="AR452" s="36" t="s">
        <v>77</v>
      </c>
      <c r="AS452" s="89"/>
      <c r="AT452" s="87"/>
      <c r="AU452" s="87"/>
      <c r="AV452" s="87"/>
      <c r="AW452" s="38">
        <v>10000000</v>
      </c>
      <c r="AX452" s="85">
        <v>2025</v>
      </c>
      <c r="AY452" s="85">
        <v>7</v>
      </c>
      <c r="AZ452" s="36"/>
      <c r="BA452" s="1" t="s">
        <v>44</v>
      </c>
    </row>
    <row r="453" spans="10:53">
      <c r="J453" s="37"/>
      <c r="K453" s="36"/>
      <c r="L453" s="87"/>
      <c r="M453" s="38"/>
      <c r="N453" s="36"/>
      <c r="O453" s="36"/>
      <c r="P453" s="208"/>
      <c r="AD453"/>
      <c r="AG453"/>
      <c r="AM453" s="107"/>
      <c r="AN453" s="36" t="s">
        <v>32</v>
      </c>
      <c r="AO453" s="37">
        <v>45869</v>
      </c>
      <c r="AP453" s="36" t="s">
        <v>3003</v>
      </c>
      <c r="AQ453" s="36" t="s">
        <v>3008</v>
      </c>
      <c r="AR453" s="36" t="s">
        <v>77</v>
      </c>
      <c r="AS453" s="89"/>
      <c r="AT453" s="87"/>
      <c r="AU453" s="87"/>
      <c r="AV453" s="87"/>
      <c r="AW453" s="38">
        <v>5500000</v>
      </c>
      <c r="AX453" s="85">
        <v>2025</v>
      </c>
      <c r="AY453" s="85">
        <v>7</v>
      </c>
      <c r="AZ453" s="36"/>
      <c r="BA453" s="1" t="s">
        <v>44</v>
      </c>
    </row>
    <row r="454" spans="10:53">
      <c r="J454" s="37"/>
      <c r="K454" s="36"/>
      <c r="L454" s="87"/>
      <c r="M454" s="38"/>
      <c r="N454" s="36"/>
      <c r="O454" s="36"/>
      <c r="P454" s="208"/>
      <c r="AD454"/>
      <c r="AG454"/>
      <c r="AM454" s="107"/>
      <c r="AN454" s="36" t="s">
        <v>32</v>
      </c>
      <c r="AO454" s="37">
        <v>45874</v>
      </c>
      <c r="AP454" s="36" t="s">
        <v>2476</v>
      </c>
      <c r="AQ454" s="36" t="s">
        <v>3010</v>
      </c>
      <c r="AR454" s="36" t="s">
        <v>77</v>
      </c>
      <c r="AS454" s="89"/>
      <c r="AT454" s="87"/>
      <c r="AU454" s="87"/>
      <c r="AV454" s="87"/>
      <c r="AW454" s="38">
        <v>6006000</v>
      </c>
      <c r="AX454" s="85">
        <v>2025</v>
      </c>
      <c r="AY454" s="85">
        <v>7</v>
      </c>
      <c r="AZ454" s="36"/>
      <c r="BA454" s="1" t="s">
        <v>44</v>
      </c>
    </row>
    <row r="455" spans="10:53">
      <c r="J455" s="37"/>
      <c r="K455" s="36"/>
      <c r="L455" s="87"/>
      <c r="M455" s="38"/>
      <c r="N455" s="36"/>
      <c r="O455" s="36"/>
      <c r="P455" s="208"/>
      <c r="AD455"/>
      <c r="AG455"/>
      <c r="AM455" s="107"/>
      <c r="AN455" s="36" t="s">
        <v>32</v>
      </c>
      <c r="AO455" s="37">
        <v>45880</v>
      </c>
      <c r="AP455" s="36" t="s">
        <v>3004</v>
      </c>
      <c r="AQ455" s="36" t="s">
        <v>3013</v>
      </c>
      <c r="AR455" s="36" t="s">
        <v>77</v>
      </c>
      <c r="AS455" s="89"/>
      <c r="AT455" s="87"/>
      <c r="AU455" s="87"/>
      <c r="AV455" s="87"/>
      <c r="AW455" s="38">
        <v>44000000</v>
      </c>
      <c r="AX455" s="85">
        <v>2025</v>
      </c>
      <c r="AY455" s="85">
        <v>7</v>
      </c>
      <c r="AZ455" s="36"/>
      <c r="BA455" s="1" t="s">
        <v>44</v>
      </c>
    </row>
    <row r="456" spans="10:53">
      <c r="J456" s="37"/>
      <c r="K456" s="36"/>
      <c r="L456" s="87"/>
      <c r="M456" s="38"/>
      <c r="N456" s="36"/>
      <c r="O456" s="36"/>
      <c r="P456" s="208"/>
      <c r="AD456"/>
      <c r="AG456"/>
      <c r="AM456" s="107"/>
      <c r="AN456" s="36" t="s">
        <v>32</v>
      </c>
      <c r="AO456" s="37">
        <v>45873</v>
      </c>
      <c r="AP456" s="36" t="s">
        <v>264</v>
      </c>
      <c r="AQ456" s="36" t="s">
        <v>3015</v>
      </c>
      <c r="AR456" s="36" t="s">
        <v>77</v>
      </c>
      <c r="AS456" s="89"/>
      <c r="AT456" s="87"/>
      <c r="AU456" s="87"/>
      <c r="AV456" s="87"/>
      <c r="AW456" s="38">
        <v>17820000</v>
      </c>
      <c r="AX456" s="85">
        <v>2025</v>
      </c>
      <c r="AY456" s="85">
        <v>7</v>
      </c>
      <c r="AZ456" s="36"/>
      <c r="BA456" s="1" t="s">
        <v>44</v>
      </c>
    </row>
    <row r="457" spans="10:53">
      <c r="J457" s="37"/>
      <c r="K457" s="36"/>
      <c r="L457" s="87"/>
      <c r="M457" s="38"/>
      <c r="N457" s="36"/>
      <c r="O457" s="36"/>
      <c r="P457" s="208"/>
      <c r="AD457"/>
      <c r="AG457"/>
      <c r="AM457" s="107"/>
      <c r="AN457" s="36" t="s">
        <v>32</v>
      </c>
      <c r="AO457" s="37">
        <v>45860</v>
      </c>
      <c r="AP457" s="36" t="s">
        <v>2477</v>
      </c>
      <c r="AQ457" s="36" t="s">
        <v>2485</v>
      </c>
      <c r="AR457" s="36" t="s">
        <v>148</v>
      </c>
      <c r="AS457" s="89"/>
      <c r="AT457" s="87"/>
      <c r="AU457" s="87"/>
      <c r="AV457" s="87"/>
      <c r="AW457" s="87">
        <v>6926832</v>
      </c>
      <c r="AX457" s="85">
        <v>2025</v>
      </c>
      <c r="AY457" s="85">
        <v>6</v>
      </c>
      <c r="AZ457" s="36" t="s">
        <v>2653</v>
      </c>
      <c r="BA457" s="1" t="s">
        <v>44</v>
      </c>
    </row>
    <row r="458" spans="10:53">
      <c r="J458" s="37"/>
      <c r="K458" s="36"/>
      <c r="L458" s="87"/>
      <c r="M458" s="38"/>
      <c r="N458" s="36"/>
      <c r="O458" s="36"/>
      <c r="P458" s="208"/>
      <c r="AD458"/>
      <c r="AG458"/>
      <c r="AM458" s="107"/>
      <c r="AN458" s="36" t="s">
        <v>32</v>
      </c>
      <c r="AO458" s="37">
        <v>45869</v>
      </c>
      <c r="AP458" s="36" t="s">
        <v>2478</v>
      </c>
      <c r="AQ458" s="36" t="s">
        <v>2487</v>
      </c>
      <c r="AR458" s="36" t="s">
        <v>78</v>
      </c>
      <c r="AS458" s="89"/>
      <c r="AT458" s="87">
        <v>-9000000</v>
      </c>
      <c r="AU458" s="87">
        <v>-900000</v>
      </c>
      <c r="AV458" s="87">
        <v>-9900000</v>
      </c>
      <c r="AW458" s="38"/>
      <c r="AX458" s="85">
        <v>2025</v>
      </c>
      <c r="AY458" s="85">
        <v>4</v>
      </c>
      <c r="AZ458" s="36"/>
      <c r="BA458" s="1" t="s">
        <v>44</v>
      </c>
    </row>
    <row r="459" spans="10:53">
      <c r="J459" s="37"/>
      <c r="K459" s="36"/>
      <c r="L459" s="87"/>
      <c r="M459" s="38"/>
      <c r="N459" s="36"/>
      <c r="O459" s="36"/>
      <c r="P459" s="208"/>
      <c r="AD459"/>
      <c r="AG459"/>
      <c r="AM459" s="107"/>
      <c r="AN459" s="36" t="s">
        <v>32</v>
      </c>
      <c r="AO459" s="37">
        <v>45870</v>
      </c>
      <c r="AP459" s="36" t="s">
        <v>2945</v>
      </c>
      <c r="AQ459" s="36" t="s">
        <v>2956</v>
      </c>
      <c r="AR459" s="36" t="s">
        <v>148</v>
      </c>
      <c r="AS459" s="89"/>
      <c r="AT459" s="87"/>
      <c r="AU459" s="87"/>
      <c r="AV459" s="87"/>
      <c r="AW459" s="87">
        <v>858000</v>
      </c>
      <c r="AX459" s="85">
        <v>2025</v>
      </c>
      <c r="AY459" s="85">
        <v>6</v>
      </c>
      <c r="AZ459" s="36"/>
      <c r="BA459" s="1" t="s">
        <v>44</v>
      </c>
    </row>
    <row r="460" spans="10:53">
      <c r="J460" s="37"/>
      <c r="K460" s="36"/>
      <c r="L460" s="87"/>
      <c r="M460" s="38"/>
      <c r="N460" s="36"/>
      <c r="O460" s="36"/>
      <c r="P460" s="208"/>
      <c r="AD460"/>
      <c r="AG460"/>
      <c r="AM460" s="107"/>
      <c r="AN460" s="36" t="s">
        <v>32</v>
      </c>
      <c r="AO460" s="37">
        <v>45883</v>
      </c>
      <c r="AP460" s="36" t="s">
        <v>291</v>
      </c>
      <c r="AQ460" s="36" t="s">
        <v>3017</v>
      </c>
      <c r="AR460" s="36" t="s">
        <v>148</v>
      </c>
      <c r="AS460" s="89"/>
      <c r="AT460" s="87"/>
      <c r="AU460" s="87"/>
      <c r="AV460" s="87"/>
      <c r="AW460" s="87">
        <v>660000</v>
      </c>
      <c r="AX460" s="85">
        <v>2025</v>
      </c>
      <c r="AY460" s="85">
        <v>7</v>
      </c>
      <c r="AZ460" s="36"/>
      <c r="BA460" s="1" t="s">
        <v>44</v>
      </c>
    </row>
    <row r="461" spans="10:53">
      <c r="J461" s="37"/>
      <c r="K461" s="36"/>
      <c r="L461" s="87"/>
      <c r="M461" s="38"/>
      <c r="N461" s="36"/>
      <c r="O461" s="36"/>
      <c r="P461" s="208"/>
      <c r="AD461"/>
      <c r="AG461"/>
      <c r="AM461" s="107"/>
      <c r="AN461" s="36" t="s">
        <v>32</v>
      </c>
      <c r="AO461" s="37">
        <v>45888</v>
      </c>
      <c r="AP461" s="36" t="s">
        <v>2005</v>
      </c>
      <c r="AQ461" s="36" t="s">
        <v>3009</v>
      </c>
      <c r="AR461" s="36" t="s">
        <v>148</v>
      </c>
      <c r="AS461" s="89"/>
      <c r="AT461" s="87"/>
      <c r="AU461" s="87"/>
      <c r="AV461" s="87"/>
      <c r="AW461" s="87">
        <v>8250000</v>
      </c>
      <c r="AX461" s="85">
        <v>2025</v>
      </c>
      <c r="AY461" s="85">
        <v>7</v>
      </c>
      <c r="AZ461" s="36"/>
      <c r="BA461" s="1" t="s">
        <v>44</v>
      </c>
    </row>
    <row r="462" spans="10:53">
      <c r="J462" s="37"/>
      <c r="K462" s="36"/>
      <c r="L462" s="87"/>
      <c r="M462" s="38"/>
      <c r="N462" s="36"/>
      <c r="O462" s="36"/>
      <c r="P462" s="208"/>
      <c r="AD462"/>
      <c r="AG462"/>
      <c r="AM462" s="107"/>
      <c r="AN462" s="36" t="s">
        <v>32</v>
      </c>
      <c r="AO462" s="37">
        <v>45888</v>
      </c>
      <c r="AP462" s="36" t="s">
        <v>1198</v>
      </c>
      <c r="AQ462" s="36" t="s">
        <v>2955</v>
      </c>
      <c r="AR462" s="36" t="s">
        <v>3026</v>
      </c>
      <c r="AS462" s="89"/>
      <c r="AT462" s="87"/>
      <c r="AU462" s="87"/>
      <c r="AV462" s="87"/>
      <c r="AW462" s="87">
        <v>7548860</v>
      </c>
      <c r="AX462" s="85">
        <v>2025</v>
      </c>
      <c r="AY462" s="85">
        <v>6</v>
      </c>
      <c r="AZ462" s="36"/>
      <c r="BA462" s="1" t="s">
        <v>44</v>
      </c>
    </row>
    <row r="463" spans="10:53">
      <c r="J463" s="37"/>
      <c r="K463" s="36"/>
      <c r="L463" s="87"/>
      <c r="M463" s="38"/>
      <c r="N463" s="36"/>
      <c r="O463" s="36"/>
      <c r="P463" s="208"/>
      <c r="AD463"/>
      <c r="AG463"/>
      <c r="AM463" s="107"/>
      <c r="AN463" s="36" t="s">
        <v>32</v>
      </c>
      <c r="AO463" s="37">
        <v>45888</v>
      </c>
      <c r="AP463" s="36" t="s">
        <v>1198</v>
      </c>
      <c r="AQ463" s="36" t="s">
        <v>2887</v>
      </c>
      <c r="AR463" s="36" t="s">
        <v>2520</v>
      </c>
      <c r="AS463" s="89"/>
      <c r="AT463" s="87"/>
      <c r="AU463" s="87"/>
      <c r="AV463" s="87"/>
      <c r="AW463" s="87">
        <v>3572800</v>
      </c>
      <c r="AX463" s="85">
        <v>2025</v>
      </c>
      <c r="AY463" s="85">
        <v>7</v>
      </c>
      <c r="AZ463" s="36"/>
      <c r="BA463" s="1" t="s">
        <v>44</v>
      </c>
    </row>
    <row r="464" spans="10:53">
      <c r="J464" s="37"/>
      <c r="K464" s="36"/>
      <c r="L464" s="87"/>
      <c r="M464" s="38"/>
      <c r="N464" s="36"/>
      <c r="O464" s="36"/>
      <c r="P464" s="208"/>
      <c r="AD464"/>
      <c r="AG464"/>
      <c r="AM464" s="107"/>
      <c r="AN464" s="36" t="s">
        <v>32</v>
      </c>
      <c r="AO464" s="37">
        <v>45894</v>
      </c>
      <c r="AP464" s="36" t="s">
        <v>209</v>
      </c>
      <c r="AQ464" s="36" t="s">
        <v>3011</v>
      </c>
      <c r="AR464" s="36" t="s">
        <v>3027</v>
      </c>
      <c r="AS464" s="89"/>
      <c r="AT464" s="87"/>
      <c r="AU464" s="87"/>
      <c r="AV464" s="87"/>
      <c r="AW464" s="87">
        <v>1782000</v>
      </c>
      <c r="AX464" s="85">
        <v>2025</v>
      </c>
      <c r="AY464" s="85">
        <v>7</v>
      </c>
      <c r="AZ464" s="36"/>
      <c r="BA464" s="1" t="s">
        <v>44</v>
      </c>
    </row>
    <row r="465" spans="10:53">
      <c r="J465" s="37"/>
      <c r="K465" s="36"/>
      <c r="L465" s="87"/>
      <c r="M465" s="38"/>
      <c r="N465" s="36"/>
      <c r="O465" s="36"/>
      <c r="P465" s="208"/>
      <c r="AD465"/>
      <c r="AG465"/>
      <c r="AM465" s="107"/>
      <c r="AN465" s="36" t="s">
        <v>32</v>
      </c>
      <c r="AO465" s="37">
        <v>45896</v>
      </c>
      <c r="AP465" s="36" t="s">
        <v>2944</v>
      </c>
      <c r="AQ465" s="36" t="s">
        <v>2951</v>
      </c>
      <c r="AR465" s="36" t="s">
        <v>148</v>
      </c>
      <c r="AS465" s="89"/>
      <c r="AT465" s="87"/>
      <c r="AU465" s="87"/>
      <c r="AV465" s="87"/>
      <c r="AW465" s="87">
        <v>2772000</v>
      </c>
      <c r="AX465" s="85">
        <v>2025</v>
      </c>
      <c r="AY465" s="85">
        <v>6</v>
      </c>
      <c r="AZ465" s="36"/>
      <c r="BA465" s="1" t="s">
        <v>44</v>
      </c>
    </row>
    <row r="466" spans="10:53">
      <c r="J466" s="37"/>
      <c r="K466" s="36"/>
      <c r="L466" s="87"/>
      <c r="M466" s="87"/>
      <c r="N466" s="36"/>
      <c r="O466" s="36"/>
      <c r="P466" s="208"/>
      <c r="AD466"/>
      <c r="AG466"/>
      <c r="AM466" s="107"/>
      <c r="AN466" s="36" t="s">
        <v>32</v>
      </c>
      <c r="AO466" s="37">
        <v>45897</v>
      </c>
      <c r="AP466" s="36" t="s">
        <v>2628</v>
      </c>
      <c r="AQ466" s="36" t="s">
        <v>2639</v>
      </c>
      <c r="AR466" s="36" t="s">
        <v>148</v>
      </c>
      <c r="AS466" s="89"/>
      <c r="AT466" s="87"/>
      <c r="AU466" s="87"/>
      <c r="AV466" s="87"/>
      <c r="AW466" s="87">
        <v>9155520</v>
      </c>
      <c r="AX466" s="85">
        <v>2025</v>
      </c>
      <c r="AY466" s="85">
        <v>7</v>
      </c>
      <c r="AZ466" s="36"/>
      <c r="BA466" s="1" t="s">
        <v>44</v>
      </c>
    </row>
    <row r="467" spans="10:53">
      <c r="J467" s="37"/>
      <c r="K467" s="36"/>
      <c r="L467" s="87"/>
      <c r="M467" s="87"/>
      <c r="N467" s="36"/>
      <c r="O467" s="36"/>
      <c r="P467" s="208"/>
      <c r="AD467"/>
      <c r="AG467"/>
      <c r="AM467" s="107"/>
      <c r="AN467" s="36" t="s">
        <v>32</v>
      </c>
      <c r="AO467" s="37">
        <v>45898</v>
      </c>
      <c r="AP467" s="36" t="s">
        <v>2868</v>
      </c>
      <c r="AQ467" s="36" t="s">
        <v>2875</v>
      </c>
      <c r="AR467" s="36" t="s">
        <v>148</v>
      </c>
      <c r="AS467" s="89"/>
      <c r="AT467" s="87"/>
      <c r="AU467" s="87"/>
      <c r="AV467" s="87"/>
      <c r="AW467" s="87">
        <v>19800000</v>
      </c>
      <c r="AX467" s="85">
        <v>2025</v>
      </c>
      <c r="AY467" s="85">
        <v>6</v>
      </c>
      <c r="AZ467" s="36"/>
      <c r="BA467" s="1" t="s">
        <v>44</v>
      </c>
    </row>
    <row r="468" spans="10:53">
      <c r="J468" s="37"/>
      <c r="K468" s="36"/>
      <c r="L468" s="87"/>
      <c r="M468" s="87"/>
      <c r="N468" s="36"/>
      <c r="O468" s="36"/>
      <c r="P468" s="208"/>
      <c r="AD468"/>
      <c r="AG468"/>
      <c r="AM468" s="107"/>
      <c r="AN468" s="36" t="s">
        <v>32</v>
      </c>
      <c r="AO468" s="37">
        <v>45897</v>
      </c>
      <c r="AP468" s="36" t="s">
        <v>654</v>
      </c>
      <c r="AQ468" s="36" t="s">
        <v>2588</v>
      </c>
      <c r="AR468" s="36" t="s">
        <v>2844</v>
      </c>
      <c r="AS468" s="89"/>
      <c r="AT468" s="87"/>
      <c r="AU468" s="87"/>
      <c r="AV468" s="87"/>
      <c r="AW468" s="296">
        <v>11646250</v>
      </c>
      <c r="AX468" s="85">
        <v>2025</v>
      </c>
      <c r="AY468" s="85">
        <v>6</v>
      </c>
      <c r="AZ468" s="298" t="s">
        <v>3029</v>
      </c>
      <c r="BA468" s="1" t="s">
        <v>44</v>
      </c>
    </row>
    <row r="469" spans="10:53">
      <c r="J469" s="37"/>
      <c r="K469" s="36"/>
      <c r="L469" s="87"/>
      <c r="M469" s="87"/>
      <c r="N469" s="36"/>
      <c r="O469" s="36"/>
      <c r="P469" s="208"/>
      <c r="AD469"/>
      <c r="AG469"/>
      <c r="AM469" s="107"/>
      <c r="AN469" s="36" t="s">
        <v>32</v>
      </c>
      <c r="AO469" s="37">
        <v>45898</v>
      </c>
      <c r="AP469" s="36" t="s">
        <v>654</v>
      </c>
      <c r="AQ469" s="36" t="s">
        <v>2541</v>
      </c>
      <c r="AR469" s="36" t="s">
        <v>2733</v>
      </c>
      <c r="AS469" s="89"/>
      <c r="AT469" s="87"/>
      <c r="AU469" s="87"/>
      <c r="AV469" s="87"/>
      <c r="AW469" s="302">
        <v>49280000</v>
      </c>
      <c r="AX469" s="303">
        <v>2025</v>
      </c>
      <c r="AY469" s="303">
        <v>7</v>
      </c>
      <c r="AZ469" s="304" t="s">
        <v>3030</v>
      </c>
      <c r="BA469" s="232" t="s">
        <v>44</v>
      </c>
    </row>
    <row r="470" spans="10:53">
      <c r="J470" s="37"/>
      <c r="K470" s="36"/>
      <c r="L470" s="87"/>
      <c r="M470" s="38"/>
      <c r="N470" s="36"/>
      <c r="O470" s="36"/>
      <c r="P470" s="208"/>
      <c r="AD470"/>
      <c r="AG470"/>
      <c r="AM470" s="107"/>
      <c r="AN470" s="36" t="s">
        <v>32</v>
      </c>
      <c r="AO470" s="37">
        <v>45898</v>
      </c>
      <c r="AP470" s="36" t="s">
        <v>654</v>
      </c>
      <c r="AQ470" s="36" t="s">
        <v>1854</v>
      </c>
      <c r="AR470" s="36" t="s">
        <v>3028</v>
      </c>
      <c r="AS470" s="89"/>
      <c r="AT470" s="87"/>
      <c r="AU470" s="87"/>
      <c r="AV470" s="87"/>
      <c r="AW470" s="302">
        <v>11000000</v>
      </c>
      <c r="AX470" s="303">
        <v>2025</v>
      </c>
      <c r="AY470" s="303">
        <v>7</v>
      </c>
      <c r="AZ470" s="304" t="s">
        <v>3030</v>
      </c>
      <c r="BA470" s="232" t="s">
        <v>44</v>
      </c>
    </row>
    <row r="471" spans="10:53">
      <c r="J471" s="37"/>
      <c r="K471" s="36"/>
      <c r="L471" s="87"/>
      <c r="M471" s="38"/>
      <c r="N471" s="36"/>
      <c r="O471" s="36"/>
      <c r="P471" s="208"/>
      <c r="AD471"/>
      <c r="AG471"/>
      <c r="AM471" s="107"/>
      <c r="AN471" s="36" t="s">
        <v>32</v>
      </c>
      <c r="AO471" s="37">
        <v>45898</v>
      </c>
      <c r="AP471" s="36" t="s">
        <v>188</v>
      </c>
      <c r="AQ471" s="36" t="s">
        <v>3018</v>
      </c>
      <c r="AR471" s="36" t="s">
        <v>3031</v>
      </c>
      <c r="AS471" s="89"/>
      <c r="AT471" s="87"/>
      <c r="AU471" s="87"/>
      <c r="AV471" s="87"/>
      <c r="AW471" s="87">
        <v>7480000</v>
      </c>
      <c r="AX471" s="85">
        <v>2025</v>
      </c>
      <c r="AY471" s="85">
        <v>7</v>
      </c>
      <c r="AZ471" s="36"/>
      <c r="BA471" s="1" t="s">
        <v>44</v>
      </c>
    </row>
    <row r="472" spans="10:53">
      <c r="J472" s="37"/>
      <c r="K472" s="36"/>
      <c r="L472" s="87"/>
      <c r="M472" s="38"/>
      <c r="N472" s="36"/>
      <c r="O472" s="36"/>
      <c r="P472" s="208"/>
      <c r="AD472"/>
      <c r="AG472"/>
      <c r="AM472" s="107"/>
      <c r="AN472" s="36" t="s">
        <v>32</v>
      </c>
      <c r="AO472" s="37">
        <v>45898</v>
      </c>
      <c r="AP472" s="36" t="s">
        <v>2822</v>
      </c>
      <c r="AQ472" s="36" t="s">
        <v>3019</v>
      </c>
      <c r="AR472" s="36" t="s">
        <v>148</v>
      </c>
      <c r="AS472" s="89"/>
      <c r="AT472" s="87"/>
      <c r="AU472" s="87"/>
      <c r="AV472" s="87"/>
      <c r="AW472" s="87">
        <v>1485000</v>
      </c>
      <c r="AX472" s="85">
        <v>2025</v>
      </c>
      <c r="AY472" s="85">
        <v>7</v>
      </c>
      <c r="AZ472" s="36"/>
      <c r="BA472" s="1" t="s">
        <v>44</v>
      </c>
    </row>
    <row r="473" spans="10:53">
      <c r="J473" s="37"/>
      <c r="K473" s="36"/>
      <c r="L473" s="87"/>
      <c r="M473" s="38"/>
      <c r="N473" s="36"/>
      <c r="O473" s="36"/>
      <c r="P473" s="208"/>
      <c r="AD473"/>
      <c r="AG473"/>
      <c r="AM473" s="107"/>
      <c r="AN473" s="36" t="s">
        <v>32</v>
      </c>
      <c r="AO473" s="37">
        <v>45898</v>
      </c>
      <c r="AP473" s="36" t="s">
        <v>2166</v>
      </c>
      <c r="AQ473" s="36" t="s">
        <v>2836</v>
      </c>
      <c r="AR473" s="36" t="s">
        <v>2971</v>
      </c>
      <c r="AS473" s="89"/>
      <c r="AT473" s="87"/>
      <c r="AU473" s="87"/>
      <c r="AV473" s="87"/>
      <c r="AW473" s="87">
        <v>15912998</v>
      </c>
      <c r="AX473" s="85">
        <v>2025</v>
      </c>
      <c r="AY473" s="85">
        <v>6</v>
      </c>
      <c r="AZ473" s="36"/>
      <c r="BA473" s="1" t="s">
        <v>44</v>
      </c>
    </row>
    <row r="474" spans="10:53">
      <c r="J474" s="37"/>
      <c r="K474" s="36"/>
      <c r="L474" s="87"/>
      <c r="M474" s="38"/>
      <c r="N474" s="36"/>
      <c r="O474" s="36"/>
      <c r="P474" s="208"/>
      <c r="AD474"/>
      <c r="AG474"/>
      <c r="AM474" s="107"/>
      <c r="AN474" s="36" t="s">
        <v>32</v>
      </c>
      <c r="AO474" s="37">
        <v>45898</v>
      </c>
      <c r="AP474" s="36" t="s">
        <v>209</v>
      </c>
      <c r="AQ474" s="36" t="s">
        <v>2494</v>
      </c>
      <c r="AR474" s="36" t="s">
        <v>3036</v>
      </c>
      <c r="AS474" s="89"/>
      <c r="AT474" s="87"/>
      <c r="AU474" s="87"/>
      <c r="AV474" s="87"/>
      <c r="AW474" s="87">
        <v>1935780</v>
      </c>
      <c r="AX474" s="85">
        <v>2025</v>
      </c>
      <c r="AY474" s="85">
        <v>5</v>
      </c>
      <c r="AZ474" s="36"/>
      <c r="BA474" s="1" t="s">
        <v>44</v>
      </c>
    </row>
    <row r="475" spans="10:53">
      <c r="J475" s="37"/>
      <c r="K475" s="36"/>
      <c r="L475" s="87"/>
      <c r="M475" s="38"/>
      <c r="N475" s="36"/>
      <c r="O475" s="36"/>
      <c r="P475" s="208"/>
      <c r="AD475"/>
      <c r="AG475"/>
      <c r="AM475" s="107"/>
      <c r="AN475" s="36" t="s">
        <v>32</v>
      </c>
      <c r="AO475" s="37">
        <v>45898</v>
      </c>
      <c r="AP475" s="36" t="s">
        <v>209</v>
      </c>
      <c r="AQ475" s="36" t="s">
        <v>2494</v>
      </c>
      <c r="AR475" s="36" t="s">
        <v>3037</v>
      </c>
      <c r="AS475" s="89"/>
      <c r="AT475" s="87"/>
      <c r="AU475" s="87"/>
      <c r="AV475" s="87"/>
      <c r="AW475" s="87">
        <v>2309120</v>
      </c>
      <c r="AX475" s="85">
        <v>2025</v>
      </c>
      <c r="AY475" s="85">
        <v>6</v>
      </c>
      <c r="AZ475" s="36"/>
      <c r="BA475" s="1" t="s">
        <v>44</v>
      </c>
    </row>
    <row r="476" spans="10:53">
      <c r="J476" s="37"/>
      <c r="K476" s="36"/>
      <c r="L476" s="87"/>
      <c r="M476" s="38"/>
      <c r="N476" s="36"/>
      <c r="O476" s="36"/>
      <c r="P476" s="208"/>
      <c r="AD476"/>
      <c r="AG476"/>
      <c r="AM476" s="107"/>
      <c r="AN476" s="36" t="s">
        <v>32</v>
      </c>
      <c r="AO476" s="37">
        <v>45901</v>
      </c>
      <c r="AP476" s="36" t="s">
        <v>2824</v>
      </c>
      <c r="AQ476" s="36" t="s">
        <v>2832</v>
      </c>
      <c r="AR476" s="36" t="s">
        <v>148</v>
      </c>
      <c r="AS476" s="89"/>
      <c r="AT476" s="87"/>
      <c r="AU476" s="87"/>
      <c r="AV476" s="87"/>
      <c r="AW476" s="87">
        <v>54171590</v>
      </c>
      <c r="AX476" s="85">
        <v>2025</v>
      </c>
      <c r="AY476" s="85">
        <v>7</v>
      </c>
      <c r="AZ476" s="36"/>
      <c r="BA476" s="1" t="s">
        <v>44</v>
      </c>
    </row>
    <row r="477" spans="10:53">
      <c r="J477" s="37"/>
      <c r="K477" s="36"/>
      <c r="L477" s="87"/>
      <c r="M477" s="38"/>
      <c r="N477" s="36"/>
      <c r="O477" s="36"/>
      <c r="P477" s="208"/>
      <c r="AD477"/>
      <c r="AG477"/>
      <c r="AM477" s="107"/>
      <c r="AN477" s="36" t="s">
        <v>32</v>
      </c>
      <c r="AO477" s="37">
        <v>45905</v>
      </c>
      <c r="AP477" s="36" t="s">
        <v>654</v>
      </c>
      <c r="AQ477" s="36" t="s">
        <v>1854</v>
      </c>
      <c r="AR477" s="36" t="s">
        <v>3042</v>
      </c>
      <c r="AS477" s="89"/>
      <c r="AT477" s="87"/>
      <c r="AU477" s="87"/>
      <c r="AV477" s="87"/>
      <c r="AW477" s="87">
        <v>1328096</v>
      </c>
      <c r="AX477" s="85">
        <v>2025</v>
      </c>
      <c r="AY477" s="85">
        <v>2</v>
      </c>
      <c r="AZ477" s="36"/>
      <c r="BA477" s="1" t="s">
        <v>44</v>
      </c>
    </row>
    <row r="478" spans="10:53">
      <c r="J478" s="37"/>
      <c r="K478" s="36"/>
      <c r="L478" s="87"/>
      <c r="M478" s="38"/>
      <c r="N478" s="36"/>
      <c r="O478" s="36"/>
      <c r="P478" s="208"/>
      <c r="AD478"/>
      <c r="AG478"/>
      <c r="AM478" s="107"/>
      <c r="AN478" s="36" t="s">
        <v>32</v>
      </c>
      <c r="AO478" s="37">
        <v>45905</v>
      </c>
      <c r="AP478" s="36" t="s">
        <v>654</v>
      </c>
      <c r="AQ478" s="36" t="s">
        <v>3045</v>
      </c>
      <c r="AR478" s="36" t="s">
        <v>3043</v>
      </c>
      <c r="AS478" s="89"/>
      <c r="AT478" s="87"/>
      <c r="AU478" s="87"/>
      <c r="AV478" s="87"/>
      <c r="AW478" s="87">
        <v>3522684</v>
      </c>
      <c r="AX478" s="85">
        <v>2025</v>
      </c>
      <c r="AY478" s="85">
        <v>3</v>
      </c>
      <c r="AZ478" s="36"/>
      <c r="BA478" s="1" t="s">
        <v>44</v>
      </c>
    </row>
    <row r="479" spans="10:53">
      <c r="J479" s="37"/>
      <c r="K479" s="36"/>
      <c r="L479" s="87"/>
      <c r="M479" s="38"/>
      <c r="N479" s="36"/>
      <c r="O479" s="36"/>
      <c r="P479" s="208"/>
      <c r="AD479"/>
      <c r="AG479"/>
      <c r="AM479" s="107"/>
      <c r="AN479" s="36" t="s">
        <v>32</v>
      </c>
      <c r="AO479" s="37">
        <v>45905</v>
      </c>
      <c r="AP479" s="36" t="s">
        <v>654</v>
      </c>
      <c r="AQ479" s="36" t="s">
        <v>1854</v>
      </c>
      <c r="AR479" s="36" t="s">
        <v>3044</v>
      </c>
      <c r="AS479" s="89"/>
      <c r="AT479" s="87"/>
      <c r="AU479" s="87"/>
      <c r="AV479" s="87"/>
      <c r="AW479" s="87">
        <v>5873780</v>
      </c>
      <c r="AX479" s="85">
        <v>2025</v>
      </c>
      <c r="AY479" s="85">
        <v>4</v>
      </c>
      <c r="AZ479" s="36"/>
      <c r="BA479" s="1" t="s">
        <v>44</v>
      </c>
    </row>
    <row r="480" spans="10:53">
      <c r="J480" s="37"/>
      <c r="K480" s="36"/>
      <c r="L480" s="87"/>
      <c r="M480" s="38"/>
      <c r="N480" s="36"/>
      <c r="O480" s="36"/>
      <c r="P480" s="208"/>
      <c r="AD480"/>
      <c r="AG480"/>
      <c r="AM480" s="107"/>
      <c r="AN480" s="36" t="s">
        <v>32</v>
      </c>
      <c r="AO480" s="37">
        <v>45905</v>
      </c>
      <c r="AP480" s="36" t="s">
        <v>654</v>
      </c>
      <c r="AQ480" s="36" t="s">
        <v>1854</v>
      </c>
      <c r="AR480" s="36" t="s">
        <v>3046</v>
      </c>
      <c r="AS480" s="89"/>
      <c r="AT480" s="87"/>
      <c r="AU480" s="87"/>
      <c r="AV480" s="87"/>
      <c r="AW480" s="230">
        <v>4401166</v>
      </c>
      <c r="AX480" s="85">
        <v>2025</v>
      </c>
      <c r="AY480" s="85">
        <v>6</v>
      </c>
      <c r="AZ480" s="36"/>
      <c r="BA480" s="1" t="s">
        <v>44</v>
      </c>
    </row>
    <row r="481" spans="10:53">
      <c r="J481" s="37"/>
      <c r="K481" s="36"/>
      <c r="L481" s="87"/>
      <c r="M481" s="38"/>
      <c r="N481" s="36"/>
      <c r="O481" s="36"/>
      <c r="P481" s="208"/>
      <c r="AD481"/>
      <c r="AG481"/>
      <c r="AM481" s="107"/>
      <c r="AN481" s="36" t="s">
        <v>32</v>
      </c>
      <c r="AO481" s="37">
        <v>45905</v>
      </c>
      <c r="AP481" s="36" t="s">
        <v>1218</v>
      </c>
      <c r="AQ481" s="36" t="s">
        <v>2879</v>
      </c>
      <c r="AR481" s="36" t="s">
        <v>3048</v>
      </c>
      <c r="AS481" s="89"/>
      <c r="AT481" s="87"/>
      <c r="AU481" s="87"/>
      <c r="AV481" s="87"/>
      <c r="AW481" s="297">
        <v>297000</v>
      </c>
      <c r="AX481" s="85">
        <v>2025</v>
      </c>
      <c r="AY481" s="85">
        <v>5</v>
      </c>
      <c r="AZ481" s="36" t="s">
        <v>3050</v>
      </c>
      <c r="BA481" s="1" t="s">
        <v>44</v>
      </c>
    </row>
    <row r="482" spans="10:53">
      <c r="J482" s="37"/>
      <c r="K482" s="36"/>
      <c r="L482" s="87"/>
      <c r="M482" s="38"/>
      <c r="N482" s="36"/>
      <c r="O482" s="36"/>
      <c r="P482" s="208"/>
      <c r="AD482"/>
      <c r="AG482"/>
      <c r="AM482" s="107"/>
      <c r="AN482" s="36" t="s">
        <v>32</v>
      </c>
      <c r="AO482" s="37">
        <v>45905</v>
      </c>
      <c r="AP482" s="36" t="s">
        <v>1218</v>
      </c>
      <c r="AQ482" s="36" t="s">
        <v>3012</v>
      </c>
      <c r="AR482" s="36" t="s">
        <v>3049</v>
      </c>
      <c r="AS482" s="89"/>
      <c r="AT482" s="87"/>
      <c r="AU482" s="87"/>
      <c r="AV482" s="87"/>
      <c r="AW482" s="296">
        <v>660000</v>
      </c>
      <c r="AX482" s="85">
        <v>2025</v>
      </c>
      <c r="AY482" s="85">
        <v>7</v>
      </c>
      <c r="AZ482" s="36" t="s">
        <v>3050</v>
      </c>
      <c r="BA482" s="1" t="s">
        <v>44</v>
      </c>
    </row>
    <row r="483" spans="10:53">
      <c r="J483" s="37"/>
      <c r="K483" s="36"/>
      <c r="L483" s="87"/>
      <c r="M483" s="87"/>
      <c r="N483" s="36"/>
      <c r="O483" s="36"/>
      <c r="P483" s="208"/>
      <c r="AD483"/>
      <c r="AG483"/>
      <c r="AM483" s="107"/>
      <c r="AN483" s="36" t="s">
        <v>32</v>
      </c>
      <c r="AO483" s="37">
        <v>45910</v>
      </c>
      <c r="AP483" s="36" t="s">
        <v>2774</v>
      </c>
      <c r="AQ483" s="36" t="s">
        <v>2784</v>
      </c>
      <c r="AR483" s="36" t="s">
        <v>148</v>
      </c>
      <c r="AS483" s="89"/>
      <c r="AT483" s="87"/>
      <c r="AU483" s="87"/>
      <c r="AV483" s="87"/>
      <c r="AW483" s="87">
        <v>13511960</v>
      </c>
      <c r="AX483" s="85">
        <v>2025</v>
      </c>
      <c r="AY483" s="85">
        <v>7</v>
      </c>
      <c r="AZ483" s="36"/>
      <c r="BA483" s="1" t="s">
        <v>44</v>
      </c>
    </row>
    <row r="484" spans="10:53">
      <c r="J484" s="37"/>
      <c r="K484" s="36"/>
      <c r="L484" s="87"/>
      <c r="M484" s="38"/>
      <c r="N484" s="36"/>
      <c r="O484" s="36"/>
      <c r="P484" s="208"/>
      <c r="AD484"/>
      <c r="AG484"/>
      <c r="AM484" s="107"/>
      <c r="AN484" s="36" t="s">
        <v>32</v>
      </c>
      <c r="AO484" s="37">
        <v>45909</v>
      </c>
      <c r="AP484" s="36" t="s">
        <v>654</v>
      </c>
      <c r="AQ484" s="36" t="s">
        <v>2588</v>
      </c>
      <c r="AR484" s="36" t="s">
        <v>3095</v>
      </c>
      <c r="AS484" s="89"/>
      <c r="AT484" s="87"/>
      <c r="AU484" s="87"/>
      <c r="AV484" s="87"/>
      <c r="AW484" s="292">
        <v>60232</v>
      </c>
      <c r="AX484" s="85">
        <v>2025</v>
      </c>
      <c r="AY484" s="85">
        <v>7</v>
      </c>
      <c r="AZ484" s="293" t="s">
        <v>3056</v>
      </c>
      <c r="BA484" s="1" t="s">
        <v>44</v>
      </c>
    </row>
    <row r="485" spans="10:53">
      <c r="J485" s="37"/>
      <c r="K485" s="36"/>
      <c r="L485" s="87"/>
      <c r="M485" s="38"/>
      <c r="N485" s="36"/>
      <c r="O485" s="36"/>
      <c r="P485" s="208"/>
      <c r="AD485"/>
      <c r="AG485"/>
      <c r="AM485" s="107"/>
      <c r="AN485" s="36" t="s">
        <v>32</v>
      </c>
      <c r="AO485" s="37">
        <v>45897</v>
      </c>
      <c r="AP485" s="36" t="s">
        <v>654</v>
      </c>
      <c r="AQ485" s="36" t="s">
        <v>2881</v>
      </c>
      <c r="AR485" s="36" t="s">
        <v>76</v>
      </c>
      <c r="AS485" s="89"/>
      <c r="AT485" s="87">
        <v>5000000</v>
      </c>
      <c r="AU485" s="87">
        <v>500000</v>
      </c>
      <c r="AV485" s="87">
        <v>5500000</v>
      </c>
      <c r="AW485" s="38"/>
      <c r="AX485" s="85">
        <v>2025</v>
      </c>
      <c r="AY485" s="85">
        <v>8</v>
      </c>
      <c r="AZ485" s="36"/>
      <c r="BA485" s="1" t="s">
        <v>44</v>
      </c>
    </row>
    <row r="486" spans="10:53">
      <c r="J486" s="37"/>
      <c r="K486" s="36"/>
      <c r="L486" s="87"/>
      <c r="M486" s="38"/>
      <c r="N486" s="36"/>
      <c r="O486" s="36"/>
      <c r="P486" s="208"/>
      <c r="AD486"/>
      <c r="AG486"/>
      <c r="AM486" s="107"/>
      <c r="AN486" s="36" t="s">
        <v>32</v>
      </c>
      <c r="AO486" s="37">
        <v>45900</v>
      </c>
      <c r="AP486" s="36" t="s">
        <v>654</v>
      </c>
      <c r="AQ486" s="36" t="s">
        <v>2588</v>
      </c>
      <c r="AR486" s="36" t="s">
        <v>76</v>
      </c>
      <c r="AS486" s="89"/>
      <c r="AT486" s="87">
        <v>19603680</v>
      </c>
      <c r="AU486" s="87">
        <v>1960368</v>
      </c>
      <c r="AV486" s="87">
        <v>21564048</v>
      </c>
      <c r="AW486" s="38"/>
      <c r="AX486" s="85">
        <v>2025</v>
      </c>
      <c r="AY486" s="85">
        <v>8</v>
      </c>
      <c r="AZ486" s="36"/>
      <c r="BA486" s="1" t="s">
        <v>44</v>
      </c>
    </row>
    <row r="487" spans="10:53">
      <c r="J487" s="37"/>
      <c r="K487" s="36"/>
      <c r="L487" s="87"/>
      <c r="M487" s="38"/>
      <c r="N487" s="36"/>
      <c r="O487" s="36"/>
      <c r="P487" s="208"/>
      <c r="AD487"/>
      <c r="AG487"/>
      <c r="AM487" s="107"/>
      <c r="AN487" s="36" t="s">
        <v>32</v>
      </c>
      <c r="AO487" s="37">
        <v>45900</v>
      </c>
      <c r="AP487" s="36" t="s">
        <v>654</v>
      </c>
      <c r="AQ487" s="36" t="s">
        <v>2541</v>
      </c>
      <c r="AR487" s="36" t="s">
        <v>76</v>
      </c>
      <c r="AS487" s="89"/>
      <c r="AT487" s="87">
        <v>12313000</v>
      </c>
      <c r="AU487" s="87">
        <v>1231300</v>
      </c>
      <c r="AV487" s="87">
        <v>13544300</v>
      </c>
      <c r="AW487" s="38"/>
      <c r="AX487" s="85">
        <v>2025</v>
      </c>
      <c r="AY487" s="85">
        <v>8</v>
      </c>
      <c r="AZ487" s="36"/>
      <c r="BA487" s="1" t="s">
        <v>44</v>
      </c>
    </row>
    <row r="488" spans="10:53">
      <c r="J488" s="37"/>
      <c r="K488" s="36"/>
      <c r="L488" s="87"/>
      <c r="M488" s="38"/>
      <c r="N488" s="36"/>
      <c r="O488" s="36"/>
      <c r="P488" s="208"/>
      <c r="AD488"/>
      <c r="AG488"/>
      <c r="AM488" s="107"/>
      <c r="AN488" s="36" t="s">
        <v>32</v>
      </c>
      <c r="AO488" s="37">
        <v>45900</v>
      </c>
      <c r="AP488" s="36" t="s">
        <v>654</v>
      </c>
      <c r="AQ488" s="36" t="s">
        <v>3064</v>
      </c>
      <c r="AR488" s="36" t="s">
        <v>76</v>
      </c>
      <c r="AS488" s="89"/>
      <c r="AT488" s="87">
        <v>3360000</v>
      </c>
      <c r="AU488" s="87">
        <v>336000</v>
      </c>
      <c r="AV488" s="87">
        <v>3696000</v>
      </c>
      <c r="AW488" s="38"/>
      <c r="AX488" s="85">
        <v>2025</v>
      </c>
      <c r="AY488" s="85">
        <v>8</v>
      </c>
      <c r="AZ488" s="36"/>
      <c r="BA488" s="1" t="s">
        <v>44</v>
      </c>
    </row>
    <row r="489" spans="10:53">
      <c r="J489" s="37"/>
      <c r="K489" s="36"/>
      <c r="L489" s="87"/>
      <c r="M489" s="38"/>
      <c r="N489" s="36"/>
      <c r="O489" s="36"/>
      <c r="P489" s="208"/>
      <c r="AD489"/>
      <c r="AG489"/>
      <c r="AM489" s="107"/>
      <c r="AN489" s="36" t="s">
        <v>32</v>
      </c>
      <c r="AO489" s="37">
        <v>45897</v>
      </c>
      <c r="AP489" s="36" t="s">
        <v>188</v>
      </c>
      <c r="AQ489" s="36" t="s">
        <v>3065</v>
      </c>
      <c r="AR489" s="36" t="s">
        <v>267</v>
      </c>
      <c r="AS489" s="89"/>
      <c r="AT489" s="87">
        <v>6674200</v>
      </c>
      <c r="AU489" s="87">
        <v>667420</v>
      </c>
      <c r="AV489" s="87">
        <v>7341620</v>
      </c>
      <c r="AW489" s="38"/>
      <c r="AX489" s="85">
        <v>2025</v>
      </c>
      <c r="AY489" s="85">
        <v>8</v>
      </c>
      <c r="AZ489" s="36"/>
      <c r="BA489" s="1" t="s">
        <v>44</v>
      </c>
    </row>
    <row r="490" spans="10:53">
      <c r="J490" s="37"/>
      <c r="K490" s="36"/>
      <c r="L490" s="87"/>
      <c r="M490" s="38"/>
      <c r="N490" s="36"/>
      <c r="O490" s="36"/>
      <c r="P490" s="208"/>
      <c r="AD490"/>
      <c r="AG490"/>
      <c r="AM490" s="107"/>
      <c r="AN490" s="36" t="s">
        <v>32</v>
      </c>
      <c r="AO490" s="37">
        <v>45900</v>
      </c>
      <c r="AP490" s="36" t="s">
        <v>3062</v>
      </c>
      <c r="AQ490" s="36" t="s">
        <v>3066</v>
      </c>
      <c r="AR490" s="36" t="s">
        <v>1492</v>
      </c>
      <c r="AS490" s="89"/>
      <c r="AT490" s="87">
        <v>1890000</v>
      </c>
      <c r="AU490" s="87">
        <v>189000</v>
      </c>
      <c r="AV490" s="87">
        <v>2079000</v>
      </c>
      <c r="AW490" s="38"/>
      <c r="AX490" s="85">
        <v>2025</v>
      </c>
      <c r="AY490" s="85">
        <v>8</v>
      </c>
      <c r="AZ490" s="36"/>
      <c r="BA490" s="1" t="s">
        <v>44</v>
      </c>
    </row>
    <row r="491" spans="10:53">
      <c r="J491" s="37"/>
      <c r="K491" s="36"/>
      <c r="L491" s="87"/>
      <c r="M491" s="38"/>
      <c r="N491" s="36"/>
      <c r="O491" s="36"/>
      <c r="P491" s="208"/>
      <c r="AD491"/>
      <c r="AG491"/>
      <c r="AM491" s="107"/>
      <c r="AN491" s="36" t="s">
        <v>32</v>
      </c>
      <c r="AO491" s="37">
        <v>45900</v>
      </c>
      <c r="AP491" s="36" t="s">
        <v>2005</v>
      </c>
      <c r="AQ491" s="36" t="s">
        <v>3009</v>
      </c>
      <c r="AR491" s="36" t="s">
        <v>267</v>
      </c>
      <c r="AS491" s="89"/>
      <c r="AT491" s="87">
        <v>7500000</v>
      </c>
      <c r="AU491" s="87">
        <v>750000</v>
      </c>
      <c r="AV491" s="87">
        <v>8250000</v>
      </c>
      <c r="AW491" s="38"/>
      <c r="AX491" s="85">
        <v>2025</v>
      </c>
      <c r="AY491" s="85">
        <v>8</v>
      </c>
      <c r="AZ491" s="36"/>
      <c r="BA491" s="1" t="s">
        <v>44</v>
      </c>
    </row>
    <row r="492" spans="10:53">
      <c r="J492" s="37"/>
      <c r="K492" s="36"/>
      <c r="L492" s="87"/>
      <c r="M492" s="38"/>
      <c r="N492" s="36"/>
      <c r="O492" s="36"/>
      <c r="P492" s="208"/>
      <c r="AD492"/>
      <c r="AG492"/>
      <c r="AM492" s="107"/>
      <c r="AN492" s="36" t="s">
        <v>32</v>
      </c>
      <c r="AO492" s="37">
        <v>45900</v>
      </c>
      <c r="AP492" s="36" t="s">
        <v>1198</v>
      </c>
      <c r="AQ492" s="36" t="s">
        <v>3067</v>
      </c>
      <c r="AR492" s="36" t="s">
        <v>76</v>
      </c>
      <c r="AS492" s="89"/>
      <c r="AT492" s="87">
        <v>7255200</v>
      </c>
      <c r="AU492" s="87">
        <v>725520</v>
      </c>
      <c r="AV492" s="87">
        <v>7980720</v>
      </c>
      <c r="AW492" s="38"/>
      <c r="AX492" s="85">
        <v>2025</v>
      </c>
      <c r="AY492" s="85">
        <v>8</v>
      </c>
      <c r="AZ492" s="36"/>
      <c r="BA492" s="1" t="s">
        <v>44</v>
      </c>
    </row>
    <row r="493" spans="10:53">
      <c r="J493" s="37"/>
      <c r="K493" s="36"/>
      <c r="L493" s="87"/>
      <c r="M493" s="38"/>
      <c r="N493" s="36"/>
      <c r="O493" s="36"/>
      <c r="P493" s="208"/>
      <c r="AD493"/>
      <c r="AG493"/>
      <c r="AM493" s="107"/>
      <c r="AN493" s="36" t="s">
        <v>32</v>
      </c>
      <c r="AO493" s="37">
        <v>45900</v>
      </c>
      <c r="AP493" s="36" t="s">
        <v>334</v>
      </c>
      <c r="AQ493" s="36" t="s">
        <v>3068</v>
      </c>
      <c r="AR493" s="36" t="s">
        <v>267</v>
      </c>
      <c r="AS493" s="89"/>
      <c r="AT493" s="87">
        <v>4000000</v>
      </c>
      <c r="AU493" s="87">
        <v>400000</v>
      </c>
      <c r="AV493" s="87">
        <v>4400000</v>
      </c>
      <c r="AW493" s="38"/>
      <c r="AX493" s="85">
        <v>2025</v>
      </c>
      <c r="AY493" s="85">
        <v>8</v>
      </c>
      <c r="AZ493" s="36"/>
      <c r="BA493" s="1" t="s">
        <v>44</v>
      </c>
    </row>
    <row r="494" spans="10:53">
      <c r="J494" s="37"/>
      <c r="K494" s="36"/>
      <c r="L494" s="87"/>
      <c r="M494" s="87"/>
      <c r="N494" s="36"/>
      <c r="O494" s="36"/>
      <c r="P494" s="208"/>
      <c r="AD494"/>
      <c r="AG494"/>
      <c r="AM494" s="107"/>
      <c r="AN494" s="36" t="s">
        <v>32</v>
      </c>
      <c r="AO494" s="37">
        <v>45900</v>
      </c>
      <c r="AP494" s="36" t="s">
        <v>3063</v>
      </c>
      <c r="AQ494" s="36" t="s">
        <v>3069</v>
      </c>
      <c r="AR494" s="36" t="s">
        <v>267</v>
      </c>
      <c r="AS494" s="89"/>
      <c r="AT494" s="87">
        <v>4500000</v>
      </c>
      <c r="AU494" s="87">
        <v>450000</v>
      </c>
      <c r="AV494" s="87">
        <v>4950000</v>
      </c>
      <c r="AW494" s="38"/>
      <c r="AX494" s="85">
        <v>2025</v>
      </c>
      <c r="AY494" s="85">
        <v>8</v>
      </c>
      <c r="AZ494" s="36"/>
      <c r="BA494" s="1" t="s">
        <v>44</v>
      </c>
    </row>
    <row r="495" spans="10:53">
      <c r="J495" s="37"/>
      <c r="K495" s="36"/>
      <c r="L495" s="87"/>
      <c r="M495" s="38"/>
      <c r="N495" s="36"/>
      <c r="O495" s="36"/>
      <c r="P495" s="208"/>
      <c r="AD495"/>
      <c r="AG495"/>
      <c r="AM495" s="107"/>
      <c r="AN495" s="36" t="s">
        <v>32</v>
      </c>
      <c r="AO495" s="37">
        <v>45900</v>
      </c>
      <c r="AP495" s="36" t="s">
        <v>2673</v>
      </c>
      <c r="AQ495" s="36" t="s">
        <v>2686</v>
      </c>
      <c r="AR495" s="36" t="s">
        <v>76</v>
      </c>
      <c r="AS495" s="89"/>
      <c r="AT495" s="87">
        <v>1075200</v>
      </c>
      <c r="AU495" s="87">
        <v>107520</v>
      </c>
      <c r="AV495" s="87">
        <v>1182720</v>
      </c>
      <c r="AW495" s="38"/>
      <c r="AX495" s="85">
        <v>2025</v>
      </c>
      <c r="AY495" s="85">
        <v>8</v>
      </c>
      <c r="AZ495" s="36"/>
      <c r="BA495" s="1" t="s">
        <v>44</v>
      </c>
    </row>
    <row r="496" spans="10:53">
      <c r="J496" s="37"/>
      <c r="K496" s="36"/>
      <c r="L496" s="87"/>
      <c r="M496" s="38"/>
      <c r="N496" s="36"/>
      <c r="O496" s="36"/>
      <c r="P496" s="208"/>
      <c r="AD496"/>
      <c r="AG496"/>
      <c r="AM496" s="107"/>
      <c r="AN496" s="36" t="s">
        <v>32</v>
      </c>
      <c r="AO496" s="37">
        <v>45900</v>
      </c>
      <c r="AP496" s="36" t="s">
        <v>2166</v>
      </c>
      <c r="AQ496" s="36" t="s">
        <v>2836</v>
      </c>
      <c r="AR496" s="36" t="s">
        <v>76</v>
      </c>
      <c r="AS496" s="89"/>
      <c r="AT496" s="87">
        <v>37340120</v>
      </c>
      <c r="AU496" s="87">
        <v>3734012</v>
      </c>
      <c r="AV496" s="87">
        <v>41074132</v>
      </c>
      <c r="AW496" s="38"/>
      <c r="AX496" s="85">
        <v>2025</v>
      </c>
      <c r="AY496" s="85">
        <v>8</v>
      </c>
      <c r="AZ496" s="36"/>
      <c r="BA496" s="1" t="s">
        <v>44</v>
      </c>
    </row>
    <row r="497" spans="10:53">
      <c r="J497" s="37"/>
      <c r="K497" s="36"/>
      <c r="L497" s="87"/>
      <c r="M497" s="38"/>
      <c r="N497" s="36"/>
      <c r="O497" s="36"/>
      <c r="P497" s="208"/>
      <c r="AD497"/>
      <c r="AG497"/>
      <c r="AM497" s="107"/>
      <c r="AN497" s="36" t="s">
        <v>32</v>
      </c>
      <c r="AO497" s="37">
        <v>45900</v>
      </c>
      <c r="AP497" s="36" t="s">
        <v>2477</v>
      </c>
      <c r="AQ497" s="36" t="s">
        <v>2485</v>
      </c>
      <c r="AR497" s="36" t="s">
        <v>76</v>
      </c>
      <c r="AS497" s="89"/>
      <c r="AT497" s="87">
        <v>1560000</v>
      </c>
      <c r="AU497" s="87">
        <v>156000</v>
      </c>
      <c r="AV497" s="87">
        <v>1716000</v>
      </c>
      <c r="AW497" s="38"/>
      <c r="AX497" s="85">
        <v>2025</v>
      </c>
      <c r="AY497" s="85">
        <v>8</v>
      </c>
      <c r="AZ497" s="36"/>
      <c r="BA497" s="1" t="s">
        <v>44</v>
      </c>
    </row>
    <row r="498" spans="10:53">
      <c r="J498" s="37"/>
      <c r="K498" s="36"/>
      <c r="L498" s="87"/>
      <c r="M498" s="38"/>
      <c r="N498" s="36"/>
      <c r="O498" s="36"/>
      <c r="P498" s="208"/>
      <c r="AD498"/>
      <c r="AG498"/>
      <c r="AM498" s="107"/>
      <c r="AN498" s="36" t="s">
        <v>32</v>
      </c>
      <c r="AO498" s="37">
        <v>45900</v>
      </c>
      <c r="AP498" s="36" t="s">
        <v>2874</v>
      </c>
      <c r="AQ498" s="36" t="s">
        <v>2854</v>
      </c>
      <c r="AR498" s="36" t="s">
        <v>267</v>
      </c>
      <c r="AS498" s="89"/>
      <c r="AT498" s="87">
        <v>44700000</v>
      </c>
      <c r="AU498" s="87">
        <v>4470000</v>
      </c>
      <c r="AV498" s="87">
        <v>49170000</v>
      </c>
      <c r="AW498" s="38"/>
      <c r="AX498" s="85">
        <v>2025</v>
      </c>
      <c r="AY498" s="85">
        <v>8</v>
      </c>
      <c r="AZ498" s="36"/>
      <c r="BA498" s="1" t="s">
        <v>44</v>
      </c>
    </row>
    <row r="499" spans="10:53">
      <c r="J499" s="37"/>
      <c r="K499" s="36"/>
      <c r="L499" s="87"/>
      <c r="M499" s="38"/>
      <c r="N499" s="36"/>
      <c r="O499" s="36"/>
      <c r="P499" s="208"/>
      <c r="AD499"/>
      <c r="AG499"/>
      <c r="AM499" s="107"/>
      <c r="AN499" s="36" t="s">
        <v>32</v>
      </c>
      <c r="AO499" s="37">
        <v>45900</v>
      </c>
      <c r="AP499" s="36" t="s">
        <v>2674</v>
      </c>
      <c r="AQ499" s="36" t="s">
        <v>2687</v>
      </c>
      <c r="AR499" s="36" t="s">
        <v>76</v>
      </c>
      <c r="AS499" s="89"/>
      <c r="AT499" s="87">
        <v>3425000</v>
      </c>
      <c r="AU499" s="87">
        <v>342500</v>
      </c>
      <c r="AV499" s="87">
        <v>3767500</v>
      </c>
      <c r="AW499" s="38"/>
      <c r="AX499" s="85">
        <v>2025</v>
      </c>
      <c r="AY499" s="85">
        <v>8</v>
      </c>
      <c r="AZ499" s="36"/>
      <c r="BA499" s="1" t="s">
        <v>44</v>
      </c>
    </row>
    <row r="500" spans="10:53">
      <c r="J500" s="37"/>
      <c r="K500" s="36"/>
      <c r="L500" s="87"/>
      <c r="M500" s="38"/>
      <c r="N500" s="36"/>
      <c r="O500" s="36"/>
      <c r="P500" s="208"/>
      <c r="AD500"/>
      <c r="AG500"/>
      <c r="AM500" s="107"/>
      <c r="AN500" s="36" t="s">
        <v>32</v>
      </c>
      <c r="AO500" s="37">
        <v>45900</v>
      </c>
      <c r="AP500" s="36" t="s">
        <v>264</v>
      </c>
      <c r="AQ500" s="36" t="s">
        <v>3070</v>
      </c>
      <c r="AR500" s="36" t="s">
        <v>76</v>
      </c>
      <c r="AS500" s="89"/>
      <c r="AT500" s="87">
        <v>21600000</v>
      </c>
      <c r="AU500" s="87">
        <v>2160000</v>
      </c>
      <c r="AV500" s="87">
        <v>23760000</v>
      </c>
      <c r="AW500" s="38"/>
      <c r="AX500" s="85">
        <v>2025</v>
      </c>
      <c r="AY500" s="85">
        <v>8</v>
      </c>
      <c r="AZ500" s="36"/>
      <c r="BA500" s="1" t="s">
        <v>44</v>
      </c>
    </row>
    <row r="501" spans="10:53">
      <c r="J501" s="37"/>
      <c r="K501" s="36"/>
      <c r="L501" s="87"/>
      <c r="M501" s="38"/>
      <c r="N501" s="36"/>
      <c r="O501" s="36"/>
      <c r="P501" s="208"/>
      <c r="AD501"/>
      <c r="AG501"/>
      <c r="AM501" s="107"/>
      <c r="AN501" s="36" t="s">
        <v>32</v>
      </c>
      <c r="AO501" s="37">
        <v>45900</v>
      </c>
      <c r="AP501" s="36" t="s">
        <v>2766</v>
      </c>
      <c r="AQ501" s="36" t="s">
        <v>3081</v>
      </c>
      <c r="AR501" s="36" t="s">
        <v>3074</v>
      </c>
      <c r="AS501" s="89"/>
      <c r="AT501" s="87">
        <v>10000000</v>
      </c>
      <c r="AU501" s="87">
        <v>1000000</v>
      </c>
      <c r="AV501" s="87">
        <v>11000000</v>
      </c>
      <c r="AW501" s="38"/>
      <c r="AX501" s="85">
        <v>2025</v>
      </c>
      <c r="AY501" s="85">
        <v>8</v>
      </c>
      <c r="AZ501" s="36"/>
      <c r="BA501" s="1" t="s">
        <v>44</v>
      </c>
    </row>
    <row r="502" spans="10:53">
      <c r="J502" s="37"/>
      <c r="K502" s="36"/>
      <c r="L502" s="87"/>
      <c r="M502" s="38"/>
      <c r="N502" s="36"/>
      <c r="O502" s="36"/>
      <c r="P502" s="208"/>
      <c r="AD502"/>
      <c r="AG502"/>
      <c r="AM502" s="107"/>
      <c r="AN502" s="36" t="s">
        <v>32</v>
      </c>
      <c r="AO502" s="37">
        <v>45900</v>
      </c>
      <c r="AP502" s="36" t="s">
        <v>2872</v>
      </c>
      <c r="AQ502" s="36" t="s">
        <v>2885</v>
      </c>
      <c r="AR502" s="36" t="s">
        <v>76</v>
      </c>
      <c r="AS502" s="89"/>
      <c r="AT502" s="87">
        <v>10000000</v>
      </c>
      <c r="AU502" s="87">
        <v>1000000</v>
      </c>
      <c r="AV502" s="87">
        <v>11000000</v>
      </c>
      <c r="AW502" s="38"/>
      <c r="AX502" s="85">
        <v>2025</v>
      </c>
      <c r="AY502" s="85">
        <v>8</v>
      </c>
      <c r="AZ502" s="36"/>
      <c r="BA502" s="1" t="s">
        <v>44</v>
      </c>
    </row>
    <row r="503" spans="10:53">
      <c r="J503" s="37"/>
      <c r="K503" s="36"/>
      <c r="L503" s="87"/>
      <c r="M503" s="38"/>
      <c r="N503" s="36"/>
      <c r="O503" s="36"/>
      <c r="P503" s="208"/>
      <c r="AD503"/>
      <c r="AG503"/>
      <c r="AM503" s="107"/>
      <c r="AN503" s="36" t="s">
        <v>32</v>
      </c>
      <c r="AO503" s="37">
        <v>45900</v>
      </c>
      <c r="AP503" s="36" t="s">
        <v>2873</v>
      </c>
      <c r="AQ503" s="36" t="s">
        <v>3115</v>
      </c>
      <c r="AR503" s="36" t="s">
        <v>1441</v>
      </c>
      <c r="AS503" s="89"/>
      <c r="AT503" s="87">
        <v>2000000</v>
      </c>
      <c r="AU503" s="87">
        <v>200000</v>
      </c>
      <c r="AV503" s="87">
        <v>2200000</v>
      </c>
      <c r="AW503" s="38"/>
      <c r="AX503" s="85">
        <v>2025</v>
      </c>
      <c r="AY503" s="85">
        <v>8</v>
      </c>
      <c r="AZ503" s="36"/>
      <c r="BA503" s="1" t="s">
        <v>44</v>
      </c>
    </row>
    <row r="504" spans="10:53">
      <c r="J504" s="37"/>
      <c r="K504" s="36"/>
      <c r="L504" s="87"/>
      <c r="M504" s="87"/>
      <c r="N504" s="36"/>
      <c r="O504" s="36"/>
      <c r="P504" s="208"/>
      <c r="AD504"/>
      <c r="AG504"/>
      <c r="AM504" s="107"/>
      <c r="AN504" s="36" t="s">
        <v>32</v>
      </c>
      <c r="AO504" s="37">
        <v>45900</v>
      </c>
      <c r="AP504" s="36" t="s">
        <v>2824</v>
      </c>
      <c r="AQ504" s="36" t="s">
        <v>2832</v>
      </c>
      <c r="AR504" s="36" t="s">
        <v>76</v>
      </c>
      <c r="AS504" s="89"/>
      <c r="AT504" s="87">
        <v>49299000</v>
      </c>
      <c r="AU504" s="87">
        <v>4929900</v>
      </c>
      <c r="AV504" s="87">
        <v>54228900</v>
      </c>
      <c r="AW504" s="38"/>
      <c r="AX504" s="85">
        <v>2025</v>
      </c>
      <c r="AY504" s="85">
        <v>8</v>
      </c>
      <c r="AZ504" s="36"/>
      <c r="BA504" s="1" t="s">
        <v>44</v>
      </c>
    </row>
    <row r="505" spans="10:53">
      <c r="J505" s="37"/>
      <c r="K505" s="36"/>
      <c r="L505" s="87"/>
      <c r="M505" s="38"/>
      <c r="N505" s="36"/>
      <c r="O505" s="36"/>
      <c r="P505" s="208"/>
      <c r="AD505"/>
      <c r="AG505"/>
      <c r="AM505" s="107"/>
      <c r="AN505" s="36" t="s">
        <v>32</v>
      </c>
      <c r="AO505" s="37">
        <v>45900</v>
      </c>
      <c r="AP505" s="36" t="s">
        <v>3138</v>
      </c>
      <c r="AQ505" s="36" t="s">
        <v>3071</v>
      </c>
      <c r="AR505" s="36" t="s">
        <v>76</v>
      </c>
      <c r="AS505" s="89"/>
      <c r="AT505" s="87">
        <v>3541440</v>
      </c>
      <c r="AU505" s="87">
        <v>354144</v>
      </c>
      <c r="AV505" s="87">
        <v>3895584</v>
      </c>
      <c r="AW505" s="38"/>
      <c r="AX505" s="85">
        <v>2025</v>
      </c>
      <c r="AY505" s="85">
        <v>8</v>
      </c>
      <c r="AZ505" s="36"/>
      <c r="BA505" s="1" t="s">
        <v>44</v>
      </c>
    </row>
    <row r="506" spans="10:53">
      <c r="J506" s="37"/>
      <c r="K506" s="36"/>
      <c r="L506" s="87"/>
      <c r="M506" s="38"/>
      <c r="N506" s="36"/>
      <c r="O506" s="36"/>
      <c r="P506" s="208"/>
      <c r="AD506"/>
      <c r="AG506"/>
      <c r="AM506" s="107"/>
      <c r="AN506" s="36" t="s">
        <v>32</v>
      </c>
      <c r="AO506" s="37">
        <v>45900</v>
      </c>
      <c r="AP506" s="36" t="s">
        <v>1587</v>
      </c>
      <c r="AQ506" s="36" t="s">
        <v>3072</v>
      </c>
      <c r="AR506" s="36" t="s">
        <v>267</v>
      </c>
      <c r="AS506" s="89"/>
      <c r="AT506" s="87">
        <v>6102000</v>
      </c>
      <c r="AU506" s="87">
        <v>610200</v>
      </c>
      <c r="AV506" s="87">
        <v>6712200</v>
      </c>
      <c r="AW506" s="38"/>
      <c r="AX506" s="85">
        <v>2025</v>
      </c>
      <c r="AY506" s="85">
        <v>8</v>
      </c>
      <c r="AZ506" s="36"/>
      <c r="BA506" s="1" t="s">
        <v>44</v>
      </c>
    </row>
    <row r="507" spans="10:53">
      <c r="J507" s="37"/>
      <c r="K507" s="36"/>
      <c r="L507" s="87"/>
      <c r="M507" s="38"/>
      <c r="N507" s="36"/>
      <c r="O507" s="36"/>
      <c r="P507" s="208"/>
      <c r="AD507"/>
      <c r="AG507"/>
      <c r="AM507" s="107"/>
      <c r="AN507" s="36" t="s">
        <v>32</v>
      </c>
      <c r="AO507" s="37">
        <v>45909</v>
      </c>
      <c r="AP507" s="36" t="s">
        <v>2874</v>
      </c>
      <c r="AQ507" s="36" t="s">
        <v>2854</v>
      </c>
      <c r="AR507" s="36" t="s">
        <v>3073</v>
      </c>
      <c r="AS507" s="89"/>
      <c r="AT507" s="87"/>
      <c r="AU507" s="87"/>
      <c r="AV507" s="87"/>
      <c r="AW507" s="38">
        <v>49170000</v>
      </c>
      <c r="AX507" s="85">
        <v>2025</v>
      </c>
      <c r="AY507" s="85">
        <v>8</v>
      </c>
      <c r="AZ507" s="36"/>
      <c r="BA507" s="1" t="s">
        <v>44</v>
      </c>
    </row>
    <row r="508" spans="10:53">
      <c r="J508" s="37"/>
      <c r="K508" s="36"/>
      <c r="L508" s="87"/>
      <c r="M508" s="38"/>
      <c r="N508" s="36"/>
      <c r="O508" s="36"/>
      <c r="P508" s="208"/>
      <c r="AD508"/>
      <c r="AG508"/>
      <c r="AM508" s="107"/>
      <c r="AN508" s="36" t="s">
        <v>32</v>
      </c>
      <c r="AO508" s="37">
        <v>45897</v>
      </c>
      <c r="AP508" s="36" t="s">
        <v>2872</v>
      </c>
      <c r="AQ508" s="36" t="s">
        <v>2885</v>
      </c>
      <c r="AR508" s="36" t="s">
        <v>148</v>
      </c>
      <c r="AS508" s="89"/>
      <c r="AT508" s="87"/>
      <c r="AU508" s="87"/>
      <c r="AV508" s="87"/>
      <c r="AW508" s="87">
        <v>10502800</v>
      </c>
      <c r="AX508" s="85">
        <v>2025</v>
      </c>
      <c r="AY508" s="85">
        <v>7</v>
      </c>
      <c r="AZ508" s="36"/>
      <c r="BA508" s="1" t="s">
        <v>44</v>
      </c>
    </row>
    <row r="509" spans="10:53">
      <c r="J509" s="37"/>
      <c r="K509" s="36"/>
      <c r="L509" s="87"/>
      <c r="M509" s="38"/>
      <c r="N509" s="36"/>
      <c r="O509" s="36"/>
      <c r="P509" s="208"/>
      <c r="AD509"/>
      <c r="AG509"/>
      <c r="AM509" s="107"/>
      <c r="AN509" s="36" t="s">
        <v>32</v>
      </c>
      <c r="AO509" s="37">
        <v>45903</v>
      </c>
      <c r="AP509" s="36" t="s">
        <v>2673</v>
      </c>
      <c r="AQ509" s="36" t="s">
        <v>2686</v>
      </c>
      <c r="AR509" s="36" t="s">
        <v>3076</v>
      </c>
      <c r="AS509" s="89"/>
      <c r="AT509" s="87"/>
      <c r="AU509" s="87"/>
      <c r="AV509" s="87"/>
      <c r="AW509" s="87">
        <v>2882352</v>
      </c>
      <c r="AX509" s="85">
        <v>2025</v>
      </c>
      <c r="AY509" s="85">
        <v>7</v>
      </c>
      <c r="AZ509" s="36"/>
      <c r="BA509" s="1" t="s">
        <v>44</v>
      </c>
    </row>
    <row r="510" spans="10:53">
      <c r="J510" s="37"/>
      <c r="K510" s="36"/>
      <c r="L510" s="87"/>
      <c r="M510" s="38"/>
      <c r="N510" s="36"/>
      <c r="O510" s="36"/>
      <c r="P510" s="208"/>
      <c r="AD510"/>
      <c r="AG510"/>
      <c r="AM510" s="107"/>
      <c r="AN510" s="36" t="s">
        <v>32</v>
      </c>
      <c r="AO510" s="37">
        <v>45915</v>
      </c>
      <c r="AP510" s="36" t="s">
        <v>2871</v>
      </c>
      <c r="AQ510" s="36" t="s">
        <v>2636</v>
      </c>
      <c r="AR510" s="36" t="s">
        <v>148</v>
      </c>
      <c r="AS510" s="89"/>
      <c r="AT510" s="87"/>
      <c r="AU510" s="87"/>
      <c r="AV510" s="87"/>
      <c r="AW510" s="87">
        <v>1226500</v>
      </c>
      <c r="AX510" s="85">
        <v>2025</v>
      </c>
      <c r="AY510" s="85">
        <v>6</v>
      </c>
      <c r="AZ510" s="36"/>
      <c r="BA510" s="1" t="s">
        <v>44</v>
      </c>
    </row>
    <row r="511" spans="10:53">
      <c r="J511" s="37"/>
      <c r="K511" s="36"/>
      <c r="L511" s="87"/>
      <c r="M511" s="38"/>
      <c r="N511" s="36"/>
      <c r="O511" s="36"/>
      <c r="P511" s="208"/>
      <c r="AD511"/>
      <c r="AG511"/>
      <c r="AM511" s="107"/>
      <c r="AN511" s="36" t="s">
        <v>32</v>
      </c>
      <c r="AO511" s="37">
        <v>45869</v>
      </c>
      <c r="AP511" s="36" t="s">
        <v>1396</v>
      </c>
      <c r="AQ511" s="36" t="s">
        <v>2953</v>
      </c>
      <c r="AR511" s="36" t="s">
        <v>2974</v>
      </c>
      <c r="AS511" s="89"/>
      <c r="AT511" s="87"/>
      <c r="AU511" s="87"/>
      <c r="AV511" s="87"/>
      <c r="AW511" s="87">
        <v>5346000</v>
      </c>
      <c r="AX511" s="85">
        <v>2025</v>
      </c>
      <c r="AY511" s="85">
        <v>7</v>
      </c>
      <c r="AZ511" s="36"/>
      <c r="BA511" s="1" t="s">
        <v>44</v>
      </c>
    </row>
    <row r="512" spans="10:53">
      <c r="J512" s="37"/>
      <c r="K512" s="36"/>
      <c r="L512" s="87"/>
      <c r="M512" s="87"/>
      <c r="N512" s="36"/>
      <c r="O512" s="36"/>
      <c r="P512" s="208"/>
      <c r="AD512"/>
      <c r="AG512"/>
      <c r="AM512" s="107"/>
      <c r="AN512" s="36" t="s">
        <v>32</v>
      </c>
      <c r="AO512" s="37">
        <v>45913</v>
      </c>
      <c r="AP512" s="36" t="s">
        <v>2766</v>
      </c>
      <c r="AQ512" s="36" t="s">
        <v>3081</v>
      </c>
      <c r="AR512" s="36" t="s">
        <v>148</v>
      </c>
      <c r="AS512" s="89"/>
      <c r="AT512" s="87"/>
      <c r="AU512" s="87"/>
      <c r="AV512" s="87"/>
      <c r="AW512" s="87">
        <v>11000000</v>
      </c>
      <c r="AX512" s="85">
        <v>2025</v>
      </c>
      <c r="AY512" s="85">
        <v>8</v>
      </c>
      <c r="AZ512" s="36"/>
      <c r="BA512" s="1" t="s">
        <v>44</v>
      </c>
    </row>
    <row r="513" spans="10:53">
      <c r="J513" s="37"/>
      <c r="K513" s="36"/>
      <c r="L513" s="87"/>
      <c r="M513" s="87"/>
      <c r="N513" s="36"/>
      <c r="O513" s="36"/>
      <c r="P513" s="208"/>
      <c r="AD513"/>
      <c r="AG513"/>
      <c r="AM513" s="107"/>
      <c r="AN513" s="36" t="s">
        <v>32</v>
      </c>
      <c r="AO513" s="37">
        <v>45915</v>
      </c>
      <c r="AP513" s="36" t="s">
        <v>2392</v>
      </c>
      <c r="AQ513" s="36" t="s">
        <v>2483</v>
      </c>
      <c r="AR513" s="36" t="s">
        <v>148</v>
      </c>
      <c r="AS513" s="89"/>
      <c r="AT513" s="87"/>
      <c r="AU513" s="87"/>
      <c r="AV513" s="87"/>
      <c r="AW513" s="87">
        <v>8764800</v>
      </c>
      <c r="AX513" s="85">
        <v>2025</v>
      </c>
      <c r="AY513" s="85">
        <v>5</v>
      </c>
      <c r="AZ513" s="36"/>
      <c r="BA513" s="1" t="s">
        <v>44</v>
      </c>
    </row>
    <row r="514" spans="10:53">
      <c r="J514" s="37"/>
      <c r="K514" s="36"/>
      <c r="L514" s="87"/>
      <c r="M514" s="38"/>
      <c r="N514" s="36"/>
      <c r="O514" s="36"/>
      <c r="P514" s="208"/>
      <c r="AD514"/>
      <c r="AG514"/>
      <c r="AM514" s="107"/>
      <c r="AN514" s="36" t="s">
        <v>32</v>
      </c>
      <c r="AO514" s="37">
        <v>45916</v>
      </c>
      <c r="AP514" s="36" t="s">
        <v>1198</v>
      </c>
      <c r="AQ514" s="36" t="s">
        <v>3067</v>
      </c>
      <c r="AR514" s="36" t="s">
        <v>3084</v>
      </c>
      <c r="AS514" s="89"/>
      <c r="AT514" s="87"/>
      <c r="AU514" s="87"/>
      <c r="AV514" s="87"/>
      <c r="AW514" s="87">
        <v>7980720</v>
      </c>
      <c r="AX514" s="85">
        <v>2025</v>
      </c>
      <c r="AY514" s="85">
        <v>8</v>
      </c>
      <c r="AZ514" s="36"/>
      <c r="BA514" s="1" t="s">
        <v>44</v>
      </c>
    </row>
    <row r="515" spans="10:53">
      <c r="J515" s="37"/>
      <c r="K515" s="36"/>
      <c r="L515" s="87"/>
      <c r="M515" s="38"/>
      <c r="N515" s="36"/>
      <c r="O515" s="36"/>
      <c r="P515" s="208"/>
      <c r="AD515"/>
      <c r="AG515"/>
      <c r="AM515" s="107"/>
      <c r="AN515" s="36" t="s">
        <v>32</v>
      </c>
      <c r="AO515" s="37">
        <v>45918</v>
      </c>
      <c r="AP515" s="36" t="s">
        <v>334</v>
      </c>
      <c r="AQ515" s="36" t="s">
        <v>3068</v>
      </c>
      <c r="AR515" s="36" t="s">
        <v>3086</v>
      </c>
      <c r="AS515" s="89"/>
      <c r="AT515" s="87"/>
      <c r="AU515" s="87"/>
      <c r="AV515" s="87"/>
      <c r="AW515" s="87">
        <v>4400000</v>
      </c>
      <c r="AX515" s="85">
        <v>2025</v>
      </c>
      <c r="AY515" s="85">
        <v>8</v>
      </c>
      <c r="AZ515" s="36"/>
      <c r="BA515" s="1" t="s">
        <v>44</v>
      </c>
    </row>
    <row r="516" spans="10:53">
      <c r="J516" s="37"/>
      <c r="K516" s="36"/>
      <c r="L516" s="87"/>
      <c r="M516" s="38"/>
      <c r="N516" s="36"/>
      <c r="O516" s="36"/>
      <c r="P516" s="208"/>
      <c r="AD516"/>
      <c r="AG516"/>
      <c r="AM516" s="107"/>
      <c r="AN516" s="36" t="s">
        <v>32</v>
      </c>
      <c r="AO516" s="37">
        <v>45919</v>
      </c>
      <c r="AP516" s="36" t="s">
        <v>2166</v>
      </c>
      <c r="AQ516" s="36" t="s">
        <v>2836</v>
      </c>
      <c r="AR516" s="36" t="s">
        <v>3088</v>
      </c>
      <c r="AS516" s="89"/>
      <c r="AT516" s="87"/>
      <c r="AU516" s="87"/>
      <c r="AV516" s="87"/>
      <c r="AW516" s="87">
        <v>13550922</v>
      </c>
      <c r="AX516" s="85">
        <v>2025</v>
      </c>
      <c r="AY516" s="85">
        <v>7</v>
      </c>
      <c r="AZ516" s="36" t="s">
        <v>3089</v>
      </c>
      <c r="BA516" s="1" t="s">
        <v>44</v>
      </c>
    </row>
    <row r="517" spans="10:53">
      <c r="J517" s="37"/>
      <c r="K517" s="36"/>
      <c r="L517" s="87"/>
      <c r="M517" s="38"/>
      <c r="N517" s="36"/>
      <c r="O517" s="36"/>
      <c r="P517" s="208"/>
      <c r="AD517"/>
      <c r="AG517"/>
      <c r="AM517" s="107"/>
      <c r="AN517" s="36" t="s">
        <v>32</v>
      </c>
      <c r="AO517" s="37">
        <v>45927</v>
      </c>
      <c r="AP517" s="36" t="s">
        <v>1587</v>
      </c>
      <c r="AQ517" s="36" t="s">
        <v>3072</v>
      </c>
      <c r="AR517" s="36" t="s">
        <v>148</v>
      </c>
      <c r="AS517" s="89"/>
      <c r="AT517" s="87"/>
      <c r="AU517" s="87"/>
      <c r="AV517" s="87"/>
      <c r="AW517" s="87">
        <v>6712200</v>
      </c>
      <c r="AX517" s="85">
        <v>2025</v>
      </c>
      <c r="AY517" s="85">
        <v>8</v>
      </c>
      <c r="AZ517" s="36"/>
      <c r="BA517" s="1" t="s">
        <v>44</v>
      </c>
    </row>
    <row r="518" spans="10:53">
      <c r="J518" s="37"/>
      <c r="K518" s="36"/>
      <c r="L518" s="87"/>
      <c r="M518" s="38"/>
      <c r="N518" s="36"/>
      <c r="O518" s="36"/>
      <c r="P518" s="208"/>
      <c r="AD518"/>
      <c r="AG518"/>
      <c r="AM518" s="107"/>
      <c r="AN518" s="36" t="s">
        <v>32</v>
      </c>
      <c r="AO518" s="37">
        <v>45926</v>
      </c>
      <c r="AP518" s="36" t="s">
        <v>654</v>
      </c>
      <c r="AQ518" s="36" t="s">
        <v>2588</v>
      </c>
      <c r="AR518" s="36" t="s">
        <v>3094</v>
      </c>
      <c r="AS518" s="89"/>
      <c r="AT518" s="87"/>
      <c r="AU518" s="87"/>
      <c r="AV518" s="87"/>
      <c r="AW518" s="306">
        <v>21564048</v>
      </c>
      <c r="AX518" s="85">
        <v>2025</v>
      </c>
      <c r="AY518" s="85">
        <v>8</v>
      </c>
      <c r="AZ518" s="307" t="s">
        <v>3093</v>
      </c>
      <c r="BA518" s="1" t="s">
        <v>44</v>
      </c>
    </row>
    <row r="519" spans="10:53">
      <c r="J519" s="37"/>
      <c r="K519" s="36"/>
      <c r="L519" s="87"/>
      <c r="M519" s="38"/>
      <c r="N519" s="36"/>
      <c r="O519" s="36"/>
      <c r="P519" s="208"/>
      <c r="AD519"/>
      <c r="AG519"/>
      <c r="AM519" s="107"/>
      <c r="AN519" s="36" t="s">
        <v>32</v>
      </c>
      <c r="AO519" s="37">
        <v>45926</v>
      </c>
      <c r="AP519" s="36" t="s">
        <v>3098</v>
      </c>
      <c r="AQ519" s="36" t="s">
        <v>3099</v>
      </c>
      <c r="AR519" s="36" t="s">
        <v>148</v>
      </c>
      <c r="AS519" s="89"/>
      <c r="AT519" s="87"/>
      <c r="AU519" s="87"/>
      <c r="AV519" s="87"/>
      <c r="AW519" s="38">
        <v>3767500</v>
      </c>
      <c r="AX519" s="85">
        <v>2025</v>
      </c>
      <c r="AY519" s="85">
        <v>8</v>
      </c>
      <c r="AZ519" s="36"/>
      <c r="BA519" s="1" t="s">
        <v>44</v>
      </c>
    </row>
    <row r="520" spans="10:53">
      <c r="J520" s="37"/>
      <c r="K520" s="36"/>
      <c r="L520" s="87"/>
      <c r="M520" s="38"/>
      <c r="N520" s="36"/>
      <c r="O520" s="36"/>
      <c r="P520" s="208"/>
      <c r="AD520"/>
      <c r="AG520"/>
      <c r="AM520" s="107"/>
      <c r="AN520" s="36" t="s">
        <v>32</v>
      </c>
      <c r="AO520" s="37">
        <v>45925</v>
      </c>
      <c r="AP520" s="36" t="s">
        <v>3063</v>
      </c>
      <c r="AQ520" s="36" t="s">
        <v>3069</v>
      </c>
      <c r="AR520" s="36" t="s">
        <v>148</v>
      </c>
      <c r="AS520" s="89"/>
      <c r="AT520" s="87"/>
      <c r="AU520" s="87"/>
      <c r="AV520" s="87"/>
      <c r="AW520" s="87">
        <v>4950000</v>
      </c>
      <c r="AX520" s="85">
        <v>2025</v>
      </c>
      <c r="AY520" s="85">
        <v>8</v>
      </c>
      <c r="AZ520" s="36"/>
      <c r="BA520" s="1" t="s">
        <v>44</v>
      </c>
    </row>
    <row r="521" spans="10:53">
      <c r="J521" s="37"/>
      <c r="K521" s="36"/>
      <c r="L521" s="87"/>
      <c r="M521" s="87"/>
      <c r="N521" s="36"/>
      <c r="O521" s="36"/>
      <c r="P521" s="208"/>
      <c r="AD521"/>
      <c r="AG521"/>
      <c r="AM521" s="107"/>
      <c r="AN521" s="36" t="s">
        <v>32</v>
      </c>
      <c r="AO521" s="37">
        <v>45926</v>
      </c>
      <c r="AP521" s="36" t="s">
        <v>654</v>
      </c>
      <c r="AQ521" s="36" t="s">
        <v>2588</v>
      </c>
      <c r="AR521" s="36" t="s">
        <v>3095</v>
      </c>
      <c r="AS521" s="89"/>
      <c r="AT521" s="87"/>
      <c r="AU521" s="87"/>
      <c r="AV521" s="87"/>
      <c r="AW521" s="308">
        <v>8712972</v>
      </c>
      <c r="AX521" s="85">
        <v>2025</v>
      </c>
      <c r="AY521" s="85">
        <v>7</v>
      </c>
      <c r="AZ521" s="307" t="s">
        <v>3093</v>
      </c>
      <c r="BA521" s="1" t="s">
        <v>44</v>
      </c>
    </row>
    <row r="522" spans="10:53">
      <c r="J522" s="37"/>
      <c r="K522" s="36"/>
      <c r="L522" s="87"/>
      <c r="M522" s="87"/>
      <c r="N522" s="36"/>
      <c r="O522" s="36"/>
      <c r="P522" s="208"/>
      <c r="AD522"/>
      <c r="AG522"/>
      <c r="AN522" s="36" t="s">
        <v>32</v>
      </c>
      <c r="AO522" s="37">
        <v>45930</v>
      </c>
      <c r="AP522" s="36" t="s">
        <v>654</v>
      </c>
      <c r="AQ522" s="36" t="s">
        <v>2881</v>
      </c>
      <c r="AR522" s="36" t="s">
        <v>2926</v>
      </c>
      <c r="AS522" s="89"/>
      <c r="AT522" s="87"/>
      <c r="AU522" s="87"/>
      <c r="AV522" s="87"/>
      <c r="AW522" s="230">
        <v>5500000</v>
      </c>
      <c r="AX522" s="85">
        <v>2025</v>
      </c>
      <c r="AY522" s="85">
        <v>8</v>
      </c>
      <c r="AZ522" s="36"/>
      <c r="BA522" s="1" t="s">
        <v>44</v>
      </c>
    </row>
    <row r="523" spans="10:53">
      <c r="J523" s="37"/>
      <c r="K523" s="36"/>
      <c r="L523" s="87"/>
      <c r="M523" s="38"/>
      <c r="N523" s="36"/>
      <c r="O523" s="36"/>
      <c r="P523" s="208"/>
      <c r="AD523"/>
      <c r="AG523"/>
      <c r="AN523" s="36" t="s">
        <v>32</v>
      </c>
      <c r="AO523" s="37">
        <v>45926</v>
      </c>
      <c r="AP523" s="36" t="s">
        <v>654</v>
      </c>
      <c r="AQ523" s="36" t="s">
        <v>2541</v>
      </c>
      <c r="AR523" s="36" t="s">
        <v>2733</v>
      </c>
      <c r="AS523" s="89"/>
      <c r="AT523" s="87"/>
      <c r="AU523" s="87"/>
      <c r="AV523" s="87"/>
      <c r="AW523" s="308">
        <v>9884728</v>
      </c>
      <c r="AX523" s="85">
        <v>2025</v>
      </c>
      <c r="AY523" s="85">
        <v>8</v>
      </c>
      <c r="AZ523" s="307" t="s">
        <v>3093</v>
      </c>
      <c r="BA523" s="1" t="s">
        <v>44</v>
      </c>
    </row>
    <row r="524" spans="10:53">
      <c r="J524" s="37"/>
      <c r="K524" s="36"/>
      <c r="L524" s="87"/>
      <c r="M524" s="87"/>
      <c r="N524" s="36"/>
      <c r="O524" s="36"/>
      <c r="P524" s="208"/>
      <c r="AD524"/>
      <c r="AG524"/>
      <c r="AN524" s="36" t="s">
        <v>32</v>
      </c>
      <c r="AO524" s="37">
        <v>45926</v>
      </c>
      <c r="AP524" s="36" t="s">
        <v>264</v>
      </c>
      <c r="AQ524" s="36" t="s">
        <v>3070</v>
      </c>
      <c r="AR524" s="36" t="s">
        <v>148</v>
      </c>
      <c r="AS524" s="89"/>
      <c r="AT524" s="87"/>
      <c r="AU524" s="87"/>
      <c r="AV524" s="87"/>
      <c r="AW524" s="87">
        <v>23760000</v>
      </c>
      <c r="AX524" s="85">
        <v>2025</v>
      </c>
      <c r="AY524" s="85">
        <v>8</v>
      </c>
      <c r="AZ524" s="36"/>
      <c r="BA524" s="1" t="s">
        <v>44</v>
      </c>
    </row>
    <row r="525" spans="10:53">
      <c r="J525" s="37"/>
      <c r="K525" s="36"/>
      <c r="L525" s="87"/>
      <c r="M525" s="38"/>
      <c r="N525" s="36"/>
      <c r="O525" s="36"/>
      <c r="P525" s="208"/>
      <c r="AD525"/>
      <c r="AG525"/>
      <c r="AN525" s="36" t="s">
        <v>32</v>
      </c>
      <c r="AO525" s="37">
        <v>45930</v>
      </c>
      <c r="AP525" s="36" t="s">
        <v>3062</v>
      </c>
      <c r="AQ525" s="36" t="s">
        <v>3066</v>
      </c>
      <c r="AR525" s="36" t="s">
        <v>148</v>
      </c>
      <c r="AS525" s="89"/>
      <c r="AT525" s="87"/>
      <c r="AU525" s="87"/>
      <c r="AV525" s="87"/>
      <c r="AW525" s="87">
        <v>2079000</v>
      </c>
      <c r="AX525" s="85">
        <v>2025</v>
      </c>
      <c r="AY525" s="85">
        <v>8</v>
      </c>
      <c r="AZ525" s="36"/>
      <c r="BA525" s="1" t="s">
        <v>44</v>
      </c>
    </row>
    <row r="526" spans="10:53">
      <c r="J526" s="37"/>
      <c r="K526" s="36"/>
      <c r="L526" s="87"/>
      <c r="M526" s="38"/>
      <c r="N526" s="36"/>
      <c r="O526" s="36"/>
      <c r="P526" s="208"/>
      <c r="AD526"/>
      <c r="AG526"/>
      <c r="AN526" s="36" t="s">
        <v>32</v>
      </c>
      <c r="AO526" s="37">
        <v>45930</v>
      </c>
      <c r="AP526" s="36" t="s">
        <v>2868</v>
      </c>
      <c r="AQ526" s="36" t="s">
        <v>2875</v>
      </c>
      <c r="AR526" s="36" t="s">
        <v>148</v>
      </c>
      <c r="AS526" s="89"/>
      <c r="AT526" s="87"/>
      <c r="AU526" s="87"/>
      <c r="AV526" s="87"/>
      <c r="AW526" s="87">
        <v>4180000</v>
      </c>
      <c r="AX526" s="85">
        <v>2025</v>
      </c>
      <c r="AY526" s="85">
        <v>7</v>
      </c>
      <c r="AZ526" s="36"/>
      <c r="BA526" s="1" t="s">
        <v>44</v>
      </c>
    </row>
    <row r="527" spans="10:53">
      <c r="J527" s="37"/>
      <c r="K527" s="36"/>
      <c r="L527" s="87"/>
      <c r="M527" s="38"/>
      <c r="N527" s="36"/>
      <c r="O527" s="36"/>
      <c r="P527" s="208"/>
      <c r="AD527"/>
      <c r="AG527"/>
      <c r="AN527" s="36" t="s">
        <v>32</v>
      </c>
      <c r="AO527" s="37">
        <v>45930</v>
      </c>
      <c r="AP527" s="36" t="s">
        <v>2673</v>
      </c>
      <c r="AQ527" s="36" t="s">
        <v>2686</v>
      </c>
      <c r="AR527" s="36" t="s">
        <v>148</v>
      </c>
      <c r="AS527" s="89"/>
      <c r="AT527" s="87"/>
      <c r="AU527" s="87"/>
      <c r="AV527" s="87"/>
      <c r="AW527" s="87">
        <v>1182720</v>
      </c>
      <c r="AX527" s="85">
        <v>2025</v>
      </c>
      <c r="AY527" s="85">
        <v>8</v>
      </c>
      <c r="AZ527" s="36"/>
      <c r="BA527" s="1" t="s">
        <v>44</v>
      </c>
    </row>
    <row r="528" spans="10:53">
      <c r="J528" s="37"/>
      <c r="K528" s="36"/>
      <c r="L528" s="87"/>
      <c r="M528" s="38"/>
      <c r="N528" s="36"/>
      <c r="O528" s="36"/>
      <c r="P528" s="208"/>
      <c r="AD528"/>
      <c r="AG528"/>
      <c r="AN528" s="36" t="s">
        <v>32</v>
      </c>
      <c r="AO528" s="37">
        <v>45930</v>
      </c>
      <c r="AP528" s="36" t="s">
        <v>2477</v>
      </c>
      <c r="AQ528" s="36" t="s">
        <v>2485</v>
      </c>
      <c r="AR528" s="36" t="s">
        <v>148</v>
      </c>
      <c r="AS528" s="89"/>
      <c r="AT528" s="87"/>
      <c r="AU528" s="87"/>
      <c r="AV528" s="87"/>
      <c r="AW528" s="87">
        <v>1716000</v>
      </c>
      <c r="AX528" s="85">
        <v>2025</v>
      </c>
      <c r="AY528" s="85">
        <v>8</v>
      </c>
      <c r="AZ528" s="36"/>
      <c r="BA528" s="1" t="s">
        <v>44</v>
      </c>
    </row>
    <row r="529" spans="10:53">
      <c r="J529" s="37"/>
      <c r="K529" s="36"/>
      <c r="L529" s="87"/>
      <c r="M529" s="38"/>
      <c r="N529" s="36"/>
      <c r="O529" s="36"/>
      <c r="P529" s="208"/>
      <c r="AD529"/>
      <c r="AG529"/>
      <c r="AN529" s="36" t="s">
        <v>32</v>
      </c>
      <c r="AO529" s="37">
        <v>45930</v>
      </c>
      <c r="AP529" s="36" t="s">
        <v>2873</v>
      </c>
      <c r="AQ529" s="36" t="s">
        <v>3115</v>
      </c>
      <c r="AR529" s="36" t="s">
        <v>148</v>
      </c>
      <c r="AS529" s="89"/>
      <c r="AT529" s="87"/>
      <c r="AU529" s="87"/>
      <c r="AV529" s="87"/>
      <c r="AW529" s="87">
        <v>2200000</v>
      </c>
      <c r="AX529" s="85">
        <v>2025</v>
      </c>
      <c r="AY529" s="85">
        <v>8</v>
      </c>
      <c r="AZ529" s="36"/>
      <c r="BA529" s="1" t="s">
        <v>44</v>
      </c>
    </row>
    <row r="530" spans="10:53">
      <c r="J530" s="37"/>
      <c r="K530" s="36"/>
      <c r="L530" s="87"/>
      <c r="M530" s="87"/>
      <c r="N530" s="36"/>
      <c r="O530" s="36"/>
      <c r="P530" s="208"/>
      <c r="AD530"/>
      <c r="AG530"/>
      <c r="AN530" s="36" t="s">
        <v>32</v>
      </c>
      <c r="AO530" s="37">
        <v>45930</v>
      </c>
      <c r="AP530" s="36" t="s">
        <v>2824</v>
      </c>
      <c r="AQ530" s="36" t="s">
        <v>2832</v>
      </c>
      <c r="AR530" s="36" t="s">
        <v>148</v>
      </c>
      <c r="AS530" s="89"/>
      <c r="AT530" s="87"/>
      <c r="AU530" s="87"/>
      <c r="AV530" s="87"/>
      <c r="AW530" s="87">
        <v>54228900</v>
      </c>
      <c r="AX530" s="85">
        <v>2025</v>
      </c>
      <c r="AY530" s="85">
        <v>8</v>
      </c>
      <c r="AZ530" s="36"/>
      <c r="BA530" s="1" t="s">
        <v>44</v>
      </c>
    </row>
    <row r="531" spans="10:53">
      <c r="J531" s="37"/>
      <c r="K531" s="36"/>
      <c r="L531" s="87"/>
      <c r="M531" s="38"/>
      <c r="N531" s="36"/>
      <c r="O531" s="36"/>
      <c r="P531" s="1"/>
      <c r="AD531"/>
      <c r="AG531"/>
      <c r="AN531" s="36" t="s">
        <v>32</v>
      </c>
      <c r="AO531" s="37">
        <v>45931</v>
      </c>
      <c r="AP531" s="36" t="s">
        <v>2872</v>
      </c>
      <c r="AQ531" s="36" t="s">
        <v>2885</v>
      </c>
      <c r="AR531" s="36" t="s">
        <v>148</v>
      </c>
      <c r="AS531" s="89"/>
      <c r="AT531" s="87"/>
      <c r="AU531" s="87"/>
      <c r="AV531" s="87"/>
      <c r="AW531" s="87">
        <v>11000000</v>
      </c>
      <c r="AX531" s="85">
        <v>2025</v>
      </c>
      <c r="AY531" s="85">
        <v>8</v>
      </c>
      <c r="AZ531" s="36"/>
      <c r="BA531" s="1" t="s">
        <v>44</v>
      </c>
    </row>
    <row r="532" spans="10:53">
      <c r="J532" s="37"/>
      <c r="K532" s="36"/>
      <c r="L532" s="87"/>
      <c r="M532" s="38"/>
      <c r="N532" s="36"/>
      <c r="O532" s="36"/>
      <c r="P532" s="208"/>
      <c r="AD532"/>
      <c r="AG532"/>
      <c r="AN532" s="36" t="s">
        <v>32</v>
      </c>
      <c r="AO532" s="37">
        <v>45932</v>
      </c>
      <c r="AP532" s="36" t="s">
        <v>661</v>
      </c>
      <c r="AQ532" s="36" t="s">
        <v>2783</v>
      </c>
      <c r="AR532" s="36" t="s">
        <v>148</v>
      </c>
      <c r="AS532" s="89"/>
      <c r="AT532" s="87"/>
      <c r="AU532" s="87"/>
      <c r="AV532" s="87"/>
      <c r="AW532" s="87">
        <v>3441020</v>
      </c>
      <c r="AX532" s="85">
        <v>2025</v>
      </c>
      <c r="AY532" s="85">
        <v>7</v>
      </c>
      <c r="AZ532" s="36"/>
      <c r="BA532" s="1" t="s">
        <v>44</v>
      </c>
    </row>
    <row r="533" spans="10:53">
      <c r="J533" s="37"/>
      <c r="K533" s="36"/>
      <c r="L533" s="87"/>
      <c r="M533" s="87"/>
      <c r="N533" s="36"/>
      <c r="O533" s="36"/>
      <c r="P533" s="208"/>
      <c r="AD533"/>
      <c r="AG533"/>
      <c r="AN533" s="36" t="s">
        <v>32</v>
      </c>
      <c r="AO533" s="37">
        <v>45931</v>
      </c>
      <c r="AP533" s="36" t="s">
        <v>188</v>
      </c>
      <c r="AQ533" s="36" t="s">
        <v>3065</v>
      </c>
      <c r="AR533" s="36" t="s">
        <v>3124</v>
      </c>
      <c r="AS533" s="89"/>
      <c r="AT533" s="87"/>
      <c r="AU533" s="87"/>
      <c r="AV533" s="87"/>
      <c r="AW533" s="87">
        <v>7341620</v>
      </c>
      <c r="AX533" s="85">
        <v>2025</v>
      </c>
      <c r="AY533" s="85">
        <v>8</v>
      </c>
      <c r="AZ533" s="36"/>
      <c r="BA533" s="1" t="s">
        <v>44</v>
      </c>
    </row>
    <row r="534" spans="10:53">
      <c r="J534" s="37"/>
      <c r="K534" s="36"/>
      <c r="L534" s="87"/>
      <c r="M534" s="38"/>
      <c r="N534" s="36"/>
      <c r="O534" s="36"/>
      <c r="P534" s="208"/>
      <c r="AD534"/>
      <c r="AG534"/>
      <c r="AN534" s="36" t="s">
        <v>32</v>
      </c>
      <c r="AO534" s="37">
        <v>45931</v>
      </c>
      <c r="AP534" s="36" t="s">
        <v>1396</v>
      </c>
      <c r="AQ534" s="36" t="s">
        <v>2954</v>
      </c>
      <c r="AR534" s="36" t="s">
        <v>2954</v>
      </c>
      <c r="AS534" s="89"/>
      <c r="AT534" s="87"/>
      <c r="AU534" s="87"/>
      <c r="AV534" s="87"/>
      <c r="AW534" s="87">
        <v>1903000</v>
      </c>
      <c r="AX534" s="85">
        <v>2025</v>
      </c>
      <c r="AY534" s="85">
        <v>7</v>
      </c>
      <c r="AZ534" s="36"/>
      <c r="BA534" s="1" t="s">
        <v>44</v>
      </c>
    </row>
    <row r="535" spans="10:53">
      <c r="J535" s="37"/>
      <c r="K535" s="36"/>
      <c r="L535" s="87"/>
      <c r="M535" s="38"/>
      <c r="N535" s="36"/>
      <c r="O535" s="36"/>
      <c r="P535" s="208"/>
      <c r="AD535"/>
      <c r="AG535"/>
      <c r="AN535" s="36" t="s">
        <v>32</v>
      </c>
      <c r="AO535" s="37">
        <v>45932</v>
      </c>
      <c r="AP535" s="36" t="s">
        <v>1198</v>
      </c>
      <c r="AQ535" s="36" t="s">
        <v>2998</v>
      </c>
      <c r="AR535" s="36" t="s">
        <v>3101</v>
      </c>
      <c r="AS535" s="89"/>
      <c r="AT535" s="87"/>
      <c r="AU535" s="87"/>
      <c r="AV535" s="87"/>
      <c r="AW535" s="87">
        <v>7266600</v>
      </c>
      <c r="AX535" s="85">
        <v>2025</v>
      </c>
      <c r="AY535" s="85">
        <v>7</v>
      </c>
      <c r="AZ535" s="36"/>
      <c r="BA535" s="1" t="s">
        <v>44</v>
      </c>
    </row>
    <row r="536" spans="10:53">
      <c r="J536" s="37"/>
      <c r="K536" s="36"/>
      <c r="L536" s="87"/>
      <c r="M536" s="38"/>
      <c r="N536" s="36"/>
      <c r="O536" s="36"/>
      <c r="P536" s="208"/>
      <c r="AD536"/>
      <c r="AG536"/>
      <c r="AN536" s="36" t="s">
        <v>32</v>
      </c>
      <c r="AO536" s="37">
        <v>45931</v>
      </c>
      <c r="AP536" s="36" t="s">
        <v>654</v>
      </c>
      <c r="AQ536" s="36" t="s">
        <v>2397</v>
      </c>
      <c r="AR536" s="36" t="s">
        <v>2397</v>
      </c>
      <c r="AS536" s="87"/>
      <c r="AT536" s="87"/>
      <c r="AU536" s="87"/>
      <c r="AV536" s="87"/>
      <c r="AW536" s="230">
        <v>2200000</v>
      </c>
      <c r="AX536" s="85">
        <v>2025</v>
      </c>
      <c r="AY536" s="85">
        <v>2</v>
      </c>
      <c r="AZ536" s="36"/>
      <c r="BA536" s="1" t="s">
        <v>44</v>
      </c>
    </row>
    <row r="537" spans="10:53">
      <c r="J537" s="37"/>
      <c r="K537" s="36"/>
      <c r="L537" s="87"/>
      <c r="M537" s="38"/>
      <c r="N537" s="36"/>
      <c r="O537" s="36"/>
      <c r="P537" s="208"/>
      <c r="AD537"/>
      <c r="AG537"/>
      <c r="AN537" s="36" t="s">
        <v>32</v>
      </c>
      <c r="AO537" s="37">
        <v>45931</v>
      </c>
      <c r="AP537" s="36" t="s">
        <v>654</v>
      </c>
      <c r="AQ537" s="36" t="s">
        <v>2397</v>
      </c>
      <c r="AR537" s="36" t="s">
        <v>2397</v>
      </c>
      <c r="AS537" s="89"/>
      <c r="AT537" s="87"/>
      <c r="AU537" s="87"/>
      <c r="AV537" s="87"/>
      <c r="AW537" s="38">
        <v>12514304</v>
      </c>
      <c r="AX537" s="85">
        <v>2025</v>
      </c>
      <c r="AY537" s="85">
        <v>4</v>
      </c>
      <c r="AZ537" s="36"/>
      <c r="BA537" s="1" t="s">
        <v>84</v>
      </c>
    </row>
    <row r="538" spans="10:53">
      <c r="J538" s="37"/>
      <c r="K538" s="36"/>
      <c r="L538" s="87"/>
      <c r="M538" s="38"/>
      <c r="N538" s="36"/>
      <c r="O538" s="36"/>
      <c r="P538" s="208"/>
      <c r="AD538"/>
      <c r="AG538"/>
      <c r="AN538" s="36" t="s">
        <v>32</v>
      </c>
      <c r="AO538" s="37">
        <v>45901</v>
      </c>
      <c r="AP538" s="36" t="s">
        <v>2868</v>
      </c>
      <c r="AQ538" s="36" t="s">
        <v>2875</v>
      </c>
      <c r="AR538" s="36" t="s">
        <v>76</v>
      </c>
      <c r="AS538" s="89"/>
      <c r="AT538" s="87">
        <v>9000000</v>
      </c>
      <c r="AU538" s="87">
        <v>900000</v>
      </c>
      <c r="AV538" s="87">
        <v>9900000</v>
      </c>
      <c r="AW538" s="38"/>
      <c r="AX538" s="85">
        <v>2025</v>
      </c>
      <c r="AY538" s="85">
        <v>9</v>
      </c>
      <c r="AZ538" s="36"/>
      <c r="BA538" s="1" t="s">
        <v>44</v>
      </c>
    </row>
    <row r="539" spans="10:53">
      <c r="J539" s="37"/>
      <c r="K539" s="36"/>
      <c r="L539" s="87"/>
      <c r="M539" s="38"/>
      <c r="N539" s="36"/>
      <c r="O539" s="36"/>
      <c r="P539" s="208"/>
      <c r="AD539"/>
      <c r="AG539"/>
      <c r="AN539" s="36" t="s">
        <v>32</v>
      </c>
      <c r="AO539" s="37">
        <v>45930</v>
      </c>
      <c r="AP539" s="36" t="s">
        <v>3134</v>
      </c>
      <c r="AQ539" s="36" t="s">
        <v>3140</v>
      </c>
      <c r="AR539" s="36" t="s">
        <v>267</v>
      </c>
      <c r="AS539" s="89"/>
      <c r="AT539" s="87">
        <v>6111250</v>
      </c>
      <c r="AU539" s="87">
        <v>611125</v>
      </c>
      <c r="AV539" s="87">
        <v>6722375</v>
      </c>
      <c r="AW539" s="38"/>
      <c r="AX539" s="85">
        <v>2025</v>
      </c>
      <c r="AY539" s="85">
        <v>9</v>
      </c>
      <c r="AZ539" s="36" t="s">
        <v>3166</v>
      </c>
      <c r="BA539" s="1" t="s">
        <v>44</v>
      </c>
    </row>
    <row r="540" spans="10:53">
      <c r="J540" s="37"/>
      <c r="K540" s="36"/>
      <c r="L540" s="87"/>
      <c r="M540" s="87"/>
      <c r="N540" s="36"/>
      <c r="O540" s="36"/>
      <c r="P540" s="208"/>
      <c r="AD540"/>
      <c r="AG540"/>
      <c r="AN540" s="36" t="s">
        <v>32</v>
      </c>
      <c r="AO540" s="37">
        <v>45930</v>
      </c>
      <c r="AP540" s="36" t="s">
        <v>334</v>
      </c>
      <c r="AQ540" s="36" t="s">
        <v>2490</v>
      </c>
      <c r="AR540" s="36" t="s">
        <v>76</v>
      </c>
      <c r="AS540" s="89"/>
      <c r="AT540" s="87">
        <v>5000000</v>
      </c>
      <c r="AU540" s="87">
        <v>500000</v>
      </c>
      <c r="AV540" s="87">
        <v>5500000</v>
      </c>
      <c r="AW540" s="38"/>
      <c r="AX540" s="85">
        <v>2025</v>
      </c>
      <c r="AY540" s="85">
        <v>9</v>
      </c>
      <c r="AZ540" s="36"/>
      <c r="BA540" s="1" t="s">
        <v>44</v>
      </c>
    </row>
    <row r="541" spans="10:53">
      <c r="J541" s="37"/>
      <c r="K541" s="36"/>
      <c r="L541" s="87"/>
      <c r="M541" s="87"/>
      <c r="N541" s="36"/>
      <c r="O541" s="36"/>
      <c r="P541" s="208"/>
      <c r="AD541"/>
      <c r="AG541"/>
      <c r="AN541" s="36" t="s">
        <v>32</v>
      </c>
      <c r="AO541" s="37">
        <v>45930</v>
      </c>
      <c r="AP541" s="36" t="s">
        <v>2870</v>
      </c>
      <c r="AQ541" s="36" t="s">
        <v>2882</v>
      </c>
      <c r="AR541" s="36" t="s">
        <v>76</v>
      </c>
      <c r="AS541" s="89"/>
      <c r="AT541" s="87">
        <v>7000000</v>
      </c>
      <c r="AU541" s="87">
        <v>700000</v>
      </c>
      <c r="AV541" s="87">
        <v>7700000</v>
      </c>
      <c r="AW541" s="38"/>
      <c r="AX541" s="85">
        <v>2025</v>
      </c>
      <c r="AY541" s="85">
        <v>9</v>
      </c>
      <c r="AZ541" s="36"/>
      <c r="BA541" s="1" t="s">
        <v>44</v>
      </c>
    </row>
    <row r="542" spans="10:53">
      <c r="J542" s="37"/>
      <c r="K542" s="36"/>
      <c r="L542" s="87"/>
      <c r="M542" s="87"/>
      <c r="N542" s="36"/>
      <c r="O542" s="36"/>
      <c r="P542" s="208"/>
      <c r="AD542"/>
      <c r="AG542"/>
      <c r="AN542" s="36" t="s">
        <v>32</v>
      </c>
      <c r="AO542" s="37">
        <v>45930</v>
      </c>
      <c r="AP542" s="36" t="s">
        <v>3135</v>
      </c>
      <c r="AQ542" s="36" t="s">
        <v>3141</v>
      </c>
      <c r="AR542" s="36" t="s">
        <v>76</v>
      </c>
      <c r="AS542" s="89"/>
      <c r="AT542" s="87">
        <v>3725600</v>
      </c>
      <c r="AU542" s="87">
        <v>372560</v>
      </c>
      <c r="AV542" s="87">
        <v>4098160</v>
      </c>
      <c r="AW542" s="38"/>
      <c r="AX542" s="85">
        <v>2025</v>
      </c>
      <c r="AY542" s="85">
        <v>9</v>
      </c>
      <c r="AZ542" s="36"/>
      <c r="BA542" s="1" t="s">
        <v>44</v>
      </c>
    </row>
    <row r="543" spans="10:53">
      <c r="J543" s="37"/>
      <c r="K543" s="36"/>
      <c r="L543" s="87"/>
      <c r="M543" s="87"/>
      <c r="N543" s="36"/>
      <c r="O543" s="36"/>
      <c r="P543" s="208"/>
      <c r="AD543"/>
      <c r="AG543"/>
      <c r="AN543" s="36" t="s">
        <v>32</v>
      </c>
      <c r="AO543" s="37">
        <v>45930</v>
      </c>
      <c r="AP543" s="36" t="s">
        <v>3004</v>
      </c>
      <c r="AQ543" s="36" t="s">
        <v>3142</v>
      </c>
      <c r="AR543" s="36" t="s">
        <v>267</v>
      </c>
      <c r="AS543" s="89"/>
      <c r="AT543" s="87">
        <v>38500000</v>
      </c>
      <c r="AU543" s="87">
        <v>3850000</v>
      </c>
      <c r="AV543" s="87">
        <v>42350000</v>
      </c>
      <c r="AW543" s="38"/>
      <c r="AX543" s="85">
        <v>2025</v>
      </c>
      <c r="AY543" s="85">
        <v>9</v>
      </c>
      <c r="AZ543" s="36"/>
      <c r="BA543" s="1" t="s">
        <v>44</v>
      </c>
    </row>
    <row r="544" spans="10:53">
      <c r="J544" s="37"/>
      <c r="K544" s="36"/>
      <c r="L544" s="87"/>
      <c r="M544" s="87"/>
      <c r="N544" s="36"/>
      <c r="O544" s="36"/>
      <c r="P544" s="208"/>
      <c r="AD544"/>
      <c r="AG544"/>
      <c r="AN544" s="36" t="s">
        <v>32</v>
      </c>
      <c r="AO544" s="37">
        <v>45930</v>
      </c>
      <c r="AP544" s="36" t="s">
        <v>291</v>
      </c>
      <c r="AQ544" s="36" t="s">
        <v>3143</v>
      </c>
      <c r="AR544" s="36" t="s">
        <v>267</v>
      </c>
      <c r="AS544" s="89"/>
      <c r="AT544" s="87">
        <v>1000000</v>
      </c>
      <c r="AU544" s="87">
        <v>100000</v>
      </c>
      <c r="AV544" s="87">
        <v>1100000</v>
      </c>
      <c r="AW544" s="38"/>
      <c r="AX544" s="85">
        <v>2025</v>
      </c>
      <c r="AY544" s="85">
        <v>9</v>
      </c>
      <c r="AZ544" s="36"/>
      <c r="BA544" s="1" t="s">
        <v>44</v>
      </c>
    </row>
    <row r="545" spans="10:53">
      <c r="J545" s="37"/>
      <c r="K545" s="36"/>
      <c r="L545" s="87"/>
      <c r="M545" s="87"/>
      <c r="N545" s="36"/>
      <c r="O545" s="36"/>
      <c r="P545" s="208"/>
      <c r="AD545"/>
      <c r="AG545"/>
      <c r="AN545" s="36" t="s">
        <v>32</v>
      </c>
      <c r="AO545" s="37">
        <v>45929</v>
      </c>
      <c r="AP545" s="36" t="s">
        <v>2674</v>
      </c>
      <c r="AQ545" s="36" t="s">
        <v>2687</v>
      </c>
      <c r="AR545" s="36" t="s">
        <v>76</v>
      </c>
      <c r="AS545" s="89"/>
      <c r="AT545" s="87">
        <v>3482500</v>
      </c>
      <c r="AU545" s="87">
        <v>348250</v>
      </c>
      <c r="AV545" s="87">
        <v>3830750</v>
      </c>
      <c r="AW545" s="38"/>
      <c r="AX545" s="85">
        <v>2025</v>
      </c>
      <c r="AY545" s="85">
        <v>9</v>
      </c>
      <c r="AZ545" s="36"/>
      <c r="BA545" s="1" t="s">
        <v>44</v>
      </c>
    </row>
    <row r="546" spans="10:53">
      <c r="J546" s="37"/>
      <c r="K546" s="36"/>
      <c r="L546" s="87"/>
      <c r="M546" s="38"/>
      <c r="N546" s="36"/>
      <c r="O546" s="36"/>
      <c r="P546" s="208"/>
      <c r="AD546"/>
      <c r="AG546"/>
      <c r="AN546" s="36" t="s">
        <v>32</v>
      </c>
      <c r="AO546" s="37">
        <v>45918</v>
      </c>
      <c r="AP546" s="36" t="s">
        <v>2478</v>
      </c>
      <c r="AQ546" s="36" t="s">
        <v>2487</v>
      </c>
      <c r="AR546" s="36" t="s">
        <v>267</v>
      </c>
      <c r="AS546" s="89"/>
      <c r="AT546" s="87">
        <v>19265000</v>
      </c>
      <c r="AU546" s="87">
        <v>1926500</v>
      </c>
      <c r="AV546" s="87">
        <v>21191500</v>
      </c>
      <c r="AW546" s="38"/>
      <c r="AX546" s="85">
        <v>2025</v>
      </c>
      <c r="AY546" s="85">
        <v>9</v>
      </c>
      <c r="AZ546" s="36"/>
      <c r="BA546" s="1" t="s">
        <v>44</v>
      </c>
    </row>
    <row r="547" spans="10:53">
      <c r="J547" s="37"/>
      <c r="K547" s="36"/>
      <c r="L547" s="87"/>
      <c r="M547" s="38"/>
      <c r="N547" s="36"/>
      <c r="O547" s="36"/>
      <c r="P547" s="208"/>
      <c r="AD547"/>
      <c r="AG547"/>
      <c r="AN547" s="36" t="s">
        <v>32</v>
      </c>
      <c r="AO547" s="37">
        <v>45930</v>
      </c>
      <c r="AP547" s="36" t="s">
        <v>2868</v>
      </c>
      <c r="AQ547" s="36" t="s">
        <v>2875</v>
      </c>
      <c r="AR547" s="36" t="s">
        <v>76</v>
      </c>
      <c r="AS547" s="89"/>
      <c r="AT547" s="87">
        <v>56000000</v>
      </c>
      <c r="AU547" s="87">
        <v>5600000</v>
      </c>
      <c r="AV547" s="87">
        <v>61600000</v>
      </c>
      <c r="AW547" s="38"/>
      <c r="AX547" s="85">
        <v>2025</v>
      </c>
      <c r="AY547" s="85">
        <v>9</v>
      </c>
      <c r="AZ547" s="36"/>
      <c r="BA547" s="1" t="s">
        <v>44</v>
      </c>
    </row>
    <row r="548" spans="10:53">
      <c r="J548" s="37"/>
      <c r="K548" s="36"/>
      <c r="L548" s="87"/>
      <c r="M548" s="38"/>
      <c r="N548" s="36"/>
      <c r="O548" s="36"/>
      <c r="P548" s="208"/>
      <c r="AD548"/>
      <c r="AG548"/>
      <c r="AN548" s="36" t="s">
        <v>32</v>
      </c>
      <c r="AO548" s="37">
        <v>45930</v>
      </c>
      <c r="AP548" s="36" t="s">
        <v>1587</v>
      </c>
      <c r="AQ548" s="36" t="s">
        <v>3144</v>
      </c>
      <c r="AR548" s="36" t="s">
        <v>1492</v>
      </c>
      <c r="AS548" s="89"/>
      <c r="AT548" s="87">
        <v>5905000</v>
      </c>
      <c r="AU548" s="87">
        <v>590500</v>
      </c>
      <c r="AV548" s="87">
        <v>6495500</v>
      </c>
      <c r="AW548" s="38"/>
      <c r="AX548" s="85">
        <v>2025</v>
      </c>
      <c r="AY548" s="85">
        <v>9</v>
      </c>
      <c r="AZ548" s="36"/>
      <c r="BA548" s="1" t="s">
        <v>44</v>
      </c>
    </row>
    <row r="549" spans="10:53">
      <c r="J549" s="37"/>
      <c r="K549" s="36"/>
      <c r="L549" s="87"/>
      <c r="M549" s="38"/>
      <c r="N549" s="36"/>
      <c r="O549" s="36"/>
      <c r="P549" s="208"/>
      <c r="AD549"/>
      <c r="AG549"/>
      <c r="AN549" s="36" t="s">
        <v>32</v>
      </c>
      <c r="AO549" s="37">
        <v>45930</v>
      </c>
      <c r="AP549" s="36" t="s">
        <v>2772</v>
      </c>
      <c r="AQ549" s="36" t="s">
        <v>3145</v>
      </c>
      <c r="AR549" s="36" t="s">
        <v>267</v>
      </c>
      <c r="AS549" s="89"/>
      <c r="AT549" s="87">
        <v>8600000</v>
      </c>
      <c r="AU549" s="87">
        <v>860000</v>
      </c>
      <c r="AV549" s="87">
        <v>9460000</v>
      </c>
      <c r="AW549" s="38"/>
      <c r="AX549" s="85">
        <v>2025</v>
      </c>
      <c r="AY549" s="85">
        <v>9</v>
      </c>
      <c r="AZ549" s="36"/>
      <c r="BA549" s="1" t="s">
        <v>44</v>
      </c>
    </row>
    <row r="550" spans="10:53">
      <c r="J550" s="37"/>
      <c r="K550" s="36"/>
      <c r="L550" s="87"/>
      <c r="M550" s="38"/>
      <c r="N550" s="36"/>
      <c r="O550" s="36"/>
      <c r="P550" s="208"/>
      <c r="AD550"/>
      <c r="AG550"/>
      <c r="AN550" s="36" t="s">
        <v>32</v>
      </c>
      <c r="AO550" s="37">
        <v>45930</v>
      </c>
      <c r="AP550" s="36" t="s">
        <v>1218</v>
      </c>
      <c r="AQ550" s="36" t="s">
        <v>3012</v>
      </c>
      <c r="AR550" s="36" t="s">
        <v>267</v>
      </c>
      <c r="AS550" s="89"/>
      <c r="AT550" s="87">
        <v>600000</v>
      </c>
      <c r="AU550" s="87">
        <v>60000</v>
      </c>
      <c r="AV550" s="87">
        <v>660000</v>
      </c>
      <c r="AW550" s="38"/>
      <c r="AX550" s="85">
        <v>2025</v>
      </c>
      <c r="AY550" s="85">
        <v>9</v>
      </c>
      <c r="AZ550" s="36"/>
      <c r="BA550" s="1" t="s">
        <v>44</v>
      </c>
    </row>
    <row r="551" spans="10:53">
      <c r="J551" s="37"/>
      <c r="K551" s="36"/>
      <c r="L551" s="87"/>
      <c r="M551" s="38"/>
      <c r="N551" s="36"/>
      <c r="O551" s="36"/>
      <c r="P551" s="208"/>
      <c r="AD551"/>
      <c r="AG551"/>
      <c r="AN551" s="36" t="s">
        <v>32</v>
      </c>
      <c r="AO551" s="37">
        <v>45930</v>
      </c>
      <c r="AP551" s="36" t="s">
        <v>2822</v>
      </c>
      <c r="AQ551" s="36" t="s">
        <v>3019</v>
      </c>
      <c r="AR551" s="36" t="s">
        <v>267</v>
      </c>
      <c r="AS551" s="89"/>
      <c r="AT551" s="87">
        <v>810000</v>
      </c>
      <c r="AU551" s="87">
        <v>81000</v>
      </c>
      <c r="AV551" s="87">
        <v>891000</v>
      </c>
      <c r="AW551" s="38"/>
      <c r="AX551" s="85">
        <v>2025</v>
      </c>
      <c r="AY551" s="85">
        <v>9</v>
      </c>
      <c r="AZ551" s="36"/>
      <c r="BA551" s="1" t="s">
        <v>44</v>
      </c>
    </row>
    <row r="552" spans="10:53">
      <c r="J552" s="37"/>
      <c r="K552" s="36"/>
      <c r="L552" s="87"/>
      <c r="M552" s="38"/>
      <c r="N552" s="36"/>
      <c r="O552" s="36"/>
      <c r="P552" s="208"/>
      <c r="AD552"/>
      <c r="AG552"/>
      <c r="AN552" s="36" t="s">
        <v>32</v>
      </c>
      <c r="AO552" s="37">
        <v>45930</v>
      </c>
      <c r="AP552" s="36" t="s">
        <v>654</v>
      </c>
      <c r="AQ552" s="36" t="s">
        <v>3064</v>
      </c>
      <c r="AR552" s="36" t="s">
        <v>76</v>
      </c>
      <c r="AS552" s="89"/>
      <c r="AT552" s="87">
        <v>11942120</v>
      </c>
      <c r="AU552" s="87">
        <v>1194212</v>
      </c>
      <c r="AV552" s="87">
        <v>13136332</v>
      </c>
      <c r="AW552" s="38"/>
      <c r="AX552" s="85">
        <v>2025</v>
      </c>
      <c r="AY552" s="85">
        <v>9</v>
      </c>
      <c r="AZ552" s="36"/>
      <c r="BA552" s="1" t="s">
        <v>44</v>
      </c>
    </row>
    <row r="553" spans="10:53">
      <c r="J553" s="37"/>
      <c r="K553" s="36"/>
      <c r="L553" s="87"/>
      <c r="M553" s="38"/>
      <c r="N553" s="36"/>
      <c r="O553" s="36"/>
      <c r="P553" s="208"/>
      <c r="AD553"/>
      <c r="AG553"/>
      <c r="AN553" s="36" t="s">
        <v>32</v>
      </c>
      <c r="AO553" s="37">
        <v>45930</v>
      </c>
      <c r="AP553" s="36" t="s">
        <v>654</v>
      </c>
      <c r="AQ553" s="36" t="s">
        <v>3146</v>
      </c>
      <c r="AR553" s="36" t="s">
        <v>267</v>
      </c>
      <c r="AS553" s="89"/>
      <c r="AT553" s="87">
        <v>26752800</v>
      </c>
      <c r="AU553" s="87">
        <v>2675280</v>
      </c>
      <c r="AV553" s="87">
        <v>29428080</v>
      </c>
      <c r="AW553" s="38"/>
      <c r="AX553" s="85">
        <v>2025</v>
      </c>
      <c r="AY553" s="85">
        <v>9</v>
      </c>
      <c r="AZ553" s="36"/>
      <c r="BA553" s="1" t="s">
        <v>44</v>
      </c>
    </row>
    <row r="554" spans="10:53">
      <c r="J554" s="37"/>
      <c r="K554" s="36"/>
      <c r="L554" s="87"/>
      <c r="M554" s="38"/>
      <c r="N554" s="36"/>
      <c r="O554" s="36"/>
      <c r="P554" s="1"/>
      <c r="AD554"/>
      <c r="AG554"/>
      <c r="AN554" s="36" t="s">
        <v>32</v>
      </c>
      <c r="AO554" s="37">
        <v>45930</v>
      </c>
      <c r="AP554" s="36" t="s">
        <v>654</v>
      </c>
      <c r="AQ554" s="36" t="s">
        <v>2541</v>
      </c>
      <c r="AR554" s="36" t="s">
        <v>76</v>
      </c>
      <c r="AS554" s="89"/>
      <c r="AT554" s="87">
        <v>5000000</v>
      </c>
      <c r="AU554" s="87">
        <v>500000</v>
      </c>
      <c r="AV554" s="87">
        <v>5500000</v>
      </c>
      <c r="AW554" s="38"/>
      <c r="AX554" s="85">
        <v>2025</v>
      </c>
      <c r="AY554" s="85">
        <v>9</v>
      </c>
      <c r="AZ554" s="36"/>
      <c r="BA554" s="1" t="s">
        <v>44</v>
      </c>
    </row>
    <row r="555" spans="10:53">
      <c r="J555" s="37"/>
      <c r="K555" s="36"/>
      <c r="L555" s="87"/>
      <c r="M555" s="38"/>
      <c r="N555" s="36"/>
      <c r="O555" s="36"/>
      <c r="P555" s="208"/>
      <c r="AD555"/>
      <c r="AG555"/>
      <c r="AN555" s="36" t="s">
        <v>32</v>
      </c>
      <c r="AO555" s="37">
        <v>45930</v>
      </c>
      <c r="AP555" s="36" t="s">
        <v>654</v>
      </c>
      <c r="AQ555" s="36" t="s">
        <v>2588</v>
      </c>
      <c r="AR555" s="36" t="s">
        <v>76</v>
      </c>
      <c r="AS555" s="89"/>
      <c r="AT555" s="87">
        <v>10587360</v>
      </c>
      <c r="AU555" s="87">
        <v>1058736</v>
      </c>
      <c r="AV555" s="87">
        <v>11646096</v>
      </c>
      <c r="AW555" s="38"/>
      <c r="AX555" s="85">
        <v>2025</v>
      </c>
      <c r="AY555" s="85">
        <v>9</v>
      </c>
      <c r="AZ555" s="36"/>
      <c r="BA555" s="1" t="s">
        <v>44</v>
      </c>
    </row>
    <row r="556" spans="10:53">
      <c r="J556" s="37"/>
      <c r="K556" s="36"/>
      <c r="L556" s="87"/>
      <c r="M556" s="38"/>
      <c r="N556" s="36"/>
      <c r="O556" s="36"/>
      <c r="P556" s="208"/>
      <c r="AD556"/>
      <c r="AG556"/>
      <c r="AN556" s="36" t="s">
        <v>32</v>
      </c>
      <c r="AO556" s="37">
        <v>45930</v>
      </c>
      <c r="AP556" s="36" t="s">
        <v>654</v>
      </c>
      <c r="AQ556" s="36" t="s">
        <v>2588</v>
      </c>
      <c r="AR556" s="36" t="s">
        <v>2648</v>
      </c>
      <c r="AS556" s="89"/>
      <c r="AT556" s="87">
        <v>6324000</v>
      </c>
      <c r="AU556" s="87">
        <v>632400</v>
      </c>
      <c r="AV556" s="87">
        <v>6956400</v>
      </c>
      <c r="AW556" s="38"/>
      <c r="AX556" s="85">
        <v>2025</v>
      </c>
      <c r="AY556" s="85">
        <v>9</v>
      </c>
      <c r="AZ556" s="36"/>
      <c r="BA556" s="1" t="s">
        <v>44</v>
      </c>
    </row>
    <row r="557" spans="10:53">
      <c r="J557" s="37"/>
      <c r="K557" s="36"/>
      <c r="L557" s="87"/>
      <c r="M557" s="38"/>
      <c r="N557" s="36"/>
      <c r="O557" s="36"/>
      <c r="P557" s="208"/>
      <c r="AD557"/>
      <c r="AG557"/>
      <c r="AN557" s="36" t="s">
        <v>32</v>
      </c>
      <c r="AO557" s="37">
        <v>45930</v>
      </c>
      <c r="AP557" s="36" t="s">
        <v>188</v>
      </c>
      <c r="AQ557" s="36" t="s">
        <v>3147</v>
      </c>
      <c r="AR557" s="36" t="s">
        <v>267</v>
      </c>
      <c r="AS557" s="89"/>
      <c r="AT557" s="87">
        <v>11182600</v>
      </c>
      <c r="AU557" s="87">
        <v>1118260</v>
      </c>
      <c r="AV557" s="87">
        <v>12300860</v>
      </c>
      <c r="AW557" s="38"/>
      <c r="AX557" s="85">
        <v>2025</v>
      </c>
      <c r="AY557" s="85">
        <v>9</v>
      </c>
      <c r="AZ557" s="36"/>
      <c r="BA557" s="1" t="s">
        <v>44</v>
      </c>
    </row>
    <row r="558" spans="10:53">
      <c r="J558" s="37"/>
      <c r="K558" s="36"/>
      <c r="L558" s="87"/>
      <c r="M558" s="38"/>
      <c r="N558" s="36"/>
      <c r="O558" s="36"/>
      <c r="P558" s="208"/>
      <c r="AD558"/>
      <c r="AG558"/>
      <c r="AN558" s="36" t="s">
        <v>32</v>
      </c>
      <c r="AO558" s="37">
        <v>45930</v>
      </c>
      <c r="AP558" s="36" t="s">
        <v>3136</v>
      </c>
      <c r="AQ558" s="36" t="s">
        <v>3148</v>
      </c>
      <c r="AR558" s="36" t="s">
        <v>1492</v>
      </c>
      <c r="AS558" s="89"/>
      <c r="AT558" s="87">
        <v>4000000</v>
      </c>
      <c r="AU558" s="87">
        <v>400000</v>
      </c>
      <c r="AV558" s="87">
        <v>4400000</v>
      </c>
      <c r="AW558" s="38"/>
      <c r="AX558" s="85">
        <v>2025</v>
      </c>
      <c r="AY558" s="85">
        <v>9</v>
      </c>
      <c r="AZ558" s="36"/>
      <c r="BA558" s="1" t="s">
        <v>44</v>
      </c>
    </row>
    <row r="559" spans="10:53">
      <c r="J559" s="37"/>
      <c r="K559" s="36"/>
      <c r="L559" s="87"/>
      <c r="M559" s="38"/>
      <c r="N559" s="36"/>
      <c r="O559" s="36"/>
      <c r="P559" s="208"/>
      <c r="AD559"/>
      <c r="AG559"/>
      <c r="AN559" s="36" t="s">
        <v>32</v>
      </c>
      <c r="AO559" s="37">
        <v>45930</v>
      </c>
      <c r="AP559" s="36" t="s">
        <v>2824</v>
      </c>
      <c r="AQ559" s="36" t="s">
        <v>2832</v>
      </c>
      <c r="AR559" s="36" t="s">
        <v>76</v>
      </c>
      <c r="AS559" s="89"/>
      <c r="AT559" s="87">
        <v>73208000</v>
      </c>
      <c r="AU559" s="87">
        <v>7320800</v>
      </c>
      <c r="AV559" s="87">
        <v>80528800</v>
      </c>
      <c r="AW559" s="38"/>
      <c r="AX559" s="85">
        <v>2025</v>
      </c>
      <c r="AY559" s="85">
        <v>9</v>
      </c>
      <c r="AZ559" s="36"/>
      <c r="BA559" s="1" t="s">
        <v>44</v>
      </c>
    </row>
    <row r="560" spans="10:53">
      <c r="J560" s="37"/>
      <c r="K560" s="36"/>
      <c r="L560" s="87"/>
      <c r="M560" s="38"/>
      <c r="N560" s="36"/>
      <c r="O560" s="36"/>
      <c r="P560" s="208"/>
      <c r="AD560"/>
      <c r="AG560"/>
      <c r="AN560" s="36" t="s">
        <v>32</v>
      </c>
      <c r="AO560" s="37">
        <v>45930</v>
      </c>
      <c r="AP560" s="36" t="s">
        <v>264</v>
      </c>
      <c r="AQ560" s="36" t="s">
        <v>3149</v>
      </c>
      <c r="AR560" s="36" t="s">
        <v>76</v>
      </c>
      <c r="AS560" s="89"/>
      <c r="AT560" s="87">
        <v>10000000</v>
      </c>
      <c r="AU560" s="87">
        <v>1000000</v>
      </c>
      <c r="AV560" s="87">
        <v>11000000</v>
      </c>
      <c r="AW560" s="38"/>
      <c r="AX560" s="85">
        <v>2025</v>
      </c>
      <c r="AY560" s="85">
        <v>9</v>
      </c>
      <c r="AZ560" s="36"/>
      <c r="BA560" s="1" t="s">
        <v>44</v>
      </c>
    </row>
    <row r="561" spans="10:53">
      <c r="J561" s="37"/>
      <c r="K561" s="36"/>
      <c r="L561" s="87"/>
      <c r="M561" s="38"/>
      <c r="N561" s="36"/>
      <c r="O561" s="36"/>
      <c r="P561" s="208"/>
      <c r="AD561"/>
      <c r="AG561"/>
      <c r="AN561" s="36" t="s">
        <v>32</v>
      </c>
      <c r="AO561" s="37">
        <v>45930</v>
      </c>
      <c r="AP561" s="36" t="s">
        <v>2166</v>
      </c>
      <c r="AQ561" s="36" t="s">
        <v>3150</v>
      </c>
      <c r="AR561" s="36" t="s">
        <v>76</v>
      </c>
      <c r="AS561" s="89"/>
      <c r="AT561" s="87">
        <v>11070520</v>
      </c>
      <c r="AU561" s="87">
        <v>1107052</v>
      </c>
      <c r="AV561" s="87">
        <v>12177572</v>
      </c>
      <c r="AW561" s="38"/>
      <c r="AX561" s="85">
        <v>2025</v>
      </c>
      <c r="AY561" s="85">
        <v>9</v>
      </c>
      <c r="AZ561" s="36"/>
      <c r="BA561" s="1" t="s">
        <v>44</v>
      </c>
    </row>
    <row r="562" spans="10:53">
      <c r="J562" s="37"/>
      <c r="K562" s="36"/>
      <c r="L562" s="87"/>
      <c r="M562" s="87"/>
      <c r="N562" s="36"/>
      <c r="O562" s="36"/>
      <c r="P562" s="208"/>
      <c r="AD562"/>
      <c r="AG562"/>
      <c r="AN562" s="36" t="s">
        <v>32</v>
      </c>
      <c r="AO562" s="37">
        <v>45930</v>
      </c>
      <c r="AP562" s="36" t="s">
        <v>2673</v>
      </c>
      <c r="AQ562" s="36" t="s">
        <v>2686</v>
      </c>
      <c r="AR562" s="36" t="s">
        <v>76</v>
      </c>
      <c r="AS562" s="89"/>
      <c r="AT562" s="87">
        <v>1256800</v>
      </c>
      <c r="AU562" s="87">
        <v>125680</v>
      </c>
      <c r="AV562" s="87">
        <v>1382480</v>
      </c>
      <c r="AW562" s="38"/>
      <c r="AX562" s="85">
        <v>2025</v>
      </c>
      <c r="AY562" s="85">
        <v>9</v>
      </c>
      <c r="AZ562" s="36"/>
      <c r="BA562" s="1" t="s">
        <v>44</v>
      </c>
    </row>
    <row r="563" spans="10:53">
      <c r="J563" s="37"/>
      <c r="K563" s="36"/>
      <c r="L563" s="87"/>
      <c r="M563" s="38"/>
      <c r="N563" s="36"/>
      <c r="O563" s="36"/>
      <c r="P563" s="208"/>
      <c r="AD563"/>
      <c r="AG563"/>
      <c r="AN563" s="36" t="s">
        <v>32</v>
      </c>
      <c r="AO563" s="37">
        <v>45930</v>
      </c>
      <c r="AP563" s="36" t="s">
        <v>1396</v>
      </c>
      <c r="AQ563" s="36" t="s">
        <v>3151</v>
      </c>
      <c r="AR563" s="36" t="s">
        <v>76</v>
      </c>
      <c r="AS563" s="89"/>
      <c r="AT563" s="87">
        <v>2215800</v>
      </c>
      <c r="AU563" s="87">
        <v>221580</v>
      </c>
      <c r="AV563" s="87">
        <v>2437380</v>
      </c>
      <c r="AW563" s="38"/>
      <c r="AX563" s="85">
        <v>2025</v>
      </c>
      <c r="AY563" s="85">
        <v>9</v>
      </c>
      <c r="AZ563" s="36"/>
      <c r="BA563" s="1" t="s">
        <v>44</v>
      </c>
    </row>
    <row r="564" spans="10:53">
      <c r="J564" s="37"/>
      <c r="K564" s="36"/>
      <c r="L564" s="87"/>
      <c r="M564" s="38"/>
      <c r="N564" s="36"/>
      <c r="O564" s="36"/>
      <c r="P564" s="1"/>
      <c r="AD564"/>
      <c r="AG564"/>
      <c r="AN564" s="36" t="s">
        <v>32</v>
      </c>
      <c r="AO564" s="37">
        <v>45930</v>
      </c>
      <c r="AP564" s="36" t="s">
        <v>1396</v>
      </c>
      <c r="AQ564" s="36" t="s">
        <v>3152</v>
      </c>
      <c r="AR564" s="36" t="s">
        <v>76</v>
      </c>
      <c r="AS564" s="89"/>
      <c r="AT564" s="87">
        <v>2210000</v>
      </c>
      <c r="AU564" s="87">
        <v>221000</v>
      </c>
      <c r="AV564" s="87">
        <v>2431000</v>
      </c>
      <c r="AW564" s="38"/>
      <c r="AX564" s="85">
        <v>2025</v>
      </c>
      <c r="AY564" s="85">
        <v>9</v>
      </c>
      <c r="AZ564" s="36"/>
      <c r="BA564" s="1" t="s">
        <v>44</v>
      </c>
    </row>
    <row r="565" spans="10:53">
      <c r="J565" s="37"/>
      <c r="K565" s="36"/>
      <c r="L565" s="87"/>
      <c r="M565" s="38"/>
      <c r="N565" s="36"/>
      <c r="O565" s="36"/>
      <c r="P565" s="1"/>
      <c r="AD565"/>
      <c r="AG565"/>
      <c r="AN565" s="36" t="s">
        <v>32</v>
      </c>
      <c r="AO565" s="37">
        <v>45930</v>
      </c>
      <c r="AP565" s="36" t="s">
        <v>1396</v>
      </c>
      <c r="AQ565" s="36" t="s">
        <v>3153</v>
      </c>
      <c r="AR565" s="36" t="s">
        <v>76</v>
      </c>
      <c r="AS565" s="89"/>
      <c r="AT565" s="87">
        <v>1730000</v>
      </c>
      <c r="AU565" s="87">
        <v>173000</v>
      </c>
      <c r="AV565" s="87">
        <v>1903000</v>
      </c>
      <c r="AW565" s="38"/>
      <c r="AX565" s="85">
        <v>2025</v>
      </c>
      <c r="AY565" s="85">
        <v>9</v>
      </c>
      <c r="AZ565" s="36"/>
      <c r="BA565" s="1" t="s">
        <v>44</v>
      </c>
    </row>
    <row r="566" spans="10:53">
      <c r="J566" s="37"/>
      <c r="K566" s="36"/>
      <c r="L566" s="87"/>
      <c r="M566" s="38"/>
      <c r="N566" s="36"/>
      <c r="O566" s="36"/>
      <c r="P566" s="1"/>
      <c r="AD566"/>
      <c r="AG566"/>
      <c r="AN566" s="36" t="s">
        <v>32</v>
      </c>
      <c r="AO566" s="37">
        <v>45930</v>
      </c>
      <c r="AP566" s="36" t="s">
        <v>1396</v>
      </c>
      <c r="AQ566" s="36" t="s">
        <v>3154</v>
      </c>
      <c r="AR566" s="36" t="s">
        <v>76</v>
      </c>
      <c r="AS566" s="89"/>
      <c r="AT566" s="87">
        <v>6180000</v>
      </c>
      <c r="AU566" s="87">
        <v>618000</v>
      </c>
      <c r="AV566" s="87">
        <v>6798000</v>
      </c>
      <c r="AW566" s="38"/>
      <c r="AX566" s="85">
        <v>2025</v>
      </c>
      <c r="AY566" s="85">
        <v>9</v>
      </c>
      <c r="AZ566" s="36"/>
      <c r="BA566" s="1" t="s">
        <v>44</v>
      </c>
    </row>
    <row r="567" spans="10:53">
      <c r="J567" s="37"/>
      <c r="K567" s="36"/>
      <c r="L567" s="87"/>
      <c r="M567" s="38"/>
      <c r="N567" s="36"/>
      <c r="O567" s="36"/>
      <c r="P567" s="1"/>
      <c r="AD567"/>
      <c r="AG567"/>
      <c r="AN567" s="36" t="s">
        <v>32</v>
      </c>
      <c r="AO567" s="37">
        <v>45930</v>
      </c>
      <c r="AP567" s="36" t="s">
        <v>3137</v>
      </c>
      <c r="AQ567" s="36" t="s">
        <v>3155</v>
      </c>
      <c r="AR567" s="36" t="s">
        <v>267</v>
      </c>
      <c r="AS567" s="89"/>
      <c r="AT567" s="87">
        <v>2700000</v>
      </c>
      <c r="AU567" s="87">
        <v>270000</v>
      </c>
      <c r="AV567" s="87">
        <v>2970000</v>
      </c>
      <c r="AW567" s="38"/>
      <c r="AX567" s="85">
        <v>2025</v>
      </c>
      <c r="AY567" s="85">
        <v>9</v>
      </c>
      <c r="AZ567" s="36"/>
      <c r="BA567" s="1" t="s">
        <v>44</v>
      </c>
    </row>
    <row r="568" spans="10:53">
      <c r="J568" s="37"/>
      <c r="K568" s="36"/>
      <c r="L568" s="87"/>
      <c r="M568" s="38"/>
      <c r="N568" s="36"/>
      <c r="O568" s="36"/>
      <c r="P568" s="1"/>
      <c r="AD568"/>
      <c r="AG568"/>
      <c r="AN568" s="36" t="s">
        <v>32</v>
      </c>
      <c r="AO568" s="37">
        <v>45930</v>
      </c>
      <c r="AP568" s="36" t="s">
        <v>3137</v>
      </c>
      <c r="AQ568" s="36" t="s">
        <v>3156</v>
      </c>
      <c r="AR568" s="36" t="s">
        <v>267</v>
      </c>
      <c r="AS568" s="89"/>
      <c r="AT568" s="87">
        <v>4500000</v>
      </c>
      <c r="AU568" s="87">
        <v>450000</v>
      </c>
      <c r="AV568" s="87">
        <v>4950000</v>
      </c>
      <c r="AW568" s="38"/>
      <c r="AX568" s="85">
        <v>2025</v>
      </c>
      <c r="AY568" s="85">
        <v>9</v>
      </c>
      <c r="AZ568" s="36"/>
      <c r="BA568" s="1" t="s">
        <v>44</v>
      </c>
    </row>
    <row r="569" spans="10:53">
      <c r="J569" s="37"/>
      <c r="K569" s="36"/>
      <c r="L569" s="87"/>
      <c r="M569" s="87"/>
      <c r="N569" s="36"/>
      <c r="O569" s="36"/>
      <c r="P569" s="208"/>
      <c r="AD569"/>
      <c r="AG569"/>
      <c r="AN569" s="36" t="s">
        <v>32</v>
      </c>
      <c r="AO569" s="37">
        <v>45930</v>
      </c>
      <c r="AP569" s="36" t="s">
        <v>334</v>
      </c>
      <c r="AQ569" s="36" t="s">
        <v>3068</v>
      </c>
      <c r="AR569" s="36" t="s">
        <v>76</v>
      </c>
      <c r="AS569" s="89"/>
      <c r="AT569" s="87">
        <v>3000000</v>
      </c>
      <c r="AU569" s="87">
        <v>300000</v>
      </c>
      <c r="AV569" s="87">
        <v>3300000</v>
      </c>
      <c r="AW569" s="38"/>
      <c r="AX569" s="85">
        <v>2025</v>
      </c>
      <c r="AY569" s="85">
        <v>9</v>
      </c>
      <c r="AZ569" s="36"/>
      <c r="BA569" s="1" t="s">
        <v>44</v>
      </c>
    </row>
    <row r="570" spans="10:53">
      <c r="J570" s="37"/>
      <c r="K570" s="36"/>
      <c r="L570" s="87"/>
      <c r="M570" s="38"/>
      <c r="N570" s="36"/>
      <c r="O570" s="36"/>
      <c r="P570" s="1"/>
      <c r="AD570"/>
      <c r="AG570"/>
      <c r="AN570" s="36" t="s">
        <v>32</v>
      </c>
      <c r="AO570" s="37">
        <v>45930</v>
      </c>
      <c r="AP570" s="36" t="s">
        <v>334</v>
      </c>
      <c r="AQ570" s="36" t="s">
        <v>3157</v>
      </c>
      <c r="AR570" s="36" t="s">
        <v>267</v>
      </c>
      <c r="AS570" s="89"/>
      <c r="AT570" s="87">
        <v>3864300</v>
      </c>
      <c r="AU570" s="87">
        <v>386430</v>
      </c>
      <c r="AV570" s="87">
        <v>4250730</v>
      </c>
      <c r="AW570" s="38"/>
      <c r="AX570" s="85">
        <v>2025</v>
      </c>
      <c r="AY570" s="85">
        <v>9</v>
      </c>
      <c r="AZ570" s="36"/>
      <c r="BA570" s="1" t="s">
        <v>44</v>
      </c>
    </row>
    <row r="571" spans="10:53">
      <c r="J571" s="37"/>
      <c r="K571" s="36"/>
      <c r="L571" s="87"/>
      <c r="M571" s="38"/>
      <c r="N571" s="36"/>
      <c r="O571" s="36"/>
      <c r="P571" s="1"/>
      <c r="AD571"/>
      <c r="AG571"/>
      <c r="AN571" s="36" t="s">
        <v>32</v>
      </c>
      <c r="AO571" s="37">
        <v>45930</v>
      </c>
      <c r="AP571" s="36" t="s">
        <v>1198</v>
      </c>
      <c r="AQ571" s="36" t="s">
        <v>3067</v>
      </c>
      <c r="AR571" s="36" t="s">
        <v>76</v>
      </c>
      <c r="AS571" s="89"/>
      <c r="AT571" s="87">
        <v>6864300</v>
      </c>
      <c r="AU571" s="87">
        <v>686430</v>
      </c>
      <c r="AV571" s="87">
        <v>7550730</v>
      </c>
      <c r="AW571" s="38"/>
      <c r="AX571" s="85">
        <v>2025</v>
      </c>
      <c r="AY571" s="85">
        <v>9</v>
      </c>
      <c r="AZ571" s="36"/>
      <c r="BA571" s="1" t="s">
        <v>44</v>
      </c>
    </row>
    <row r="572" spans="10:53">
      <c r="J572" s="37"/>
      <c r="K572" s="36"/>
      <c r="L572" s="87"/>
      <c r="M572" s="87"/>
      <c r="N572" s="36"/>
      <c r="O572" s="36"/>
      <c r="P572" s="208"/>
      <c r="AD572"/>
      <c r="AG572"/>
      <c r="AN572" s="36" t="s">
        <v>32</v>
      </c>
      <c r="AO572" s="37">
        <v>45930</v>
      </c>
      <c r="AP572" s="36" t="s">
        <v>1198</v>
      </c>
      <c r="AQ572" s="36" t="s">
        <v>2887</v>
      </c>
      <c r="AR572" s="36" t="s">
        <v>267</v>
      </c>
      <c r="AS572" s="89"/>
      <c r="AT572" s="87">
        <v>3035600</v>
      </c>
      <c r="AU572" s="87">
        <v>303560</v>
      </c>
      <c r="AV572" s="87">
        <v>3339160</v>
      </c>
      <c r="AW572" s="38"/>
      <c r="AX572" s="85">
        <v>2025</v>
      </c>
      <c r="AY572" s="85">
        <v>9</v>
      </c>
      <c r="AZ572" s="36"/>
      <c r="BA572" s="1" t="s">
        <v>44</v>
      </c>
    </row>
    <row r="573" spans="10:53">
      <c r="J573" s="37"/>
      <c r="K573" s="36"/>
      <c r="L573" s="87"/>
      <c r="M573" s="38"/>
      <c r="N573" s="36"/>
      <c r="O573" s="36"/>
      <c r="P573" s="1"/>
      <c r="AD573"/>
      <c r="AG573"/>
      <c r="AN573" s="36" t="s">
        <v>32</v>
      </c>
      <c r="AO573" s="37">
        <v>45930</v>
      </c>
      <c r="AP573" s="36" t="s">
        <v>1198</v>
      </c>
      <c r="AQ573" s="36" t="s">
        <v>2955</v>
      </c>
      <c r="AR573" s="36" t="s">
        <v>267</v>
      </c>
      <c r="AS573" s="89"/>
      <c r="AT573" s="87">
        <v>4616700</v>
      </c>
      <c r="AU573" s="87">
        <v>461670</v>
      </c>
      <c r="AV573" s="87">
        <v>5078370</v>
      </c>
      <c r="AW573" s="38"/>
      <c r="AX573" s="85">
        <v>2025</v>
      </c>
      <c r="AY573" s="85">
        <v>9</v>
      </c>
      <c r="AZ573" s="36"/>
      <c r="BA573" s="1" t="s">
        <v>44</v>
      </c>
    </row>
    <row r="574" spans="10:53">
      <c r="J574" s="37"/>
      <c r="K574" s="36"/>
      <c r="L574" s="87"/>
      <c r="M574" s="87"/>
      <c r="N574" s="36"/>
      <c r="O574" s="36"/>
      <c r="P574" s="208"/>
      <c r="AD574"/>
      <c r="AG574"/>
      <c r="AN574" s="36" t="s">
        <v>32</v>
      </c>
      <c r="AO574" s="37">
        <v>45930</v>
      </c>
      <c r="AP574" s="36" t="s">
        <v>3138</v>
      </c>
      <c r="AQ574" s="36" t="s">
        <v>3071</v>
      </c>
      <c r="AR574" s="36" t="s">
        <v>267</v>
      </c>
      <c r="AS574" s="89"/>
      <c r="AT574" s="87">
        <v>2360960</v>
      </c>
      <c r="AU574" s="87">
        <v>236096</v>
      </c>
      <c r="AV574" s="87">
        <v>2597056</v>
      </c>
      <c r="AW574" s="38"/>
      <c r="AX574" s="85">
        <v>2025</v>
      </c>
      <c r="AY574" s="85">
        <v>9</v>
      </c>
      <c r="AZ574" s="36"/>
      <c r="BA574" s="1" t="s">
        <v>44</v>
      </c>
    </row>
    <row r="575" spans="10:53">
      <c r="J575" s="37"/>
      <c r="K575" s="36"/>
      <c r="L575" s="87"/>
      <c r="M575" s="87"/>
      <c r="N575" s="36"/>
      <c r="O575" s="36"/>
      <c r="P575" s="208"/>
      <c r="AD575"/>
      <c r="AG575"/>
      <c r="AN575" s="36" t="s">
        <v>32</v>
      </c>
      <c r="AO575" s="37">
        <v>45930</v>
      </c>
      <c r="AP575" s="36" t="s">
        <v>2477</v>
      </c>
      <c r="AQ575" s="36" t="s">
        <v>2485</v>
      </c>
      <c r="AR575" s="36" t="s">
        <v>267</v>
      </c>
      <c r="AS575" s="89"/>
      <c r="AT575" s="87">
        <v>25872160</v>
      </c>
      <c r="AU575" s="87">
        <v>2587216</v>
      </c>
      <c r="AV575" s="87">
        <v>28459376</v>
      </c>
      <c r="AW575" s="38"/>
      <c r="AX575" s="85">
        <v>2025</v>
      </c>
      <c r="AY575" s="85">
        <v>9</v>
      </c>
      <c r="AZ575" s="36"/>
      <c r="BA575" s="1" t="s">
        <v>44</v>
      </c>
    </row>
    <row r="576" spans="10:53">
      <c r="J576" s="37"/>
      <c r="K576" s="36"/>
      <c r="L576" s="87"/>
      <c r="M576" s="38"/>
      <c r="N576" s="36"/>
      <c r="O576" s="36"/>
      <c r="P576" s="1"/>
      <c r="AD576"/>
      <c r="AG576"/>
      <c r="AN576" s="36" t="s">
        <v>32</v>
      </c>
      <c r="AO576" s="37">
        <v>45930</v>
      </c>
      <c r="AP576" s="36" t="s">
        <v>3139</v>
      </c>
      <c r="AQ576" s="36" t="s">
        <v>3158</v>
      </c>
      <c r="AR576" s="36" t="s">
        <v>76</v>
      </c>
      <c r="AS576" s="89"/>
      <c r="AT576" s="87">
        <v>5131900</v>
      </c>
      <c r="AU576" s="87">
        <v>513190</v>
      </c>
      <c r="AV576" s="87">
        <v>5645090</v>
      </c>
      <c r="AW576" s="38"/>
      <c r="AX576" s="85">
        <v>2025</v>
      </c>
      <c r="AY576" s="85">
        <v>9</v>
      </c>
      <c r="AZ576" s="36"/>
      <c r="BA576" s="1" t="s">
        <v>44</v>
      </c>
    </row>
    <row r="577" spans="10:53">
      <c r="J577" s="37"/>
      <c r="K577" s="36"/>
      <c r="L577" s="87"/>
      <c r="M577" s="87"/>
      <c r="N577" s="36"/>
      <c r="O577" s="36"/>
      <c r="P577" s="208"/>
      <c r="AD577"/>
      <c r="AG577"/>
      <c r="AN577" s="36" t="s">
        <v>32</v>
      </c>
      <c r="AO577" s="37">
        <v>45930</v>
      </c>
      <c r="AP577" s="36" t="s">
        <v>3005</v>
      </c>
      <c r="AQ577" s="36" t="s">
        <v>3014</v>
      </c>
      <c r="AR577" s="36" t="s">
        <v>630</v>
      </c>
      <c r="AS577" s="89"/>
      <c r="AT577" s="87">
        <v>1298000</v>
      </c>
      <c r="AU577" s="87">
        <v>129800</v>
      </c>
      <c r="AV577" s="87">
        <v>1427800</v>
      </c>
      <c r="AW577" s="38"/>
      <c r="AX577" s="85">
        <v>2025</v>
      </c>
      <c r="AY577" s="85">
        <v>9</v>
      </c>
      <c r="AZ577" s="36"/>
      <c r="BA577" s="1" t="s">
        <v>44</v>
      </c>
    </row>
    <row r="578" spans="10:53">
      <c r="J578" s="37"/>
      <c r="K578" s="36"/>
      <c r="L578" s="87"/>
      <c r="M578" s="87"/>
      <c r="N578" s="36"/>
      <c r="O578" s="36"/>
      <c r="P578" s="208"/>
      <c r="AD578"/>
      <c r="AG578"/>
      <c r="AN578" s="36" t="s">
        <v>32</v>
      </c>
      <c r="AO578" s="37">
        <v>45930</v>
      </c>
      <c r="AP578" s="36" t="s">
        <v>1179</v>
      </c>
      <c r="AQ578" s="36" t="s">
        <v>3159</v>
      </c>
      <c r="AR578" s="36" t="s">
        <v>267</v>
      </c>
      <c r="AS578" s="89"/>
      <c r="AT578" s="87">
        <v>19563000</v>
      </c>
      <c r="AU578" s="87">
        <v>1956300</v>
      </c>
      <c r="AV578" s="87">
        <v>21519300</v>
      </c>
      <c r="AW578" s="38"/>
      <c r="AX578" s="85">
        <v>2025</v>
      </c>
      <c r="AY578" s="85">
        <v>9</v>
      </c>
      <c r="AZ578" s="36"/>
      <c r="BA578" s="1" t="s">
        <v>44</v>
      </c>
    </row>
    <row r="579" spans="10:53">
      <c r="J579" s="37"/>
      <c r="K579" s="36"/>
      <c r="L579" s="87"/>
      <c r="M579" s="38"/>
      <c r="N579" s="36"/>
      <c r="O579" s="36"/>
      <c r="P579" s="1"/>
      <c r="AD579"/>
      <c r="AG579"/>
      <c r="AN579" s="36" t="s">
        <v>32</v>
      </c>
      <c r="AO579" s="37">
        <v>45930</v>
      </c>
      <c r="AP579" s="36" t="s">
        <v>654</v>
      </c>
      <c r="AQ579" s="36" t="s">
        <v>2588</v>
      </c>
      <c r="AR579" s="36" t="s">
        <v>2648</v>
      </c>
      <c r="AS579" s="89"/>
      <c r="AT579" s="87">
        <v>-6324000</v>
      </c>
      <c r="AU579" s="87">
        <v>-632400</v>
      </c>
      <c r="AV579" s="87">
        <v>-6956400</v>
      </c>
      <c r="AW579" s="38"/>
      <c r="AX579" s="85">
        <v>2025</v>
      </c>
      <c r="AY579" s="85">
        <v>9</v>
      </c>
      <c r="AZ579" s="36"/>
      <c r="BA579" s="1" t="s">
        <v>44</v>
      </c>
    </row>
    <row r="580" spans="10:53">
      <c r="J580" s="37"/>
      <c r="K580" s="36"/>
      <c r="L580" s="87"/>
      <c r="M580" s="38"/>
      <c r="N580" s="36"/>
      <c r="O580" s="36"/>
      <c r="P580" s="1"/>
      <c r="AD580"/>
      <c r="AG580"/>
      <c r="AN580" s="36" t="s">
        <v>32</v>
      </c>
      <c r="AO580" s="37">
        <v>45930</v>
      </c>
      <c r="AP580" s="36" t="s">
        <v>3004</v>
      </c>
      <c r="AQ580" s="36" t="s">
        <v>3142</v>
      </c>
      <c r="AR580" s="36" t="s">
        <v>267</v>
      </c>
      <c r="AS580" s="89"/>
      <c r="AT580" s="87"/>
      <c r="AU580" s="87"/>
      <c r="AV580" s="87"/>
      <c r="AW580" s="38">
        <v>42350000</v>
      </c>
      <c r="AX580" s="85">
        <v>2025</v>
      </c>
      <c r="AY580" s="85">
        <v>9</v>
      </c>
      <c r="AZ580" s="36"/>
      <c r="BA580" s="1" t="s">
        <v>44</v>
      </c>
    </row>
    <row r="581" spans="10:53">
      <c r="J581" s="37"/>
      <c r="K581" s="36"/>
      <c r="L581" s="87"/>
      <c r="M581" s="38"/>
      <c r="N581" s="36"/>
      <c r="O581" s="36"/>
      <c r="P581" s="1"/>
      <c r="AD581"/>
      <c r="AG581"/>
      <c r="AN581" s="36" t="s">
        <v>32</v>
      </c>
      <c r="AO581" s="37">
        <v>45945</v>
      </c>
      <c r="AP581" s="36" t="s">
        <v>291</v>
      </c>
      <c r="AQ581" s="36" t="s">
        <v>3143</v>
      </c>
      <c r="AR581" s="36" t="s">
        <v>77</v>
      </c>
      <c r="AS581" s="89"/>
      <c r="AT581" s="87"/>
      <c r="AU581" s="87"/>
      <c r="AV581" s="87"/>
      <c r="AW581" s="38">
        <v>1100000</v>
      </c>
      <c r="AX581" s="85">
        <v>2025</v>
      </c>
      <c r="AY581" s="85">
        <v>9</v>
      </c>
      <c r="AZ581" s="36"/>
      <c r="BA581" s="1" t="s">
        <v>44</v>
      </c>
    </row>
    <row r="582" spans="10:53">
      <c r="J582" s="37"/>
      <c r="K582" s="36"/>
      <c r="L582" s="87"/>
      <c r="M582" s="38"/>
      <c r="N582" s="36"/>
      <c r="O582" s="36"/>
      <c r="P582" s="1"/>
      <c r="AD582"/>
      <c r="AG582"/>
      <c r="AN582" s="36" t="s">
        <v>32</v>
      </c>
      <c r="AO582" s="37">
        <v>45931</v>
      </c>
      <c r="AP582" s="36" t="s">
        <v>2478</v>
      </c>
      <c r="AQ582" s="36" t="s">
        <v>2487</v>
      </c>
      <c r="AR582" s="36" t="s">
        <v>77</v>
      </c>
      <c r="AS582" s="89"/>
      <c r="AT582" s="87"/>
      <c r="AU582" s="87"/>
      <c r="AV582" s="87"/>
      <c r="AW582" s="38">
        <v>21191500</v>
      </c>
      <c r="AX582" s="85">
        <v>2025</v>
      </c>
      <c r="AY582" s="85">
        <v>9</v>
      </c>
      <c r="AZ582" s="36"/>
      <c r="BA582" s="1" t="s">
        <v>44</v>
      </c>
    </row>
    <row r="583" spans="10:53">
      <c r="J583" s="37"/>
      <c r="K583" s="36"/>
      <c r="L583" s="87"/>
      <c r="M583" s="38"/>
      <c r="N583" s="36"/>
      <c r="O583" s="36"/>
      <c r="P583" s="1"/>
      <c r="AD583"/>
      <c r="AG583"/>
      <c r="AN583" s="36" t="s">
        <v>32</v>
      </c>
      <c r="AO583" s="37">
        <v>45932</v>
      </c>
      <c r="AP583" s="36" t="s">
        <v>1587</v>
      </c>
      <c r="AQ583" s="36" t="s">
        <v>3144</v>
      </c>
      <c r="AR583" s="36" t="s">
        <v>77</v>
      </c>
      <c r="AS583" s="89"/>
      <c r="AT583" s="87"/>
      <c r="AU583" s="87"/>
      <c r="AV583" s="87"/>
      <c r="AW583" s="38">
        <v>6495500</v>
      </c>
      <c r="AX583" s="85">
        <v>2025</v>
      </c>
      <c r="AY583" s="85">
        <v>9</v>
      </c>
      <c r="AZ583" s="36"/>
      <c r="BA583" s="1" t="s">
        <v>44</v>
      </c>
    </row>
    <row r="584" spans="10:53">
      <c r="J584" s="37"/>
      <c r="K584" s="36"/>
      <c r="L584" s="87"/>
      <c r="M584" s="38"/>
      <c r="N584" s="36"/>
      <c r="O584" s="36"/>
      <c r="P584" s="1"/>
      <c r="AD584"/>
      <c r="AG584"/>
      <c r="AN584" s="36" t="s">
        <v>32</v>
      </c>
      <c r="AO584" s="37">
        <v>45932</v>
      </c>
      <c r="AP584" s="36" t="s">
        <v>3136</v>
      </c>
      <c r="AQ584" s="36" t="s">
        <v>3148</v>
      </c>
      <c r="AR584" s="36" t="s">
        <v>77</v>
      </c>
      <c r="AS584" s="89"/>
      <c r="AT584" s="87"/>
      <c r="AU584" s="87"/>
      <c r="AV584" s="87"/>
      <c r="AW584" s="38">
        <v>4400000</v>
      </c>
      <c r="AX584" s="85">
        <v>2025</v>
      </c>
      <c r="AY584" s="85">
        <v>9</v>
      </c>
      <c r="AZ584" s="36"/>
      <c r="BA584" s="1" t="s">
        <v>44</v>
      </c>
    </row>
    <row r="585" spans="10:53">
      <c r="J585" s="37"/>
      <c r="K585" s="36"/>
      <c r="L585" s="87"/>
      <c r="M585" s="38"/>
      <c r="N585" s="36"/>
      <c r="O585" s="36"/>
      <c r="P585" s="1"/>
      <c r="AD585"/>
      <c r="AG585"/>
      <c r="AN585" s="36" t="s">
        <v>32</v>
      </c>
      <c r="AO585" s="37">
        <v>45945</v>
      </c>
      <c r="AP585" s="36" t="s">
        <v>3137</v>
      </c>
      <c r="AQ585" s="36" t="s">
        <v>3155</v>
      </c>
      <c r="AR585" s="36" t="s">
        <v>77</v>
      </c>
      <c r="AS585" s="89"/>
      <c r="AT585" s="87"/>
      <c r="AU585" s="87"/>
      <c r="AV585" s="87"/>
      <c r="AW585" s="38">
        <v>2970000</v>
      </c>
      <c r="AX585" s="85">
        <v>2025</v>
      </c>
      <c r="AY585" s="85">
        <v>9</v>
      </c>
      <c r="AZ585" s="36"/>
      <c r="BA585" s="1" t="s">
        <v>44</v>
      </c>
    </row>
    <row r="586" spans="10:53">
      <c r="J586" s="37"/>
      <c r="K586" s="36"/>
      <c r="L586" s="87"/>
      <c r="M586" s="87"/>
      <c r="N586" s="36"/>
      <c r="O586" s="36"/>
      <c r="P586" s="1"/>
      <c r="AD586"/>
      <c r="AG586"/>
      <c r="AN586" s="36" t="s">
        <v>32</v>
      </c>
      <c r="AO586" s="37">
        <v>45945</v>
      </c>
      <c r="AP586" s="36" t="s">
        <v>3137</v>
      </c>
      <c r="AQ586" s="36" t="s">
        <v>3156</v>
      </c>
      <c r="AR586" s="36" t="s">
        <v>77</v>
      </c>
      <c r="AS586" s="89"/>
      <c r="AT586" s="87"/>
      <c r="AU586" s="87"/>
      <c r="AV586" s="87"/>
      <c r="AW586" s="38">
        <v>4950000</v>
      </c>
      <c r="AX586" s="85">
        <v>2025</v>
      </c>
      <c r="AY586" s="85">
        <v>9</v>
      </c>
      <c r="AZ586" s="36"/>
      <c r="BA586" s="1" t="s">
        <v>44</v>
      </c>
    </row>
    <row r="587" spans="10:53">
      <c r="J587" s="37"/>
      <c r="K587" s="36"/>
      <c r="L587" s="87"/>
      <c r="M587" s="38"/>
      <c r="N587" s="36"/>
      <c r="O587" s="36"/>
      <c r="P587" s="1"/>
      <c r="AD587"/>
      <c r="AG587"/>
      <c r="AN587" s="36" t="s">
        <v>32</v>
      </c>
      <c r="AO587" s="37">
        <v>45950</v>
      </c>
      <c r="AP587" s="36" t="s">
        <v>1198</v>
      </c>
      <c r="AQ587" s="36" t="s">
        <v>3067</v>
      </c>
      <c r="AR587" s="36" t="s">
        <v>3084</v>
      </c>
      <c r="AS587" s="89"/>
      <c r="AT587" s="87"/>
      <c r="AU587" s="87"/>
      <c r="AV587" s="87"/>
      <c r="AW587" s="87">
        <v>7550730</v>
      </c>
      <c r="AX587" s="85">
        <v>2025</v>
      </c>
      <c r="AY587" s="85">
        <v>9</v>
      </c>
      <c r="AZ587" s="36"/>
      <c r="BA587" s="1" t="s">
        <v>44</v>
      </c>
    </row>
    <row r="588" spans="10:53">
      <c r="J588" s="37"/>
      <c r="K588" s="36"/>
      <c r="L588" s="87"/>
      <c r="M588" s="38"/>
      <c r="N588" s="36"/>
      <c r="O588" s="36"/>
      <c r="P588" s="1"/>
      <c r="AD588"/>
      <c r="AG588"/>
      <c r="AN588" s="36" t="s">
        <v>32</v>
      </c>
      <c r="AO588" s="37">
        <v>45947</v>
      </c>
      <c r="AP588" s="36" t="s">
        <v>2166</v>
      </c>
      <c r="AQ588" s="36" t="s">
        <v>2836</v>
      </c>
      <c r="AR588" s="36" t="s">
        <v>3160</v>
      </c>
      <c r="AS588" s="89"/>
      <c r="AT588" s="87"/>
      <c r="AU588" s="87"/>
      <c r="AV588" s="87"/>
      <c r="AW588" s="87">
        <v>41074132</v>
      </c>
      <c r="AX588" s="85">
        <v>2025</v>
      </c>
      <c r="AY588" s="85">
        <v>8</v>
      </c>
      <c r="AZ588" s="36" t="s">
        <v>3089</v>
      </c>
      <c r="BA588" s="1" t="s">
        <v>44</v>
      </c>
    </row>
    <row r="589" spans="10:53">
      <c r="J589" s="37"/>
      <c r="K589" s="36"/>
      <c r="L589" s="87"/>
      <c r="M589" s="38"/>
      <c r="N589" s="36"/>
      <c r="O589" s="36"/>
      <c r="P589" s="1"/>
      <c r="AD589"/>
      <c r="AG589"/>
      <c r="AN589" s="36" t="s">
        <v>32</v>
      </c>
      <c r="AO589" s="37">
        <v>45946</v>
      </c>
      <c r="AP589" s="36" t="s">
        <v>2005</v>
      </c>
      <c r="AQ589" s="36" t="s">
        <v>3009</v>
      </c>
      <c r="AR589" s="36" t="s">
        <v>3161</v>
      </c>
      <c r="AS589" s="89"/>
      <c r="AT589" s="87"/>
      <c r="AU589" s="87"/>
      <c r="AV589" s="87"/>
      <c r="AW589" s="38">
        <v>7150000</v>
      </c>
      <c r="AX589" s="85">
        <v>2025</v>
      </c>
      <c r="AY589" s="85">
        <v>8</v>
      </c>
      <c r="AZ589" s="36"/>
      <c r="BA589" s="1" t="s">
        <v>44</v>
      </c>
    </row>
    <row r="590" spans="10:53">
      <c r="J590" s="37"/>
      <c r="K590" s="36"/>
      <c r="L590" s="87"/>
      <c r="M590" s="38"/>
      <c r="N590" s="36"/>
      <c r="O590" s="36"/>
      <c r="P590" s="1"/>
      <c r="AD590"/>
      <c r="AG590"/>
      <c r="AN590" s="36" t="s">
        <v>32</v>
      </c>
      <c r="AO590" s="37">
        <v>45946</v>
      </c>
      <c r="AP590" s="36" t="s">
        <v>2005</v>
      </c>
      <c r="AQ590" s="36" t="s">
        <v>3009</v>
      </c>
      <c r="AR590" s="36" t="s">
        <v>3161</v>
      </c>
      <c r="AS590" s="89"/>
      <c r="AT590" s="87"/>
      <c r="AU590" s="87"/>
      <c r="AV590" s="87"/>
      <c r="AW590" s="38">
        <v>1100000</v>
      </c>
      <c r="AX590" s="85">
        <v>2025</v>
      </c>
      <c r="AY590" s="85">
        <v>8</v>
      </c>
      <c r="AZ590" s="36"/>
      <c r="BA590" s="1" t="s">
        <v>44</v>
      </c>
    </row>
    <row r="591" spans="10:53">
      <c r="J591" s="37"/>
      <c r="K591" s="36"/>
      <c r="L591" s="87"/>
      <c r="M591" s="38"/>
      <c r="N591" s="36"/>
      <c r="O591" s="36"/>
      <c r="P591" s="1"/>
      <c r="AD591"/>
      <c r="AG591"/>
      <c r="AN591" s="36" t="s">
        <v>32</v>
      </c>
      <c r="AO591" s="37">
        <v>45958</v>
      </c>
      <c r="AP591" s="36" t="s">
        <v>2477</v>
      </c>
      <c r="AQ591" s="36" t="s">
        <v>2485</v>
      </c>
      <c r="AR591" s="36" t="s">
        <v>148</v>
      </c>
      <c r="AS591" s="89"/>
      <c r="AT591" s="87"/>
      <c r="AU591" s="87"/>
      <c r="AV591" s="87"/>
      <c r="AW591" s="87">
        <v>28459376</v>
      </c>
      <c r="AX591" s="85">
        <v>2025</v>
      </c>
      <c r="AY591" s="85">
        <v>9</v>
      </c>
      <c r="AZ591" s="36"/>
      <c r="BA591" s="1" t="s">
        <v>44</v>
      </c>
    </row>
    <row r="592" spans="10:53">
      <c r="J592" s="37"/>
      <c r="K592" s="36"/>
      <c r="L592" s="87"/>
      <c r="M592" s="38"/>
      <c r="N592" s="36"/>
      <c r="O592" s="36"/>
      <c r="P592" s="1"/>
      <c r="AD592"/>
      <c r="AG592"/>
      <c r="AN592" s="36" t="s">
        <v>32</v>
      </c>
      <c r="AO592" s="37">
        <v>45959</v>
      </c>
      <c r="AP592" s="36" t="s">
        <v>2674</v>
      </c>
      <c r="AQ592" s="36" t="s">
        <v>2687</v>
      </c>
      <c r="AR592" s="36" t="s">
        <v>148</v>
      </c>
      <c r="AS592" s="89"/>
      <c r="AT592" s="87"/>
      <c r="AU592" s="87"/>
      <c r="AV592" s="87"/>
      <c r="AW592" s="87">
        <v>3830750</v>
      </c>
      <c r="AX592" s="85">
        <v>2025</v>
      </c>
      <c r="AY592" s="85">
        <v>9</v>
      </c>
      <c r="AZ592" s="36"/>
      <c r="BA592" s="1" t="s">
        <v>44</v>
      </c>
    </row>
    <row r="593" spans="10:53">
      <c r="J593" s="37"/>
      <c r="K593" s="36"/>
      <c r="L593" s="87"/>
      <c r="M593" s="38"/>
      <c r="N593" s="36"/>
      <c r="O593" s="36"/>
      <c r="P593" s="1"/>
      <c r="AD593"/>
      <c r="AG593"/>
      <c r="AN593" s="36" t="s">
        <v>32</v>
      </c>
      <c r="AO593" s="37">
        <v>45961</v>
      </c>
      <c r="AP593" s="36" t="s">
        <v>2868</v>
      </c>
      <c r="AQ593" s="36" t="s">
        <v>2875</v>
      </c>
      <c r="AR593" s="36" t="s">
        <v>148</v>
      </c>
      <c r="AS593" s="89"/>
      <c r="AT593" s="87"/>
      <c r="AU593" s="87"/>
      <c r="AV593" s="87"/>
      <c r="AW593" s="87">
        <v>9900000</v>
      </c>
      <c r="AX593" s="85">
        <v>2025</v>
      </c>
      <c r="AY593" s="85">
        <v>9</v>
      </c>
      <c r="AZ593" s="36"/>
      <c r="BA593" s="1" t="s">
        <v>44</v>
      </c>
    </row>
    <row r="594" spans="10:53">
      <c r="J594" s="37"/>
      <c r="K594" s="36"/>
      <c r="L594" s="87"/>
      <c r="M594" s="38"/>
      <c r="N594" s="36"/>
      <c r="O594" s="36"/>
      <c r="P594" s="1"/>
      <c r="AD594"/>
      <c r="AG594"/>
      <c r="AN594" s="36" t="s">
        <v>32</v>
      </c>
      <c r="AO594" s="37">
        <v>45961</v>
      </c>
      <c r="AP594" s="36" t="s">
        <v>3135</v>
      </c>
      <c r="AQ594" s="36" t="s">
        <v>3141</v>
      </c>
      <c r="AR594" s="36" t="s">
        <v>148</v>
      </c>
      <c r="AS594" s="89"/>
      <c r="AT594" s="87"/>
      <c r="AU594" s="87"/>
      <c r="AV594" s="87"/>
      <c r="AW594" s="87">
        <v>4098160</v>
      </c>
      <c r="AX594" s="85">
        <v>2025</v>
      </c>
      <c r="AY594" s="85">
        <v>9</v>
      </c>
      <c r="AZ594" s="36"/>
      <c r="BA594" s="1" t="s">
        <v>44</v>
      </c>
    </row>
    <row r="595" spans="10:53">
      <c r="J595" s="37"/>
      <c r="K595" s="36"/>
      <c r="L595" s="87"/>
      <c r="M595" s="38"/>
      <c r="N595" s="36"/>
      <c r="O595" s="36"/>
      <c r="P595" s="1"/>
      <c r="AD595"/>
      <c r="AG595"/>
      <c r="AN595" s="36" t="s">
        <v>32</v>
      </c>
      <c r="AO595" s="37">
        <v>45961</v>
      </c>
      <c r="AP595" s="36" t="s">
        <v>2822</v>
      </c>
      <c r="AQ595" s="36" t="s">
        <v>3019</v>
      </c>
      <c r="AR595" s="36" t="s">
        <v>148</v>
      </c>
      <c r="AS595" s="89"/>
      <c r="AT595" s="87"/>
      <c r="AU595" s="87"/>
      <c r="AV595" s="87"/>
      <c r="AW595" s="87">
        <v>891000</v>
      </c>
      <c r="AX595" s="85">
        <v>2025</v>
      </c>
      <c r="AY595" s="85">
        <v>9</v>
      </c>
      <c r="AZ595" s="36"/>
      <c r="BA595" s="1" t="s">
        <v>44</v>
      </c>
    </row>
    <row r="596" spans="10:53">
      <c r="J596" s="37"/>
      <c r="K596" s="36"/>
      <c r="L596" s="87"/>
      <c r="M596" s="38"/>
      <c r="N596" s="36"/>
      <c r="O596" s="36"/>
      <c r="P596" s="1"/>
      <c r="AD596"/>
      <c r="AG596"/>
      <c r="AN596" s="36" t="s">
        <v>32</v>
      </c>
      <c r="AO596" s="37">
        <v>45961</v>
      </c>
      <c r="AP596" s="36" t="s">
        <v>2824</v>
      </c>
      <c r="AQ596" s="36" t="s">
        <v>2832</v>
      </c>
      <c r="AR596" s="36" t="s">
        <v>148</v>
      </c>
      <c r="AS596" s="89"/>
      <c r="AT596" s="87"/>
      <c r="AU596" s="87"/>
      <c r="AV596" s="87"/>
      <c r="AW596" s="87">
        <v>80528800</v>
      </c>
      <c r="AX596" s="85">
        <v>2025</v>
      </c>
      <c r="AY596" s="85">
        <v>9</v>
      </c>
      <c r="AZ596" s="36"/>
      <c r="BA596" s="1" t="s">
        <v>44</v>
      </c>
    </row>
    <row r="597" spans="10:53">
      <c r="J597" s="37"/>
      <c r="K597" s="36"/>
      <c r="L597" s="87"/>
      <c r="M597" s="87"/>
      <c r="N597" s="36"/>
      <c r="O597" s="36"/>
      <c r="P597" s="1"/>
      <c r="AD597"/>
      <c r="AG597"/>
      <c r="AN597" s="36" t="s">
        <v>32</v>
      </c>
      <c r="AO597" s="37">
        <v>45961</v>
      </c>
      <c r="AP597" s="36" t="s">
        <v>264</v>
      </c>
      <c r="AQ597" s="36" t="s">
        <v>3149</v>
      </c>
      <c r="AR597" s="36" t="s">
        <v>148</v>
      </c>
      <c r="AS597" s="89"/>
      <c r="AT597" s="87"/>
      <c r="AU597" s="87"/>
      <c r="AV597" s="87"/>
      <c r="AW597" s="87">
        <v>11000000</v>
      </c>
      <c r="AX597" s="85">
        <v>2025</v>
      </c>
      <c r="AY597" s="85">
        <v>9</v>
      </c>
      <c r="AZ597" s="36"/>
      <c r="BA597" s="1" t="s">
        <v>44</v>
      </c>
    </row>
    <row r="598" spans="10:53">
      <c r="J598" s="37"/>
      <c r="K598" s="36"/>
      <c r="L598" s="87"/>
      <c r="M598" s="87"/>
      <c r="N598" s="36"/>
      <c r="O598" s="36"/>
      <c r="P598" s="1"/>
      <c r="AD598"/>
      <c r="AG598"/>
      <c r="AN598" s="36" t="s">
        <v>32</v>
      </c>
      <c r="AO598" s="37">
        <v>45961</v>
      </c>
      <c r="AP598" s="36" t="s">
        <v>661</v>
      </c>
      <c r="AQ598" s="36" t="s">
        <v>2783</v>
      </c>
      <c r="AR598" s="36" t="s">
        <v>148</v>
      </c>
      <c r="AS598" s="89"/>
      <c r="AT598" s="87"/>
      <c r="AU598" s="87"/>
      <c r="AV598" s="87"/>
      <c r="AW598" s="87">
        <v>1150600</v>
      </c>
      <c r="AX598" s="85">
        <v>2025</v>
      </c>
      <c r="AY598" s="85">
        <v>5</v>
      </c>
      <c r="AZ598" s="36"/>
      <c r="BA598" s="1" t="s">
        <v>44</v>
      </c>
    </row>
    <row r="599" spans="10:53">
      <c r="J599" s="37"/>
      <c r="K599" s="36"/>
      <c r="L599" s="87"/>
      <c r="M599" s="87"/>
      <c r="N599" s="36"/>
      <c r="O599" s="36"/>
      <c r="P599" s="1"/>
      <c r="AD599"/>
      <c r="AG599"/>
      <c r="AN599" s="36" t="s">
        <v>32</v>
      </c>
      <c r="AO599" s="37">
        <v>45961</v>
      </c>
      <c r="AP599" s="36" t="s">
        <v>3134</v>
      </c>
      <c r="AQ599" s="36" t="s">
        <v>3140</v>
      </c>
      <c r="AR599" s="36" t="s">
        <v>148</v>
      </c>
      <c r="AS599" s="89"/>
      <c r="AT599" s="87"/>
      <c r="AU599" s="87"/>
      <c r="AV599" s="87"/>
      <c r="AW599" s="87">
        <v>6722375</v>
      </c>
      <c r="AX599" s="85">
        <v>2025</v>
      </c>
      <c r="AY599" s="85">
        <v>9</v>
      </c>
      <c r="AZ599" s="36" t="s">
        <v>3166</v>
      </c>
      <c r="BA599" s="1" t="s">
        <v>44</v>
      </c>
    </row>
    <row r="600" spans="10:53">
      <c r="J600" s="37"/>
      <c r="K600" s="36"/>
      <c r="L600" s="87"/>
      <c r="M600" s="87"/>
      <c r="N600" s="36"/>
      <c r="O600" s="36"/>
      <c r="P600" s="1"/>
      <c r="AD600"/>
      <c r="AG600"/>
      <c r="AN600" s="36" t="s">
        <v>32</v>
      </c>
      <c r="AO600" s="37">
        <v>45961</v>
      </c>
      <c r="AP600" s="36" t="s">
        <v>2772</v>
      </c>
      <c r="AQ600" s="36" t="s">
        <v>3145</v>
      </c>
      <c r="AR600" s="36" t="s">
        <v>3167</v>
      </c>
      <c r="AS600" s="89"/>
      <c r="AT600" s="87"/>
      <c r="AU600" s="87"/>
      <c r="AV600" s="87"/>
      <c r="AW600" s="87">
        <v>9460000</v>
      </c>
      <c r="AX600" s="85">
        <v>2025</v>
      </c>
      <c r="AY600" s="85">
        <v>9</v>
      </c>
      <c r="AZ600" s="36"/>
      <c r="BA600" s="1" t="s">
        <v>44</v>
      </c>
    </row>
    <row r="601" spans="10:53">
      <c r="J601" s="37"/>
      <c r="K601" s="36"/>
      <c r="L601" s="87"/>
      <c r="M601" s="87"/>
      <c r="N601" s="36"/>
      <c r="O601" s="36"/>
      <c r="P601" s="1"/>
      <c r="AD601"/>
      <c r="AG601"/>
      <c r="AN601" s="36" t="s">
        <v>32</v>
      </c>
      <c r="AO601" s="37">
        <v>45961</v>
      </c>
      <c r="AP601" s="36" t="s">
        <v>1218</v>
      </c>
      <c r="AQ601" s="36" t="s">
        <v>3012</v>
      </c>
      <c r="AR601" s="36" t="s">
        <v>3049</v>
      </c>
      <c r="AS601" s="89"/>
      <c r="AT601" s="87"/>
      <c r="AU601" s="87"/>
      <c r="AV601" s="87"/>
      <c r="AW601" s="87">
        <v>660000</v>
      </c>
      <c r="AX601" s="85">
        <v>2025</v>
      </c>
      <c r="AY601" s="85">
        <v>9</v>
      </c>
      <c r="AZ601" s="36"/>
      <c r="BA601" s="1" t="s">
        <v>44</v>
      </c>
    </row>
    <row r="602" spans="10:53">
      <c r="J602" s="37"/>
      <c r="K602" s="36"/>
      <c r="L602" s="87"/>
      <c r="M602" s="87"/>
      <c r="N602" s="36"/>
      <c r="O602" s="36"/>
      <c r="P602" s="208"/>
      <c r="AD602"/>
      <c r="AG602"/>
      <c r="AN602" s="36" t="s">
        <v>32</v>
      </c>
      <c r="AO602" s="37">
        <v>45961</v>
      </c>
      <c r="AP602" s="36" t="s">
        <v>2673</v>
      </c>
      <c r="AQ602" s="36" t="s">
        <v>2686</v>
      </c>
      <c r="AR602" s="36" t="s">
        <v>148</v>
      </c>
      <c r="AS602" s="89"/>
      <c r="AT602" s="87"/>
      <c r="AU602" s="87"/>
      <c r="AV602" s="87"/>
      <c r="AW602" s="87">
        <v>1382480</v>
      </c>
      <c r="AX602" s="85">
        <v>2025</v>
      </c>
      <c r="AY602" s="85">
        <v>9</v>
      </c>
      <c r="AZ602" s="36"/>
      <c r="BA602" s="1" t="s">
        <v>44</v>
      </c>
    </row>
    <row r="603" spans="10:53">
      <c r="J603" s="37"/>
      <c r="K603" s="36"/>
      <c r="L603" s="87"/>
      <c r="M603" s="38"/>
      <c r="N603" s="36"/>
      <c r="O603" s="36"/>
      <c r="P603" s="1"/>
      <c r="AD603"/>
      <c r="AG603"/>
      <c r="AN603" s="36" t="s">
        <v>32</v>
      </c>
      <c r="AO603" s="37">
        <v>45964</v>
      </c>
      <c r="AP603" s="36" t="s">
        <v>654</v>
      </c>
      <c r="AQ603" s="36" t="s">
        <v>3064</v>
      </c>
      <c r="AR603" s="36" t="s">
        <v>3168</v>
      </c>
      <c r="AS603" s="89"/>
      <c r="AT603" s="87"/>
      <c r="AU603" s="87"/>
      <c r="AV603" s="87"/>
      <c r="AW603" s="87">
        <v>3696000</v>
      </c>
      <c r="AX603" s="85">
        <v>2025</v>
      </c>
      <c r="AY603" s="85">
        <v>8</v>
      </c>
      <c r="AZ603" s="36"/>
      <c r="BA603" s="1" t="s">
        <v>44</v>
      </c>
    </row>
    <row r="604" spans="10:53">
      <c r="J604" s="37"/>
      <c r="K604" s="36"/>
      <c r="L604" s="87"/>
      <c r="M604" s="38"/>
      <c r="N604" s="36"/>
      <c r="O604" s="36"/>
      <c r="P604" s="1"/>
      <c r="AD604"/>
      <c r="AG604"/>
      <c r="AN604" s="36" t="s">
        <v>32</v>
      </c>
      <c r="AO604" s="37">
        <v>45964</v>
      </c>
      <c r="AP604" s="36" t="s">
        <v>654</v>
      </c>
      <c r="AQ604" s="36" t="s">
        <v>2588</v>
      </c>
      <c r="AR604" s="36" t="s">
        <v>2844</v>
      </c>
      <c r="AS604" s="89"/>
      <c r="AT604" s="87"/>
      <c r="AU604" s="87"/>
      <c r="AV604" s="87"/>
      <c r="AW604" s="302">
        <v>11646096</v>
      </c>
      <c r="AX604" s="85">
        <v>2025</v>
      </c>
      <c r="AY604" s="85">
        <v>9</v>
      </c>
      <c r="AZ604" s="36" t="s">
        <v>3171</v>
      </c>
      <c r="BA604" s="1" t="s">
        <v>44</v>
      </c>
    </row>
    <row r="605" spans="10:53">
      <c r="J605" s="37"/>
      <c r="K605" s="36"/>
      <c r="L605" s="87"/>
      <c r="M605" s="87"/>
      <c r="N605" s="36"/>
      <c r="O605" s="36"/>
      <c r="P605" s="1"/>
      <c r="AD605"/>
      <c r="AG605"/>
      <c r="AN605" s="36" t="s">
        <v>32</v>
      </c>
      <c r="AO605" s="37">
        <v>45967</v>
      </c>
      <c r="AP605" s="36" t="s">
        <v>3005</v>
      </c>
      <c r="AQ605" s="36" t="s">
        <v>3014</v>
      </c>
      <c r="AR605" s="36" t="s">
        <v>148</v>
      </c>
      <c r="AS605" s="89"/>
      <c r="AT605" s="87"/>
      <c r="AU605" s="87"/>
      <c r="AV605" s="87"/>
      <c r="AW605" s="87">
        <v>3384700</v>
      </c>
      <c r="AX605" s="85">
        <v>2025</v>
      </c>
      <c r="AY605" s="85">
        <v>7</v>
      </c>
      <c r="AZ605" s="36"/>
      <c r="BA605" s="1" t="s">
        <v>44</v>
      </c>
    </row>
    <row r="606" spans="10:53">
      <c r="J606" s="37"/>
      <c r="K606" s="36"/>
      <c r="L606" s="87"/>
      <c r="M606" s="87"/>
      <c r="N606" s="36"/>
      <c r="O606" s="36"/>
      <c r="P606" s="1"/>
      <c r="AD606"/>
      <c r="AG606"/>
      <c r="AN606" s="36" t="s">
        <v>32</v>
      </c>
      <c r="AO606" s="37">
        <v>45931</v>
      </c>
      <c r="AP606" s="36" t="s">
        <v>3196</v>
      </c>
      <c r="AQ606" s="36" t="s">
        <v>3198</v>
      </c>
      <c r="AR606" s="36" t="s">
        <v>1492</v>
      </c>
      <c r="AS606" s="89"/>
      <c r="AT606" s="87">
        <v>2677000</v>
      </c>
      <c r="AU606" s="87">
        <v>267700</v>
      </c>
      <c r="AV606" s="87">
        <v>2944700</v>
      </c>
      <c r="AW606" s="38"/>
      <c r="AX606" s="85">
        <v>2025</v>
      </c>
      <c r="AY606" s="85">
        <v>10</v>
      </c>
      <c r="AZ606" s="36"/>
      <c r="BA606" s="1" t="s">
        <v>44</v>
      </c>
    </row>
    <row r="607" spans="10:53">
      <c r="J607" s="37"/>
      <c r="K607" s="36"/>
      <c r="L607" s="87"/>
      <c r="M607" s="87"/>
      <c r="N607" s="36"/>
      <c r="O607" s="36"/>
      <c r="P607" s="1"/>
      <c r="AD607"/>
      <c r="AG607"/>
      <c r="AN607" s="36" t="s">
        <v>32</v>
      </c>
      <c r="AO607" s="37">
        <v>45931</v>
      </c>
      <c r="AP607" s="36" t="s">
        <v>3196</v>
      </c>
      <c r="AQ607" s="36" t="s">
        <v>3199</v>
      </c>
      <c r="AR607" s="36" t="s">
        <v>1492</v>
      </c>
      <c r="AS607" s="89"/>
      <c r="AT607" s="87">
        <v>7433000</v>
      </c>
      <c r="AU607" s="87">
        <v>743300</v>
      </c>
      <c r="AV607" s="87">
        <v>8176300</v>
      </c>
      <c r="AW607" s="38"/>
      <c r="AX607" s="85">
        <v>2025</v>
      </c>
      <c r="AY607" s="85">
        <v>10</v>
      </c>
      <c r="AZ607" s="36"/>
      <c r="BA607" s="1" t="s">
        <v>44</v>
      </c>
    </row>
    <row r="608" spans="10:53">
      <c r="J608" s="37"/>
      <c r="K608" s="36"/>
      <c r="L608" s="87"/>
      <c r="M608" s="38"/>
      <c r="N608" s="36"/>
      <c r="O608" s="36"/>
      <c r="P608" s="1"/>
      <c r="AD608"/>
      <c r="AG608"/>
      <c r="AN608" s="36" t="s">
        <v>32</v>
      </c>
      <c r="AO608" s="37">
        <v>45961</v>
      </c>
      <c r="AP608" s="36" t="s">
        <v>1396</v>
      </c>
      <c r="AQ608" s="36" t="s">
        <v>3200</v>
      </c>
      <c r="AR608" s="36" t="s">
        <v>78</v>
      </c>
      <c r="AS608" s="89"/>
      <c r="AT608" s="87">
        <v>7370000</v>
      </c>
      <c r="AU608" s="87">
        <v>737000</v>
      </c>
      <c r="AV608" s="87">
        <v>8107000</v>
      </c>
      <c r="AW608" s="38"/>
      <c r="AX608" s="85">
        <v>2025</v>
      </c>
      <c r="AY608" s="85">
        <v>10</v>
      </c>
      <c r="AZ608" s="36"/>
      <c r="BA608" s="1" t="s">
        <v>44</v>
      </c>
    </row>
    <row r="609" spans="10:53">
      <c r="J609" s="37"/>
      <c r="K609" s="36"/>
      <c r="L609" s="87"/>
      <c r="M609" s="87"/>
      <c r="N609" s="36"/>
      <c r="O609" s="36"/>
      <c r="P609" s="208"/>
      <c r="AD609"/>
      <c r="AG609"/>
      <c r="AN609" s="36" t="s">
        <v>32</v>
      </c>
      <c r="AO609" s="37">
        <v>45961</v>
      </c>
      <c r="AP609" s="36" t="s">
        <v>3212</v>
      </c>
      <c r="AQ609" s="36" t="s">
        <v>3174</v>
      </c>
      <c r="AR609" s="36" t="s">
        <v>78</v>
      </c>
      <c r="AS609" s="89"/>
      <c r="AT609" s="87">
        <v>25923941</v>
      </c>
      <c r="AU609" s="87">
        <v>2592394.1</v>
      </c>
      <c r="AV609" s="87">
        <v>28516335.100000001</v>
      </c>
      <c r="AW609" s="38"/>
      <c r="AX609" s="85">
        <v>2025</v>
      </c>
      <c r="AY609" s="85">
        <v>10</v>
      </c>
      <c r="AZ609" s="36"/>
      <c r="BA609" s="1" t="s">
        <v>44</v>
      </c>
    </row>
    <row r="610" spans="10:53">
      <c r="J610" s="37"/>
      <c r="K610" s="36"/>
      <c r="L610" s="87"/>
      <c r="M610" s="87"/>
      <c r="N610" s="36"/>
      <c r="O610" s="36"/>
      <c r="P610" s="1"/>
      <c r="AD610"/>
      <c r="AG610"/>
      <c r="AN610" s="36" t="s">
        <v>32</v>
      </c>
      <c r="AO610" s="37">
        <v>45961</v>
      </c>
      <c r="AP610" s="36" t="s">
        <v>654</v>
      </c>
      <c r="AQ610" s="36" t="s">
        <v>3203</v>
      </c>
      <c r="AR610" s="36" t="s">
        <v>76</v>
      </c>
      <c r="AS610" s="89"/>
      <c r="AT610" s="87">
        <v>17750880</v>
      </c>
      <c r="AU610" s="87">
        <v>1775088</v>
      </c>
      <c r="AV610" s="87">
        <v>19525968</v>
      </c>
      <c r="AW610" s="38"/>
      <c r="AX610" s="85">
        <v>2025</v>
      </c>
      <c r="AY610" s="85">
        <v>10</v>
      </c>
      <c r="AZ610" s="36"/>
      <c r="BA610" s="1" t="s">
        <v>44</v>
      </c>
    </row>
    <row r="611" spans="10:53">
      <c r="J611" s="37"/>
      <c r="K611" s="36"/>
      <c r="L611" s="87"/>
      <c r="M611" s="87"/>
      <c r="N611" s="36"/>
      <c r="O611" s="36"/>
      <c r="P611" s="1"/>
      <c r="AD611"/>
      <c r="AG611"/>
      <c r="AN611" s="36" t="s">
        <v>32</v>
      </c>
      <c r="AO611" s="37">
        <v>45961</v>
      </c>
      <c r="AP611" s="36" t="s">
        <v>654</v>
      </c>
      <c r="AQ611" s="36" t="s">
        <v>3203</v>
      </c>
      <c r="AR611" s="36" t="s">
        <v>76</v>
      </c>
      <c r="AS611" s="89"/>
      <c r="AT611" s="87">
        <v>-16724880</v>
      </c>
      <c r="AU611" s="87">
        <v>-1672488</v>
      </c>
      <c r="AV611" s="87">
        <v>-18397368</v>
      </c>
      <c r="AW611" s="38"/>
      <c r="AX611" s="85">
        <v>2025</v>
      </c>
      <c r="AY611" s="85">
        <v>10</v>
      </c>
      <c r="AZ611" s="36"/>
      <c r="BA611" s="1" t="s">
        <v>44</v>
      </c>
    </row>
    <row r="612" spans="10:53">
      <c r="J612" s="37"/>
      <c r="K612" s="36"/>
      <c r="L612" s="87"/>
      <c r="M612" s="38"/>
      <c r="N612" s="36"/>
      <c r="O612" s="36"/>
      <c r="P612" s="1"/>
      <c r="AD612"/>
      <c r="AG612"/>
      <c r="AN612" s="36" t="s">
        <v>32</v>
      </c>
      <c r="AO612" s="37">
        <v>45961</v>
      </c>
      <c r="AP612" s="36" t="s">
        <v>654</v>
      </c>
      <c r="AQ612" s="36" t="s">
        <v>3064</v>
      </c>
      <c r="AR612" s="36" t="s">
        <v>76</v>
      </c>
      <c r="AS612" s="89"/>
      <c r="AT612" s="87">
        <v>28302180</v>
      </c>
      <c r="AU612" s="87">
        <v>2830218</v>
      </c>
      <c r="AV612" s="87">
        <v>31132398</v>
      </c>
      <c r="AW612" s="38"/>
      <c r="AX612" s="85">
        <v>2025</v>
      </c>
      <c r="AY612" s="85">
        <v>10</v>
      </c>
      <c r="AZ612" s="36"/>
      <c r="BA612" s="1" t="s">
        <v>44</v>
      </c>
    </row>
    <row r="613" spans="10:53">
      <c r="J613" s="37"/>
      <c r="K613" s="36"/>
      <c r="L613" s="87"/>
      <c r="M613" s="87"/>
      <c r="N613" s="36"/>
      <c r="O613" s="36"/>
      <c r="P613" s="1"/>
      <c r="AD613"/>
      <c r="AG613"/>
      <c r="AN613" s="36" t="s">
        <v>32</v>
      </c>
      <c r="AO613" s="37">
        <v>45961</v>
      </c>
      <c r="AP613" s="36" t="s">
        <v>654</v>
      </c>
      <c r="AQ613" s="36" t="s">
        <v>3203</v>
      </c>
      <c r="AR613" s="36" t="s">
        <v>76</v>
      </c>
      <c r="AS613" s="89"/>
      <c r="AT613" s="87">
        <v>16724880</v>
      </c>
      <c r="AU613" s="87">
        <v>1672488</v>
      </c>
      <c r="AV613" s="87">
        <v>18397368</v>
      </c>
      <c r="AW613" s="38"/>
      <c r="AX613" s="85">
        <v>2025</v>
      </c>
      <c r="AY613" s="85">
        <v>10</v>
      </c>
      <c r="AZ613" s="36"/>
      <c r="BA613" s="1" t="s">
        <v>44</v>
      </c>
    </row>
    <row r="614" spans="10:53">
      <c r="J614" s="37"/>
      <c r="K614" s="36"/>
      <c r="L614" s="87"/>
      <c r="M614" s="38"/>
      <c r="N614" s="36"/>
      <c r="O614" s="36"/>
      <c r="P614" s="1"/>
      <c r="AD614"/>
      <c r="AG614"/>
      <c r="AN614" s="36" t="s">
        <v>32</v>
      </c>
      <c r="AO614" s="37">
        <v>45961</v>
      </c>
      <c r="AP614" s="36" t="s">
        <v>1179</v>
      </c>
      <c r="AQ614" s="36" t="s">
        <v>3204</v>
      </c>
      <c r="AR614" s="36" t="s">
        <v>78</v>
      </c>
      <c r="AS614" s="89"/>
      <c r="AT614" s="87">
        <v>1071400</v>
      </c>
      <c r="AU614" s="87">
        <v>107140</v>
      </c>
      <c r="AV614" s="87">
        <v>1178540</v>
      </c>
      <c r="AW614" s="38"/>
      <c r="AX614" s="85">
        <v>2025</v>
      </c>
      <c r="AY614" s="85">
        <v>10</v>
      </c>
      <c r="AZ614" s="36"/>
      <c r="BA614" s="1" t="s">
        <v>44</v>
      </c>
    </row>
    <row r="615" spans="10:53">
      <c r="J615" s="37"/>
      <c r="K615" s="36"/>
      <c r="L615" s="87"/>
      <c r="M615" s="38"/>
      <c r="N615" s="36"/>
      <c r="O615" s="36"/>
      <c r="P615" s="1"/>
      <c r="AD615"/>
      <c r="AG615"/>
      <c r="AN615" s="36" t="s">
        <v>32</v>
      </c>
      <c r="AO615" s="37">
        <v>45961</v>
      </c>
      <c r="AP615" s="36" t="s">
        <v>188</v>
      </c>
      <c r="AQ615" s="36" t="s">
        <v>3147</v>
      </c>
      <c r="AR615" s="36" t="s">
        <v>78</v>
      </c>
      <c r="AS615" s="89"/>
      <c r="AT615" s="87">
        <v>8840000</v>
      </c>
      <c r="AU615" s="87">
        <v>884000</v>
      </c>
      <c r="AV615" s="87">
        <v>9724000</v>
      </c>
      <c r="AW615" s="38"/>
      <c r="AX615" s="85">
        <v>2025</v>
      </c>
      <c r="AY615" s="85">
        <v>10</v>
      </c>
      <c r="AZ615" s="36"/>
      <c r="BA615" s="1" t="s">
        <v>44</v>
      </c>
    </row>
    <row r="616" spans="10:53">
      <c r="J616" s="37"/>
      <c r="K616" s="36"/>
      <c r="L616" s="87"/>
      <c r="M616" s="38"/>
      <c r="N616" s="36"/>
      <c r="O616" s="36"/>
      <c r="P616" s="1"/>
      <c r="AD616"/>
      <c r="AG616"/>
      <c r="AN616" s="36" t="s">
        <v>32</v>
      </c>
      <c r="AO616" s="37">
        <v>45961</v>
      </c>
      <c r="AP616" s="36" t="s">
        <v>3139</v>
      </c>
      <c r="AQ616" s="36" t="s">
        <v>3158</v>
      </c>
      <c r="AR616" s="36" t="s">
        <v>76</v>
      </c>
      <c r="AS616" s="89"/>
      <c r="AT616" s="87">
        <v>7389000</v>
      </c>
      <c r="AU616" s="87">
        <v>738900</v>
      </c>
      <c r="AV616" s="87">
        <v>8127900</v>
      </c>
      <c r="AW616" s="38"/>
      <c r="AX616" s="85">
        <v>2025</v>
      </c>
      <c r="AY616" s="85">
        <v>10</v>
      </c>
      <c r="AZ616" s="36"/>
      <c r="BA616" s="1" t="s">
        <v>44</v>
      </c>
    </row>
    <row r="617" spans="10:53">
      <c r="J617" s="37"/>
      <c r="K617" s="36"/>
      <c r="L617" s="87"/>
      <c r="M617" s="38"/>
      <c r="N617" s="36"/>
      <c r="O617" s="36"/>
      <c r="P617" s="1"/>
      <c r="AD617"/>
      <c r="AG617"/>
      <c r="AN617" s="36" t="s">
        <v>32</v>
      </c>
      <c r="AO617" s="37">
        <v>45961</v>
      </c>
      <c r="AP617" s="36" t="s">
        <v>2166</v>
      </c>
      <c r="AQ617" s="36" t="s">
        <v>2836</v>
      </c>
      <c r="AR617" s="36" t="s">
        <v>78</v>
      </c>
      <c r="AS617" s="89"/>
      <c r="AT617" s="87">
        <v>17535920</v>
      </c>
      <c r="AU617" s="87">
        <v>1753592</v>
      </c>
      <c r="AV617" s="87">
        <v>19289512</v>
      </c>
      <c r="AW617" s="38"/>
      <c r="AX617" s="85">
        <v>2025</v>
      </c>
      <c r="AY617" s="85">
        <v>10</v>
      </c>
      <c r="AZ617" s="36"/>
      <c r="BA617" s="1" t="s">
        <v>44</v>
      </c>
    </row>
    <row r="618" spans="10:53">
      <c r="J618" s="37"/>
      <c r="K618" s="36"/>
      <c r="L618" s="87"/>
      <c r="M618" s="38"/>
      <c r="N618" s="36"/>
      <c r="O618" s="36"/>
      <c r="P618" s="1"/>
      <c r="AD618"/>
      <c r="AG618"/>
      <c r="AN618" s="36" t="s">
        <v>32</v>
      </c>
      <c r="AO618" s="37">
        <v>45961</v>
      </c>
      <c r="AP618" s="36" t="s">
        <v>3135</v>
      </c>
      <c r="AQ618" s="36" t="s">
        <v>3141</v>
      </c>
      <c r="AR618" s="36" t="s">
        <v>76</v>
      </c>
      <c r="AS618" s="89"/>
      <c r="AT618" s="87">
        <v>7315200</v>
      </c>
      <c r="AU618" s="87">
        <v>731520</v>
      </c>
      <c r="AV618" s="87">
        <v>8046720</v>
      </c>
      <c r="AW618" s="38"/>
      <c r="AX618" s="85">
        <v>2025</v>
      </c>
      <c r="AY618" s="85">
        <v>10</v>
      </c>
      <c r="AZ618" s="36"/>
      <c r="BA618" s="1" t="s">
        <v>44</v>
      </c>
    </row>
    <row r="619" spans="10:53">
      <c r="J619" s="37"/>
      <c r="K619" s="36"/>
      <c r="L619" s="87"/>
      <c r="M619" s="38"/>
      <c r="N619" s="36"/>
      <c r="O619" s="36"/>
      <c r="P619" s="1"/>
      <c r="AD619"/>
      <c r="AG619"/>
      <c r="AN619" s="36" t="s">
        <v>32</v>
      </c>
      <c r="AO619" s="37">
        <v>45961</v>
      </c>
      <c r="AP619" s="36" t="s">
        <v>3137</v>
      </c>
      <c r="AQ619" s="36" t="s">
        <v>3205</v>
      </c>
      <c r="AR619" s="36" t="s">
        <v>78</v>
      </c>
      <c r="AS619" s="89"/>
      <c r="AT619" s="87">
        <v>8775000</v>
      </c>
      <c r="AU619" s="87">
        <v>877500</v>
      </c>
      <c r="AV619" s="87">
        <v>9652500</v>
      </c>
      <c r="AW619" s="38"/>
      <c r="AX619" s="85">
        <v>2025</v>
      </c>
      <c r="AY619" s="85">
        <v>10</v>
      </c>
      <c r="AZ619" s="36"/>
      <c r="BA619" s="1" t="s">
        <v>44</v>
      </c>
    </row>
    <row r="620" spans="10:53">
      <c r="J620" s="37"/>
      <c r="K620" s="36"/>
      <c r="L620" s="87"/>
      <c r="M620" s="87"/>
      <c r="N620" s="36"/>
      <c r="O620" s="36"/>
      <c r="P620" s="1"/>
      <c r="AD620"/>
      <c r="AG620"/>
      <c r="AN620" s="36" t="s">
        <v>32</v>
      </c>
      <c r="AO620" s="37">
        <v>45961</v>
      </c>
      <c r="AP620" s="36" t="s">
        <v>3195</v>
      </c>
      <c r="AQ620" s="36" t="s">
        <v>3206</v>
      </c>
      <c r="AR620" s="36" t="s">
        <v>78</v>
      </c>
      <c r="AS620" s="89"/>
      <c r="AT620" s="87">
        <v>6862800</v>
      </c>
      <c r="AU620" s="87">
        <v>686280</v>
      </c>
      <c r="AV620" s="87">
        <v>7549080</v>
      </c>
      <c r="AW620" s="38"/>
      <c r="AX620" s="85">
        <v>2025</v>
      </c>
      <c r="AY620" s="85">
        <v>10</v>
      </c>
      <c r="AZ620" s="36"/>
      <c r="BA620" s="1" t="s">
        <v>44</v>
      </c>
    </row>
    <row r="621" spans="10:53">
      <c r="J621" s="37"/>
      <c r="K621" s="36"/>
      <c r="L621" s="87"/>
      <c r="M621" s="87"/>
      <c r="N621" s="36"/>
      <c r="O621" s="36"/>
      <c r="P621" s="1"/>
      <c r="AD621"/>
      <c r="AG621"/>
      <c r="AN621" s="36" t="s">
        <v>32</v>
      </c>
      <c r="AO621" s="37">
        <v>45961</v>
      </c>
      <c r="AP621" s="36" t="s">
        <v>654</v>
      </c>
      <c r="AQ621" s="36" t="s">
        <v>2588</v>
      </c>
      <c r="AR621" s="36" t="s">
        <v>76</v>
      </c>
      <c r="AS621" s="89"/>
      <c r="AT621" s="87">
        <v>12332560</v>
      </c>
      <c r="AU621" s="87">
        <v>1233256</v>
      </c>
      <c r="AV621" s="87">
        <v>13565816</v>
      </c>
      <c r="AW621" s="38"/>
      <c r="AX621" s="85">
        <v>2025</v>
      </c>
      <c r="AY621" s="85">
        <v>10</v>
      </c>
      <c r="AZ621" s="36"/>
      <c r="BA621" s="1" t="s">
        <v>44</v>
      </c>
    </row>
    <row r="622" spans="10:53">
      <c r="J622" s="37"/>
      <c r="K622" s="36"/>
      <c r="L622" s="87"/>
      <c r="M622" s="87"/>
      <c r="N622" s="36"/>
      <c r="O622" s="36"/>
      <c r="P622" s="1"/>
      <c r="AD622"/>
      <c r="AG622"/>
      <c r="AN622" s="36" t="s">
        <v>32</v>
      </c>
      <c r="AO622" s="37">
        <v>45961</v>
      </c>
      <c r="AP622" s="36" t="s">
        <v>3213</v>
      </c>
      <c r="AQ622" s="36" t="s">
        <v>3207</v>
      </c>
      <c r="AR622" s="36" t="s">
        <v>78</v>
      </c>
      <c r="AS622" s="89"/>
      <c r="AT622" s="87">
        <v>1440000</v>
      </c>
      <c r="AU622" s="87">
        <v>144000</v>
      </c>
      <c r="AV622" s="87">
        <v>1584000</v>
      </c>
      <c r="AW622" s="38"/>
      <c r="AX622" s="85">
        <v>2025</v>
      </c>
      <c r="AY622" s="85">
        <v>10</v>
      </c>
      <c r="AZ622" s="36"/>
      <c r="BA622" s="1" t="s">
        <v>44</v>
      </c>
    </row>
    <row r="623" spans="10:53">
      <c r="J623" s="37"/>
      <c r="K623" s="36"/>
      <c r="L623" s="87"/>
      <c r="M623" s="87"/>
      <c r="N623" s="36"/>
      <c r="O623" s="36"/>
      <c r="P623" s="1"/>
      <c r="AD623"/>
      <c r="AG623"/>
      <c r="AN623" s="36" t="s">
        <v>32</v>
      </c>
      <c r="AO623" s="37">
        <v>45961</v>
      </c>
      <c r="AP623" s="36" t="s">
        <v>264</v>
      </c>
      <c r="AQ623" s="36" t="s">
        <v>3070</v>
      </c>
      <c r="AR623" s="36" t="s">
        <v>76</v>
      </c>
      <c r="AS623" s="89"/>
      <c r="AT623" s="87">
        <v>14300000</v>
      </c>
      <c r="AU623" s="87">
        <v>1430000</v>
      </c>
      <c r="AV623" s="87">
        <v>15730000</v>
      </c>
      <c r="AW623" s="38"/>
      <c r="AX623" s="85">
        <v>2025</v>
      </c>
      <c r="AY623" s="85">
        <v>10</v>
      </c>
      <c r="AZ623" s="36"/>
      <c r="BA623" s="1" t="s">
        <v>44</v>
      </c>
    </row>
    <row r="624" spans="10:53">
      <c r="J624" s="37"/>
      <c r="K624" s="36"/>
      <c r="L624" s="87"/>
      <c r="M624" s="87"/>
      <c r="N624" s="36"/>
      <c r="O624" s="36"/>
      <c r="P624" s="1"/>
      <c r="AD624"/>
      <c r="AG624"/>
      <c r="AN624" s="36" t="s">
        <v>32</v>
      </c>
      <c r="AO624" s="37">
        <v>45961</v>
      </c>
      <c r="AP624" s="36" t="s">
        <v>3211</v>
      </c>
      <c r="AQ624" s="36" t="s">
        <v>3201</v>
      </c>
      <c r="AR624" s="36" t="s">
        <v>78</v>
      </c>
      <c r="AS624" s="89"/>
      <c r="AT624" s="87">
        <v>7671000</v>
      </c>
      <c r="AU624" s="87">
        <v>767100</v>
      </c>
      <c r="AV624" s="87">
        <v>8438100</v>
      </c>
      <c r="AW624" s="38"/>
      <c r="AX624" s="85">
        <v>2025</v>
      </c>
      <c r="AY624" s="85">
        <v>10</v>
      </c>
      <c r="AZ624" s="36"/>
      <c r="BA624" s="1" t="s">
        <v>44</v>
      </c>
    </row>
    <row r="625" spans="10:53">
      <c r="J625" s="37"/>
      <c r="K625" s="36"/>
      <c r="L625" s="87"/>
      <c r="M625" s="87"/>
      <c r="N625" s="36"/>
      <c r="O625" s="36"/>
      <c r="P625" s="1"/>
      <c r="AD625"/>
      <c r="AG625"/>
      <c r="AN625" s="36" t="s">
        <v>32</v>
      </c>
      <c r="AO625" s="37">
        <v>45961</v>
      </c>
      <c r="AP625" s="36" t="s">
        <v>3197</v>
      </c>
      <c r="AQ625" s="36" t="s">
        <v>2875</v>
      </c>
      <c r="AR625" s="36" t="s">
        <v>76</v>
      </c>
      <c r="AS625" s="89"/>
      <c r="AT625" s="87">
        <v>30000000</v>
      </c>
      <c r="AU625" s="87">
        <v>3000000</v>
      </c>
      <c r="AV625" s="87">
        <v>33000000</v>
      </c>
      <c r="AW625" s="38"/>
      <c r="AX625" s="85">
        <v>2025</v>
      </c>
      <c r="AY625" s="85">
        <v>10</v>
      </c>
      <c r="AZ625" s="36"/>
      <c r="BA625" s="1" t="s">
        <v>44</v>
      </c>
    </row>
    <row r="626" spans="10:53">
      <c r="J626" s="37"/>
      <c r="K626" s="36"/>
      <c r="L626" s="87"/>
      <c r="M626" s="38"/>
      <c r="N626" s="36"/>
      <c r="O626" s="36"/>
      <c r="P626" s="1"/>
      <c r="AD626"/>
      <c r="AG626"/>
      <c r="AN626" s="36" t="s">
        <v>32</v>
      </c>
      <c r="AO626" s="37">
        <v>45961</v>
      </c>
      <c r="AP626" s="36" t="s">
        <v>3134</v>
      </c>
      <c r="AQ626" s="36" t="s">
        <v>3140</v>
      </c>
      <c r="AR626" s="36" t="s">
        <v>78</v>
      </c>
      <c r="AS626" s="89"/>
      <c r="AT626" s="87">
        <v>6111250</v>
      </c>
      <c r="AU626" s="87">
        <v>611125</v>
      </c>
      <c r="AV626" s="87">
        <v>6722375</v>
      </c>
      <c r="AW626" s="38"/>
      <c r="AX626" s="85">
        <v>2025</v>
      </c>
      <c r="AY626" s="85">
        <v>10</v>
      </c>
      <c r="AZ626" s="36"/>
      <c r="BA626" s="1" t="s">
        <v>44</v>
      </c>
    </row>
    <row r="627" spans="10:53">
      <c r="J627" s="37"/>
      <c r="K627" s="36"/>
      <c r="L627" s="87"/>
      <c r="M627" s="38"/>
      <c r="N627" s="36"/>
      <c r="O627" s="36"/>
      <c r="P627" s="1"/>
      <c r="AD627"/>
      <c r="AG627"/>
      <c r="AN627" s="36" t="s">
        <v>32</v>
      </c>
      <c r="AO627" s="37">
        <v>45961</v>
      </c>
      <c r="AP627" s="36" t="s">
        <v>2822</v>
      </c>
      <c r="AQ627" s="36" t="s">
        <v>3019</v>
      </c>
      <c r="AR627" s="36" t="s">
        <v>78</v>
      </c>
      <c r="AS627" s="89"/>
      <c r="AT627" s="87">
        <v>7477500</v>
      </c>
      <c r="AU627" s="87">
        <v>747750</v>
      </c>
      <c r="AV627" s="87">
        <v>8225250</v>
      </c>
      <c r="AW627" s="38"/>
      <c r="AX627" s="85">
        <v>2025</v>
      </c>
      <c r="AY627" s="85">
        <v>10</v>
      </c>
      <c r="AZ627" s="36"/>
      <c r="BA627" s="1" t="s">
        <v>44</v>
      </c>
    </row>
    <row r="628" spans="10:53">
      <c r="J628" s="37"/>
      <c r="K628" s="36"/>
      <c r="L628" s="87"/>
      <c r="M628" s="38"/>
      <c r="N628" s="36"/>
      <c r="O628" s="36"/>
      <c r="P628" s="1"/>
      <c r="AD628"/>
      <c r="AG628"/>
      <c r="AN628" s="36" t="s">
        <v>32</v>
      </c>
      <c r="AO628" s="37">
        <v>45961</v>
      </c>
      <c r="AP628" s="36" t="s">
        <v>1218</v>
      </c>
      <c r="AQ628" s="36" t="s">
        <v>3208</v>
      </c>
      <c r="AR628" s="36" t="s">
        <v>78</v>
      </c>
      <c r="AS628" s="89"/>
      <c r="AT628" s="87">
        <v>1890000</v>
      </c>
      <c r="AU628" s="87">
        <v>189000</v>
      </c>
      <c r="AV628" s="87">
        <v>2079000</v>
      </c>
      <c r="AW628" s="38"/>
      <c r="AX628" s="85">
        <v>2025</v>
      </c>
      <c r="AY628" s="85">
        <v>10</v>
      </c>
      <c r="AZ628" s="36"/>
      <c r="BA628" s="1" t="s">
        <v>44</v>
      </c>
    </row>
    <row r="629" spans="10:53">
      <c r="J629" s="37"/>
      <c r="K629" s="36"/>
      <c r="L629" s="87"/>
      <c r="M629" s="38"/>
      <c r="N629" s="36"/>
      <c r="O629" s="36"/>
      <c r="P629" s="1"/>
      <c r="AD629"/>
      <c r="AG629"/>
      <c r="AN629" s="36" t="s">
        <v>32</v>
      </c>
      <c r="AO629" s="37">
        <v>45961</v>
      </c>
      <c r="AP629" s="36" t="s">
        <v>1218</v>
      </c>
      <c r="AQ629" s="36" t="s">
        <v>3202</v>
      </c>
      <c r="AR629" s="36" t="s">
        <v>76</v>
      </c>
      <c r="AS629" s="89"/>
      <c r="AT629" s="87">
        <v>2160000</v>
      </c>
      <c r="AU629" s="87">
        <v>216000</v>
      </c>
      <c r="AV629" s="87">
        <v>2376000</v>
      </c>
      <c r="AW629" s="38"/>
      <c r="AX629" s="85">
        <v>2025</v>
      </c>
      <c r="AY629" s="85">
        <v>10</v>
      </c>
      <c r="AZ629" s="36"/>
      <c r="BA629" s="1" t="s">
        <v>44</v>
      </c>
    </row>
    <row r="630" spans="10:53">
      <c r="J630" s="37"/>
      <c r="K630" s="36"/>
      <c r="L630" s="87"/>
      <c r="M630" s="38"/>
      <c r="N630" s="36"/>
      <c r="O630" s="36"/>
      <c r="P630" s="1"/>
      <c r="AD630"/>
      <c r="AG630"/>
      <c r="AN630" s="36" t="s">
        <v>32</v>
      </c>
      <c r="AO630" s="37">
        <v>45961</v>
      </c>
      <c r="AP630" s="36" t="s">
        <v>3209</v>
      </c>
      <c r="AQ630" s="36" t="s">
        <v>2832</v>
      </c>
      <c r="AR630" s="36" t="s">
        <v>76</v>
      </c>
      <c r="AS630" s="89"/>
      <c r="AT630" s="87">
        <v>76997000</v>
      </c>
      <c r="AU630" s="87">
        <v>7699700</v>
      </c>
      <c r="AV630" s="87">
        <v>84696700</v>
      </c>
      <c r="AW630" s="38"/>
      <c r="AX630" s="85">
        <v>2025</v>
      </c>
      <c r="AY630" s="85">
        <v>10</v>
      </c>
      <c r="AZ630" s="36"/>
      <c r="BA630" s="1" t="s">
        <v>44</v>
      </c>
    </row>
    <row r="631" spans="10:53">
      <c r="J631" s="37"/>
      <c r="K631" s="36"/>
      <c r="L631" s="87"/>
      <c r="M631" s="38"/>
      <c r="N631" s="36"/>
      <c r="O631" s="36"/>
      <c r="P631" s="1"/>
      <c r="AD631"/>
      <c r="AG631"/>
      <c r="AN631" s="36" t="s">
        <v>32</v>
      </c>
      <c r="AO631" s="37">
        <v>45968</v>
      </c>
      <c r="AP631" s="36" t="s">
        <v>3196</v>
      </c>
      <c r="AQ631" s="36" t="s">
        <v>3198</v>
      </c>
      <c r="AR631" s="36" t="s">
        <v>77</v>
      </c>
      <c r="AS631" s="89"/>
      <c r="AT631" s="87"/>
      <c r="AU631" s="87"/>
      <c r="AV631" s="87"/>
      <c r="AW631" s="87">
        <v>2944700</v>
      </c>
      <c r="AX631" s="85">
        <v>2025</v>
      </c>
      <c r="AY631" s="85">
        <v>10</v>
      </c>
      <c r="AZ631" s="36"/>
      <c r="BA631" s="1" t="s">
        <v>44</v>
      </c>
    </row>
    <row r="632" spans="10:53">
      <c r="J632" s="37"/>
      <c r="K632" s="36"/>
      <c r="L632" s="87"/>
      <c r="M632" s="38"/>
      <c r="N632" s="36"/>
      <c r="O632" s="36"/>
      <c r="P632" s="1"/>
      <c r="AD632"/>
      <c r="AG632"/>
      <c r="AN632" s="36" t="s">
        <v>32</v>
      </c>
      <c r="AO632" s="37">
        <v>45968</v>
      </c>
      <c r="AP632" s="36" t="s">
        <v>3196</v>
      </c>
      <c r="AQ632" s="36" t="s">
        <v>3199</v>
      </c>
      <c r="AR632" s="36" t="s">
        <v>77</v>
      </c>
      <c r="AS632" s="89"/>
      <c r="AT632" s="87"/>
      <c r="AU632" s="87"/>
      <c r="AV632" s="87"/>
      <c r="AW632" s="87">
        <v>8176300</v>
      </c>
      <c r="AX632" s="85">
        <v>2025</v>
      </c>
      <c r="AY632" s="85">
        <v>10</v>
      </c>
      <c r="AZ632" s="36"/>
      <c r="BA632" s="1" t="s">
        <v>44</v>
      </c>
    </row>
    <row r="633" spans="10:53">
      <c r="J633" s="37"/>
      <c r="K633" s="36"/>
      <c r="L633" s="87"/>
      <c r="M633" s="38"/>
      <c r="N633" s="36"/>
      <c r="O633" s="36"/>
      <c r="P633" s="1"/>
      <c r="AD633"/>
      <c r="AG633"/>
      <c r="AN633" s="36" t="s">
        <v>32</v>
      </c>
      <c r="AO633" s="37">
        <v>45972</v>
      </c>
      <c r="AP633" s="36" t="s">
        <v>3138</v>
      </c>
      <c r="AQ633" s="36" t="s">
        <v>3071</v>
      </c>
      <c r="AR633" s="36" t="s">
        <v>148</v>
      </c>
      <c r="AS633" s="89"/>
      <c r="AT633" s="87"/>
      <c r="AU633" s="87"/>
      <c r="AV633" s="87"/>
      <c r="AW633" s="87">
        <v>3895584</v>
      </c>
      <c r="AX633" s="85">
        <v>2025</v>
      </c>
      <c r="AY633" s="85">
        <v>8</v>
      </c>
      <c r="AZ633" s="36"/>
      <c r="BA633" s="1" t="s">
        <v>44</v>
      </c>
    </row>
    <row r="634" spans="10:53">
      <c r="J634" s="37"/>
      <c r="K634" s="36"/>
      <c r="L634" s="87"/>
      <c r="M634" s="38"/>
      <c r="N634" s="36"/>
      <c r="O634" s="36"/>
      <c r="P634" s="1"/>
      <c r="AD634"/>
      <c r="AG634"/>
      <c r="AN634" s="36" t="s">
        <v>32</v>
      </c>
      <c r="AO634" s="37">
        <v>45971</v>
      </c>
      <c r="AP634" s="36" t="s">
        <v>2870</v>
      </c>
      <c r="AQ634" s="36" t="s">
        <v>2882</v>
      </c>
      <c r="AR634" s="36" t="s">
        <v>148</v>
      </c>
      <c r="AS634" s="89"/>
      <c r="AT634" s="87"/>
      <c r="AU634" s="87"/>
      <c r="AV634" s="87"/>
      <c r="AW634" s="87">
        <v>7700000</v>
      </c>
      <c r="AX634" s="85">
        <v>2025</v>
      </c>
      <c r="AY634" s="85">
        <v>9</v>
      </c>
      <c r="AZ634" s="36"/>
      <c r="BA634" s="1" t="s">
        <v>44</v>
      </c>
    </row>
    <row r="635" spans="10:53">
      <c r="J635" s="37"/>
      <c r="K635" s="36"/>
      <c r="L635" s="87"/>
      <c r="M635" s="38"/>
      <c r="N635" s="36"/>
      <c r="O635" s="36"/>
      <c r="P635" s="1"/>
      <c r="AD635"/>
      <c r="AG635"/>
      <c r="AN635" s="36" t="s">
        <v>32</v>
      </c>
      <c r="AO635" s="37">
        <v>45980</v>
      </c>
      <c r="AP635" s="36" t="s">
        <v>334</v>
      </c>
      <c r="AQ635" s="36" t="s">
        <v>3068</v>
      </c>
      <c r="AR635" s="36" t="s">
        <v>3086</v>
      </c>
      <c r="AS635" s="89"/>
      <c r="AT635" s="87"/>
      <c r="AU635" s="87"/>
      <c r="AV635" s="87"/>
      <c r="AW635" s="87">
        <v>3300000</v>
      </c>
      <c r="AX635" s="85">
        <v>2025</v>
      </c>
      <c r="AY635" s="85">
        <v>9</v>
      </c>
      <c r="AZ635" s="36"/>
      <c r="BA635" s="1" t="s">
        <v>44</v>
      </c>
    </row>
    <row r="636" spans="10:53">
      <c r="J636" s="37"/>
      <c r="K636" s="36"/>
      <c r="L636" s="87"/>
      <c r="M636" s="38"/>
      <c r="N636" s="36"/>
      <c r="O636" s="36"/>
      <c r="P636" s="1"/>
      <c r="AD636"/>
      <c r="AG636"/>
      <c r="AN636" s="36" t="s">
        <v>32</v>
      </c>
      <c r="AO636" s="37">
        <v>45980</v>
      </c>
      <c r="AP636" s="36" t="s">
        <v>334</v>
      </c>
      <c r="AQ636" s="36" t="s">
        <v>3157</v>
      </c>
      <c r="AR636" s="36" t="s">
        <v>3219</v>
      </c>
      <c r="AS636" s="89"/>
      <c r="AT636" s="87"/>
      <c r="AU636" s="87"/>
      <c r="AV636" s="87"/>
      <c r="AW636" s="87">
        <v>4250730</v>
      </c>
      <c r="AX636" s="85">
        <v>2025</v>
      </c>
      <c r="AY636" s="85">
        <v>9</v>
      </c>
      <c r="AZ636" s="36"/>
      <c r="BA636" s="1" t="s">
        <v>44</v>
      </c>
    </row>
    <row r="637" spans="10:53">
      <c r="J637" s="37"/>
      <c r="K637" s="36"/>
      <c r="L637" s="87"/>
      <c r="M637" s="38"/>
      <c r="N637" s="36"/>
      <c r="O637" s="36"/>
      <c r="P637" s="1"/>
      <c r="AD637"/>
      <c r="AG637"/>
      <c r="AN637" s="36"/>
      <c r="AO637" s="37"/>
      <c r="AP637" s="36"/>
      <c r="AQ637" s="36"/>
      <c r="AR637" s="36"/>
      <c r="AS637" s="89"/>
      <c r="AT637" s="87"/>
      <c r="AU637" s="87"/>
      <c r="AV637" s="87"/>
      <c r="AW637" s="38"/>
      <c r="AX637" s="85"/>
      <c r="AY637" s="85"/>
      <c r="AZ637" s="36"/>
      <c r="BA637" s="1"/>
    </row>
    <row r="638" spans="10:53">
      <c r="J638" s="37"/>
      <c r="K638" s="36"/>
      <c r="L638" s="87"/>
      <c r="M638" s="38"/>
      <c r="N638" s="36"/>
      <c r="O638" s="36"/>
      <c r="P638" s="1"/>
      <c r="AD638"/>
      <c r="AG638"/>
      <c r="AN638" s="36"/>
      <c r="AO638" s="37"/>
      <c r="AP638" s="36"/>
      <c r="AQ638" s="36"/>
      <c r="AR638" s="36"/>
      <c r="AS638" s="89"/>
      <c r="AT638" s="87"/>
      <c r="AU638" s="87"/>
      <c r="AV638" s="87"/>
      <c r="AW638" s="38"/>
      <c r="AX638" s="85"/>
      <c r="AY638" s="85"/>
      <c r="AZ638" s="36"/>
      <c r="BA638" s="1"/>
    </row>
    <row r="639" spans="10:53">
      <c r="J639" s="37"/>
      <c r="K639" s="36"/>
      <c r="L639" s="87"/>
      <c r="M639" s="38"/>
      <c r="N639" s="36"/>
      <c r="O639" s="36"/>
      <c r="P639" s="1"/>
      <c r="AD639"/>
      <c r="AG639"/>
      <c r="AN639" s="36"/>
      <c r="AO639" s="37"/>
      <c r="AP639" s="36"/>
      <c r="AQ639" s="36"/>
      <c r="AR639" s="36"/>
      <c r="AS639" s="89"/>
      <c r="AT639" s="87"/>
      <c r="AU639" s="87"/>
      <c r="AV639" s="87"/>
      <c r="AW639" s="38"/>
      <c r="AX639" s="85"/>
      <c r="AY639" s="85"/>
      <c r="AZ639" s="36"/>
      <c r="BA639" s="1"/>
    </row>
    <row r="640" spans="10:53">
      <c r="J640" s="37"/>
      <c r="K640" s="36"/>
      <c r="L640" s="87"/>
      <c r="M640" s="38"/>
      <c r="N640" s="36"/>
      <c r="O640" s="36"/>
      <c r="P640" s="1"/>
      <c r="AD640"/>
      <c r="AG640"/>
      <c r="AN640" s="36"/>
      <c r="AO640" s="37"/>
      <c r="AP640" s="36"/>
      <c r="AQ640" s="36"/>
      <c r="AR640" s="36"/>
      <c r="AS640" s="89"/>
      <c r="AT640" s="87"/>
      <c r="AU640" s="87"/>
      <c r="AV640" s="87"/>
      <c r="AW640" s="87"/>
      <c r="AX640" s="85"/>
      <c r="AY640" s="85"/>
      <c r="AZ640" s="36"/>
      <c r="BA640" s="1"/>
    </row>
    <row r="641" spans="10:53">
      <c r="J641" s="37"/>
      <c r="K641" s="36"/>
      <c r="L641" s="87"/>
      <c r="M641" s="87"/>
      <c r="N641" s="36"/>
      <c r="O641" s="36"/>
      <c r="P641" s="1"/>
      <c r="AD641"/>
      <c r="AG641"/>
      <c r="AN641" s="36"/>
      <c r="AO641" s="37"/>
      <c r="AP641" s="36"/>
      <c r="AQ641" s="36"/>
      <c r="AR641" s="36"/>
      <c r="AS641" s="89"/>
      <c r="AT641" s="87"/>
      <c r="AU641" s="87"/>
      <c r="AV641" s="87"/>
      <c r="AW641" s="38"/>
      <c r="AX641" s="85"/>
      <c r="AY641" s="85"/>
      <c r="AZ641" s="36"/>
      <c r="BA641" s="1"/>
    </row>
    <row r="642" spans="10:53">
      <c r="J642" s="37"/>
      <c r="K642" s="36"/>
      <c r="L642" s="87"/>
      <c r="M642" s="38"/>
      <c r="N642" s="36"/>
      <c r="O642" s="36"/>
      <c r="P642" s="1"/>
      <c r="AD642"/>
      <c r="AG642"/>
      <c r="AN642" s="36"/>
      <c r="AO642" s="37"/>
      <c r="AP642" s="36"/>
      <c r="AQ642" s="36"/>
      <c r="AR642" s="36"/>
      <c r="AS642" s="89"/>
      <c r="AT642" s="87"/>
      <c r="AU642" s="87"/>
      <c r="AV642" s="87"/>
      <c r="AW642" s="87"/>
      <c r="AX642" s="85"/>
      <c r="AY642" s="85"/>
      <c r="AZ642" s="36"/>
      <c r="BA642" s="1"/>
    </row>
    <row r="643" spans="10:53">
      <c r="J643" s="37"/>
      <c r="K643" s="36"/>
      <c r="L643" s="87"/>
      <c r="M643" s="38"/>
      <c r="N643" s="36"/>
      <c r="O643" s="36"/>
      <c r="P643" s="1"/>
      <c r="AD643"/>
      <c r="AG643"/>
      <c r="AN643" s="36"/>
      <c r="AO643" s="37"/>
      <c r="AP643" s="36"/>
      <c r="AQ643" s="36"/>
      <c r="AR643" s="36"/>
      <c r="AS643" s="89"/>
      <c r="AT643" s="87"/>
      <c r="AU643" s="87"/>
      <c r="AV643" s="87"/>
      <c r="AW643" s="87"/>
      <c r="AX643" s="85"/>
      <c r="AY643" s="85"/>
      <c r="AZ643" s="36"/>
      <c r="BA643" s="1"/>
    </row>
    <row r="644" spans="10:53">
      <c r="J644" s="37"/>
      <c r="K644" s="36"/>
      <c r="L644" s="87"/>
      <c r="M644" s="38"/>
      <c r="N644" s="36"/>
      <c r="O644" s="36"/>
      <c r="P644" s="1"/>
      <c r="AD644"/>
      <c r="AG644"/>
      <c r="AN644" s="36"/>
      <c r="AO644" s="37"/>
      <c r="AP644" s="36"/>
      <c r="AQ644" s="36"/>
      <c r="AR644" s="36"/>
      <c r="AS644" s="89"/>
      <c r="AT644" s="87"/>
      <c r="AU644" s="87"/>
      <c r="AV644" s="87"/>
      <c r="AW644" s="87"/>
      <c r="AX644" s="85"/>
      <c r="AY644" s="85"/>
      <c r="AZ644" s="36"/>
      <c r="BA644" s="1"/>
    </row>
    <row r="645" spans="10:53">
      <c r="J645" s="37"/>
      <c r="K645" s="36"/>
      <c r="L645" s="87"/>
      <c r="M645" s="38"/>
      <c r="N645" s="36"/>
      <c r="O645" s="36"/>
      <c r="P645" s="1"/>
      <c r="AD645"/>
      <c r="AG645"/>
      <c r="AN645" s="36"/>
      <c r="AO645" s="37"/>
      <c r="AP645" s="36"/>
      <c r="AQ645" s="36"/>
      <c r="AR645" s="36"/>
      <c r="AS645" s="89"/>
      <c r="AT645" s="87"/>
      <c r="AU645" s="87"/>
      <c r="AV645" s="87"/>
      <c r="AW645" s="38"/>
      <c r="AX645" s="85"/>
      <c r="AY645" s="85"/>
      <c r="AZ645" s="36"/>
      <c r="BA645" s="1"/>
    </row>
    <row r="646" spans="10:53">
      <c r="J646" s="37"/>
      <c r="K646" s="36"/>
      <c r="L646" s="87"/>
      <c r="M646" s="38"/>
      <c r="N646" s="36"/>
      <c r="O646" s="36"/>
      <c r="P646" s="1"/>
      <c r="AD646"/>
      <c r="AG646"/>
      <c r="AN646" s="36"/>
      <c r="AO646" s="37"/>
      <c r="AP646" s="36"/>
      <c r="AQ646" s="36"/>
      <c r="AR646" s="36"/>
      <c r="AS646" s="89"/>
      <c r="AT646" s="87"/>
      <c r="AU646" s="87"/>
      <c r="AV646" s="87"/>
      <c r="AW646" s="87"/>
      <c r="AX646" s="85"/>
      <c r="AY646" s="85"/>
      <c r="AZ646" s="36"/>
      <c r="BA646" s="1"/>
    </row>
    <row r="647" spans="10:53">
      <c r="J647" s="37"/>
      <c r="K647" s="36"/>
      <c r="L647" s="87"/>
      <c r="M647" s="38"/>
      <c r="N647" s="36"/>
      <c r="O647" s="36"/>
      <c r="P647" s="1"/>
      <c r="AD647"/>
      <c r="AG647"/>
      <c r="AN647" s="36"/>
      <c r="AO647" s="37"/>
      <c r="AP647" s="36"/>
      <c r="AQ647" s="36"/>
      <c r="AR647" s="36"/>
      <c r="AS647" s="89"/>
      <c r="AT647" s="87"/>
      <c r="AU647" s="87"/>
      <c r="AV647" s="87"/>
      <c r="AW647" s="87"/>
      <c r="AX647" s="85"/>
      <c r="AY647" s="85"/>
      <c r="AZ647" s="36"/>
      <c r="BA647" s="1"/>
    </row>
    <row r="648" spans="10:53">
      <c r="J648" s="37"/>
      <c r="K648" s="36"/>
      <c r="L648" s="87"/>
      <c r="M648" s="38"/>
      <c r="N648" s="36"/>
      <c r="O648" s="36"/>
      <c r="P648" s="1"/>
      <c r="AD648"/>
      <c r="AG648"/>
      <c r="AN648" s="36"/>
      <c r="AO648" s="37"/>
      <c r="AP648" s="36"/>
      <c r="AQ648" s="36"/>
      <c r="AR648" s="36"/>
      <c r="AS648" s="89"/>
      <c r="AT648" s="87"/>
      <c r="AU648" s="87"/>
      <c r="AV648" s="87"/>
      <c r="AW648" s="87"/>
      <c r="AX648" s="85"/>
      <c r="AY648" s="85"/>
      <c r="AZ648" s="36"/>
      <c r="BA648" s="1"/>
    </row>
    <row r="649" spans="10:53">
      <c r="J649" s="37"/>
      <c r="K649" s="36"/>
      <c r="L649" s="87"/>
      <c r="M649" s="87"/>
      <c r="N649" s="36"/>
      <c r="O649" s="36"/>
      <c r="P649" s="1"/>
      <c r="AD649"/>
      <c r="AG649"/>
      <c r="AN649" s="36"/>
      <c r="AO649" s="37"/>
      <c r="AP649" s="36"/>
      <c r="AQ649" s="36"/>
      <c r="AR649" s="36"/>
      <c r="AS649" s="89"/>
      <c r="AT649" s="87"/>
      <c r="AU649" s="87"/>
      <c r="AV649" s="87"/>
      <c r="AW649" s="87"/>
      <c r="AX649" s="85"/>
      <c r="AY649" s="85"/>
      <c r="AZ649" s="36"/>
      <c r="BA649" s="1"/>
    </row>
    <row r="650" spans="10:53">
      <c r="J650" s="37"/>
      <c r="K650" s="36"/>
      <c r="L650" s="87"/>
      <c r="M650" s="87"/>
      <c r="N650" s="36"/>
      <c r="O650" s="36"/>
      <c r="P650" s="1"/>
      <c r="AD650"/>
      <c r="AG650"/>
      <c r="AN650" s="36"/>
      <c r="AO650" s="37"/>
      <c r="AP650" s="36"/>
      <c r="AQ650" s="36"/>
      <c r="AR650" s="36"/>
      <c r="AS650" s="89"/>
      <c r="AT650" s="87"/>
      <c r="AU650" s="87"/>
      <c r="AV650" s="87"/>
      <c r="AW650" s="87"/>
      <c r="AX650" s="85"/>
      <c r="AY650" s="85"/>
      <c r="AZ650" s="36"/>
      <c r="BA650" s="1"/>
    </row>
    <row r="651" spans="10:53">
      <c r="J651" s="37"/>
      <c r="K651" s="36"/>
      <c r="L651" s="87"/>
      <c r="M651" s="38"/>
      <c r="N651" s="36"/>
      <c r="O651" s="36"/>
      <c r="P651" s="1"/>
      <c r="AD651"/>
      <c r="AG651"/>
      <c r="AN651" s="36"/>
      <c r="AO651" s="37"/>
      <c r="AP651" s="36"/>
      <c r="AQ651" s="36"/>
      <c r="AR651" s="36"/>
      <c r="AS651" s="89"/>
      <c r="AT651" s="87"/>
      <c r="AU651" s="87"/>
      <c r="AV651" s="87"/>
      <c r="AW651" s="38"/>
      <c r="AX651" s="85"/>
      <c r="AY651" s="85"/>
      <c r="AZ651" s="36"/>
      <c r="BA651" s="1"/>
    </row>
    <row r="652" spans="10:53">
      <c r="J652" s="37"/>
      <c r="K652" s="36"/>
      <c r="L652" s="87"/>
      <c r="M652" s="87"/>
      <c r="N652" s="36"/>
      <c r="O652" s="36"/>
      <c r="P652" s="1"/>
      <c r="AD652"/>
      <c r="AG652"/>
      <c r="AN652" s="36"/>
      <c r="AO652" s="37"/>
      <c r="AP652" s="36"/>
      <c r="AQ652" s="36"/>
      <c r="AR652" s="36"/>
      <c r="AS652" s="89"/>
      <c r="AT652" s="87"/>
      <c r="AU652" s="87"/>
      <c r="AV652" s="87"/>
      <c r="AW652" s="87"/>
      <c r="AX652" s="85"/>
      <c r="AY652" s="85"/>
      <c r="AZ652" s="36"/>
      <c r="BA652" s="1"/>
    </row>
    <row r="653" spans="10:53">
      <c r="J653" s="37"/>
      <c r="K653" s="36"/>
      <c r="L653" s="87"/>
      <c r="M653" s="87"/>
      <c r="N653" s="36"/>
      <c r="O653" s="36"/>
      <c r="P653" s="1"/>
      <c r="AD653"/>
      <c r="AG653"/>
      <c r="AN653" s="36"/>
      <c r="AO653" s="37"/>
      <c r="AP653" s="36"/>
      <c r="AQ653" s="36"/>
      <c r="AR653" s="36"/>
      <c r="AS653" s="89"/>
      <c r="AT653" s="87"/>
      <c r="AU653" s="87"/>
      <c r="AV653" s="87"/>
      <c r="AW653" s="87"/>
      <c r="AX653" s="85"/>
      <c r="AY653" s="85"/>
      <c r="AZ653" s="36"/>
      <c r="BA653" s="1"/>
    </row>
    <row r="654" spans="10:53">
      <c r="J654" s="37"/>
      <c r="K654" s="36"/>
      <c r="L654" s="87"/>
      <c r="M654" s="38"/>
      <c r="N654" s="36"/>
      <c r="O654" s="36"/>
      <c r="P654" s="1"/>
      <c r="AD654"/>
      <c r="AG654"/>
      <c r="AN654" s="36"/>
      <c r="AO654" s="37"/>
      <c r="AP654" s="36"/>
      <c r="AQ654" s="36"/>
      <c r="AR654" s="36"/>
      <c r="AS654" s="89"/>
      <c r="AT654" s="87"/>
      <c r="AU654" s="87"/>
      <c r="AV654" s="87"/>
      <c r="AW654" s="87"/>
      <c r="AX654" s="85"/>
      <c r="AY654" s="85"/>
      <c r="AZ654" s="36"/>
      <c r="BA654" s="1"/>
    </row>
    <row r="655" spans="10:53">
      <c r="J655" s="37"/>
      <c r="K655" s="36"/>
      <c r="L655" s="87"/>
      <c r="M655" s="38"/>
      <c r="N655" s="36"/>
      <c r="O655" s="36"/>
      <c r="P655" s="1"/>
      <c r="AD655"/>
      <c r="AG655"/>
      <c r="AN655" s="36"/>
      <c r="AO655" s="37"/>
      <c r="AP655" s="36"/>
      <c r="AQ655" s="36"/>
      <c r="AR655" s="36"/>
      <c r="AS655" s="89"/>
      <c r="AT655" s="87"/>
      <c r="AU655" s="87"/>
      <c r="AV655" s="87"/>
      <c r="AW655" s="38"/>
      <c r="AX655" s="85"/>
      <c r="AY655" s="85"/>
      <c r="AZ655" s="36"/>
      <c r="BA655" s="1"/>
    </row>
    <row r="656" spans="10:53">
      <c r="J656" s="37"/>
      <c r="K656" s="36"/>
      <c r="L656" s="87"/>
      <c r="M656" s="87"/>
      <c r="N656" s="36"/>
      <c r="O656" s="36"/>
      <c r="P656" s="1"/>
      <c r="AD656"/>
      <c r="AG656"/>
      <c r="AN656" s="36"/>
      <c r="AO656" s="37"/>
      <c r="AP656" s="36"/>
      <c r="AQ656" s="36"/>
      <c r="AR656" s="36"/>
      <c r="AS656" s="89"/>
      <c r="AT656" s="87"/>
      <c r="AU656" s="87"/>
      <c r="AV656" s="87"/>
      <c r="AW656" s="38"/>
      <c r="AX656" s="85"/>
      <c r="AY656" s="85"/>
      <c r="AZ656" s="36"/>
      <c r="BA656" s="1"/>
    </row>
    <row r="657" spans="10:53">
      <c r="J657" s="37"/>
      <c r="K657" s="36"/>
      <c r="L657" s="87"/>
      <c r="M657" s="38"/>
      <c r="N657" s="36"/>
      <c r="O657" s="36"/>
      <c r="P657" s="1"/>
      <c r="AD657"/>
      <c r="AG657"/>
      <c r="AN657" s="36"/>
      <c r="AO657" s="37"/>
      <c r="AP657" s="36"/>
      <c r="AQ657" s="36"/>
      <c r="AR657" s="36"/>
      <c r="AS657" s="89"/>
      <c r="AT657" s="87"/>
      <c r="AU657" s="87"/>
      <c r="AV657" s="87"/>
      <c r="AW657" s="38"/>
      <c r="AX657" s="85"/>
      <c r="AY657" s="85"/>
      <c r="AZ657" s="36"/>
      <c r="BA657" s="1"/>
    </row>
    <row r="658" spans="10:53">
      <c r="J658" s="37"/>
      <c r="K658" s="36"/>
      <c r="L658" s="87"/>
      <c r="M658" s="38"/>
      <c r="N658" s="36"/>
      <c r="O658" s="36"/>
      <c r="P658" s="1"/>
      <c r="AD658"/>
      <c r="AG658"/>
      <c r="AN658" s="36"/>
      <c r="AO658" s="37"/>
      <c r="AP658" s="36"/>
      <c r="AQ658" s="36"/>
      <c r="AR658" s="36"/>
      <c r="AS658" s="89"/>
      <c r="AT658" s="87"/>
      <c r="AU658" s="87"/>
      <c r="AV658" s="87"/>
      <c r="AW658" s="87"/>
      <c r="AX658" s="85"/>
      <c r="AY658" s="85"/>
      <c r="AZ658" s="36"/>
      <c r="BA658" s="1"/>
    </row>
    <row r="659" spans="10:53">
      <c r="J659" s="37"/>
      <c r="K659" s="36"/>
      <c r="L659" s="87"/>
      <c r="M659" s="38"/>
      <c r="N659" s="36"/>
      <c r="O659" s="36"/>
      <c r="P659" s="1"/>
      <c r="AD659"/>
      <c r="AG659"/>
      <c r="AN659" s="36"/>
      <c r="AO659" s="37"/>
      <c r="AP659" s="36"/>
      <c r="AQ659" s="36"/>
      <c r="AR659" s="36"/>
      <c r="AS659" s="89"/>
      <c r="AT659" s="87"/>
      <c r="AU659" s="87"/>
      <c r="AV659" s="87"/>
      <c r="AW659" s="38"/>
      <c r="AX659" s="85"/>
      <c r="AY659" s="85"/>
      <c r="AZ659" s="36"/>
      <c r="BA659" s="1"/>
    </row>
    <row r="660" spans="10:53">
      <c r="J660" s="37"/>
      <c r="K660" s="36"/>
      <c r="L660" s="87"/>
      <c r="M660" s="38"/>
      <c r="N660" s="36"/>
      <c r="O660" s="36"/>
      <c r="P660" s="1"/>
      <c r="AD660"/>
      <c r="AG660"/>
      <c r="AN660" s="36"/>
      <c r="AO660" s="37"/>
      <c r="AP660" s="36"/>
      <c r="AQ660" s="36"/>
      <c r="AR660" s="36"/>
      <c r="AS660" s="89"/>
      <c r="AT660" s="87"/>
      <c r="AU660" s="87"/>
      <c r="AV660" s="87"/>
      <c r="AW660" s="38"/>
      <c r="AX660" s="85"/>
      <c r="AY660" s="85"/>
      <c r="AZ660" s="36"/>
      <c r="BA660" s="1"/>
    </row>
    <row r="661" spans="10:53">
      <c r="J661" s="37"/>
      <c r="K661" s="36"/>
      <c r="L661" s="87"/>
      <c r="M661" s="38"/>
      <c r="N661" s="36"/>
      <c r="O661" s="36"/>
      <c r="P661" s="1"/>
      <c r="AD661"/>
      <c r="AG661"/>
      <c r="AN661" s="36"/>
      <c r="AO661" s="37"/>
      <c r="AP661" s="36"/>
      <c r="AQ661" s="36"/>
      <c r="AR661" s="36"/>
      <c r="AS661" s="89"/>
      <c r="AT661" s="87"/>
      <c r="AU661" s="87"/>
      <c r="AV661" s="87"/>
      <c r="AW661" s="38"/>
      <c r="AX661" s="85"/>
      <c r="AY661" s="85"/>
      <c r="AZ661" s="36"/>
      <c r="BA661" s="1"/>
    </row>
    <row r="662" spans="10:53">
      <c r="J662" s="37"/>
      <c r="K662" s="36"/>
      <c r="L662" s="87"/>
      <c r="M662" s="38"/>
      <c r="N662" s="36"/>
      <c r="O662" s="36"/>
      <c r="P662" s="1"/>
      <c r="AD662"/>
      <c r="AG662"/>
      <c r="AN662" s="36"/>
      <c r="AO662" s="37"/>
      <c r="AP662" s="36"/>
      <c r="AQ662" s="36"/>
      <c r="AR662" s="36"/>
      <c r="AS662" s="89"/>
      <c r="AT662" s="87"/>
      <c r="AU662" s="87"/>
      <c r="AV662" s="87"/>
      <c r="AW662" s="38"/>
      <c r="AX662" s="85"/>
      <c r="AY662" s="85"/>
      <c r="AZ662" s="36"/>
      <c r="BA662" s="1"/>
    </row>
    <row r="663" spans="10:53">
      <c r="J663" s="37"/>
      <c r="K663" s="36"/>
      <c r="L663" s="87"/>
      <c r="M663" s="38"/>
      <c r="N663" s="36"/>
      <c r="O663" s="36"/>
      <c r="P663" s="1"/>
      <c r="AD663"/>
      <c r="AG663"/>
      <c r="AN663" s="36"/>
      <c r="AO663" s="37"/>
      <c r="AP663" s="36"/>
      <c r="AQ663" s="36"/>
      <c r="AR663" s="36"/>
      <c r="AS663" s="89"/>
      <c r="AT663" s="87"/>
      <c r="AU663" s="87"/>
      <c r="AV663" s="87"/>
      <c r="AW663" s="38"/>
      <c r="AX663" s="85"/>
      <c r="AY663" s="85"/>
      <c r="AZ663" s="36"/>
      <c r="BA663" s="1"/>
    </row>
    <row r="664" spans="10:53">
      <c r="J664" s="37"/>
      <c r="K664" s="36"/>
      <c r="L664" s="87"/>
      <c r="M664" s="38"/>
      <c r="N664" s="36"/>
      <c r="O664" s="36"/>
      <c r="P664" s="1"/>
      <c r="AD664"/>
      <c r="AG664"/>
      <c r="AN664" s="36"/>
      <c r="AO664" s="37"/>
      <c r="AP664" s="36"/>
      <c r="AQ664" s="36"/>
      <c r="AR664" s="36"/>
      <c r="AS664" s="89"/>
      <c r="AT664" s="87"/>
      <c r="AU664" s="87"/>
      <c r="AV664" s="87"/>
      <c r="AW664" s="38"/>
      <c r="AX664" s="85"/>
      <c r="AY664" s="85"/>
      <c r="AZ664" s="36"/>
      <c r="BA664" s="1"/>
    </row>
    <row r="665" spans="10:53">
      <c r="J665" s="37"/>
      <c r="K665" s="36"/>
      <c r="L665" s="87"/>
      <c r="M665" s="38"/>
      <c r="N665" s="36"/>
      <c r="O665" s="36"/>
      <c r="P665" s="1"/>
      <c r="AD665"/>
      <c r="AG665"/>
      <c r="AN665" s="36"/>
      <c r="AO665" s="37"/>
      <c r="AP665" s="36"/>
      <c r="AQ665" s="36"/>
      <c r="AR665" s="36"/>
      <c r="AS665" s="89"/>
      <c r="AT665" s="87"/>
      <c r="AU665" s="87"/>
      <c r="AV665" s="87"/>
      <c r="AW665" s="38"/>
      <c r="AX665" s="85"/>
      <c r="AY665" s="85"/>
      <c r="AZ665" s="36"/>
      <c r="BA665" s="1"/>
    </row>
    <row r="666" spans="10:53">
      <c r="J666" s="37"/>
      <c r="K666" s="36"/>
      <c r="L666" s="87"/>
      <c r="M666" s="38"/>
      <c r="N666" s="36"/>
      <c r="O666" s="36"/>
      <c r="P666" s="1"/>
      <c r="AD666"/>
      <c r="AG666"/>
      <c r="AN666" s="36"/>
      <c r="AO666" s="37"/>
      <c r="AP666" s="36"/>
      <c r="AQ666" s="36"/>
      <c r="AR666" s="36"/>
      <c r="AS666" s="89"/>
      <c r="AT666" s="87"/>
      <c r="AU666" s="87"/>
      <c r="AV666" s="87"/>
      <c r="AW666" s="38"/>
      <c r="AX666" s="85"/>
      <c r="AY666" s="85"/>
      <c r="AZ666" s="36"/>
      <c r="BA666" s="1"/>
    </row>
    <row r="667" spans="10:53">
      <c r="J667" s="37"/>
      <c r="K667" s="36"/>
      <c r="L667" s="87"/>
      <c r="M667" s="38"/>
      <c r="N667" s="36"/>
      <c r="O667" s="36"/>
      <c r="P667" s="1"/>
      <c r="AD667"/>
      <c r="AG667"/>
      <c r="AN667" s="36"/>
      <c r="AO667" s="37"/>
      <c r="AP667" s="36"/>
      <c r="AQ667" s="36"/>
      <c r="AR667" s="36"/>
      <c r="AS667" s="89"/>
      <c r="AT667" s="87"/>
      <c r="AU667" s="87"/>
      <c r="AV667" s="87"/>
      <c r="AW667" s="38"/>
      <c r="AX667" s="85"/>
      <c r="AY667" s="85"/>
      <c r="AZ667" s="36"/>
      <c r="BA667" s="1"/>
    </row>
    <row r="668" spans="10:53">
      <c r="J668" s="37"/>
      <c r="K668" s="36"/>
      <c r="L668" s="87"/>
      <c r="M668" s="38"/>
      <c r="N668" s="36"/>
      <c r="O668" s="36"/>
      <c r="P668" s="1"/>
      <c r="AD668"/>
      <c r="AG668"/>
      <c r="AN668" s="36"/>
      <c r="AO668" s="37"/>
      <c r="AP668" s="36"/>
      <c r="AQ668" s="36"/>
      <c r="AR668" s="36"/>
      <c r="AS668" s="89"/>
      <c r="AT668" s="87"/>
      <c r="AU668" s="87"/>
      <c r="AV668" s="87"/>
      <c r="AW668" s="38"/>
      <c r="AX668" s="85"/>
      <c r="AY668" s="85"/>
      <c r="AZ668" s="36"/>
      <c r="BA668" s="1"/>
    </row>
    <row r="669" spans="10:53">
      <c r="J669" s="37"/>
      <c r="K669" s="36"/>
      <c r="L669" s="87"/>
      <c r="M669" s="38"/>
      <c r="N669" s="36"/>
      <c r="O669" s="36"/>
      <c r="P669" s="1"/>
      <c r="AD669"/>
      <c r="AG669"/>
      <c r="AN669" s="36"/>
      <c r="AO669" s="37"/>
      <c r="AP669" s="36"/>
      <c r="AQ669" s="36"/>
      <c r="AR669" s="36"/>
      <c r="AS669" s="89"/>
      <c r="AT669" s="87"/>
      <c r="AU669" s="87"/>
      <c r="AV669" s="87"/>
      <c r="AW669" s="38"/>
      <c r="AX669" s="85"/>
      <c r="AY669" s="85"/>
      <c r="AZ669" s="36"/>
      <c r="BA669" s="1"/>
    </row>
    <row r="670" spans="10:53">
      <c r="J670" s="37"/>
      <c r="K670" s="36"/>
      <c r="L670" s="87"/>
      <c r="M670" s="38"/>
      <c r="N670" s="36"/>
      <c r="O670" s="36"/>
      <c r="P670" s="1"/>
      <c r="AD670"/>
      <c r="AG670"/>
      <c r="AN670" s="36"/>
      <c r="AO670" s="37"/>
      <c r="AP670" s="36"/>
      <c r="AQ670" s="36"/>
      <c r="AR670" s="36"/>
      <c r="AS670" s="89"/>
      <c r="AT670" s="87"/>
      <c r="AU670" s="87"/>
      <c r="AV670" s="87"/>
      <c r="AW670" s="38"/>
      <c r="AX670" s="85"/>
      <c r="AY670" s="85"/>
      <c r="AZ670" s="36"/>
      <c r="BA670" s="1"/>
    </row>
    <row r="671" spans="10:53">
      <c r="J671" s="37"/>
      <c r="K671" s="36"/>
      <c r="L671" s="87"/>
      <c r="M671" s="38"/>
      <c r="N671" s="36"/>
      <c r="O671" s="36"/>
      <c r="P671" s="1"/>
      <c r="AD671"/>
      <c r="AG671"/>
      <c r="AN671" s="36"/>
      <c r="AO671" s="37"/>
      <c r="AP671" s="36"/>
      <c r="AQ671" s="36"/>
      <c r="AR671" s="36"/>
      <c r="AS671" s="89"/>
      <c r="AT671" s="87"/>
      <c r="AU671" s="87"/>
      <c r="AV671" s="87"/>
      <c r="AW671" s="38"/>
      <c r="AX671" s="85"/>
      <c r="AY671" s="85"/>
      <c r="AZ671" s="36"/>
      <c r="BA671" s="1"/>
    </row>
    <row r="672" spans="10:53">
      <c r="J672" s="37"/>
      <c r="K672" s="36"/>
      <c r="L672" s="87"/>
      <c r="M672" s="38"/>
      <c r="N672" s="36"/>
      <c r="O672" s="36"/>
      <c r="P672" s="1"/>
      <c r="AD672"/>
      <c r="AG672"/>
      <c r="AN672" s="36"/>
      <c r="AO672" s="37"/>
      <c r="AP672" s="36"/>
      <c r="AQ672" s="36"/>
      <c r="AR672" s="36"/>
      <c r="AS672" s="89"/>
      <c r="AT672" s="87"/>
      <c r="AU672" s="87"/>
      <c r="AV672" s="87"/>
      <c r="AW672" s="38"/>
      <c r="AX672" s="85"/>
      <c r="AY672" s="85"/>
      <c r="AZ672" s="36"/>
      <c r="BA672" s="1"/>
    </row>
    <row r="673" spans="10:53">
      <c r="J673" s="37"/>
      <c r="K673" s="36"/>
      <c r="L673" s="87"/>
      <c r="M673" s="38"/>
      <c r="N673" s="36"/>
      <c r="O673" s="36"/>
      <c r="P673" s="1"/>
      <c r="AD673"/>
      <c r="AG673"/>
      <c r="AN673" s="36"/>
      <c r="AO673" s="37"/>
      <c r="AP673" s="36"/>
      <c r="AQ673" s="36"/>
      <c r="AR673" s="36"/>
      <c r="AS673" s="89"/>
      <c r="AT673" s="87"/>
      <c r="AU673" s="87"/>
      <c r="AV673" s="87"/>
      <c r="AW673" s="38"/>
      <c r="AX673" s="85"/>
      <c r="AY673" s="85"/>
      <c r="AZ673" s="36"/>
      <c r="BA673" s="1"/>
    </row>
    <row r="674" spans="10:53">
      <c r="J674" s="37"/>
      <c r="K674" s="36"/>
      <c r="L674" s="87"/>
      <c r="M674" s="38"/>
      <c r="N674" s="36"/>
      <c r="O674" s="36"/>
      <c r="P674" s="1"/>
      <c r="AD674"/>
      <c r="AG674"/>
      <c r="AN674" s="36"/>
      <c r="AO674" s="37"/>
      <c r="AP674" s="36"/>
      <c r="AQ674" s="36"/>
      <c r="AR674" s="36"/>
      <c r="AS674" s="89"/>
      <c r="AT674" s="87"/>
      <c r="AU674" s="87"/>
      <c r="AV674" s="87"/>
      <c r="AW674" s="38"/>
      <c r="AX674" s="85"/>
      <c r="AY674" s="85"/>
      <c r="AZ674" s="36"/>
      <c r="BA674" s="1"/>
    </row>
    <row r="675" spans="10:53">
      <c r="J675" s="37"/>
      <c r="K675" s="36"/>
      <c r="L675" s="87"/>
      <c r="M675" s="38"/>
      <c r="N675" s="36"/>
      <c r="O675" s="36"/>
      <c r="P675" s="1"/>
      <c r="AD675"/>
      <c r="AG675"/>
      <c r="AN675" s="36"/>
      <c r="AO675" s="37"/>
      <c r="AP675" s="36"/>
      <c r="AQ675" s="36"/>
      <c r="AR675" s="36"/>
      <c r="AS675" s="89"/>
      <c r="AT675" s="87"/>
      <c r="AU675" s="87"/>
      <c r="AV675" s="87"/>
      <c r="AW675" s="38"/>
      <c r="AX675" s="85"/>
      <c r="AY675" s="85"/>
      <c r="AZ675" s="36"/>
      <c r="BA675" s="1"/>
    </row>
    <row r="676" spans="10:53">
      <c r="J676" s="37"/>
      <c r="K676" s="36"/>
      <c r="L676" s="87"/>
      <c r="M676" s="38"/>
      <c r="N676" s="36"/>
      <c r="O676" s="36"/>
      <c r="P676" s="1"/>
      <c r="AD676"/>
      <c r="AG676"/>
      <c r="AN676" s="36"/>
      <c r="AO676" s="37"/>
      <c r="AP676" s="36"/>
      <c r="AQ676" s="36"/>
      <c r="AR676" s="36"/>
      <c r="AS676" s="89"/>
      <c r="AT676" s="87"/>
      <c r="AU676" s="87"/>
      <c r="AV676" s="87"/>
      <c r="AW676" s="38"/>
      <c r="AX676" s="85"/>
      <c r="AY676" s="85"/>
      <c r="AZ676" s="36"/>
      <c r="BA676" s="1"/>
    </row>
    <row r="677" spans="10:53">
      <c r="J677" s="37"/>
      <c r="K677" s="36"/>
      <c r="L677" s="87"/>
      <c r="M677" s="38"/>
      <c r="N677" s="36"/>
      <c r="O677" s="36"/>
      <c r="P677" s="1"/>
      <c r="AD677"/>
      <c r="AG677"/>
      <c r="AN677" s="36"/>
      <c r="AO677" s="37"/>
      <c r="AP677" s="36"/>
      <c r="AQ677" s="36"/>
      <c r="AR677" s="36"/>
      <c r="AS677" s="89"/>
      <c r="AT677" s="87"/>
      <c r="AU677" s="87"/>
      <c r="AV677" s="87"/>
      <c r="AW677" s="38"/>
      <c r="AX677" s="85"/>
      <c r="AY677" s="85"/>
      <c r="AZ677" s="36"/>
      <c r="BA677" s="1"/>
    </row>
    <row r="678" spans="10:53">
      <c r="J678" s="37"/>
      <c r="K678" s="36"/>
      <c r="L678" s="87"/>
      <c r="M678" s="87"/>
      <c r="N678" s="36"/>
      <c r="O678" s="36"/>
      <c r="P678" s="1"/>
      <c r="AD678"/>
      <c r="AG678"/>
      <c r="AN678" s="36"/>
      <c r="AO678" s="37"/>
      <c r="AP678" s="36"/>
      <c r="AQ678" s="36"/>
      <c r="AR678" s="36"/>
      <c r="AS678" s="89"/>
      <c r="AT678" s="87"/>
      <c r="AU678" s="87"/>
      <c r="AV678" s="87"/>
      <c r="AW678" s="38"/>
      <c r="AX678" s="85"/>
      <c r="AY678" s="85"/>
      <c r="AZ678" s="36"/>
      <c r="BA678" s="1"/>
    </row>
    <row r="679" spans="10:53">
      <c r="J679" s="37"/>
      <c r="K679" s="36"/>
      <c r="L679" s="87"/>
      <c r="M679" s="87"/>
      <c r="N679" s="36"/>
      <c r="O679" s="36"/>
      <c r="P679" s="1"/>
      <c r="AD679"/>
      <c r="AG679"/>
      <c r="AN679" s="36"/>
      <c r="AO679" s="37"/>
      <c r="AP679" s="36"/>
      <c r="AQ679" s="36"/>
      <c r="AR679" s="36"/>
      <c r="AS679" s="89"/>
      <c r="AT679" s="87"/>
      <c r="AU679" s="87"/>
      <c r="AV679" s="87"/>
      <c r="AW679" s="38"/>
      <c r="AX679" s="85"/>
      <c r="AY679" s="85"/>
      <c r="AZ679" s="36"/>
      <c r="BA679" s="1"/>
    </row>
    <row r="680" spans="10:53">
      <c r="J680" s="37"/>
      <c r="K680" s="36"/>
      <c r="L680" s="87"/>
      <c r="M680" s="87"/>
      <c r="N680" s="36"/>
      <c r="O680" s="36"/>
      <c r="P680" s="1"/>
      <c r="AD680"/>
      <c r="AG680"/>
      <c r="AN680" s="36"/>
      <c r="AO680" s="37"/>
      <c r="AP680" s="36"/>
      <c r="AQ680" s="36"/>
      <c r="AR680" s="36"/>
      <c r="AS680" s="89"/>
      <c r="AT680" s="87"/>
      <c r="AU680" s="87"/>
      <c r="AV680" s="87"/>
      <c r="AW680" s="38"/>
      <c r="AX680" s="85"/>
      <c r="AY680" s="85"/>
      <c r="AZ680" s="36"/>
      <c r="BA680" s="1"/>
    </row>
    <row r="681" spans="10:53">
      <c r="J681" s="37"/>
      <c r="K681" s="36"/>
      <c r="L681" s="87"/>
      <c r="M681" s="87"/>
      <c r="N681" s="36"/>
      <c r="O681" s="36"/>
      <c r="P681" s="1"/>
      <c r="AD681"/>
      <c r="AG681"/>
      <c r="AN681" s="36"/>
      <c r="AO681" s="37"/>
      <c r="AP681" s="36"/>
      <c r="AQ681" s="36"/>
      <c r="AR681" s="36"/>
      <c r="AS681" s="89"/>
      <c r="AT681" s="87"/>
      <c r="AU681" s="87"/>
      <c r="AV681" s="87"/>
      <c r="AW681" s="38"/>
      <c r="AX681" s="85"/>
      <c r="AY681" s="85"/>
      <c r="AZ681" s="36"/>
      <c r="BA681" s="1"/>
    </row>
    <row r="682" spans="10:53">
      <c r="J682" s="37"/>
      <c r="K682" s="36"/>
      <c r="L682" s="87"/>
      <c r="M682" s="38"/>
      <c r="N682" s="36"/>
      <c r="O682" s="36"/>
      <c r="P682" s="1"/>
      <c r="AD682"/>
      <c r="AG682"/>
      <c r="AN682" s="36"/>
      <c r="AO682" s="37"/>
      <c r="AP682" s="36"/>
      <c r="AQ682" s="36"/>
      <c r="AR682" s="36"/>
      <c r="AS682" s="89"/>
      <c r="AT682" s="87"/>
      <c r="AU682" s="87"/>
      <c r="AV682" s="87"/>
      <c r="AW682" s="38"/>
      <c r="AX682" s="85"/>
      <c r="AY682" s="85"/>
      <c r="AZ682" s="36"/>
      <c r="BA682" s="1"/>
    </row>
    <row r="683" spans="10:53">
      <c r="J683" s="37"/>
      <c r="K683" s="36"/>
      <c r="L683" s="87"/>
      <c r="M683" s="38"/>
      <c r="N683" s="36"/>
      <c r="O683" s="36"/>
      <c r="P683" s="1"/>
      <c r="AD683"/>
      <c r="AG683"/>
      <c r="AN683" s="36"/>
      <c r="AO683" s="37"/>
      <c r="AP683" s="36"/>
      <c r="AQ683" s="36"/>
      <c r="AR683" s="36"/>
      <c r="AS683" s="89"/>
      <c r="AT683" s="87"/>
      <c r="AU683" s="87"/>
      <c r="AV683" s="87"/>
      <c r="AW683" s="38"/>
      <c r="AX683" s="85"/>
      <c r="AY683" s="85"/>
      <c r="AZ683" s="36"/>
      <c r="BA683" s="1"/>
    </row>
    <row r="684" spans="10:53">
      <c r="J684" s="37"/>
      <c r="K684" s="36"/>
      <c r="L684" s="87"/>
      <c r="M684" s="38"/>
      <c r="N684" s="36"/>
      <c r="O684" s="36"/>
      <c r="P684" s="1"/>
      <c r="AD684"/>
      <c r="AG684"/>
      <c r="AN684" s="36"/>
      <c r="AO684" s="37"/>
      <c r="AP684" s="36"/>
      <c r="AQ684" s="36"/>
      <c r="AR684" s="36"/>
      <c r="AS684" s="89"/>
      <c r="AT684" s="87"/>
      <c r="AU684" s="87"/>
      <c r="AV684" s="87"/>
      <c r="AW684" s="38"/>
      <c r="AX684" s="85"/>
      <c r="AY684" s="85"/>
      <c r="AZ684" s="36"/>
      <c r="BA684" s="1"/>
    </row>
    <row r="685" spans="10:53">
      <c r="J685" s="37"/>
      <c r="K685" s="36"/>
      <c r="L685" s="87"/>
      <c r="M685" s="38"/>
      <c r="N685" s="36"/>
      <c r="O685" s="36"/>
      <c r="P685" s="1"/>
      <c r="AD685"/>
      <c r="AG685"/>
      <c r="AN685" s="36"/>
      <c r="AO685" s="37"/>
      <c r="AP685" s="36"/>
      <c r="AQ685" s="36"/>
      <c r="AR685" s="36"/>
      <c r="AS685" s="89"/>
      <c r="AT685" s="87"/>
      <c r="AU685" s="87"/>
      <c r="AV685" s="87"/>
      <c r="AW685" s="38"/>
      <c r="AX685" s="85"/>
      <c r="AY685" s="85"/>
      <c r="AZ685" s="36"/>
      <c r="BA685" s="1"/>
    </row>
    <row r="686" spans="10:53">
      <c r="J686" s="37"/>
      <c r="K686" s="36"/>
      <c r="L686" s="87"/>
      <c r="M686" s="87"/>
      <c r="N686" s="36"/>
      <c r="O686" s="36"/>
      <c r="P686" s="1"/>
      <c r="AD686"/>
      <c r="AG686"/>
      <c r="AN686" s="36"/>
      <c r="AO686" s="37"/>
      <c r="AP686" s="36"/>
      <c r="AQ686" s="36"/>
      <c r="AR686" s="36"/>
      <c r="AS686" s="89"/>
      <c r="AT686" s="87"/>
      <c r="AU686" s="87"/>
      <c r="AV686" s="87"/>
      <c r="AW686" s="38"/>
      <c r="AX686" s="85"/>
      <c r="AY686" s="85"/>
      <c r="AZ686" s="36"/>
      <c r="BA686" s="1"/>
    </row>
    <row r="687" spans="10:53">
      <c r="J687" s="37"/>
      <c r="K687" s="36"/>
      <c r="L687" s="87"/>
      <c r="M687" s="87"/>
      <c r="N687" s="36"/>
      <c r="O687" s="36"/>
      <c r="P687" s="1"/>
      <c r="AD687"/>
      <c r="AG687"/>
      <c r="AN687" s="36"/>
      <c r="AO687" s="37"/>
      <c r="AP687" s="36"/>
      <c r="AQ687" s="36"/>
      <c r="AR687" s="36"/>
      <c r="AS687" s="89"/>
      <c r="AT687" s="87"/>
      <c r="AU687" s="87"/>
      <c r="AV687" s="87"/>
      <c r="AW687" s="87"/>
      <c r="AX687" s="85"/>
      <c r="AY687" s="85"/>
      <c r="AZ687" s="36"/>
      <c r="BA687" s="1"/>
    </row>
    <row r="688" spans="10:53">
      <c r="J688" s="37"/>
      <c r="K688" s="36"/>
      <c r="L688" s="87"/>
      <c r="M688" s="87"/>
      <c r="N688" s="36"/>
      <c r="O688" s="36"/>
      <c r="P688" s="1"/>
      <c r="AD688"/>
      <c r="AG688"/>
      <c r="AN688" s="36"/>
      <c r="AO688" s="37"/>
      <c r="AP688" s="36"/>
      <c r="AQ688" s="36"/>
      <c r="AR688" s="36"/>
      <c r="AS688" s="89"/>
      <c r="AT688" s="87"/>
      <c r="AU688" s="87"/>
      <c r="AV688" s="87"/>
      <c r="AW688" s="87"/>
      <c r="AX688" s="85"/>
      <c r="AY688" s="85"/>
      <c r="AZ688" s="36"/>
      <c r="BA688" s="1"/>
    </row>
    <row r="689" spans="10:53">
      <c r="J689" s="37"/>
      <c r="K689" s="36"/>
      <c r="L689" s="87"/>
      <c r="M689" s="87"/>
      <c r="N689" s="36"/>
      <c r="O689" s="36"/>
      <c r="P689" s="1"/>
      <c r="AD689"/>
      <c r="AG689"/>
      <c r="AN689" s="36"/>
      <c r="AO689" s="37"/>
      <c r="AP689" s="36"/>
      <c r="AQ689" s="36"/>
      <c r="AR689" s="36"/>
      <c r="AS689" s="89"/>
      <c r="AT689" s="87"/>
      <c r="AU689" s="87"/>
      <c r="AV689" s="87"/>
      <c r="AW689" s="87"/>
      <c r="AX689" s="85"/>
      <c r="AY689" s="85"/>
      <c r="AZ689" s="36"/>
      <c r="BA689" s="1"/>
    </row>
    <row r="690" spans="10:53">
      <c r="J690" s="37"/>
      <c r="K690" s="36"/>
      <c r="L690" s="87"/>
      <c r="M690" s="87"/>
      <c r="N690" s="36"/>
      <c r="O690" s="36"/>
      <c r="P690" s="1"/>
      <c r="AD690"/>
      <c r="AG690"/>
      <c r="AN690" s="36"/>
      <c r="AO690" s="37"/>
      <c r="AP690" s="36"/>
      <c r="AQ690" s="36"/>
      <c r="AR690" s="36"/>
      <c r="AS690" s="89"/>
      <c r="AT690" s="87"/>
      <c r="AU690" s="87"/>
      <c r="AV690" s="87"/>
      <c r="AW690" s="87"/>
      <c r="AX690" s="85"/>
      <c r="AY690" s="85"/>
      <c r="AZ690" s="36"/>
      <c r="BA690" s="1"/>
    </row>
    <row r="691" spans="10:53">
      <c r="J691" s="37"/>
      <c r="K691" s="36"/>
      <c r="L691" s="87"/>
      <c r="M691" s="87"/>
      <c r="N691" s="36"/>
      <c r="O691" s="36"/>
      <c r="P691" s="1"/>
      <c r="AD691"/>
      <c r="AG691"/>
      <c r="AN691" s="36"/>
      <c r="AO691" s="37"/>
      <c r="AP691" s="36"/>
      <c r="AQ691" s="36"/>
      <c r="AR691" s="36"/>
      <c r="AS691" s="89"/>
      <c r="AT691" s="87"/>
      <c r="AU691" s="87"/>
      <c r="AV691" s="87"/>
      <c r="AW691" s="87"/>
      <c r="AX691" s="85"/>
      <c r="AY691" s="85"/>
      <c r="AZ691" s="36"/>
      <c r="BA691" s="1"/>
    </row>
    <row r="692" spans="10:53">
      <c r="J692" s="37"/>
      <c r="K692" s="36"/>
      <c r="L692" s="87"/>
      <c r="M692" s="38"/>
      <c r="N692" s="36"/>
      <c r="O692" s="36"/>
      <c r="P692" s="1"/>
      <c r="AD692"/>
      <c r="AG692"/>
      <c r="AN692" s="36"/>
      <c r="AO692" s="37"/>
      <c r="AP692" s="36"/>
      <c r="AQ692" s="36"/>
      <c r="AR692" s="36"/>
      <c r="AS692" s="89"/>
      <c r="AT692" s="87"/>
      <c r="AU692" s="87"/>
      <c r="AV692" s="87"/>
      <c r="AW692" s="87"/>
      <c r="AX692" s="85"/>
      <c r="AY692" s="85"/>
      <c r="AZ692" s="36"/>
      <c r="BA692" s="1"/>
    </row>
    <row r="693" spans="10:53">
      <c r="J693" s="37"/>
      <c r="K693" s="36"/>
      <c r="L693" s="87"/>
      <c r="M693" s="87"/>
      <c r="N693" s="36"/>
      <c r="O693" s="36"/>
      <c r="P693" s="1"/>
      <c r="AD693"/>
      <c r="AG693"/>
      <c r="AN693" s="36"/>
      <c r="AO693" s="37"/>
      <c r="AP693" s="36"/>
      <c r="AQ693" s="36"/>
      <c r="AR693" s="36"/>
      <c r="AS693" s="89"/>
      <c r="AT693" s="87"/>
      <c r="AU693" s="87"/>
      <c r="AV693" s="87"/>
      <c r="AW693" s="87"/>
      <c r="AX693" s="85"/>
      <c r="AY693" s="85"/>
      <c r="AZ693" s="36"/>
      <c r="BA693" s="1"/>
    </row>
    <row r="694" spans="10:53">
      <c r="J694" s="37"/>
      <c r="K694" s="36"/>
      <c r="L694" s="87"/>
      <c r="M694" s="38"/>
      <c r="N694" s="36"/>
      <c r="O694" s="36"/>
      <c r="P694" s="1"/>
      <c r="AD694"/>
      <c r="AG694"/>
      <c r="AN694" s="36"/>
      <c r="AO694" s="37"/>
      <c r="AP694" s="36"/>
      <c r="AQ694" s="36"/>
      <c r="AR694" s="36"/>
      <c r="AS694" s="89"/>
      <c r="AT694" s="87"/>
      <c r="AU694" s="87"/>
      <c r="AV694" s="87"/>
      <c r="AW694" s="38"/>
      <c r="AX694" s="85"/>
      <c r="AY694" s="85"/>
      <c r="AZ694" s="36"/>
      <c r="BA694" s="1"/>
    </row>
    <row r="695" spans="10:53">
      <c r="J695" s="37"/>
      <c r="K695" s="36"/>
      <c r="L695" s="87"/>
      <c r="M695" s="38"/>
      <c r="N695" s="36"/>
      <c r="O695" s="36"/>
      <c r="P695" s="1"/>
      <c r="AD695"/>
      <c r="AG695"/>
      <c r="AN695" s="36"/>
      <c r="AO695" s="37"/>
      <c r="AP695" s="36"/>
      <c r="AQ695" s="36"/>
      <c r="AR695" s="36"/>
      <c r="AS695" s="89"/>
      <c r="AT695" s="87"/>
      <c r="AU695" s="87"/>
      <c r="AV695" s="87"/>
      <c r="AW695" s="87"/>
      <c r="AX695" s="85"/>
      <c r="AY695" s="85"/>
      <c r="AZ695" s="36"/>
      <c r="BA695" s="1"/>
    </row>
    <row r="696" spans="10:53">
      <c r="J696" s="37"/>
      <c r="K696" s="36"/>
      <c r="L696" s="87"/>
      <c r="M696" s="38"/>
      <c r="N696" s="36"/>
      <c r="O696" s="36"/>
      <c r="P696" s="1"/>
      <c r="AD696"/>
      <c r="AG696"/>
      <c r="AN696" s="36"/>
      <c r="AO696" s="37"/>
      <c r="AP696" s="36"/>
      <c r="AQ696" s="36"/>
      <c r="AR696" s="36"/>
      <c r="AS696" s="89"/>
      <c r="AT696" s="87"/>
      <c r="AU696" s="87"/>
      <c r="AV696" s="87"/>
      <c r="AW696" s="38"/>
      <c r="AX696" s="85"/>
      <c r="AY696" s="85"/>
      <c r="AZ696" s="36"/>
      <c r="BA696" s="1"/>
    </row>
    <row r="697" spans="10:53">
      <c r="J697" s="37"/>
      <c r="K697" s="36"/>
      <c r="L697" s="87"/>
      <c r="M697" s="87"/>
      <c r="N697" s="36"/>
      <c r="O697" s="36"/>
      <c r="P697" s="1"/>
      <c r="AD697"/>
      <c r="AG697"/>
      <c r="AN697" s="36"/>
      <c r="AO697" s="37"/>
      <c r="AP697" s="36"/>
      <c r="AQ697" s="36"/>
      <c r="AR697" s="36"/>
      <c r="AS697" s="89"/>
      <c r="AT697" s="87"/>
      <c r="AU697" s="87"/>
      <c r="AV697" s="87"/>
      <c r="AW697" s="38"/>
      <c r="AX697" s="85"/>
      <c r="AY697" s="85"/>
      <c r="AZ697" s="36"/>
      <c r="BA697" s="1"/>
    </row>
    <row r="698" spans="10:53">
      <c r="J698" s="37"/>
      <c r="K698" s="36"/>
      <c r="L698" s="87"/>
      <c r="M698" s="87"/>
      <c r="N698" s="36"/>
      <c r="O698" s="36"/>
      <c r="P698" s="1"/>
      <c r="AD698"/>
      <c r="AG698"/>
      <c r="AN698" s="36"/>
      <c r="AO698" s="37"/>
      <c r="AP698" s="36"/>
      <c r="AQ698" s="36"/>
      <c r="AR698" s="36"/>
      <c r="AS698" s="89"/>
      <c r="AT698" s="87"/>
      <c r="AU698" s="87"/>
      <c r="AV698" s="87"/>
      <c r="AW698" s="38"/>
      <c r="AX698" s="85"/>
      <c r="AY698" s="85"/>
      <c r="AZ698" s="36"/>
      <c r="BA698" s="1"/>
    </row>
    <row r="699" spans="10:53">
      <c r="J699" s="37"/>
      <c r="K699" s="36"/>
      <c r="L699" s="87"/>
      <c r="M699" s="87"/>
      <c r="N699" s="36"/>
      <c r="O699" s="36"/>
      <c r="P699" s="1"/>
      <c r="AD699"/>
      <c r="AG699"/>
      <c r="AN699" s="36"/>
      <c r="AO699" s="37"/>
      <c r="AP699" s="36"/>
      <c r="AQ699" s="36"/>
      <c r="AR699" s="36"/>
      <c r="AS699" s="89"/>
      <c r="AT699" s="87"/>
      <c r="AU699" s="87"/>
      <c r="AV699" s="87"/>
      <c r="AW699" s="87"/>
      <c r="AX699" s="85"/>
      <c r="AY699" s="85"/>
      <c r="AZ699" s="36"/>
      <c r="BA699" s="1"/>
    </row>
    <row r="700" spans="10:53">
      <c r="J700" s="37"/>
      <c r="K700" s="36"/>
      <c r="L700" s="87"/>
      <c r="M700" s="38"/>
      <c r="N700" s="36"/>
      <c r="O700" s="36"/>
      <c r="P700" s="1"/>
      <c r="AD700"/>
      <c r="AG700"/>
      <c r="AN700" s="36"/>
      <c r="AO700" s="37"/>
      <c r="AP700" s="36"/>
      <c r="AQ700" s="36"/>
      <c r="AR700" s="36"/>
      <c r="AS700" s="89"/>
      <c r="AT700" s="87"/>
      <c r="AU700" s="87"/>
      <c r="AV700" s="87"/>
      <c r="AW700" s="87"/>
      <c r="AX700" s="85"/>
      <c r="AY700" s="85"/>
      <c r="AZ700" s="36"/>
      <c r="BA700" s="1"/>
    </row>
    <row r="701" spans="10:53">
      <c r="J701" s="37"/>
      <c r="K701" s="36"/>
      <c r="L701" s="87"/>
      <c r="M701" s="87"/>
      <c r="N701" s="36"/>
      <c r="O701" s="36"/>
      <c r="P701" s="1"/>
      <c r="AD701"/>
      <c r="AG701"/>
      <c r="AN701" s="36"/>
      <c r="AO701" s="37"/>
      <c r="AP701" s="36"/>
      <c r="AQ701" s="36"/>
      <c r="AR701" s="36"/>
      <c r="AS701" s="89"/>
      <c r="AT701" s="87"/>
      <c r="AU701" s="87"/>
      <c r="AV701" s="87"/>
      <c r="AW701" s="87"/>
      <c r="AX701" s="85"/>
      <c r="AY701" s="85"/>
      <c r="AZ701" s="36"/>
      <c r="BA701" s="1"/>
    </row>
    <row r="702" spans="10:53">
      <c r="J702" s="37"/>
      <c r="K702" s="36"/>
      <c r="L702" s="87"/>
      <c r="M702" s="38"/>
      <c r="N702" s="36"/>
      <c r="O702" s="36"/>
      <c r="P702" s="1"/>
      <c r="AD702"/>
      <c r="AG702"/>
      <c r="AN702" s="36"/>
      <c r="AO702" s="37"/>
      <c r="AP702" s="36"/>
      <c r="AQ702" s="36"/>
      <c r="AR702" s="36"/>
      <c r="AS702" s="89"/>
      <c r="AT702" s="87"/>
      <c r="AU702" s="87"/>
      <c r="AV702" s="87"/>
      <c r="AW702" s="87"/>
      <c r="AX702" s="85"/>
      <c r="AY702" s="85"/>
      <c r="AZ702" s="36"/>
      <c r="BA702" s="1"/>
    </row>
    <row r="703" spans="10:53">
      <c r="J703" s="37"/>
      <c r="K703" s="36"/>
      <c r="L703" s="87"/>
      <c r="M703" s="87"/>
      <c r="N703" s="36"/>
      <c r="O703" s="36"/>
      <c r="P703" s="1"/>
      <c r="AD703"/>
      <c r="AG703"/>
      <c r="AN703" s="36"/>
      <c r="AO703" s="37"/>
      <c r="AP703" s="36"/>
      <c r="AQ703" s="36"/>
      <c r="AR703" s="36"/>
      <c r="AS703" s="89"/>
      <c r="AT703" s="87"/>
      <c r="AU703" s="87"/>
      <c r="AV703" s="87"/>
      <c r="AW703" s="87"/>
      <c r="AX703" s="85"/>
      <c r="AY703" s="85"/>
      <c r="AZ703" s="36"/>
      <c r="BA703" s="1"/>
    </row>
    <row r="704" spans="10:53">
      <c r="J704" s="37"/>
      <c r="K704" s="36"/>
      <c r="L704" s="87"/>
      <c r="M704" s="87"/>
      <c r="N704" s="36"/>
      <c r="O704" s="36"/>
      <c r="P704" s="1"/>
      <c r="AD704"/>
      <c r="AG704"/>
      <c r="AN704" s="36"/>
      <c r="AO704" s="37"/>
      <c r="AP704" s="36"/>
      <c r="AQ704" s="36"/>
      <c r="AR704" s="36"/>
      <c r="AS704" s="89"/>
      <c r="AT704" s="87"/>
      <c r="AU704" s="87"/>
      <c r="AV704" s="87"/>
      <c r="AW704" s="87"/>
      <c r="AX704" s="85"/>
      <c r="AY704" s="85"/>
      <c r="AZ704" s="36"/>
      <c r="BA704" s="1"/>
    </row>
    <row r="705" spans="10:53">
      <c r="J705" s="37"/>
      <c r="K705" s="36"/>
      <c r="L705" s="87"/>
      <c r="M705" s="38"/>
      <c r="N705" s="36"/>
      <c r="O705" s="36"/>
      <c r="P705" s="1"/>
      <c r="AD705"/>
      <c r="AG705"/>
      <c r="AN705" s="36"/>
      <c r="AO705" s="37"/>
      <c r="AP705" s="36"/>
      <c r="AQ705" s="36"/>
      <c r="AR705" s="36"/>
      <c r="AS705" s="89"/>
      <c r="AT705" s="87"/>
      <c r="AU705" s="87"/>
      <c r="AV705" s="87"/>
      <c r="AW705" s="87"/>
      <c r="AX705" s="85"/>
      <c r="AY705" s="85"/>
      <c r="AZ705" s="36"/>
      <c r="BA705" s="1"/>
    </row>
    <row r="706" spans="10:53">
      <c r="J706" s="37"/>
      <c r="K706" s="36"/>
      <c r="L706" s="87"/>
      <c r="M706" s="87"/>
      <c r="N706" s="36"/>
      <c r="O706" s="36"/>
      <c r="P706" s="1"/>
      <c r="AD706"/>
      <c r="AG706"/>
      <c r="AN706" s="36"/>
      <c r="AO706" s="37"/>
      <c r="AP706" s="36"/>
      <c r="AQ706" s="36"/>
      <c r="AR706" s="36"/>
      <c r="AS706" s="89"/>
      <c r="AT706" s="87"/>
      <c r="AU706" s="87"/>
      <c r="AV706" s="87"/>
      <c r="AW706" s="87"/>
      <c r="AX706" s="85"/>
      <c r="AY706" s="85"/>
      <c r="AZ706" s="36"/>
      <c r="BA706" s="1"/>
    </row>
    <row r="707" spans="10:53">
      <c r="J707" s="37"/>
      <c r="K707" s="36"/>
      <c r="L707" s="87"/>
      <c r="M707" s="38"/>
      <c r="N707" s="36"/>
      <c r="O707" s="36"/>
      <c r="P707" s="1"/>
      <c r="AD707"/>
      <c r="AG707"/>
      <c r="AN707" s="36"/>
      <c r="AO707" s="37"/>
      <c r="AP707" s="36"/>
      <c r="AQ707" s="36"/>
      <c r="AR707" s="36"/>
      <c r="AS707" s="89"/>
      <c r="AT707" s="87"/>
      <c r="AU707" s="87"/>
      <c r="AV707" s="87"/>
      <c r="AW707" s="87"/>
      <c r="AX707" s="85"/>
      <c r="AY707" s="85"/>
      <c r="AZ707" s="36"/>
      <c r="BA707" s="1"/>
    </row>
    <row r="708" spans="10:53">
      <c r="J708" s="37"/>
      <c r="K708" s="36"/>
      <c r="L708" s="87"/>
      <c r="M708" s="38"/>
      <c r="N708" s="36"/>
      <c r="O708" s="36"/>
      <c r="P708" s="1"/>
      <c r="AD708"/>
      <c r="AG708"/>
      <c r="AN708" s="36"/>
      <c r="AO708" s="37"/>
      <c r="AP708" s="36"/>
      <c r="AQ708" s="36"/>
      <c r="AR708" s="36"/>
      <c r="AS708" s="89"/>
      <c r="AT708" s="87"/>
      <c r="AU708" s="87"/>
      <c r="AV708" s="87"/>
      <c r="AW708" s="87"/>
      <c r="AX708" s="85"/>
      <c r="AY708" s="85"/>
      <c r="AZ708" s="36"/>
      <c r="BA708" s="1"/>
    </row>
    <row r="709" spans="10:53">
      <c r="J709" s="37"/>
      <c r="K709" s="36"/>
      <c r="L709" s="87"/>
      <c r="M709" s="38"/>
      <c r="N709" s="36"/>
      <c r="O709" s="36"/>
      <c r="P709" s="1"/>
      <c r="AD709"/>
      <c r="AG709"/>
      <c r="AN709" s="36"/>
      <c r="AO709" s="37"/>
      <c r="AP709" s="36"/>
      <c r="AQ709" s="36"/>
      <c r="AR709" s="36"/>
      <c r="AS709" s="89"/>
      <c r="AT709" s="87"/>
      <c r="AU709" s="87"/>
      <c r="AV709" s="87"/>
      <c r="AW709" s="87"/>
      <c r="AX709" s="85"/>
      <c r="AY709" s="85"/>
      <c r="AZ709" s="254"/>
      <c r="BA709" s="1"/>
    </row>
    <row r="710" spans="10:53">
      <c r="J710" s="37"/>
      <c r="K710" s="36"/>
      <c r="L710" s="87"/>
      <c r="M710" s="38"/>
      <c r="N710" s="36"/>
      <c r="O710" s="36"/>
      <c r="P710" s="1"/>
      <c r="AD710"/>
      <c r="AG710"/>
      <c r="AN710" s="36"/>
      <c r="AO710" s="37"/>
      <c r="AP710" s="36"/>
      <c r="AQ710" s="36"/>
      <c r="AR710" s="36"/>
      <c r="AS710" s="89"/>
      <c r="AT710" s="87"/>
      <c r="AU710" s="87"/>
      <c r="AV710" s="87"/>
      <c r="AW710" s="87"/>
      <c r="AX710" s="85"/>
      <c r="AY710" s="85"/>
      <c r="AZ710" s="254"/>
      <c r="BA710" s="1"/>
    </row>
    <row r="711" spans="10:53">
      <c r="J711" s="37"/>
      <c r="K711" s="36"/>
      <c r="L711" s="87"/>
      <c r="M711" s="38"/>
      <c r="N711" s="36"/>
      <c r="O711" s="36"/>
      <c r="P711" s="1"/>
      <c r="AD711"/>
      <c r="AG711"/>
      <c r="AN711" s="36"/>
      <c r="AO711" s="37"/>
      <c r="AP711" s="36"/>
      <c r="AQ711" s="36"/>
      <c r="AR711" s="36"/>
      <c r="AS711" s="89"/>
      <c r="AT711" s="87"/>
      <c r="AU711" s="87"/>
      <c r="AV711" s="87"/>
      <c r="AW711" s="87"/>
      <c r="AX711" s="85"/>
      <c r="AY711" s="85"/>
      <c r="AZ711" s="36"/>
      <c r="BA711" s="1"/>
    </row>
    <row r="712" spans="10:53">
      <c r="J712" s="37"/>
      <c r="K712" s="36"/>
      <c r="L712" s="87"/>
      <c r="M712" s="38"/>
      <c r="N712" s="36"/>
      <c r="O712" s="36"/>
      <c r="P712" s="1"/>
      <c r="AD712"/>
      <c r="AG712"/>
      <c r="AN712" s="36"/>
      <c r="AO712" s="37"/>
      <c r="AP712" s="36"/>
      <c r="AQ712" s="36"/>
      <c r="AR712" s="36"/>
      <c r="AS712" s="89"/>
      <c r="AT712" s="87"/>
      <c r="AU712" s="87"/>
      <c r="AV712" s="87"/>
      <c r="AW712" s="87"/>
      <c r="AX712" s="85"/>
      <c r="AY712" s="85"/>
      <c r="AZ712" s="36"/>
      <c r="BA712" s="1"/>
    </row>
    <row r="713" spans="10:53">
      <c r="J713" s="37"/>
      <c r="K713" s="36"/>
      <c r="L713" s="87"/>
      <c r="M713" s="38"/>
      <c r="N713" s="36"/>
      <c r="O713" s="36"/>
      <c r="P713" s="1"/>
      <c r="AD713"/>
      <c r="AG713"/>
      <c r="AN713" s="36"/>
      <c r="AO713" s="37"/>
      <c r="AP713" s="36"/>
      <c r="AQ713" s="36"/>
      <c r="AR713" s="36"/>
      <c r="AS713" s="89"/>
      <c r="AT713" s="87"/>
      <c r="AU713" s="87"/>
      <c r="AV713" s="87"/>
      <c r="AW713" s="38"/>
      <c r="AX713" s="85"/>
      <c r="AY713" s="85"/>
      <c r="AZ713" s="36"/>
      <c r="BA713" s="1"/>
    </row>
    <row r="714" spans="10:53">
      <c r="J714" s="37"/>
      <c r="K714" s="36"/>
      <c r="L714" s="87"/>
      <c r="M714" s="38"/>
      <c r="N714" s="36"/>
      <c r="O714" s="36"/>
      <c r="P714" s="1"/>
      <c r="AD714"/>
      <c r="AG714"/>
      <c r="AN714" s="36"/>
      <c r="AO714" s="37"/>
      <c r="AP714" s="36"/>
      <c r="AQ714" s="36"/>
      <c r="AR714" s="36"/>
      <c r="AS714" s="89"/>
      <c r="AT714" s="87"/>
      <c r="AU714" s="87"/>
      <c r="AV714" s="87"/>
      <c r="AW714" s="38"/>
      <c r="AX714" s="85"/>
      <c r="AY714" s="85"/>
      <c r="AZ714" s="36"/>
      <c r="BA714" s="1"/>
    </row>
    <row r="715" spans="10:53">
      <c r="J715" s="37"/>
      <c r="K715" s="36"/>
      <c r="L715" s="87"/>
      <c r="M715" s="38"/>
      <c r="N715" s="36"/>
      <c r="O715" s="36"/>
      <c r="P715" s="1"/>
      <c r="AD715"/>
      <c r="AG715"/>
      <c r="AN715" s="36"/>
      <c r="AO715" s="37"/>
      <c r="AP715" s="36"/>
      <c r="AQ715" s="36"/>
      <c r="AR715" s="36"/>
      <c r="AS715" s="89"/>
      <c r="AT715" s="87"/>
      <c r="AU715" s="87"/>
      <c r="AV715" s="87"/>
      <c r="AW715" s="38"/>
      <c r="AX715" s="85"/>
      <c r="AY715" s="85"/>
      <c r="AZ715" s="36"/>
      <c r="BA715" s="1"/>
    </row>
    <row r="716" spans="10:53">
      <c r="J716" s="37"/>
      <c r="K716" s="36"/>
      <c r="L716" s="87"/>
      <c r="M716" s="38"/>
      <c r="N716" s="36"/>
      <c r="O716" s="36"/>
      <c r="P716" s="1"/>
      <c r="AD716"/>
      <c r="AG716"/>
      <c r="AN716" s="36"/>
      <c r="AO716" s="37"/>
      <c r="AP716" s="36"/>
      <c r="AQ716" s="36"/>
      <c r="AR716" s="36"/>
      <c r="AS716" s="89"/>
      <c r="AT716" s="87"/>
      <c r="AU716" s="87"/>
      <c r="AV716" s="87"/>
      <c r="AW716" s="38"/>
      <c r="AX716" s="85"/>
      <c r="AY716" s="85"/>
      <c r="AZ716" s="36"/>
      <c r="BA716" s="1"/>
    </row>
    <row r="717" spans="10:53">
      <c r="J717" s="37"/>
      <c r="K717" s="36"/>
      <c r="L717" s="87"/>
      <c r="M717" s="87"/>
      <c r="N717" s="36"/>
      <c r="O717" s="36"/>
      <c r="P717" s="1"/>
      <c r="AD717"/>
      <c r="AG717"/>
      <c r="AN717" s="36"/>
      <c r="AO717" s="37"/>
      <c r="AP717" s="36"/>
      <c r="AQ717" s="36"/>
      <c r="AR717" s="36"/>
      <c r="AS717" s="89"/>
      <c r="AT717" s="87"/>
      <c r="AU717" s="87"/>
      <c r="AV717" s="87"/>
      <c r="AW717" s="38"/>
      <c r="AX717" s="85"/>
      <c r="AY717" s="85"/>
      <c r="AZ717" s="36"/>
      <c r="BA717" s="1"/>
    </row>
    <row r="718" spans="10:53">
      <c r="J718" s="37"/>
      <c r="K718" s="36"/>
      <c r="L718" s="87"/>
      <c r="M718" s="38"/>
      <c r="N718" s="36"/>
      <c r="O718" s="36"/>
      <c r="P718" s="1"/>
      <c r="AD718"/>
      <c r="AG718"/>
      <c r="AN718" s="36"/>
      <c r="AO718" s="37"/>
      <c r="AP718" s="36"/>
      <c r="AQ718" s="36"/>
      <c r="AR718" s="36"/>
      <c r="AS718" s="89"/>
      <c r="AT718" s="87"/>
      <c r="AU718" s="87"/>
      <c r="AV718" s="87"/>
      <c r="AW718" s="38"/>
      <c r="AX718" s="85"/>
      <c r="AY718" s="85"/>
      <c r="AZ718" s="36"/>
      <c r="BA718" s="1"/>
    </row>
    <row r="719" spans="10:53">
      <c r="J719" s="37"/>
      <c r="K719" s="36"/>
      <c r="L719" s="87"/>
      <c r="M719" s="87"/>
      <c r="N719" s="36"/>
      <c r="O719" s="36"/>
      <c r="P719" s="1"/>
      <c r="AD719"/>
      <c r="AG719"/>
      <c r="AN719" s="36"/>
      <c r="AO719" s="37"/>
      <c r="AP719" s="36"/>
      <c r="AQ719" s="36"/>
      <c r="AR719" s="36"/>
      <c r="AS719" s="89"/>
      <c r="AT719" s="87"/>
      <c r="AU719" s="87"/>
      <c r="AV719" s="87"/>
      <c r="AW719" s="38"/>
      <c r="AX719" s="85"/>
      <c r="AY719" s="85"/>
      <c r="AZ719" s="36"/>
      <c r="BA719" s="1"/>
    </row>
    <row r="720" spans="10:53">
      <c r="J720" s="37"/>
      <c r="K720" s="36"/>
      <c r="L720" s="87"/>
      <c r="M720" s="87"/>
      <c r="N720" s="36"/>
      <c r="O720" s="36"/>
      <c r="P720" s="1"/>
      <c r="AD720"/>
      <c r="AG720"/>
      <c r="AN720" s="36"/>
      <c r="AO720" s="37"/>
      <c r="AP720" s="36"/>
      <c r="AQ720" s="36"/>
      <c r="AR720" s="36"/>
      <c r="AS720" s="89"/>
      <c r="AT720" s="87"/>
      <c r="AU720" s="87"/>
      <c r="AV720" s="87"/>
      <c r="AW720" s="38"/>
      <c r="AX720" s="85"/>
      <c r="AY720" s="85"/>
      <c r="AZ720" s="36"/>
      <c r="BA720" s="1"/>
    </row>
    <row r="721" spans="10:53">
      <c r="J721" s="37"/>
      <c r="K721" s="36"/>
      <c r="L721" s="87"/>
      <c r="M721" s="87"/>
      <c r="N721" s="36"/>
      <c r="O721" s="36"/>
      <c r="P721" s="1"/>
      <c r="AD721"/>
      <c r="AG721"/>
      <c r="AN721" s="36"/>
      <c r="AO721" s="37"/>
      <c r="AP721" s="36"/>
      <c r="AQ721" s="36"/>
      <c r="AR721" s="36"/>
      <c r="AS721" s="89"/>
      <c r="AT721" s="87"/>
      <c r="AU721" s="87"/>
      <c r="AV721" s="87"/>
      <c r="AW721" s="38"/>
      <c r="AX721" s="85"/>
      <c r="AY721" s="85"/>
      <c r="AZ721" s="36"/>
      <c r="BA721" s="1"/>
    </row>
    <row r="722" spans="10:53">
      <c r="J722" s="37"/>
      <c r="K722" s="36"/>
      <c r="L722" s="87"/>
      <c r="M722" s="38"/>
      <c r="N722" s="36"/>
      <c r="O722" s="36"/>
      <c r="P722" s="1"/>
      <c r="AD722"/>
      <c r="AG722"/>
      <c r="AN722" s="36"/>
      <c r="AO722" s="37"/>
      <c r="AP722" s="36"/>
      <c r="AQ722" s="36"/>
      <c r="AR722" s="36"/>
      <c r="AS722" s="89"/>
      <c r="AT722" s="87"/>
      <c r="AU722" s="87"/>
      <c r="AV722" s="87"/>
      <c r="AW722" s="38"/>
      <c r="AX722" s="85"/>
      <c r="AY722" s="85"/>
      <c r="AZ722" s="36"/>
      <c r="BA722" s="1"/>
    </row>
    <row r="723" spans="10:53">
      <c r="J723" s="37"/>
      <c r="K723" s="36"/>
      <c r="L723" s="87"/>
      <c r="M723" s="38"/>
      <c r="N723" s="36"/>
      <c r="O723" s="36"/>
      <c r="P723" s="1"/>
      <c r="AD723"/>
      <c r="AG723"/>
      <c r="AN723" s="36"/>
      <c r="AO723" s="37"/>
      <c r="AP723" s="36"/>
      <c r="AQ723" s="36"/>
      <c r="AR723" s="36"/>
      <c r="AS723" s="89"/>
      <c r="AT723" s="87"/>
      <c r="AU723" s="87"/>
      <c r="AV723" s="87"/>
      <c r="AW723" s="38"/>
      <c r="AX723" s="85"/>
      <c r="AY723" s="85"/>
      <c r="AZ723" s="36"/>
      <c r="BA723" s="1"/>
    </row>
    <row r="724" spans="10:53">
      <c r="J724" s="37"/>
      <c r="K724" s="36"/>
      <c r="L724" s="87"/>
      <c r="M724" s="87"/>
      <c r="N724" s="36"/>
      <c r="O724" s="36"/>
      <c r="P724" s="1"/>
      <c r="AD724"/>
      <c r="AG724"/>
      <c r="AN724" s="36"/>
      <c r="AO724" s="37"/>
      <c r="AP724" s="36"/>
      <c r="AQ724" s="36"/>
      <c r="AR724" s="36"/>
      <c r="AS724" s="89"/>
      <c r="AT724" s="87"/>
      <c r="AU724" s="87"/>
      <c r="AV724" s="87"/>
      <c r="AW724" s="38"/>
      <c r="AX724" s="85"/>
      <c r="AY724" s="85"/>
      <c r="AZ724" s="36"/>
      <c r="BA724" s="1"/>
    </row>
    <row r="725" spans="10:53">
      <c r="J725" s="37"/>
      <c r="K725" s="36"/>
      <c r="L725" s="87"/>
      <c r="M725" s="38"/>
      <c r="N725" s="36"/>
      <c r="O725" s="36"/>
      <c r="P725" s="1"/>
      <c r="AD725"/>
      <c r="AG725"/>
      <c r="AN725" s="36"/>
      <c r="AO725" s="37"/>
      <c r="AP725" s="36"/>
      <c r="AQ725" s="36"/>
      <c r="AR725" s="36"/>
      <c r="AS725" s="89"/>
      <c r="AT725" s="87"/>
      <c r="AU725" s="87"/>
      <c r="AV725" s="87"/>
      <c r="AW725" s="38"/>
      <c r="AX725" s="85"/>
      <c r="AY725" s="85"/>
      <c r="AZ725" s="36"/>
      <c r="BA725" s="1"/>
    </row>
    <row r="726" spans="10:53">
      <c r="J726" s="37"/>
      <c r="K726" s="36"/>
      <c r="L726" s="87"/>
      <c r="M726" s="38"/>
      <c r="N726" s="36"/>
      <c r="O726" s="36"/>
      <c r="P726" s="1"/>
      <c r="AD726"/>
      <c r="AG726"/>
      <c r="AN726" s="36"/>
      <c r="AO726" s="37"/>
      <c r="AP726" s="36"/>
      <c r="AQ726" s="36"/>
      <c r="AR726" s="36"/>
      <c r="AS726" s="89"/>
      <c r="AT726" s="87"/>
      <c r="AU726" s="87"/>
      <c r="AV726" s="87"/>
      <c r="AW726" s="38"/>
      <c r="AX726" s="85"/>
      <c r="AY726" s="85"/>
      <c r="AZ726" s="36"/>
      <c r="BA726" s="1"/>
    </row>
    <row r="727" spans="10:53">
      <c r="J727" s="37"/>
      <c r="K727" s="36"/>
      <c r="L727" s="87"/>
      <c r="M727" s="38"/>
      <c r="N727" s="36"/>
      <c r="O727" s="36"/>
      <c r="P727" s="1"/>
      <c r="AD727"/>
      <c r="AG727"/>
      <c r="AN727" s="36"/>
      <c r="AO727" s="37"/>
      <c r="AP727" s="36"/>
      <c r="AQ727" s="36"/>
      <c r="AR727" s="36"/>
      <c r="AS727" s="89"/>
      <c r="AT727" s="87"/>
      <c r="AU727" s="87"/>
      <c r="AV727" s="87"/>
      <c r="AW727" s="38"/>
      <c r="AX727" s="85"/>
      <c r="AY727" s="85"/>
      <c r="AZ727" s="36"/>
      <c r="BA727" s="1"/>
    </row>
    <row r="728" spans="10:53">
      <c r="J728" s="37"/>
      <c r="K728" s="36"/>
      <c r="L728" s="87"/>
      <c r="M728" s="87"/>
      <c r="N728" s="36"/>
      <c r="O728" s="36"/>
      <c r="P728" s="1"/>
      <c r="AD728"/>
      <c r="AG728"/>
      <c r="AN728" s="36"/>
      <c r="AO728" s="37"/>
      <c r="AP728" s="36"/>
      <c r="AQ728" s="36"/>
      <c r="AR728" s="36"/>
      <c r="AS728" s="89"/>
      <c r="AT728" s="87"/>
      <c r="AU728" s="87"/>
      <c r="AV728" s="87"/>
      <c r="AW728" s="38"/>
      <c r="AX728" s="85"/>
      <c r="AY728" s="85"/>
      <c r="AZ728" s="36"/>
      <c r="BA728" s="1"/>
    </row>
    <row r="729" spans="10:53">
      <c r="J729" s="37"/>
      <c r="K729" s="36"/>
      <c r="L729" s="87"/>
      <c r="M729" s="87"/>
      <c r="N729" s="36"/>
      <c r="O729" s="36"/>
      <c r="P729" s="1"/>
      <c r="AD729"/>
      <c r="AG729"/>
      <c r="AN729" s="36"/>
      <c r="AO729" s="37"/>
      <c r="AP729" s="36"/>
      <c r="AQ729" s="36"/>
      <c r="AR729" s="36"/>
      <c r="AS729" s="89"/>
      <c r="AT729" s="87"/>
      <c r="AU729" s="87"/>
      <c r="AV729" s="87"/>
      <c r="AW729" s="38"/>
      <c r="AX729" s="85"/>
      <c r="AY729" s="85"/>
      <c r="AZ729" s="36"/>
      <c r="BA729" s="1"/>
    </row>
    <row r="730" spans="10:53">
      <c r="J730" s="37"/>
      <c r="K730" s="36"/>
      <c r="L730" s="87"/>
      <c r="M730" s="38"/>
      <c r="N730" s="36"/>
      <c r="O730" s="36"/>
      <c r="P730" s="1"/>
      <c r="AD730"/>
      <c r="AG730"/>
      <c r="AN730" s="36"/>
      <c r="AO730" s="37"/>
      <c r="AP730" s="36"/>
      <c r="AQ730" s="36"/>
      <c r="AR730" s="36"/>
      <c r="AS730" s="89"/>
      <c r="AT730" s="87"/>
      <c r="AU730" s="87"/>
      <c r="AV730" s="87"/>
      <c r="AW730" s="38"/>
      <c r="AX730" s="85"/>
      <c r="AY730" s="85"/>
      <c r="AZ730" s="36"/>
      <c r="BA730" s="1"/>
    </row>
    <row r="731" spans="10:53">
      <c r="J731" s="37"/>
      <c r="K731" s="36"/>
      <c r="L731" s="87"/>
      <c r="M731" s="38"/>
      <c r="N731" s="36"/>
      <c r="O731" s="36"/>
      <c r="P731" s="1"/>
      <c r="AD731"/>
      <c r="AG731"/>
      <c r="AN731" s="36"/>
      <c r="AO731" s="37"/>
      <c r="AP731" s="36"/>
      <c r="AQ731" s="36"/>
      <c r="AR731" s="36"/>
      <c r="AS731" s="89"/>
      <c r="AT731" s="87"/>
      <c r="AU731" s="87"/>
      <c r="AV731" s="87"/>
      <c r="AW731" s="38"/>
      <c r="AX731" s="85"/>
      <c r="AY731" s="85"/>
      <c r="AZ731" s="36"/>
      <c r="BA731" s="1"/>
    </row>
    <row r="732" spans="10:53">
      <c r="J732" s="37"/>
      <c r="K732" s="36"/>
      <c r="L732" s="87"/>
      <c r="M732" s="38"/>
      <c r="N732" s="36"/>
      <c r="O732" s="36"/>
      <c r="P732" s="1"/>
      <c r="AD732"/>
      <c r="AG732"/>
      <c r="AN732" s="36"/>
      <c r="AO732" s="37"/>
      <c r="AP732" s="36"/>
      <c r="AQ732" s="36"/>
      <c r="AR732" s="36"/>
      <c r="AS732" s="89"/>
      <c r="AT732" s="87"/>
      <c r="AU732" s="87"/>
      <c r="AV732" s="87"/>
      <c r="AW732" s="38"/>
      <c r="AX732" s="85"/>
      <c r="AY732" s="85"/>
      <c r="AZ732" s="36"/>
      <c r="BA732" s="1"/>
    </row>
    <row r="733" spans="10:53">
      <c r="J733" s="37"/>
      <c r="K733" s="36"/>
      <c r="L733" s="87"/>
      <c r="M733" s="87"/>
      <c r="N733" s="36"/>
      <c r="O733" s="36"/>
      <c r="P733" s="1"/>
      <c r="AD733"/>
      <c r="AG733"/>
      <c r="AN733" s="36"/>
      <c r="AO733" s="37"/>
      <c r="AP733" s="36"/>
      <c r="AQ733" s="36"/>
      <c r="AR733" s="36"/>
      <c r="AS733" s="89"/>
      <c r="AT733" s="87"/>
      <c r="AU733" s="87"/>
      <c r="AV733" s="87"/>
      <c r="AW733" s="38"/>
      <c r="AX733" s="85"/>
      <c r="AY733" s="85"/>
      <c r="AZ733" s="36"/>
      <c r="BA733" s="1"/>
    </row>
    <row r="734" spans="10:53">
      <c r="J734" s="37"/>
      <c r="K734" s="36"/>
      <c r="L734" s="87"/>
      <c r="M734" s="87"/>
      <c r="N734" s="36"/>
      <c r="O734" s="36"/>
      <c r="P734" s="1"/>
      <c r="AD734"/>
      <c r="AG734"/>
      <c r="AN734" s="36"/>
      <c r="AO734" s="37"/>
      <c r="AP734" s="36"/>
      <c r="AQ734" s="36"/>
      <c r="AR734" s="36"/>
      <c r="AS734" s="89"/>
      <c r="AT734" s="87"/>
      <c r="AU734" s="87"/>
      <c r="AV734" s="87"/>
      <c r="AW734" s="38"/>
      <c r="AX734" s="85"/>
      <c r="AY734" s="85"/>
      <c r="AZ734" s="36"/>
      <c r="BA734" s="1"/>
    </row>
    <row r="735" spans="10:53">
      <c r="J735" s="37"/>
      <c r="K735" s="36"/>
      <c r="L735" s="87"/>
      <c r="M735" s="87"/>
      <c r="N735" s="36"/>
      <c r="O735" s="36"/>
      <c r="P735" s="1"/>
      <c r="AD735"/>
      <c r="AG735"/>
      <c r="AN735" s="36"/>
      <c r="AO735" s="37"/>
      <c r="AP735" s="36"/>
      <c r="AQ735" s="36"/>
      <c r="AR735" s="36"/>
      <c r="AS735" s="89"/>
      <c r="AT735" s="87"/>
      <c r="AU735" s="87"/>
      <c r="AV735" s="87"/>
      <c r="AW735" s="38"/>
      <c r="AX735" s="85"/>
      <c r="AY735" s="85"/>
      <c r="AZ735" s="36"/>
      <c r="BA735" s="1"/>
    </row>
    <row r="736" spans="10:53">
      <c r="J736" s="37"/>
      <c r="K736" s="36"/>
      <c r="L736" s="87"/>
      <c r="M736" s="87"/>
      <c r="N736" s="36"/>
      <c r="O736" s="36"/>
      <c r="P736" s="1"/>
      <c r="AD736"/>
      <c r="AG736"/>
      <c r="AN736" s="36"/>
      <c r="AO736" s="37"/>
      <c r="AP736" s="36"/>
      <c r="AQ736" s="36"/>
      <c r="AR736" s="36"/>
      <c r="AS736" s="89"/>
      <c r="AT736" s="87"/>
      <c r="AU736" s="87"/>
      <c r="AV736" s="87"/>
      <c r="AW736" s="38"/>
      <c r="AX736" s="85"/>
      <c r="AY736" s="85"/>
      <c r="AZ736" s="36"/>
      <c r="BA736" s="1"/>
    </row>
    <row r="737" spans="10:53">
      <c r="J737" s="37"/>
      <c r="K737" s="36"/>
      <c r="L737" s="87"/>
      <c r="M737" s="87"/>
      <c r="N737" s="36"/>
      <c r="O737" s="36"/>
      <c r="P737" s="1"/>
      <c r="AD737"/>
      <c r="AG737"/>
      <c r="AN737" s="36"/>
      <c r="AO737" s="37"/>
      <c r="AP737" s="36"/>
      <c r="AQ737" s="36"/>
      <c r="AR737" s="36"/>
      <c r="AS737" s="89"/>
      <c r="AT737" s="87"/>
      <c r="AU737" s="87"/>
      <c r="AV737" s="87"/>
      <c r="AW737" s="38"/>
      <c r="AX737" s="85"/>
      <c r="AY737" s="85"/>
      <c r="AZ737" s="36"/>
      <c r="BA737" s="1"/>
    </row>
    <row r="738" spans="10:53">
      <c r="J738" s="37"/>
      <c r="K738" s="36"/>
      <c r="L738" s="87"/>
      <c r="M738" s="87"/>
      <c r="N738" s="36"/>
      <c r="O738" s="36"/>
      <c r="P738" s="1"/>
      <c r="AD738"/>
      <c r="AG738"/>
      <c r="AN738" s="36"/>
      <c r="AO738" s="37"/>
      <c r="AP738" s="36"/>
      <c r="AQ738" s="36"/>
      <c r="AR738" s="36"/>
      <c r="AS738" s="89"/>
      <c r="AT738" s="87"/>
      <c r="AU738" s="87"/>
      <c r="AV738" s="87"/>
      <c r="AW738" s="38"/>
      <c r="AX738" s="85"/>
      <c r="AY738" s="85"/>
      <c r="AZ738" s="36"/>
      <c r="BA738" s="1"/>
    </row>
    <row r="739" spans="10:53">
      <c r="J739" s="37"/>
      <c r="K739" s="36"/>
      <c r="L739" s="87"/>
      <c r="M739" s="87"/>
      <c r="N739" s="36"/>
      <c r="O739" s="36"/>
      <c r="P739" s="1"/>
      <c r="AD739"/>
      <c r="AG739"/>
      <c r="AN739" s="36"/>
      <c r="AO739" s="37"/>
      <c r="AP739" s="36"/>
      <c r="AQ739" s="36"/>
      <c r="AR739" s="36"/>
      <c r="AS739" s="89"/>
      <c r="AT739" s="87"/>
      <c r="AU739" s="87"/>
      <c r="AV739" s="87"/>
      <c r="AW739" s="38"/>
      <c r="AX739" s="85"/>
      <c r="AY739" s="85"/>
      <c r="AZ739" s="36"/>
      <c r="BA739" s="1"/>
    </row>
    <row r="740" spans="10:53">
      <c r="J740" s="37"/>
      <c r="K740" s="36"/>
      <c r="L740" s="87"/>
      <c r="M740" s="38"/>
      <c r="N740" s="36"/>
      <c r="O740" s="36"/>
      <c r="P740" s="1"/>
      <c r="AD740"/>
      <c r="AG740"/>
      <c r="AN740" s="36"/>
      <c r="AO740" s="37"/>
      <c r="AP740" s="36"/>
      <c r="AQ740" s="36"/>
      <c r="AR740" s="36"/>
      <c r="AS740" s="89"/>
      <c r="AT740" s="87"/>
      <c r="AU740" s="87"/>
      <c r="AV740" s="87"/>
      <c r="AW740" s="38"/>
      <c r="AX740" s="85"/>
      <c r="AY740" s="85"/>
      <c r="AZ740" s="36"/>
      <c r="BA740" s="1"/>
    </row>
    <row r="741" spans="10:53">
      <c r="J741" s="37"/>
      <c r="K741" s="36"/>
      <c r="L741" s="87"/>
      <c r="M741" s="38"/>
      <c r="N741" s="36"/>
      <c r="O741" s="36"/>
      <c r="P741" s="1"/>
      <c r="AD741"/>
      <c r="AG741"/>
      <c r="AN741" s="36"/>
      <c r="AO741" s="37"/>
      <c r="AP741" s="36"/>
      <c r="AQ741" s="36"/>
      <c r="AR741" s="36"/>
      <c r="AS741" s="89"/>
      <c r="AT741" s="87"/>
      <c r="AU741" s="87"/>
      <c r="AV741" s="87"/>
      <c r="AW741" s="38"/>
      <c r="AX741" s="85"/>
      <c r="AY741" s="85"/>
      <c r="AZ741" s="36"/>
      <c r="BA741" s="1"/>
    </row>
    <row r="742" spans="10:53">
      <c r="J742" s="37"/>
      <c r="K742" s="36"/>
      <c r="L742" s="87"/>
      <c r="M742" s="38"/>
      <c r="N742" s="36"/>
      <c r="O742" s="36"/>
      <c r="P742" s="1"/>
      <c r="AD742"/>
      <c r="AG742"/>
      <c r="AN742" s="36"/>
      <c r="AO742" s="37"/>
      <c r="AP742" s="36"/>
      <c r="AQ742" s="36"/>
      <c r="AR742" s="36"/>
      <c r="AS742" s="89"/>
      <c r="AT742" s="87"/>
      <c r="AU742" s="87"/>
      <c r="AV742" s="87"/>
      <c r="AW742" s="38"/>
      <c r="AX742" s="85"/>
      <c r="AY742" s="85"/>
      <c r="AZ742" s="36"/>
      <c r="BA742" s="1"/>
    </row>
    <row r="743" spans="10:53">
      <c r="J743" s="37"/>
      <c r="K743" s="36"/>
      <c r="L743" s="87"/>
      <c r="M743" s="38"/>
      <c r="N743" s="36"/>
      <c r="O743" s="36"/>
      <c r="P743" s="1"/>
      <c r="AD743"/>
      <c r="AG743"/>
      <c r="AN743" s="36"/>
      <c r="AO743" s="37"/>
      <c r="AP743" s="36"/>
      <c r="AQ743" s="36"/>
      <c r="AR743" s="36"/>
      <c r="AS743" s="89"/>
      <c r="AT743" s="87"/>
      <c r="AU743" s="87"/>
      <c r="AV743" s="87"/>
      <c r="AW743" s="38"/>
      <c r="AX743" s="85"/>
      <c r="AY743" s="85"/>
      <c r="AZ743" s="36"/>
      <c r="BA743" s="1"/>
    </row>
    <row r="744" spans="10:53">
      <c r="J744" s="37"/>
      <c r="K744" s="36"/>
      <c r="L744" s="87"/>
      <c r="M744" s="87"/>
      <c r="N744" s="36"/>
      <c r="O744" s="36"/>
      <c r="P744" s="1"/>
      <c r="AD744"/>
      <c r="AG744"/>
      <c r="AN744" s="36"/>
      <c r="AO744" s="37"/>
      <c r="AP744" s="36"/>
      <c r="AQ744" s="36"/>
      <c r="AR744" s="36"/>
      <c r="AS744" s="89"/>
      <c r="AT744" s="87"/>
      <c r="AU744" s="87"/>
      <c r="AV744" s="87"/>
      <c r="AW744" s="38"/>
      <c r="AX744" s="85"/>
      <c r="AY744" s="85"/>
      <c r="AZ744" s="36"/>
      <c r="BA744" s="1"/>
    </row>
    <row r="745" spans="10:53">
      <c r="J745" s="37"/>
      <c r="K745" s="36"/>
      <c r="L745" s="87"/>
      <c r="M745" s="38"/>
      <c r="N745" s="36"/>
      <c r="O745" s="36"/>
      <c r="P745" s="1"/>
      <c r="AD745"/>
      <c r="AG745"/>
      <c r="AN745" s="36"/>
      <c r="AO745" s="37"/>
      <c r="AP745" s="36"/>
      <c r="AQ745" s="36"/>
      <c r="AR745" s="36"/>
      <c r="AS745" s="89"/>
      <c r="AT745" s="87"/>
      <c r="AU745" s="87"/>
      <c r="AV745" s="87"/>
      <c r="AW745" s="38"/>
      <c r="AX745" s="85"/>
      <c r="AY745" s="85"/>
      <c r="AZ745" s="36"/>
      <c r="BA745" s="1"/>
    </row>
    <row r="746" spans="10:53">
      <c r="J746" s="37"/>
      <c r="K746" s="36"/>
      <c r="L746" s="87"/>
      <c r="M746" s="87"/>
      <c r="N746" s="36"/>
      <c r="O746" s="36"/>
      <c r="P746" s="1"/>
      <c r="AD746"/>
      <c r="AG746"/>
      <c r="AN746" s="36"/>
      <c r="AO746" s="37"/>
      <c r="AP746" s="36"/>
      <c r="AQ746" s="36"/>
      <c r="AR746" s="36"/>
      <c r="AS746" s="89"/>
      <c r="AT746" s="87"/>
      <c r="AU746" s="87"/>
      <c r="AV746" s="87"/>
      <c r="AW746" s="38"/>
      <c r="AX746" s="85"/>
      <c r="AY746" s="85"/>
      <c r="AZ746" s="36"/>
      <c r="BA746" s="1"/>
    </row>
    <row r="747" spans="10:53">
      <c r="J747" s="37"/>
      <c r="K747" s="36"/>
      <c r="L747" s="87"/>
      <c r="M747" s="87"/>
      <c r="N747" s="36"/>
      <c r="O747" s="36"/>
      <c r="P747" s="1"/>
      <c r="AD747"/>
      <c r="AG747"/>
      <c r="AN747" s="36"/>
      <c r="AO747" s="37"/>
      <c r="AP747" s="36"/>
      <c r="AQ747" s="36"/>
      <c r="AR747" s="36"/>
      <c r="AS747" s="89"/>
      <c r="AT747" s="87"/>
      <c r="AU747" s="87"/>
      <c r="AV747" s="87"/>
      <c r="AW747" s="38"/>
      <c r="AX747" s="85"/>
      <c r="AY747" s="85"/>
      <c r="AZ747" s="36"/>
      <c r="BA747" s="1"/>
    </row>
    <row r="748" spans="10:53">
      <c r="J748" s="37"/>
      <c r="K748" s="36"/>
      <c r="L748" s="87"/>
      <c r="M748" s="38"/>
      <c r="N748" s="36"/>
      <c r="O748" s="36"/>
      <c r="P748" s="1"/>
      <c r="AD748"/>
      <c r="AG748"/>
      <c r="AN748" s="36"/>
      <c r="AO748" s="37"/>
      <c r="AP748" s="36"/>
      <c r="AQ748" s="36"/>
      <c r="AR748" s="36"/>
      <c r="AS748" s="89"/>
      <c r="AT748" s="87"/>
      <c r="AU748" s="87"/>
      <c r="AV748" s="87"/>
      <c r="AW748" s="38"/>
      <c r="AX748" s="85"/>
      <c r="AY748" s="85"/>
      <c r="AZ748" s="36"/>
      <c r="BA748" s="1"/>
    </row>
    <row r="749" spans="10:53">
      <c r="J749" s="37"/>
      <c r="K749" s="36"/>
      <c r="L749" s="87"/>
      <c r="M749" s="38"/>
      <c r="N749" s="36"/>
      <c r="O749" s="36"/>
      <c r="P749" s="1"/>
      <c r="AD749"/>
      <c r="AG749"/>
      <c r="AN749" s="36"/>
      <c r="AO749" s="37"/>
      <c r="AP749" s="36"/>
      <c r="AQ749" s="36"/>
      <c r="AR749" s="36"/>
      <c r="AS749" s="89"/>
      <c r="AT749" s="87"/>
      <c r="AU749" s="87"/>
      <c r="AV749" s="87"/>
      <c r="AW749" s="38"/>
      <c r="AX749" s="85"/>
      <c r="AY749" s="85"/>
      <c r="AZ749" s="36"/>
      <c r="BA749" s="1"/>
    </row>
    <row r="750" spans="10:53">
      <c r="J750" s="37"/>
      <c r="K750" s="36"/>
      <c r="L750" s="87"/>
      <c r="M750" s="38"/>
      <c r="N750" s="36"/>
      <c r="O750" s="36"/>
      <c r="P750" s="1"/>
      <c r="AD750"/>
      <c r="AG750"/>
      <c r="AN750" s="36"/>
      <c r="AO750" s="37"/>
      <c r="AP750" s="36"/>
      <c r="AQ750" s="36"/>
      <c r="AR750" s="36"/>
      <c r="AS750" s="89"/>
      <c r="AT750" s="87"/>
      <c r="AU750" s="87"/>
      <c r="AV750" s="87"/>
      <c r="AW750" s="38"/>
      <c r="AX750" s="85"/>
      <c r="AY750" s="85"/>
      <c r="AZ750" s="36"/>
      <c r="BA750" s="1"/>
    </row>
    <row r="751" spans="10:53">
      <c r="J751" s="37"/>
      <c r="K751" s="36"/>
      <c r="L751" s="87"/>
      <c r="M751" s="38"/>
      <c r="N751" s="36"/>
      <c r="O751" s="36"/>
      <c r="P751" s="1"/>
      <c r="AD751"/>
      <c r="AG751"/>
      <c r="AN751" s="36"/>
      <c r="AO751" s="37"/>
      <c r="AP751" s="36"/>
      <c r="AQ751" s="36"/>
      <c r="AR751" s="36"/>
      <c r="AS751" s="89"/>
      <c r="AT751" s="87"/>
      <c r="AU751" s="87"/>
      <c r="AV751" s="87"/>
      <c r="AW751" s="38"/>
      <c r="AX751" s="85"/>
      <c r="AY751" s="85"/>
      <c r="AZ751" s="36"/>
      <c r="BA751" s="1"/>
    </row>
    <row r="752" spans="10:53">
      <c r="J752" s="37"/>
      <c r="K752" s="36"/>
      <c r="L752" s="87"/>
      <c r="M752" s="38"/>
      <c r="N752" s="36"/>
      <c r="O752" s="36"/>
      <c r="P752" s="1"/>
      <c r="AD752"/>
      <c r="AG752"/>
      <c r="AN752" s="36"/>
      <c r="AO752" s="37"/>
      <c r="AP752" s="36"/>
      <c r="AQ752" s="36"/>
      <c r="AR752" s="36"/>
      <c r="AS752" s="89"/>
      <c r="AT752" s="87"/>
      <c r="AU752" s="87"/>
      <c r="AV752" s="87"/>
      <c r="AW752" s="38"/>
      <c r="AX752" s="85"/>
      <c r="AY752" s="85"/>
      <c r="AZ752" s="36"/>
      <c r="BA752" s="1"/>
    </row>
    <row r="753" spans="10:53">
      <c r="J753" s="37"/>
      <c r="K753" s="36"/>
      <c r="L753" s="87"/>
      <c r="M753" s="38"/>
      <c r="N753" s="36"/>
      <c r="O753" s="36"/>
      <c r="P753" s="1"/>
      <c r="AD753"/>
      <c r="AG753"/>
      <c r="AN753" s="36"/>
      <c r="AO753" s="37"/>
      <c r="AP753" s="36"/>
      <c r="AQ753" s="36"/>
      <c r="AR753" s="36"/>
      <c r="AS753" s="89"/>
      <c r="AT753" s="87"/>
      <c r="AU753" s="87"/>
      <c r="AV753" s="87"/>
      <c r="AW753" s="38"/>
      <c r="AX753" s="85"/>
      <c r="AY753" s="85"/>
      <c r="AZ753" s="36"/>
      <c r="BA753" s="1"/>
    </row>
    <row r="754" spans="10:53">
      <c r="J754" s="37"/>
      <c r="K754" s="36"/>
      <c r="L754" s="87"/>
      <c r="M754" s="38"/>
      <c r="N754" s="36"/>
      <c r="O754" s="36"/>
      <c r="P754" s="1"/>
      <c r="AD754"/>
      <c r="AG754"/>
      <c r="AN754" s="36"/>
      <c r="AO754" s="37"/>
      <c r="AP754" s="36"/>
      <c r="AQ754" s="36"/>
      <c r="AR754" s="36"/>
      <c r="AS754" s="89"/>
      <c r="AT754" s="87"/>
      <c r="AU754" s="87"/>
      <c r="AV754" s="87"/>
      <c r="AW754" s="38"/>
      <c r="AX754" s="85"/>
      <c r="AY754" s="85"/>
      <c r="AZ754" s="36"/>
      <c r="BA754" s="1"/>
    </row>
    <row r="755" spans="10:53">
      <c r="J755" s="37"/>
      <c r="K755" s="36"/>
      <c r="L755" s="87"/>
      <c r="M755" s="38"/>
      <c r="N755" s="36"/>
      <c r="O755" s="36"/>
      <c r="P755" s="1"/>
      <c r="AD755"/>
      <c r="AG755"/>
      <c r="AN755" s="36"/>
      <c r="AO755" s="37"/>
      <c r="AP755" s="36"/>
      <c r="AQ755" s="36"/>
      <c r="AR755" s="36"/>
      <c r="AS755" s="89"/>
      <c r="AT755" s="87"/>
      <c r="AU755" s="87"/>
      <c r="AV755" s="87"/>
      <c r="AW755" s="38"/>
      <c r="AX755" s="85"/>
      <c r="AY755" s="85"/>
      <c r="AZ755" s="36"/>
      <c r="BA755" s="1"/>
    </row>
    <row r="756" spans="10:53">
      <c r="J756" s="37"/>
      <c r="K756" s="36"/>
      <c r="L756" s="87"/>
      <c r="M756" s="38"/>
      <c r="N756" s="36"/>
      <c r="O756" s="36"/>
      <c r="P756" s="1"/>
      <c r="AD756"/>
      <c r="AG756"/>
      <c r="AN756" s="36"/>
      <c r="AO756" s="37"/>
      <c r="AP756" s="36"/>
      <c r="AQ756" s="36"/>
      <c r="AR756" s="36"/>
      <c r="AS756" s="89"/>
      <c r="AT756" s="87"/>
      <c r="AU756" s="87"/>
      <c r="AV756" s="87"/>
      <c r="AW756" s="38"/>
      <c r="AX756" s="85"/>
      <c r="AY756" s="85"/>
      <c r="AZ756" s="36"/>
      <c r="BA756" s="1"/>
    </row>
    <row r="757" spans="10:53">
      <c r="J757" s="37"/>
      <c r="K757" s="36"/>
      <c r="L757" s="87"/>
      <c r="M757" s="87"/>
      <c r="N757" s="36"/>
      <c r="O757" s="36"/>
      <c r="P757" s="1"/>
      <c r="AD757"/>
      <c r="AG757"/>
      <c r="AN757" s="36"/>
      <c r="AO757" s="37"/>
      <c r="AP757" s="36"/>
      <c r="AQ757" s="36"/>
      <c r="AR757" s="36"/>
      <c r="AS757" s="89"/>
      <c r="AT757" s="87"/>
      <c r="AU757" s="87"/>
      <c r="AV757" s="87"/>
      <c r="AW757" s="87"/>
      <c r="AX757" s="85"/>
      <c r="AY757" s="85"/>
      <c r="AZ757" s="36"/>
      <c r="BA757" s="1"/>
    </row>
    <row r="758" spans="10:53">
      <c r="J758" s="37"/>
      <c r="K758" s="36"/>
      <c r="L758" s="87"/>
      <c r="M758" s="38"/>
      <c r="N758" s="36"/>
      <c r="O758" s="36"/>
      <c r="P758" s="1"/>
      <c r="AD758"/>
      <c r="AG758"/>
      <c r="AN758" s="36"/>
      <c r="AO758" s="37"/>
      <c r="AP758" s="36"/>
      <c r="AQ758" s="36"/>
      <c r="AR758" s="36"/>
      <c r="AS758" s="89"/>
      <c r="AT758" s="87"/>
      <c r="AU758" s="87"/>
      <c r="AV758" s="87"/>
      <c r="AW758" s="87"/>
      <c r="AX758" s="85"/>
      <c r="AY758" s="85"/>
      <c r="AZ758" s="36"/>
      <c r="BA758" s="1"/>
    </row>
    <row r="759" spans="10:53">
      <c r="J759" s="37"/>
      <c r="K759" s="36"/>
      <c r="L759" s="87"/>
      <c r="M759" s="87"/>
      <c r="N759" s="36"/>
      <c r="O759" s="36"/>
      <c r="P759" s="1"/>
      <c r="AD759"/>
      <c r="AG759"/>
      <c r="AN759" s="36"/>
      <c r="AO759" s="37"/>
      <c r="AP759" s="36"/>
      <c r="AQ759" s="36"/>
      <c r="AR759" s="36"/>
      <c r="AS759" s="89"/>
      <c r="AT759" s="87"/>
      <c r="AU759" s="87"/>
      <c r="AV759" s="87"/>
      <c r="AW759" s="87"/>
      <c r="AX759" s="85"/>
      <c r="AY759" s="85"/>
      <c r="AZ759" s="36"/>
      <c r="BA759" s="1"/>
    </row>
    <row r="760" spans="10:53">
      <c r="J760" s="37"/>
      <c r="K760" s="36"/>
      <c r="L760" s="87"/>
      <c r="M760" s="38"/>
      <c r="N760" s="36"/>
      <c r="O760" s="36"/>
      <c r="P760" s="1"/>
      <c r="AD760"/>
      <c r="AG760"/>
      <c r="AN760" s="36"/>
      <c r="AO760" s="37"/>
      <c r="AP760" s="36"/>
      <c r="AQ760" s="36"/>
      <c r="AR760" s="36"/>
      <c r="AS760" s="89"/>
      <c r="AT760" s="87"/>
      <c r="AU760" s="87"/>
      <c r="AV760" s="87"/>
      <c r="AW760" s="38"/>
      <c r="AX760" s="85"/>
      <c r="AY760" s="85"/>
      <c r="AZ760" s="36"/>
      <c r="BA760" s="1"/>
    </row>
    <row r="761" spans="10:53">
      <c r="J761" s="37"/>
      <c r="K761" s="36"/>
      <c r="L761" s="87"/>
      <c r="M761" s="87"/>
      <c r="N761" s="36"/>
      <c r="O761" s="36"/>
      <c r="P761" s="1"/>
      <c r="AD761"/>
      <c r="AG761"/>
      <c r="AN761" s="36"/>
      <c r="AO761" s="37"/>
      <c r="AP761" s="36"/>
      <c r="AQ761" s="36"/>
      <c r="AR761" s="36"/>
      <c r="AS761" s="89"/>
      <c r="AT761" s="87"/>
      <c r="AU761" s="87"/>
      <c r="AV761" s="87"/>
      <c r="AW761" s="87"/>
      <c r="AX761" s="85"/>
      <c r="AY761" s="85"/>
      <c r="AZ761" s="36"/>
      <c r="BA761" s="1"/>
    </row>
    <row r="762" spans="10:53">
      <c r="J762" s="37"/>
      <c r="K762" s="36"/>
      <c r="L762" s="87"/>
      <c r="M762" s="38"/>
      <c r="N762" s="36"/>
      <c r="O762" s="36"/>
      <c r="P762" s="1"/>
      <c r="AD762"/>
      <c r="AG762"/>
      <c r="AN762" s="36"/>
      <c r="AO762" s="37"/>
      <c r="AP762" s="36"/>
      <c r="AQ762" s="36"/>
      <c r="AR762" s="36"/>
      <c r="AS762" s="89"/>
      <c r="AT762" s="87"/>
      <c r="AU762" s="87"/>
      <c r="AV762" s="87"/>
      <c r="AW762" s="38"/>
      <c r="AX762" s="85"/>
      <c r="AY762" s="85"/>
      <c r="AZ762" s="36"/>
      <c r="BA762" s="1"/>
    </row>
    <row r="763" spans="10:53">
      <c r="J763" s="37"/>
      <c r="K763" s="36"/>
      <c r="L763" s="87"/>
      <c r="M763" s="38"/>
      <c r="N763" s="36"/>
      <c r="O763" s="36"/>
      <c r="P763" s="1"/>
      <c r="AD763"/>
      <c r="AG763"/>
      <c r="AN763" s="36"/>
      <c r="AO763" s="37"/>
      <c r="AP763" s="36"/>
      <c r="AQ763" s="36"/>
      <c r="AR763" s="36"/>
      <c r="AS763" s="89"/>
      <c r="AT763" s="87"/>
      <c r="AU763" s="87"/>
      <c r="AV763" s="87"/>
      <c r="AW763" s="87"/>
      <c r="AX763" s="85"/>
      <c r="AY763" s="85"/>
      <c r="AZ763" s="36"/>
      <c r="BA763" s="1"/>
    </row>
    <row r="764" spans="10:53">
      <c r="J764" s="37"/>
      <c r="K764" s="36"/>
      <c r="L764" s="87"/>
      <c r="M764" s="87"/>
      <c r="N764" s="36"/>
      <c r="O764" s="36"/>
      <c r="P764" s="1"/>
      <c r="AD764"/>
      <c r="AG764"/>
      <c r="AN764" s="36"/>
      <c r="AO764" s="37"/>
      <c r="AP764" s="36"/>
      <c r="AQ764" s="36"/>
      <c r="AR764" s="36"/>
      <c r="AS764" s="89"/>
      <c r="AT764" s="87"/>
      <c r="AU764" s="87"/>
      <c r="AV764" s="87"/>
      <c r="AW764" s="87"/>
      <c r="AX764" s="85"/>
      <c r="AY764" s="85"/>
      <c r="AZ764" s="36"/>
      <c r="BA764" s="1"/>
    </row>
    <row r="765" spans="10:53">
      <c r="J765" s="37"/>
      <c r="K765" s="36"/>
      <c r="L765" s="87"/>
      <c r="M765" s="87"/>
      <c r="N765" s="36"/>
      <c r="O765" s="36"/>
      <c r="P765" s="1"/>
      <c r="AD765"/>
      <c r="AG765"/>
      <c r="AN765" s="36"/>
      <c r="AO765" s="37"/>
      <c r="AP765" s="36"/>
      <c r="AQ765" s="36"/>
      <c r="AR765" s="36"/>
      <c r="AS765" s="89"/>
      <c r="AT765" s="87"/>
      <c r="AU765" s="87"/>
      <c r="AV765" s="87"/>
      <c r="AW765" s="87"/>
      <c r="AX765" s="85"/>
      <c r="AY765" s="85"/>
      <c r="AZ765" s="36"/>
      <c r="BA765" s="1"/>
    </row>
    <row r="766" spans="10:53">
      <c r="J766" s="37"/>
      <c r="K766" s="36"/>
      <c r="L766" s="87"/>
      <c r="M766" s="87"/>
      <c r="N766" s="36"/>
      <c r="O766" s="36"/>
      <c r="P766" s="1"/>
      <c r="AD766"/>
      <c r="AG766"/>
      <c r="AN766" s="36"/>
      <c r="AO766" s="37"/>
      <c r="AP766" s="36"/>
      <c r="AQ766" s="36"/>
      <c r="AR766" s="36"/>
      <c r="AS766" s="89"/>
      <c r="AT766" s="87"/>
      <c r="AU766" s="87"/>
      <c r="AV766" s="87"/>
      <c r="AW766" s="87"/>
      <c r="AX766" s="85"/>
      <c r="AY766" s="85"/>
      <c r="AZ766" s="36"/>
      <c r="BA766" s="1"/>
    </row>
    <row r="767" spans="10:53">
      <c r="J767" s="37"/>
      <c r="K767" s="36"/>
      <c r="L767" s="87"/>
      <c r="M767" s="87"/>
      <c r="N767" s="36"/>
      <c r="O767" s="36"/>
      <c r="P767" s="1"/>
      <c r="AD767"/>
      <c r="AG767"/>
      <c r="AN767" s="36"/>
      <c r="AO767" s="37"/>
      <c r="AP767" s="36"/>
      <c r="AQ767" s="36"/>
      <c r="AR767" s="36"/>
      <c r="AS767" s="89"/>
      <c r="AT767" s="87"/>
      <c r="AU767" s="87"/>
      <c r="AV767" s="87"/>
      <c r="AW767" s="87"/>
      <c r="AX767" s="85"/>
      <c r="AY767" s="85"/>
      <c r="AZ767" s="36"/>
      <c r="BA767" s="1"/>
    </row>
    <row r="768" spans="10:53">
      <c r="J768" s="37"/>
      <c r="K768" s="36"/>
      <c r="L768" s="87"/>
      <c r="M768" s="87"/>
      <c r="N768" s="36"/>
      <c r="O768" s="36"/>
      <c r="P768" s="1"/>
      <c r="AD768"/>
      <c r="AG768"/>
      <c r="AN768" s="36"/>
      <c r="AO768" s="37"/>
      <c r="AP768" s="36"/>
      <c r="AQ768" s="36"/>
      <c r="AR768" s="36"/>
      <c r="AS768" s="89"/>
      <c r="AT768" s="87"/>
      <c r="AU768" s="87"/>
      <c r="AV768" s="87"/>
      <c r="AW768" s="87"/>
      <c r="AX768" s="85"/>
      <c r="AY768" s="85"/>
      <c r="AZ768" s="36"/>
      <c r="BA768" s="1"/>
    </row>
    <row r="769" spans="10:53">
      <c r="J769" s="37"/>
      <c r="K769" s="36"/>
      <c r="L769" s="87"/>
      <c r="M769" s="38"/>
      <c r="N769" s="36"/>
      <c r="O769" s="36"/>
      <c r="P769" s="1"/>
      <c r="AD769"/>
      <c r="AG769"/>
      <c r="AN769" s="36"/>
      <c r="AO769" s="37"/>
      <c r="AP769" s="36"/>
      <c r="AQ769" s="36"/>
      <c r="AR769" s="36"/>
      <c r="AS769" s="89"/>
      <c r="AT769" s="87"/>
      <c r="AU769" s="87"/>
      <c r="AV769" s="87"/>
      <c r="AW769" s="38"/>
      <c r="AX769" s="85"/>
      <c r="AY769" s="85"/>
      <c r="AZ769" s="36"/>
      <c r="BA769" s="1"/>
    </row>
    <row r="770" spans="10:53">
      <c r="J770" s="37"/>
      <c r="K770" s="36"/>
      <c r="L770" s="87"/>
      <c r="M770" s="87"/>
      <c r="N770" s="36"/>
      <c r="O770" s="36"/>
      <c r="P770" s="1"/>
      <c r="AD770"/>
      <c r="AG770"/>
      <c r="AN770" s="36"/>
      <c r="AO770" s="37"/>
      <c r="AP770" s="36"/>
      <c r="AQ770" s="36"/>
      <c r="AR770" s="36"/>
      <c r="AS770" s="89"/>
      <c r="AT770" s="87"/>
      <c r="AU770" s="87"/>
      <c r="AV770" s="87"/>
      <c r="AW770" s="87"/>
      <c r="AX770" s="85"/>
      <c r="AY770" s="85"/>
      <c r="AZ770" s="36"/>
      <c r="BA770" s="1"/>
    </row>
    <row r="771" spans="10:53">
      <c r="J771" s="37"/>
      <c r="K771" s="36"/>
      <c r="L771" s="87"/>
      <c r="M771" s="87"/>
      <c r="N771" s="36"/>
      <c r="O771" s="36"/>
      <c r="P771" s="1"/>
      <c r="AD771"/>
      <c r="AG771"/>
      <c r="AN771" s="36"/>
      <c r="AO771" s="37"/>
      <c r="AP771" s="36"/>
      <c r="AQ771" s="36"/>
      <c r="AR771" s="36"/>
      <c r="AS771" s="89"/>
      <c r="AT771" s="87"/>
      <c r="AU771" s="87"/>
      <c r="AV771" s="87"/>
      <c r="AW771" s="87"/>
      <c r="AX771" s="85"/>
      <c r="AY771" s="85"/>
      <c r="AZ771" s="36"/>
      <c r="BA771" s="1"/>
    </row>
    <row r="772" spans="10:53">
      <c r="J772" s="37"/>
      <c r="K772" s="36"/>
      <c r="L772" s="87"/>
      <c r="M772" s="87"/>
      <c r="N772" s="36"/>
      <c r="O772" s="36"/>
      <c r="P772" s="1"/>
      <c r="AD772"/>
      <c r="AG772"/>
      <c r="AN772" s="36"/>
      <c r="AO772" s="37"/>
      <c r="AP772" s="36"/>
      <c r="AQ772" s="36"/>
      <c r="AR772" s="36"/>
      <c r="AS772" s="89"/>
      <c r="AT772" s="87"/>
      <c r="AU772" s="87"/>
      <c r="AV772" s="87"/>
      <c r="AW772" s="87"/>
      <c r="AX772" s="85"/>
      <c r="AY772" s="85"/>
      <c r="AZ772" s="36"/>
      <c r="BA772" s="1"/>
    </row>
    <row r="773" spans="10:53">
      <c r="J773" s="37"/>
      <c r="K773" s="36"/>
      <c r="L773" s="87"/>
      <c r="M773" s="38"/>
      <c r="N773" s="36"/>
      <c r="O773" s="36"/>
      <c r="P773" s="1"/>
      <c r="AD773"/>
      <c r="AG773"/>
      <c r="AN773" s="36"/>
      <c r="AO773" s="37"/>
      <c r="AP773" s="36"/>
      <c r="AQ773" s="36"/>
      <c r="AR773" s="36"/>
      <c r="AS773" s="89"/>
      <c r="AT773" s="87"/>
      <c r="AU773" s="87"/>
      <c r="AV773" s="87"/>
      <c r="AW773" s="87"/>
      <c r="AX773" s="85"/>
      <c r="AY773" s="85"/>
      <c r="AZ773" s="36"/>
      <c r="BA773" s="1"/>
    </row>
    <row r="774" spans="10:53">
      <c r="J774" s="37"/>
      <c r="K774" s="36"/>
      <c r="L774" s="87"/>
      <c r="M774" s="87"/>
      <c r="N774" s="36"/>
      <c r="O774" s="36"/>
      <c r="P774" s="1"/>
      <c r="AD774"/>
      <c r="AG774"/>
      <c r="AN774" s="36"/>
      <c r="AO774" s="37"/>
      <c r="AP774" s="36"/>
      <c r="AQ774" s="36"/>
      <c r="AR774" s="36"/>
      <c r="AS774" s="89"/>
      <c r="AT774" s="87"/>
      <c r="AU774" s="87"/>
      <c r="AV774" s="87"/>
      <c r="AW774" s="87"/>
      <c r="AX774" s="85"/>
      <c r="AY774" s="85"/>
      <c r="AZ774" s="36"/>
      <c r="BA774" s="1"/>
    </row>
    <row r="775" spans="10:53">
      <c r="J775" s="37"/>
      <c r="K775" s="36"/>
      <c r="L775" s="87"/>
      <c r="M775" s="87"/>
      <c r="N775" s="36"/>
      <c r="O775" s="36"/>
      <c r="P775" s="1"/>
      <c r="AD775"/>
      <c r="AG775"/>
      <c r="AN775" s="36"/>
      <c r="AO775" s="37"/>
      <c r="AP775" s="36"/>
      <c r="AQ775" s="36"/>
      <c r="AR775" s="36"/>
      <c r="AS775" s="89"/>
      <c r="AT775" s="87"/>
      <c r="AU775" s="87"/>
      <c r="AV775" s="87"/>
      <c r="AW775" s="87"/>
      <c r="AX775" s="85"/>
      <c r="AY775" s="85"/>
      <c r="AZ775" s="36"/>
      <c r="BA775" s="1"/>
    </row>
    <row r="776" spans="10:53">
      <c r="J776" s="37"/>
      <c r="K776" s="36"/>
      <c r="L776" s="87"/>
      <c r="M776" s="87"/>
      <c r="N776" s="36"/>
      <c r="O776" s="36"/>
      <c r="P776" s="1"/>
      <c r="AD776"/>
      <c r="AG776"/>
      <c r="AN776" s="36"/>
      <c r="AO776" s="37"/>
      <c r="AP776" s="36"/>
      <c r="AQ776" s="36"/>
      <c r="AR776" s="36"/>
      <c r="AS776" s="89"/>
      <c r="AT776" s="87"/>
      <c r="AU776" s="87"/>
      <c r="AV776" s="87"/>
      <c r="AW776" s="87"/>
      <c r="AX776" s="85"/>
      <c r="AY776" s="85"/>
      <c r="AZ776" s="36"/>
      <c r="BA776" s="1"/>
    </row>
    <row r="777" spans="10:53">
      <c r="J777" s="37"/>
      <c r="K777" s="36"/>
      <c r="L777" s="87"/>
      <c r="M777" s="87"/>
      <c r="N777" s="36"/>
      <c r="O777" s="36"/>
      <c r="P777" s="1"/>
      <c r="AD777"/>
      <c r="AG777"/>
      <c r="AN777" s="36"/>
      <c r="AO777" s="37"/>
      <c r="AP777" s="36"/>
      <c r="AQ777" s="36"/>
      <c r="AR777" s="36"/>
      <c r="AS777" s="89"/>
      <c r="AT777" s="87"/>
      <c r="AU777" s="87"/>
      <c r="AV777" s="87"/>
      <c r="AW777" s="87"/>
      <c r="AX777" s="85"/>
      <c r="AY777" s="85"/>
      <c r="AZ777" s="36"/>
      <c r="BA777" s="1"/>
    </row>
    <row r="778" spans="10:53">
      <c r="J778" s="37"/>
      <c r="K778" s="36"/>
      <c r="L778" s="87"/>
      <c r="M778" s="87"/>
      <c r="N778" s="36"/>
      <c r="O778" s="36"/>
      <c r="P778" s="1"/>
      <c r="AD778"/>
      <c r="AG778"/>
      <c r="AN778" s="36"/>
      <c r="AO778" s="37"/>
      <c r="AP778" s="36"/>
      <c r="AQ778" s="36"/>
      <c r="AR778" s="36"/>
      <c r="AS778" s="89"/>
      <c r="AT778" s="87"/>
      <c r="AU778" s="87"/>
      <c r="AV778" s="87"/>
      <c r="AW778" s="38"/>
      <c r="AX778" s="85"/>
      <c r="AY778" s="85"/>
      <c r="AZ778" s="36"/>
      <c r="BA778" s="1"/>
    </row>
    <row r="779" spans="10:53">
      <c r="J779" s="37"/>
      <c r="K779" s="36"/>
      <c r="L779" s="87"/>
      <c r="M779" s="87"/>
      <c r="N779" s="36"/>
      <c r="O779" s="36"/>
      <c r="P779" s="1"/>
      <c r="AD779"/>
      <c r="AG779"/>
      <c r="AN779" s="36"/>
      <c r="AO779" s="37"/>
      <c r="AP779" s="36"/>
      <c r="AQ779" s="36"/>
      <c r="AR779" s="36"/>
      <c r="AS779" s="89"/>
      <c r="AT779" s="87"/>
      <c r="AU779" s="87"/>
      <c r="AV779" s="87"/>
      <c r="AW779" s="87"/>
      <c r="AX779" s="85"/>
      <c r="AY779" s="85"/>
      <c r="AZ779" s="36"/>
      <c r="BA779" s="1"/>
    </row>
    <row r="780" spans="10:53">
      <c r="J780" s="37"/>
      <c r="K780" s="36"/>
      <c r="L780" s="87"/>
      <c r="M780" s="38"/>
      <c r="N780" s="36"/>
      <c r="O780" s="36"/>
      <c r="P780" s="1"/>
      <c r="AD780"/>
      <c r="AG780"/>
      <c r="AN780" s="36"/>
      <c r="AO780" s="37"/>
      <c r="AP780" s="36"/>
      <c r="AQ780" s="36"/>
      <c r="AR780" s="36"/>
      <c r="AS780" s="89"/>
      <c r="AT780" s="87"/>
      <c r="AU780" s="87"/>
      <c r="AV780" s="87"/>
      <c r="AW780" s="87"/>
      <c r="AX780" s="85"/>
      <c r="AY780" s="85"/>
      <c r="AZ780" s="36"/>
      <c r="BA780" s="1"/>
    </row>
    <row r="781" spans="10:53">
      <c r="J781" s="37"/>
      <c r="K781" s="36"/>
      <c r="L781" s="87"/>
      <c r="M781" s="87"/>
      <c r="N781" s="36"/>
      <c r="O781" s="36"/>
      <c r="P781" s="1"/>
      <c r="AD781"/>
      <c r="AG781"/>
      <c r="AN781" s="36"/>
      <c r="AO781" s="37"/>
      <c r="AP781" s="36"/>
      <c r="AQ781" s="36"/>
      <c r="AR781" s="36"/>
      <c r="AS781" s="89"/>
      <c r="AT781" s="87"/>
      <c r="AU781" s="87"/>
      <c r="AV781" s="87"/>
      <c r="AW781" s="87"/>
      <c r="AX781" s="85"/>
      <c r="AY781" s="85"/>
      <c r="AZ781" s="36"/>
      <c r="BA781" s="1"/>
    </row>
    <row r="782" spans="10:53">
      <c r="J782" s="37"/>
      <c r="K782" s="36"/>
      <c r="L782" s="87"/>
      <c r="M782" s="87"/>
      <c r="N782" s="36"/>
      <c r="O782" s="36"/>
      <c r="P782" s="1"/>
      <c r="AD782"/>
      <c r="AG782"/>
      <c r="AN782" s="36"/>
      <c r="AO782" s="37"/>
      <c r="AP782" s="36"/>
      <c r="AQ782" s="36"/>
      <c r="AR782" s="36"/>
      <c r="AS782" s="89"/>
      <c r="AT782" s="87"/>
      <c r="AU782" s="87"/>
      <c r="AV782" s="87"/>
      <c r="AW782" s="87"/>
      <c r="AX782" s="85"/>
      <c r="AY782" s="85"/>
      <c r="AZ782" s="36"/>
      <c r="BA782" s="1"/>
    </row>
    <row r="783" spans="10:53">
      <c r="J783" s="37"/>
      <c r="K783" s="36"/>
      <c r="L783" s="87"/>
      <c r="M783" s="38"/>
      <c r="N783" s="36"/>
      <c r="O783" s="36"/>
      <c r="P783" s="1"/>
      <c r="AD783"/>
      <c r="AG783"/>
      <c r="AN783" s="36"/>
      <c r="AO783" s="37"/>
      <c r="AP783" s="36"/>
      <c r="AQ783" s="36"/>
      <c r="AR783" s="36"/>
      <c r="AS783" s="89"/>
      <c r="AT783" s="87"/>
      <c r="AU783" s="87"/>
      <c r="AV783" s="87"/>
      <c r="AW783" s="87"/>
      <c r="AX783" s="85"/>
      <c r="AY783" s="85"/>
      <c r="AZ783" s="36"/>
      <c r="BA783" s="1"/>
    </row>
    <row r="784" spans="10:53">
      <c r="J784" s="37"/>
      <c r="K784" s="36"/>
      <c r="L784" s="87"/>
      <c r="M784" s="38"/>
      <c r="N784" s="36"/>
      <c r="O784" s="36"/>
      <c r="P784" s="1"/>
      <c r="AD784"/>
      <c r="AG784"/>
      <c r="AN784" s="36"/>
      <c r="AO784" s="37"/>
      <c r="AP784" s="36"/>
      <c r="AQ784" s="36"/>
      <c r="AR784" s="36"/>
      <c r="AS784" s="89"/>
      <c r="AT784" s="87"/>
      <c r="AU784" s="87"/>
      <c r="AV784" s="87"/>
      <c r="AW784" s="87"/>
      <c r="AX784" s="85"/>
      <c r="AY784" s="85"/>
      <c r="AZ784" s="36"/>
      <c r="BA784" s="1"/>
    </row>
    <row r="785" spans="10:53">
      <c r="J785" s="37"/>
      <c r="K785" s="36"/>
      <c r="L785" s="87"/>
      <c r="M785" s="38"/>
      <c r="N785" s="36"/>
      <c r="O785" s="36"/>
      <c r="P785" s="1"/>
      <c r="AD785"/>
      <c r="AG785"/>
      <c r="AN785" s="36"/>
      <c r="AO785" s="37"/>
      <c r="AP785" s="36"/>
      <c r="AQ785" s="36"/>
      <c r="AR785" s="36"/>
      <c r="AS785" s="89"/>
      <c r="AT785" s="87"/>
      <c r="AU785" s="87"/>
      <c r="AV785" s="87"/>
      <c r="AW785" s="87"/>
      <c r="AX785" s="85"/>
      <c r="AY785" s="85"/>
      <c r="AZ785" s="36"/>
      <c r="BA785" s="1"/>
    </row>
    <row r="786" spans="10:53">
      <c r="J786" s="37"/>
      <c r="K786" s="36"/>
      <c r="L786" s="87"/>
      <c r="M786" s="87"/>
      <c r="N786" s="36"/>
      <c r="O786" s="36"/>
      <c r="P786" s="1"/>
      <c r="AD786"/>
      <c r="AG786"/>
      <c r="AN786" s="36"/>
      <c r="AO786" s="37"/>
      <c r="AP786" s="36"/>
      <c r="AQ786" s="36"/>
      <c r="AR786" s="36"/>
      <c r="AS786" s="89"/>
      <c r="AT786" s="87"/>
      <c r="AU786" s="87"/>
      <c r="AV786" s="87"/>
      <c r="AW786" s="87"/>
      <c r="AX786" s="85"/>
      <c r="AY786" s="85"/>
      <c r="AZ786" s="36"/>
      <c r="BA786" s="1"/>
    </row>
    <row r="787" spans="10:53">
      <c r="J787" s="37"/>
      <c r="K787" s="36"/>
      <c r="L787" s="87"/>
      <c r="M787" s="87"/>
      <c r="N787" s="36"/>
      <c r="O787" s="36"/>
      <c r="P787" s="1"/>
      <c r="AD787"/>
      <c r="AG787"/>
      <c r="AN787" s="36"/>
      <c r="AO787" s="37"/>
      <c r="AP787" s="36"/>
      <c r="AQ787" s="36"/>
      <c r="AR787" s="36"/>
      <c r="AS787" s="89"/>
      <c r="AT787" s="87"/>
      <c r="AU787" s="87"/>
      <c r="AV787" s="87"/>
      <c r="AW787" s="87"/>
      <c r="AX787" s="85"/>
      <c r="AY787" s="85"/>
      <c r="AZ787" s="36"/>
      <c r="BA787" s="1"/>
    </row>
    <row r="788" spans="10:53">
      <c r="J788" s="37"/>
      <c r="K788" s="36"/>
      <c r="L788" s="87"/>
      <c r="M788" s="87"/>
      <c r="N788" s="36"/>
      <c r="O788" s="36"/>
      <c r="P788" s="1"/>
      <c r="AD788"/>
      <c r="AG788"/>
      <c r="AN788" s="36"/>
      <c r="AO788" s="37"/>
      <c r="AP788" s="36"/>
      <c r="AQ788" s="36"/>
      <c r="AR788" s="36"/>
      <c r="AS788" s="89"/>
      <c r="AT788" s="87"/>
      <c r="AU788" s="87"/>
      <c r="AV788" s="87"/>
      <c r="AW788" s="87"/>
      <c r="AX788" s="85"/>
      <c r="AY788" s="85"/>
      <c r="AZ788" s="36"/>
      <c r="BA788" s="1"/>
    </row>
    <row r="789" spans="10:53">
      <c r="J789" s="37"/>
      <c r="K789" s="36"/>
      <c r="L789" s="87"/>
      <c r="M789" s="38"/>
      <c r="N789" s="36"/>
      <c r="O789" s="36"/>
      <c r="P789" s="1"/>
      <c r="AD789"/>
      <c r="AG789"/>
      <c r="AN789" s="36"/>
      <c r="AO789" s="37"/>
      <c r="AP789" s="36"/>
      <c r="AQ789" s="36"/>
      <c r="AR789" s="36"/>
      <c r="AS789" s="89"/>
      <c r="AT789" s="87"/>
      <c r="AU789" s="87"/>
      <c r="AV789" s="87"/>
      <c r="AW789" s="87"/>
      <c r="AX789" s="85"/>
      <c r="AY789" s="85"/>
      <c r="AZ789" s="36"/>
      <c r="BA789" s="1"/>
    </row>
    <row r="790" spans="10:53">
      <c r="J790" s="37"/>
      <c r="K790" s="36"/>
      <c r="L790" s="87"/>
      <c r="M790" s="87"/>
      <c r="N790" s="36"/>
      <c r="O790" s="36"/>
      <c r="P790" s="1"/>
      <c r="AD790"/>
      <c r="AG790"/>
      <c r="AN790" s="36"/>
      <c r="AO790" s="37"/>
      <c r="AP790" s="36"/>
      <c r="AQ790" s="36"/>
      <c r="AR790" s="36"/>
      <c r="AS790" s="89"/>
      <c r="AT790" s="87"/>
      <c r="AU790" s="87"/>
      <c r="AV790" s="87"/>
      <c r="AW790" s="87"/>
      <c r="AX790" s="85"/>
      <c r="AY790" s="85"/>
      <c r="AZ790" s="36"/>
      <c r="BA790" s="1"/>
    </row>
    <row r="791" spans="10:53">
      <c r="J791" s="37"/>
      <c r="K791" s="36"/>
      <c r="L791" s="87"/>
      <c r="M791" s="38"/>
      <c r="N791" s="36"/>
      <c r="O791" s="36"/>
      <c r="P791" s="1"/>
      <c r="AD791"/>
      <c r="AG791"/>
      <c r="AN791" s="36"/>
      <c r="AO791" s="37"/>
      <c r="AP791" s="36"/>
      <c r="AQ791" s="36"/>
      <c r="AR791" s="36"/>
      <c r="AS791" s="89"/>
      <c r="AT791" s="87"/>
      <c r="AU791" s="87"/>
      <c r="AV791" s="87"/>
      <c r="AW791" s="87"/>
      <c r="AX791" s="85"/>
      <c r="AY791" s="85"/>
      <c r="AZ791" s="36"/>
      <c r="BA791" s="1"/>
    </row>
    <row r="792" spans="10:53">
      <c r="J792" s="37"/>
      <c r="K792" s="36"/>
      <c r="L792" s="87"/>
      <c r="M792" s="87"/>
      <c r="N792" s="36"/>
      <c r="O792" s="36"/>
      <c r="P792" s="1"/>
      <c r="AD792"/>
      <c r="AG792"/>
      <c r="AN792" s="36"/>
      <c r="AO792" s="37"/>
      <c r="AP792" s="36"/>
      <c r="AQ792" s="36"/>
      <c r="AR792" s="36"/>
      <c r="AS792" s="89"/>
      <c r="AT792" s="87"/>
      <c r="AU792" s="87"/>
      <c r="AV792" s="87"/>
      <c r="AW792" s="38"/>
      <c r="AX792" s="85"/>
      <c r="AY792" s="85"/>
      <c r="AZ792" s="36"/>
      <c r="BA792" s="1"/>
    </row>
    <row r="793" spans="10:53">
      <c r="J793" s="37"/>
      <c r="K793" s="36"/>
      <c r="L793" s="87"/>
      <c r="M793" s="38"/>
      <c r="N793" s="36"/>
      <c r="O793" s="36"/>
      <c r="P793" s="1"/>
      <c r="AD793"/>
      <c r="AG793"/>
      <c r="AN793" s="36"/>
      <c r="AO793" s="37"/>
      <c r="AP793" s="36"/>
      <c r="AQ793" s="36"/>
      <c r="AR793" s="36"/>
      <c r="AS793" s="89"/>
      <c r="AT793" s="87"/>
      <c r="AU793" s="87"/>
      <c r="AV793" s="87"/>
      <c r="AW793" s="38"/>
      <c r="AX793" s="85"/>
      <c r="AY793" s="85"/>
      <c r="AZ793" s="36"/>
      <c r="BA793" s="1"/>
    </row>
    <row r="794" spans="10:53">
      <c r="J794" s="37"/>
      <c r="K794" s="36"/>
      <c r="L794" s="87"/>
      <c r="M794" s="38"/>
      <c r="N794" s="36"/>
      <c r="O794" s="36"/>
      <c r="P794" s="1"/>
      <c r="AD794"/>
      <c r="AG794"/>
      <c r="AN794" s="36"/>
      <c r="AO794" s="37"/>
      <c r="AP794" s="36"/>
      <c r="AQ794" s="36"/>
      <c r="AR794" s="36"/>
      <c r="AS794" s="89"/>
      <c r="AT794" s="87"/>
      <c r="AU794" s="87"/>
      <c r="AV794" s="87"/>
      <c r="AW794" s="38"/>
      <c r="AX794" s="85"/>
      <c r="AY794" s="85"/>
      <c r="AZ794" s="36"/>
      <c r="BA794" s="1"/>
    </row>
    <row r="795" spans="10:53">
      <c r="J795" s="37"/>
      <c r="K795" s="36"/>
      <c r="L795" s="87"/>
      <c r="M795" s="38"/>
      <c r="N795" s="36"/>
      <c r="O795" s="36"/>
      <c r="P795" s="1"/>
      <c r="AD795"/>
      <c r="AG795"/>
      <c r="AN795" s="36"/>
      <c r="AO795" s="37"/>
      <c r="AP795" s="36"/>
      <c r="AQ795" s="36"/>
      <c r="AR795" s="36"/>
      <c r="AS795" s="89"/>
      <c r="AT795" s="87"/>
      <c r="AU795" s="87"/>
      <c r="AV795" s="87"/>
      <c r="AW795" s="38"/>
      <c r="AX795" s="85"/>
      <c r="AY795" s="85"/>
      <c r="AZ795" s="36"/>
      <c r="BA795" s="1"/>
    </row>
    <row r="796" spans="10:53">
      <c r="J796" s="37"/>
      <c r="K796" s="36"/>
      <c r="L796" s="87"/>
      <c r="M796" s="38"/>
      <c r="N796" s="36"/>
      <c r="O796" s="36"/>
      <c r="P796" s="1"/>
      <c r="AD796"/>
      <c r="AG796"/>
      <c r="AN796" s="36"/>
      <c r="AO796" s="37"/>
      <c r="AP796" s="36"/>
      <c r="AQ796" s="36"/>
      <c r="AR796" s="36"/>
      <c r="AS796" s="89"/>
      <c r="AT796" s="87"/>
      <c r="AU796" s="87"/>
      <c r="AV796" s="87"/>
      <c r="AW796" s="87"/>
      <c r="AX796" s="85"/>
      <c r="AY796" s="85"/>
      <c r="AZ796" s="36"/>
      <c r="BA796" s="1"/>
    </row>
    <row r="797" spans="10:53">
      <c r="J797" s="37"/>
      <c r="K797" s="36"/>
      <c r="L797" s="87"/>
      <c r="M797" s="87"/>
      <c r="N797" s="36"/>
      <c r="O797" s="36"/>
      <c r="P797" s="1"/>
      <c r="AD797"/>
      <c r="AG797"/>
      <c r="AN797" s="36"/>
      <c r="AO797" s="37"/>
      <c r="AP797" s="36"/>
      <c r="AQ797" s="36"/>
      <c r="AR797" s="36"/>
      <c r="AS797" s="89"/>
      <c r="AT797" s="87"/>
      <c r="AU797" s="87"/>
      <c r="AV797" s="87"/>
      <c r="AW797" s="38"/>
      <c r="AX797" s="85"/>
      <c r="AY797" s="85"/>
      <c r="AZ797" s="36"/>
      <c r="BA797" s="1"/>
    </row>
    <row r="798" spans="10:53">
      <c r="J798" s="37"/>
      <c r="K798" s="36"/>
      <c r="L798" s="87"/>
      <c r="M798" s="38"/>
      <c r="N798" s="36"/>
      <c r="O798" s="36"/>
      <c r="P798" s="1"/>
      <c r="AD798"/>
      <c r="AG798"/>
      <c r="AN798" s="36"/>
      <c r="AO798" s="37"/>
      <c r="AP798" s="36"/>
      <c r="AQ798" s="36"/>
      <c r="AR798" s="36"/>
      <c r="AS798" s="89"/>
      <c r="AT798" s="87"/>
      <c r="AU798" s="87"/>
      <c r="AV798" s="87"/>
      <c r="AW798" s="87"/>
      <c r="AX798" s="85"/>
      <c r="AY798" s="85"/>
      <c r="AZ798" s="36"/>
      <c r="BA798" s="1"/>
    </row>
    <row r="799" spans="10:53">
      <c r="J799" s="37"/>
      <c r="K799" s="36"/>
      <c r="L799" s="87"/>
      <c r="M799" s="38"/>
      <c r="N799" s="36"/>
      <c r="O799" s="36"/>
      <c r="P799" s="1"/>
      <c r="AD799"/>
      <c r="AG799"/>
      <c r="AN799" s="36"/>
      <c r="AO799" s="37"/>
      <c r="AP799" s="36"/>
      <c r="AQ799" s="36"/>
      <c r="AR799" s="36"/>
      <c r="AS799" s="89"/>
      <c r="AT799" s="87"/>
      <c r="AU799" s="87"/>
      <c r="AV799" s="87"/>
      <c r="AW799" s="87"/>
      <c r="AX799" s="85"/>
      <c r="AY799" s="85"/>
      <c r="AZ799" s="36"/>
      <c r="BA799" s="1"/>
    </row>
    <row r="800" spans="10:53">
      <c r="J800" s="37"/>
      <c r="K800" s="36"/>
      <c r="L800" s="87"/>
      <c r="M800" s="87"/>
      <c r="N800" s="36"/>
      <c r="O800" s="36"/>
      <c r="P800" s="1"/>
      <c r="AD800"/>
      <c r="AG800"/>
      <c r="AN800" s="36"/>
      <c r="AO800" s="37"/>
      <c r="AP800" s="36"/>
      <c r="AQ800" s="36"/>
      <c r="AR800" s="36"/>
      <c r="AS800" s="89"/>
      <c r="AT800" s="87"/>
      <c r="AU800" s="87"/>
      <c r="AV800" s="87"/>
      <c r="AW800" s="87"/>
      <c r="AX800" s="85"/>
      <c r="AY800" s="85"/>
      <c r="AZ800" s="36"/>
      <c r="BA800" s="1"/>
    </row>
    <row r="801" spans="10:53">
      <c r="J801" s="37"/>
      <c r="K801" s="36"/>
      <c r="L801" s="87"/>
      <c r="M801" s="38"/>
      <c r="N801" s="36"/>
      <c r="O801" s="36"/>
      <c r="P801" s="1"/>
      <c r="AD801"/>
      <c r="AG801"/>
      <c r="AN801" s="36"/>
      <c r="AO801" s="37"/>
      <c r="AP801" s="36"/>
      <c r="AQ801" s="36"/>
      <c r="AR801" s="36"/>
      <c r="AS801" s="89"/>
      <c r="AT801" s="87"/>
      <c r="AU801" s="87"/>
      <c r="AV801" s="87"/>
      <c r="AW801" s="38"/>
      <c r="AX801" s="85"/>
      <c r="AY801" s="85"/>
      <c r="AZ801" s="36"/>
      <c r="BA801" s="1"/>
    </row>
    <row r="802" spans="10:53">
      <c r="J802" s="37"/>
      <c r="K802" s="36"/>
      <c r="L802" s="87"/>
      <c r="M802" s="87"/>
      <c r="N802" s="36"/>
      <c r="O802" s="36"/>
      <c r="P802" s="1"/>
      <c r="AD802"/>
      <c r="AG802"/>
      <c r="AN802" s="36"/>
      <c r="AO802" s="37"/>
      <c r="AP802" s="36"/>
      <c r="AQ802" s="36"/>
      <c r="AR802" s="36"/>
      <c r="AS802" s="89"/>
      <c r="AT802" s="87"/>
      <c r="AU802" s="87"/>
      <c r="AV802" s="87"/>
      <c r="AW802" s="38"/>
      <c r="AX802" s="85"/>
      <c r="AY802" s="85"/>
      <c r="AZ802" s="36"/>
      <c r="BA802" s="1"/>
    </row>
    <row r="803" spans="10:53">
      <c r="J803" s="37"/>
      <c r="K803" s="36"/>
      <c r="L803" s="87"/>
      <c r="M803" s="87"/>
      <c r="N803" s="36"/>
      <c r="O803" s="36"/>
      <c r="P803" s="1"/>
      <c r="AD803"/>
      <c r="AG803"/>
      <c r="AN803" s="36"/>
      <c r="AO803" s="37"/>
      <c r="AP803" s="36"/>
      <c r="AQ803" s="36"/>
      <c r="AR803" s="36"/>
      <c r="AS803" s="89"/>
      <c r="AT803" s="87"/>
      <c r="AU803" s="87"/>
      <c r="AV803" s="87"/>
      <c r="AW803" s="38"/>
      <c r="AX803" s="85"/>
      <c r="AY803" s="85"/>
      <c r="AZ803" s="36"/>
      <c r="BA803" s="1"/>
    </row>
    <row r="804" spans="10:53">
      <c r="J804" s="37"/>
      <c r="K804" s="36"/>
      <c r="L804" s="87"/>
      <c r="M804" s="38"/>
      <c r="N804" s="36"/>
      <c r="O804" s="36"/>
      <c r="P804" s="1"/>
      <c r="AD804"/>
      <c r="AG804"/>
      <c r="AN804" s="36"/>
      <c r="AO804" s="37"/>
      <c r="AP804" s="36"/>
      <c r="AQ804" s="36"/>
      <c r="AR804" s="36"/>
      <c r="AS804" s="89"/>
      <c r="AT804" s="87"/>
      <c r="AU804" s="87"/>
      <c r="AV804" s="87"/>
      <c r="AW804" s="38"/>
      <c r="AX804" s="85"/>
      <c r="AY804" s="85"/>
      <c r="AZ804" s="36"/>
      <c r="BA804" s="1"/>
    </row>
    <row r="805" spans="10:53">
      <c r="J805" s="37"/>
      <c r="K805" s="36"/>
      <c r="L805" s="87"/>
      <c r="M805" s="87"/>
      <c r="N805" s="36"/>
      <c r="O805" s="36"/>
      <c r="P805" s="1"/>
      <c r="AD805"/>
      <c r="AG805"/>
      <c r="AN805" s="36"/>
      <c r="AO805" s="37"/>
      <c r="AP805" s="36"/>
      <c r="AQ805" s="36"/>
      <c r="AR805" s="36"/>
      <c r="AS805" s="89"/>
      <c r="AT805" s="87"/>
      <c r="AU805" s="87"/>
      <c r="AV805" s="87"/>
      <c r="AW805" s="38"/>
      <c r="AX805" s="85"/>
      <c r="AY805" s="85"/>
      <c r="AZ805" s="36"/>
      <c r="BA805" s="1"/>
    </row>
    <row r="806" spans="10:53">
      <c r="J806" s="37"/>
      <c r="K806" s="36"/>
      <c r="L806" s="87"/>
      <c r="M806" s="38"/>
      <c r="N806" s="36"/>
      <c r="O806" s="36"/>
      <c r="P806" s="1"/>
      <c r="AD806"/>
      <c r="AG806"/>
      <c r="AN806" s="36"/>
      <c r="AO806" s="37"/>
      <c r="AP806" s="36"/>
      <c r="AQ806" s="36"/>
      <c r="AR806" s="36"/>
      <c r="AS806" s="89"/>
      <c r="AT806" s="87"/>
      <c r="AU806" s="87"/>
      <c r="AV806" s="87"/>
      <c r="AW806" s="38"/>
      <c r="AX806" s="85"/>
      <c r="AY806" s="85"/>
      <c r="AZ806" s="36"/>
      <c r="BA806" s="1"/>
    </row>
    <row r="807" spans="10:53">
      <c r="J807" s="37"/>
      <c r="K807" s="36"/>
      <c r="L807" s="87"/>
      <c r="M807" s="38"/>
      <c r="N807" s="36"/>
      <c r="O807" s="36"/>
      <c r="P807" s="1"/>
      <c r="AD807"/>
      <c r="AG807"/>
      <c r="AN807" s="36"/>
      <c r="AO807" s="37"/>
      <c r="AP807" s="36"/>
      <c r="AQ807" s="36"/>
      <c r="AR807" s="36"/>
      <c r="AS807" s="89"/>
      <c r="AT807" s="87"/>
      <c r="AU807" s="87"/>
      <c r="AV807" s="87"/>
      <c r="AW807" s="38"/>
      <c r="AX807" s="85"/>
      <c r="AY807" s="85"/>
      <c r="AZ807" s="36"/>
      <c r="BA807" s="1"/>
    </row>
    <row r="808" spans="10:53">
      <c r="J808" s="37"/>
      <c r="K808" s="36"/>
      <c r="L808" s="87"/>
      <c r="M808" s="38"/>
      <c r="N808" s="36"/>
      <c r="O808" s="36"/>
      <c r="P808" s="1"/>
      <c r="AD808"/>
      <c r="AG808"/>
      <c r="AN808" s="36"/>
      <c r="AO808" s="37"/>
      <c r="AP808" s="36"/>
      <c r="AQ808" s="36"/>
      <c r="AR808" s="36"/>
      <c r="AS808" s="89"/>
      <c r="AT808" s="87"/>
      <c r="AU808" s="87"/>
      <c r="AV808" s="87"/>
      <c r="AW808" s="38"/>
      <c r="AX808" s="85"/>
      <c r="AY808" s="85"/>
      <c r="AZ808" s="36"/>
      <c r="BA808" s="1"/>
    </row>
    <row r="809" spans="10:53">
      <c r="J809" s="37"/>
      <c r="K809" s="36"/>
      <c r="L809" s="87"/>
      <c r="M809" s="38"/>
      <c r="N809" s="36"/>
      <c r="O809" s="36"/>
      <c r="P809" s="1"/>
      <c r="AD809"/>
      <c r="AG809"/>
      <c r="AN809" s="36"/>
      <c r="AO809" s="37"/>
      <c r="AP809" s="36"/>
      <c r="AQ809" s="36"/>
      <c r="AR809" s="36"/>
      <c r="AS809" s="89"/>
      <c r="AT809" s="87"/>
      <c r="AU809" s="87"/>
      <c r="AV809" s="87"/>
      <c r="AW809" s="38"/>
      <c r="AX809" s="85"/>
      <c r="AY809" s="85"/>
      <c r="AZ809" s="36"/>
      <c r="BA809" s="1"/>
    </row>
    <row r="810" spans="10:53">
      <c r="J810" s="37"/>
      <c r="K810" s="36"/>
      <c r="L810" s="87"/>
      <c r="M810" s="87"/>
      <c r="N810" s="36"/>
      <c r="O810" s="36"/>
      <c r="P810" s="1"/>
      <c r="AD810"/>
      <c r="AG810"/>
      <c r="AN810" s="36"/>
      <c r="AO810" s="37"/>
      <c r="AP810" s="36"/>
      <c r="AQ810" s="36"/>
      <c r="AR810" s="36"/>
      <c r="AS810" s="89"/>
      <c r="AT810" s="87"/>
      <c r="AU810" s="87"/>
      <c r="AV810" s="87"/>
      <c r="AW810" s="38"/>
      <c r="AX810" s="85"/>
      <c r="AY810" s="85"/>
      <c r="AZ810" s="36"/>
      <c r="BA810" s="1"/>
    </row>
    <row r="811" spans="10:53">
      <c r="J811" s="37"/>
      <c r="K811" s="36"/>
      <c r="L811" s="87"/>
      <c r="M811" s="38"/>
      <c r="N811" s="36"/>
      <c r="O811" s="36"/>
      <c r="P811" s="1"/>
      <c r="AD811"/>
      <c r="AG811"/>
      <c r="AN811" s="36"/>
      <c r="AO811" s="37"/>
      <c r="AP811" s="36"/>
      <c r="AQ811" s="36"/>
      <c r="AR811" s="36"/>
      <c r="AS811" s="89"/>
      <c r="AT811" s="87"/>
      <c r="AU811" s="87"/>
      <c r="AV811" s="87"/>
      <c r="AW811" s="38"/>
      <c r="AX811" s="85"/>
      <c r="AY811" s="85"/>
      <c r="AZ811" s="36"/>
      <c r="BA811" s="1"/>
    </row>
    <row r="812" spans="10:53">
      <c r="J812" s="37"/>
      <c r="K812" s="36"/>
      <c r="L812" s="87"/>
      <c r="M812" s="38"/>
      <c r="N812" s="36"/>
      <c r="O812" s="36"/>
      <c r="P812" s="1"/>
      <c r="AD812"/>
      <c r="AG812"/>
      <c r="AN812" s="36"/>
      <c r="AO812" s="37"/>
      <c r="AP812" s="36"/>
      <c r="AQ812" s="36"/>
      <c r="AR812" s="36"/>
      <c r="AS812" s="89"/>
      <c r="AT812" s="87"/>
      <c r="AU812" s="87"/>
      <c r="AV812" s="87"/>
      <c r="AW812" s="38"/>
      <c r="AX812" s="85"/>
      <c r="AY812" s="85"/>
      <c r="AZ812" s="36"/>
      <c r="BA812" s="1"/>
    </row>
    <row r="813" spans="10:53">
      <c r="J813" s="37"/>
      <c r="K813" s="36"/>
      <c r="L813" s="87"/>
      <c r="M813" s="38"/>
      <c r="N813" s="36"/>
      <c r="O813" s="36"/>
      <c r="P813" s="1"/>
      <c r="AD813"/>
      <c r="AG813"/>
      <c r="AN813" s="36"/>
      <c r="AO813" s="37"/>
      <c r="AP813" s="36"/>
      <c r="AQ813" s="36"/>
      <c r="AR813" s="36"/>
      <c r="AS813" s="89"/>
      <c r="AT813" s="87"/>
      <c r="AU813" s="87"/>
      <c r="AV813" s="87"/>
      <c r="AW813" s="38"/>
      <c r="AX813" s="85"/>
      <c r="AY813" s="85"/>
      <c r="AZ813" s="36"/>
      <c r="BA813" s="1"/>
    </row>
    <row r="814" spans="10:53">
      <c r="J814" s="37"/>
      <c r="K814" s="36"/>
      <c r="L814" s="87"/>
      <c r="M814" s="38"/>
      <c r="N814" s="36"/>
      <c r="O814" s="36"/>
      <c r="P814" s="1"/>
      <c r="AD814"/>
      <c r="AG814"/>
      <c r="AN814" s="36"/>
      <c r="AO814" s="37"/>
      <c r="AP814" s="36"/>
      <c r="AQ814" s="36"/>
      <c r="AR814" s="36"/>
      <c r="AS814" s="89"/>
      <c r="AT814" s="87"/>
      <c r="AU814" s="87"/>
      <c r="AV814" s="87"/>
      <c r="AW814" s="38"/>
      <c r="AX814" s="85"/>
      <c r="AY814" s="85"/>
      <c r="AZ814" s="36"/>
      <c r="BA814" s="1"/>
    </row>
    <row r="815" spans="10:53">
      <c r="J815" s="37"/>
      <c r="K815" s="36"/>
      <c r="L815" s="87"/>
      <c r="M815" s="87"/>
      <c r="N815" s="36"/>
      <c r="O815" s="36"/>
      <c r="P815" s="1"/>
      <c r="AD815"/>
      <c r="AG815"/>
      <c r="AN815" s="36"/>
      <c r="AO815" s="37"/>
      <c r="AP815" s="36"/>
      <c r="AQ815" s="36"/>
      <c r="AR815" s="36"/>
      <c r="AS815" s="89"/>
      <c r="AT815" s="87"/>
      <c r="AU815" s="87"/>
      <c r="AV815" s="87"/>
      <c r="AW815" s="38"/>
      <c r="AX815" s="85"/>
      <c r="AY815" s="85"/>
      <c r="AZ815" s="36"/>
      <c r="BA815" s="1"/>
    </row>
    <row r="816" spans="10:53">
      <c r="J816" s="37"/>
      <c r="K816" s="36"/>
      <c r="L816" s="87"/>
      <c r="M816" s="38"/>
      <c r="N816" s="36"/>
      <c r="O816" s="36"/>
      <c r="P816" s="1"/>
      <c r="AD816"/>
      <c r="AG816"/>
      <c r="AN816" s="36"/>
      <c r="AO816" s="37"/>
      <c r="AP816" s="36"/>
      <c r="AQ816" s="36"/>
      <c r="AR816" s="36"/>
      <c r="AS816" s="89"/>
      <c r="AT816" s="87"/>
      <c r="AU816" s="87"/>
      <c r="AV816" s="87"/>
      <c r="AW816" s="38"/>
      <c r="AX816" s="85"/>
      <c r="AY816" s="85"/>
      <c r="AZ816" s="36"/>
      <c r="BA816" s="1"/>
    </row>
    <row r="817" spans="10:53">
      <c r="J817" s="37"/>
      <c r="K817" s="36"/>
      <c r="L817" s="87"/>
      <c r="M817" s="87"/>
      <c r="N817" s="36"/>
      <c r="O817" s="36"/>
      <c r="P817" s="1"/>
      <c r="AD817"/>
      <c r="AG817"/>
      <c r="AN817" s="36"/>
      <c r="AO817" s="37"/>
      <c r="AP817" s="36"/>
      <c r="AQ817" s="36"/>
      <c r="AR817" s="36"/>
      <c r="AS817" s="89"/>
      <c r="AT817" s="87"/>
      <c r="AU817" s="87"/>
      <c r="AV817" s="87"/>
      <c r="AW817" s="38"/>
      <c r="AX817" s="85"/>
      <c r="AY817" s="85"/>
      <c r="AZ817" s="36"/>
      <c r="BA817" s="1"/>
    </row>
    <row r="818" spans="10:53">
      <c r="J818" s="37"/>
      <c r="K818" s="36"/>
      <c r="L818" s="87"/>
      <c r="M818" s="87"/>
      <c r="N818" s="36"/>
      <c r="O818" s="36"/>
      <c r="P818" s="1"/>
      <c r="AD818"/>
      <c r="AG818"/>
      <c r="AN818" s="36"/>
      <c r="AO818" s="37"/>
      <c r="AP818" s="36"/>
      <c r="AQ818" s="36"/>
      <c r="AR818" s="36"/>
      <c r="AS818" s="89"/>
      <c r="AT818" s="87"/>
      <c r="AU818" s="87"/>
      <c r="AV818" s="87"/>
      <c r="AW818" s="38"/>
      <c r="AX818" s="85"/>
      <c r="AY818" s="85"/>
      <c r="AZ818" s="36"/>
      <c r="BA818" s="1"/>
    </row>
    <row r="819" spans="10:53">
      <c r="J819" s="37"/>
      <c r="K819" s="36"/>
      <c r="L819" s="87"/>
      <c r="M819" s="38"/>
      <c r="N819" s="36"/>
      <c r="O819" s="36"/>
      <c r="P819" s="1"/>
      <c r="AD819"/>
      <c r="AG819"/>
      <c r="AN819" s="36"/>
      <c r="AO819" s="37"/>
      <c r="AP819" s="36"/>
      <c r="AQ819" s="36"/>
      <c r="AR819" s="36"/>
      <c r="AS819" s="89"/>
      <c r="AT819" s="87"/>
      <c r="AU819" s="87"/>
      <c r="AV819" s="87"/>
      <c r="AW819" s="38"/>
      <c r="AX819" s="85"/>
      <c r="AY819" s="85"/>
      <c r="AZ819" s="36"/>
      <c r="BA819" s="1"/>
    </row>
    <row r="820" spans="10:53">
      <c r="J820" s="37"/>
      <c r="K820" s="36"/>
      <c r="L820" s="87"/>
      <c r="M820" s="38"/>
      <c r="N820" s="36"/>
      <c r="O820" s="36"/>
      <c r="P820" s="1"/>
      <c r="AD820"/>
      <c r="AG820"/>
      <c r="AN820" s="36"/>
      <c r="AO820" s="37"/>
      <c r="AP820" s="36"/>
      <c r="AQ820" s="36"/>
      <c r="AR820" s="36"/>
      <c r="AS820" s="89"/>
      <c r="AT820" s="87"/>
      <c r="AU820" s="87"/>
      <c r="AV820" s="87"/>
      <c r="AW820" s="38"/>
      <c r="AX820" s="85"/>
      <c r="AY820" s="85"/>
      <c r="AZ820" s="36"/>
      <c r="BA820" s="1"/>
    </row>
    <row r="821" spans="10:53">
      <c r="J821" s="37"/>
      <c r="K821" s="36"/>
      <c r="L821" s="87"/>
      <c r="M821" s="38"/>
      <c r="N821" s="36"/>
      <c r="O821" s="36"/>
      <c r="P821" s="1"/>
      <c r="AD821"/>
      <c r="AG821"/>
      <c r="AN821" s="36"/>
      <c r="AO821" s="37"/>
      <c r="AP821" s="36"/>
      <c r="AQ821" s="36"/>
      <c r="AR821" s="36"/>
      <c r="AS821" s="89"/>
      <c r="AT821" s="87"/>
      <c r="AU821" s="87"/>
      <c r="AV821" s="87"/>
      <c r="AW821" s="38"/>
      <c r="AX821" s="85"/>
      <c r="AY821" s="85"/>
      <c r="AZ821" s="36"/>
      <c r="BA821" s="1"/>
    </row>
    <row r="822" spans="10:53">
      <c r="J822" s="37"/>
      <c r="K822" s="36"/>
      <c r="L822" s="87"/>
      <c r="M822" s="38"/>
      <c r="N822" s="36"/>
      <c r="O822" s="36"/>
      <c r="P822" s="1"/>
      <c r="AD822"/>
      <c r="AG822"/>
      <c r="AN822" s="36"/>
      <c r="AO822" s="37"/>
      <c r="AP822" s="36"/>
      <c r="AQ822" s="36"/>
      <c r="AR822" s="36"/>
      <c r="AS822" s="89"/>
      <c r="AT822" s="87"/>
      <c r="AU822" s="87"/>
      <c r="AV822" s="87"/>
      <c r="AW822" s="38"/>
      <c r="AX822" s="85"/>
      <c r="AY822" s="85"/>
      <c r="AZ822" s="36"/>
      <c r="BA822" s="1"/>
    </row>
    <row r="823" spans="10:53">
      <c r="J823" s="37"/>
      <c r="K823" s="36"/>
      <c r="L823" s="87"/>
      <c r="M823" s="38"/>
      <c r="N823" s="36"/>
      <c r="O823" s="36"/>
      <c r="P823" s="1"/>
      <c r="AD823"/>
      <c r="AG823"/>
      <c r="AN823" s="36"/>
      <c r="AO823" s="37"/>
      <c r="AP823" s="36"/>
      <c r="AQ823" s="36"/>
      <c r="AR823" s="36"/>
      <c r="AS823" s="89"/>
      <c r="AT823" s="87"/>
      <c r="AU823" s="87"/>
      <c r="AV823" s="87"/>
      <c r="AW823" s="38"/>
      <c r="AX823" s="85"/>
      <c r="AY823" s="85"/>
      <c r="AZ823" s="36"/>
      <c r="BA823" s="1"/>
    </row>
    <row r="824" spans="10:53">
      <c r="J824" s="37"/>
      <c r="K824" s="36"/>
      <c r="L824" s="87"/>
      <c r="M824" s="87"/>
      <c r="N824" s="36"/>
      <c r="O824" s="36"/>
      <c r="P824" s="1"/>
      <c r="AD824"/>
      <c r="AG824"/>
      <c r="AN824" s="36"/>
      <c r="AO824" s="37"/>
      <c r="AP824" s="36"/>
      <c r="AQ824" s="36"/>
      <c r="AR824" s="36"/>
      <c r="AS824" s="89"/>
      <c r="AT824" s="87"/>
      <c r="AU824" s="87"/>
      <c r="AV824" s="87"/>
      <c r="AW824" s="38"/>
      <c r="AX824" s="85"/>
      <c r="AY824" s="85"/>
      <c r="AZ824" s="36"/>
      <c r="BA824" s="1"/>
    </row>
    <row r="825" spans="10:53">
      <c r="J825" s="37"/>
      <c r="K825" s="36"/>
      <c r="L825" s="87"/>
      <c r="M825" s="38"/>
      <c r="N825" s="36"/>
      <c r="O825" s="36"/>
      <c r="P825" s="1"/>
      <c r="AD825"/>
      <c r="AG825"/>
      <c r="AN825" s="36"/>
      <c r="AO825" s="37"/>
      <c r="AP825" s="36"/>
      <c r="AQ825" s="36"/>
      <c r="AR825" s="36"/>
      <c r="AS825" s="89"/>
      <c r="AT825" s="87"/>
      <c r="AU825" s="87"/>
      <c r="AV825" s="87"/>
      <c r="AW825" s="38"/>
      <c r="AX825" s="85"/>
      <c r="AY825" s="85"/>
      <c r="AZ825" s="36"/>
      <c r="BA825" s="1"/>
    </row>
    <row r="826" spans="10:53">
      <c r="J826" s="37"/>
      <c r="K826" s="36"/>
      <c r="L826" s="87"/>
      <c r="M826" s="38"/>
      <c r="N826" s="36"/>
      <c r="O826" s="36"/>
      <c r="P826" s="1"/>
      <c r="AD826"/>
      <c r="AG826"/>
      <c r="AN826" s="36"/>
      <c r="AO826" s="37"/>
      <c r="AP826" s="36"/>
      <c r="AQ826" s="36"/>
      <c r="AR826" s="36"/>
      <c r="AS826" s="89"/>
      <c r="AT826" s="87"/>
      <c r="AU826" s="87"/>
      <c r="AV826" s="87"/>
      <c r="AW826" s="38"/>
      <c r="AX826" s="85"/>
      <c r="AY826" s="85"/>
      <c r="AZ826" s="36"/>
      <c r="BA826" s="1"/>
    </row>
    <row r="827" spans="10:53">
      <c r="J827" s="37"/>
      <c r="K827" s="36"/>
      <c r="L827" s="87"/>
      <c r="M827" s="38"/>
      <c r="N827" s="36"/>
      <c r="O827" s="36"/>
      <c r="P827" s="1"/>
      <c r="AD827"/>
      <c r="AG827"/>
      <c r="AN827" s="36"/>
      <c r="AO827" s="37"/>
      <c r="AP827" s="36"/>
      <c r="AQ827" s="36"/>
      <c r="AR827" s="36"/>
      <c r="AS827" s="89"/>
      <c r="AT827" s="87"/>
      <c r="AU827" s="87"/>
      <c r="AV827" s="87"/>
      <c r="AW827" s="38"/>
      <c r="AX827" s="85"/>
      <c r="AY827" s="85"/>
      <c r="AZ827" s="36"/>
      <c r="BA827" s="1"/>
    </row>
    <row r="828" spans="10:53">
      <c r="J828" s="37"/>
      <c r="K828" s="36"/>
      <c r="L828" s="87"/>
      <c r="M828" s="38"/>
      <c r="N828" s="36"/>
      <c r="O828" s="36"/>
      <c r="P828" s="1"/>
      <c r="AD828"/>
      <c r="AG828"/>
      <c r="AN828" s="36"/>
      <c r="AO828" s="37"/>
      <c r="AP828" s="36"/>
      <c r="AQ828" s="36"/>
      <c r="AR828" s="36"/>
      <c r="AS828" s="89"/>
      <c r="AT828" s="87"/>
      <c r="AU828" s="87"/>
      <c r="AV828" s="87"/>
      <c r="AW828" s="38"/>
      <c r="AX828" s="85"/>
      <c r="AY828" s="85"/>
      <c r="AZ828" s="36"/>
      <c r="BA828" s="1"/>
    </row>
    <row r="829" spans="10:53">
      <c r="J829" s="37"/>
      <c r="K829" s="36"/>
      <c r="L829" s="87"/>
      <c r="M829" s="87"/>
      <c r="N829" s="36"/>
      <c r="O829" s="36"/>
      <c r="P829" s="1"/>
      <c r="AD829"/>
      <c r="AG829"/>
      <c r="AN829" s="36"/>
      <c r="AO829" s="37"/>
      <c r="AP829" s="36"/>
      <c r="AQ829" s="36"/>
      <c r="AR829" s="36"/>
      <c r="AS829" s="89"/>
      <c r="AT829" s="87"/>
      <c r="AU829" s="87"/>
      <c r="AV829" s="87"/>
      <c r="AW829" s="38"/>
      <c r="AX829" s="85"/>
      <c r="AY829" s="85"/>
      <c r="AZ829" s="36"/>
      <c r="BA829" s="1"/>
    </row>
    <row r="830" spans="10:53">
      <c r="J830" s="37"/>
      <c r="K830" s="36"/>
      <c r="L830" s="87"/>
      <c r="M830" s="38"/>
      <c r="N830" s="36"/>
      <c r="O830" s="36"/>
      <c r="P830" s="1"/>
      <c r="AD830"/>
      <c r="AG830"/>
      <c r="AN830" s="36"/>
      <c r="AO830" s="37"/>
      <c r="AP830" s="36"/>
      <c r="AQ830" s="36"/>
      <c r="AR830" s="36"/>
      <c r="AS830" s="89"/>
      <c r="AT830" s="87"/>
      <c r="AU830" s="87"/>
      <c r="AV830" s="87"/>
      <c r="AW830" s="38"/>
      <c r="AX830" s="85"/>
      <c r="AY830" s="85"/>
      <c r="AZ830" s="36"/>
      <c r="BA830" s="1"/>
    </row>
    <row r="831" spans="10:53">
      <c r="J831" s="37"/>
      <c r="K831" s="36"/>
      <c r="L831" s="87"/>
      <c r="M831" s="87"/>
      <c r="N831" s="36"/>
      <c r="O831" s="36"/>
      <c r="P831" s="1"/>
      <c r="AD831"/>
      <c r="AG831"/>
      <c r="AN831" s="36"/>
      <c r="AO831" s="37"/>
      <c r="AP831" s="36"/>
      <c r="AQ831" s="36"/>
      <c r="AR831" s="36"/>
      <c r="AS831" s="89"/>
      <c r="AT831" s="87"/>
      <c r="AU831" s="87"/>
      <c r="AV831" s="87"/>
      <c r="AW831" s="38"/>
      <c r="AX831" s="85"/>
      <c r="AY831" s="85"/>
      <c r="AZ831" s="36"/>
      <c r="BA831" s="1"/>
    </row>
    <row r="832" spans="10:53">
      <c r="J832" s="37"/>
      <c r="K832" s="36"/>
      <c r="L832" s="87"/>
      <c r="M832" s="87"/>
      <c r="N832" s="36"/>
      <c r="O832" s="36"/>
      <c r="P832" s="1"/>
      <c r="AD832"/>
      <c r="AG832"/>
      <c r="AN832" s="36"/>
      <c r="AO832" s="37"/>
      <c r="AP832" s="36"/>
      <c r="AQ832" s="36"/>
      <c r="AR832" s="36"/>
      <c r="AS832" s="89"/>
      <c r="AT832" s="87"/>
      <c r="AU832" s="87"/>
      <c r="AV832" s="87"/>
      <c r="AW832" s="38"/>
      <c r="AX832" s="85"/>
      <c r="AY832" s="85"/>
      <c r="AZ832" s="36"/>
      <c r="BA832" s="1"/>
    </row>
    <row r="833" spans="10:53">
      <c r="J833" s="37"/>
      <c r="K833" s="36"/>
      <c r="L833" s="87"/>
      <c r="M833" s="87"/>
      <c r="N833" s="36"/>
      <c r="O833" s="36"/>
      <c r="P833" s="1"/>
      <c r="AD833"/>
      <c r="AG833"/>
      <c r="AN833" s="36"/>
      <c r="AO833" s="37"/>
      <c r="AP833" s="36"/>
      <c r="AQ833" s="36"/>
      <c r="AR833" s="36"/>
      <c r="AS833" s="89"/>
      <c r="AT833" s="87"/>
      <c r="AU833" s="87"/>
      <c r="AV833" s="87"/>
      <c r="AW833" s="38"/>
      <c r="AX833" s="85"/>
      <c r="AY833" s="85"/>
      <c r="AZ833" s="36"/>
      <c r="BA833" s="1"/>
    </row>
    <row r="834" spans="10:53">
      <c r="J834" s="37"/>
      <c r="K834" s="36"/>
      <c r="L834" s="87"/>
      <c r="M834" s="87"/>
      <c r="N834" s="36"/>
      <c r="O834" s="36"/>
      <c r="P834" s="1"/>
      <c r="AD834"/>
      <c r="AG834"/>
      <c r="AN834" s="36"/>
      <c r="AO834" s="37"/>
      <c r="AP834" s="36"/>
      <c r="AQ834" s="36"/>
      <c r="AR834" s="36"/>
      <c r="AS834" s="89"/>
      <c r="AT834" s="87"/>
      <c r="AU834" s="87"/>
      <c r="AV834" s="87"/>
      <c r="AW834" s="38"/>
      <c r="AX834" s="85"/>
      <c r="AY834" s="85"/>
      <c r="AZ834" s="36"/>
      <c r="BA834" s="1"/>
    </row>
    <row r="835" spans="10:53">
      <c r="J835" s="37"/>
      <c r="K835" s="36"/>
      <c r="L835" s="87"/>
      <c r="M835" s="38"/>
      <c r="N835" s="36"/>
      <c r="O835" s="36"/>
      <c r="P835" s="1"/>
      <c r="AD835"/>
      <c r="AG835"/>
      <c r="AN835" s="36"/>
      <c r="AO835" s="37"/>
      <c r="AP835" s="36"/>
      <c r="AQ835" s="36"/>
      <c r="AR835" s="36"/>
      <c r="AS835" s="89"/>
      <c r="AT835" s="87"/>
      <c r="AU835" s="87"/>
      <c r="AV835" s="87"/>
      <c r="AW835" s="38"/>
      <c r="AX835" s="85"/>
      <c r="AY835" s="85"/>
      <c r="AZ835" s="36"/>
      <c r="BA835" s="1"/>
    </row>
    <row r="836" spans="10:53">
      <c r="J836" s="37"/>
      <c r="K836" s="36"/>
      <c r="L836" s="87"/>
      <c r="M836" s="38"/>
      <c r="N836" s="36"/>
      <c r="O836" s="36"/>
      <c r="P836" s="1"/>
      <c r="AD836"/>
      <c r="AG836"/>
      <c r="AN836" s="36"/>
      <c r="AO836" s="37"/>
      <c r="AP836" s="36"/>
      <c r="AQ836" s="36"/>
      <c r="AR836" s="36"/>
      <c r="AS836" s="89"/>
      <c r="AT836" s="87"/>
      <c r="AU836" s="87"/>
      <c r="AV836" s="87"/>
      <c r="AW836" s="38"/>
      <c r="AX836" s="85"/>
      <c r="AY836" s="85"/>
      <c r="AZ836" s="36"/>
      <c r="BA836" s="1"/>
    </row>
    <row r="837" spans="10:53">
      <c r="J837" s="37"/>
      <c r="K837" s="36"/>
      <c r="L837" s="87"/>
      <c r="M837" s="38"/>
      <c r="N837" s="36"/>
      <c r="O837" s="36"/>
      <c r="P837" s="1"/>
      <c r="AD837"/>
      <c r="AG837"/>
      <c r="AN837" s="36"/>
      <c r="AO837" s="37"/>
      <c r="AP837" s="36"/>
      <c r="AQ837" s="36"/>
      <c r="AR837" s="36"/>
      <c r="AS837" s="89"/>
      <c r="AT837" s="87"/>
      <c r="AU837" s="87"/>
      <c r="AV837" s="87"/>
      <c r="AW837" s="38"/>
      <c r="AX837" s="85"/>
      <c r="AY837" s="85"/>
      <c r="AZ837" s="36"/>
      <c r="BA837" s="1"/>
    </row>
    <row r="838" spans="10:53">
      <c r="J838" s="37"/>
      <c r="K838" s="36"/>
      <c r="L838" s="87"/>
      <c r="M838" s="38"/>
      <c r="N838" s="36"/>
      <c r="O838" s="36"/>
      <c r="P838" s="1"/>
      <c r="AD838"/>
      <c r="AG838"/>
      <c r="AN838" s="36"/>
      <c r="AO838" s="37"/>
      <c r="AP838" s="36"/>
      <c r="AQ838" s="36"/>
      <c r="AR838" s="36"/>
      <c r="AS838" s="89"/>
      <c r="AT838" s="87"/>
      <c r="AU838" s="87"/>
      <c r="AV838" s="87"/>
      <c r="AW838" s="38"/>
      <c r="AX838" s="85"/>
      <c r="AY838" s="85"/>
      <c r="AZ838" s="36"/>
      <c r="BA838" s="1"/>
    </row>
    <row r="839" spans="10:53">
      <c r="J839" s="37"/>
      <c r="K839" s="36"/>
      <c r="L839" s="87"/>
      <c r="M839" s="38"/>
      <c r="N839" s="36"/>
      <c r="O839" s="36"/>
      <c r="P839" s="1"/>
      <c r="AD839"/>
      <c r="AG839"/>
      <c r="AN839" s="36"/>
      <c r="AO839" s="37"/>
      <c r="AP839" s="36"/>
      <c r="AQ839" s="36"/>
      <c r="AR839" s="36"/>
      <c r="AS839" s="89"/>
      <c r="AT839" s="87"/>
      <c r="AU839" s="87"/>
      <c r="AV839" s="87"/>
      <c r="AW839" s="38"/>
      <c r="AX839" s="85"/>
      <c r="AY839" s="85"/>
      <c r="AZ839" s="36"/>
      <c r="BA839" s="1"/>
    </row>
    <row r="840" spans="10:53">
      <c r="J840" s="37"/>
      <c r="K840" s="36"/>
      <c r="L840" s="87"/>
      <c r="M840" s="38"/>
      <c r="N840" s="36"/>
      <c r="O840" s="36"/>
      <c r="P840" s="1"/>
      <c r="AD840"/>
      <c r="AG840"/>
      <c r="AN840" s="36"/>
      <c r="AO840" s="37"/>
      <c r="AP840" s="36"/>
      <c r="AQ840" s="36"/>
      <c r="AR840" s="36"/>
      <c r="AS840" s="89"/>
      <c r="AT840" s="87"/>
      <c r="AU840" s="87"/>
      <c r="AV840" s="87"/>
      <c r="AW840" s="87"/>
      <c r="AX840" s="85"/>
      <c r="AY840" s="85"/>
      <c r="AZ840" s="36"/>
      <c r="BA840" s="1"/>
    </row>
    <row r="841" spans="10:53">
      <c r="J841" s="37"/>
      <c r="K841" s="36"/>
      <c r="L841" s="87"/>
      <c r="M841" s="38"/>
      <c r="N841" s="36"/>
      <c r="O841" s="36"/>
      <c r="P841" s="1"/>
      <c r="AD841"/>
      <c r="AG841"/>
      <c r="AN841" s="36"/>
      <c r="AO841" s="37"/>
      <c r="AP841" s="36"/>
      <c r="AQ841" s="36"/>
      <c r="AR841" s="36"/>
      <c r="AS841" s="89"/>
      <c r="AT841" s="87"/>
      <c r="AU841" s="87"/>
      <c r="AV841" s="87"/>
      <c r="AW841" s="87"/>
      <c r="AX841" s="85"/>
      <c r="AY841" s="85"/>
      <c r="AZ841" s="36"/>
      <c r="BA841" s="1"/>
    </row>
    <row r="842" spans="10:53">
      <c r="J842" s="37"/>
      <c r="K842" s="36"/>
      <c r="L842" s="87"/>
      <c r="M842" s="38"/>
      <c r="N842" s="36"/>
      <c r="O842" s="36"/>
      <c r="P842" s="1"/>
      <c r="AD842"/>
      <c r="AG842"/>
      <c r="AN842" s="36"/>
      <c r="AO842" s="37"/>
      <c r="AP842" s="36"/>
      <c r="AQ842" s="36"/>
      <c r="AR842" s="36"/>
      <c r="AS842" s="89"/>
      <c r="AT842" s="87"/>
      <c r="AU842" s="87"/>
      <c r="AV842" s="87"/>
      <c r="AW842" s="87"/>
      <c r="AX842" s="85"/>
      <c r="AY842" s="85"/>
      <c r="AZ842" s="36"/>
      <c r="BA842" s="1"/>
    </row>
    <row r="843" spans="10:53">
      <c r="J843" s="37"/>
      <c r="K843" s="36"/>
      <c r="L843" s="87"/>
      <c r="M843" s="38"/>
      <c r="N843" s="36"/>
      <c r="O843" s="36"/>
      <c r="P843" s="1"/>
      <c r="AD843"/>
      <c r="AG843"/>
      <c r="AN843" s="36"/>
      <c r="AO843" s="37"/>
      <c r="AP843" s="36"/>
      <c r="AQ843" s="36"/>
      <c r="AR843" s="36"/>
      <c r="AS843" s="89"/>
      <c r="AT843" s="87"/>
      <c r="AU843" s="87"/>
      <c r="AV843" s="87"/>
      <c r="AW843" s="87"/>
      <c r="AX843" s="85"/>
      <c r="AY843" s="85"/>
      <c r="AZ843" s="36"/>
      <c r="BA843" s="1"/>
    </row>
    <row r="844" spans="10:53">
      <c r="J844" s="37"/>
      <c r="K844" s="36"/>
      <c r="L844" s="87"/>
      <c r="M844" s="38"/>
      <c r="N844" s="36"/>
      <c r="O844" s="36"/>
      <c r="P844" s="1"/>
      <c r="AD844"/>
      <c r="AG844"/>
      <c r="AN844" s="36"/>
      <c r="AO844" s="37"/>
      <c r="AP844" s="36"/>
      <c r="AQ844" s="36"/>
      <c r="AR844" s="36"/>
      <c r="AS844" s="89"/>
      <c r="AT844" s="87"/>
      <c r="AU844" s="87"/>
      <c r="AV844" s="87"/>
      <c r="AW844" s="87"/>
      <c r="AX844" s="85"/>
      <c r="AY844" s="85"/>
      <c r="AZ844" s="36"/>
      <c r="BA844" s="1"/>
    </row>
    <row r="845" spans="10:53">
      <c r="J845" s="37"/>
      <c r="K845" s="36"/>
      <c r="L845" s="87"/>
      <c r="M845" s="38"/>
      <c r="N845" s="36"/>
      <c r="O845" s="36"/>
      <c r="P845" s="1"/>
      <c r="AD845"/>
      <c r="AG845"/>
      <c r="AN845" s="36"/>
      <c r="AO845" s="37"/>
      <c r="AP845" s="36"/>
      <c r="AQ845" s="36"/>
      <c r="AR845" s="36"/>
      <c r="AS845" s="89"/>
      <c r="AT845" s="87"/>
      <c r="AU845" s="87"/>
      <c r="AV845" s="87"/>
      <c r="AW845" s="87"/>
      <c r="AX845" s="85"/>
      <c r="AY845" s="85"/>
      <c r="AZ845" s="36"/>
      <c r="BA845" s="1"/>
    </row>
    <row r="846" spans="10:53">
      <c r="J846" s="37"/>
      <c r="K846" s="36"/>
      <c r="L846" s="87"/>
      <c r="M846" s="38"/>
      <c r="N846" s="36"/>
      <c r="O846" s="36"/>
      <c r="P846" s="1"/>
      <c r="AD846"/>
      <c r="AG846"/>
      <c r="AN846" s="36"/>
      <c r="AO846" s="37"/>
      <c r="AP846" s="36"/>
      <c r="AQ846" s="36"/>
      <c r="AR846" s="36"/>
      <c r="AS846" s="89"/>
      <c r="AT846" s="87"/>
      <c r="AU846" s="87"/>
      <c r="AV846" s="87"/>
      <c r="AW846" s="87"/>
      <c r="AX846" s="85"/>
      <c r="AY846" s="85"/>
      <c r="AZ846" s="36"/>
      <c r="BA846" s="1"/>
    </row>
    <row r="847" spans="10:53">
      <c r="J847" s="37"/>
      <c r="K847" s="36"/>
      <c r="L847" s="87"/>
      <c r="M847" s="38"/>
      <c r="N847" s="36"/>
      <c r="O847" s="36"/>
      <c r="P847" s="1"/>
      <c r="AD847"/>
      <c r="AG847"/>
      <c r="AN847" s="36"/>
      <c r="AO847" s="37"/>
      <c r="AP847" s="36"/>
      <c r="AQ847" s="36"/>
      <c r="AR847" s="36"/>
      <c r="AS847" s="89"/>
      <c r="AT847" s="87"/>
      <c r="AU847" s="87"/>
      <c r="AV847" s="87"/>
      <c r="AW847" s="87"/>
      <c r="AX847" s="85"/>
      <c r="AY847" s="85"/>
      <c r="AZ847" s="36"/>
      <c r="BA847" s="1"/>
    </row>
    <row r="848" spans="10:53">
      <c r="J848" s="37"/>
      <c r="K848" s="36"/>
      <c r="L848" s="87"/>
      <c r="M848" s="38"/>
      <c r="N848" s="36"/>
      <c r="O848" s="36"/>
      <c r="P848" s="1"/>
      <c r="AD848"/>
      <c r="AG848"/>
      <c r="AN848" s="36"/>
      <c r="AO848" s="37"/>
      <c r="AP848" s="36"/>
      <c r="AQ848" s="36"/>
      <c r="AR848" s="36"/>
      <c r="AS848" s="89"/>
      <c r="AT848" s="87"/>
      <c r="AU848" s="87"/>
      <c r="AV848" s="87"/>
      <c r="AW848" s="87"/>
      <c r="AX848" s="85"/>
      <c r="AY848" s="85"/>
      <c r="AZ848" s="36"/>
      <c r="BA848" s="1"/>
    </row>
    <row r="849" spans="10:53">
      <c r="J849" s="37"/>
      <c r="K849" s="36"/>
      <c r="L849" s="87"/>
      <c r="M849" s="38"/>
      <c r="N849" s="36"/>
      <c r="O849" s="36"/>
      <c r="P849" s="1"/>
      <c r="AD849"/>
      <c r="AG849"/>
      <c r="AN849" s="36"/>
      <c r="AO849" s="37"/>
      <c r="AP849" s="36"/>
      <c r="AQ849" s="36"/>
      <c r="AR849" s="36"/>
      <c r="AS849" s="89"/>
      <c r="AT849" s="87"/>
      <c r="AU849" s="87"/>
      <c r="AV849" s="87"/>
      <c r="AW849" s="87"/>
      <c r="AX849" s="85"/>
      <c r="AY849" s="85"/>
      <c r="AZ849" s="36"/>
      <c r="BA849" s="1"/>
    </row>
    <row r="850" spans="10:53">
      <c r="J850" s="37"/>
      <c r="K850" s="36"/>
      <c r="L850" s="87"/>
      <c r="M850" s="87"/>
      <c r="N850" s="36"/>
      <c r="O850" s="36"/>
      <c r="P850" s="1"/>
      <c r="AD850"/>
      <c r="AG850"/>
      <c r="AN850" s="36"/>
      <c r="AO850" s="37"/>
      <c r="AP850" s="36"/>
      <c r="AQ850" s="36"/>
      <c r="AR850" s="36"/>
      <c r="AS850" s="89"/>
      <c r="AT850" s="87"/>
      <c r="AU850" s="87"/>
      <c r="AV850" s="87"/>
      <c r="AW850" s="87"/>
      <c r="AX850" s="85"/>
      <c r="AY850" s="85"/>
      <c r="AZ850" s="36"/>
      <c r="BA850" s="1"/>
    </row>
    <row r="851" spans="10:53">
      <c r="J851" s="37"/>
      <c r="K851" s="36"/>
      <c r="L851" s="87"/>
      <c r="M851" s="38"/>
      <c r="N851" s="36"/>
      <c r="O851" s="36"/>
      <c r="P851" s="1"/>
      <c r="AD851"/>
      <c r="AG851"/>
      <c r="AN851" s="36"/>
      <c r="AO851" s="37"/>
      <c r="AP851" s="36"/>
      <c r="AQ851" s="36"/>
      <c r="AR851" s="36"/>
      <c r="AS851" s="89"/>
      <c r="AT851" s="87"/>
      <c r="AU851" s="87"/>
      <c r="AV851" s="87"/>
      <c r="AW851" s="87"/>
      <c r="AX851" s="85"/>
      <c r="AY851" s="85"/>
      <c r="AZ851" s="36"/>
      <c r="BA851" s="1"/>
    </row>
    <row r="852" spans="10:53">
      <c r="J852" s="37"/>
      <c r="K852" s="36"/>
      <c r="L852" s="87"/>
      <c r="M852" s="38"/>
      <c r="N852" s="36"/>
      <c r="O852" s="36"/>
      <c r="P852" s="1"/>
      <c r="AD852"/>
      <c r="AG852"/>
      <c r="AN852" s="36"/>
      <c r="AO852" s="37"/>
      <c r="AP852" s="36"/>
      <c r="AQ852" s="36"/>
      <c r="AR852" s="36"/>
      <c r="AS852" s="89"/>
      <c r="AT852" s="87"/>
      <c r="AU852" s="87"/>
      <c r="AV852" s="87"/>
      <c r="AW852" s="87"/>
      <c r="AX852" s="85"/>
      <c r="AY852" s="85"/>
      <c r="AZ852" s="36"/>
      <c r="BA852" s="1"/>
    </row>
    <row r="853" spans="10:53">
      <c r="J853" s="37"/>
      <c r="K853" s="36"/>
      <c r="L853" s="87"/>
      <c r="M853" s="87"/>
      <c r="N853" s="36"/>
      <c r="O853" s="36"/>
      <c r="P853" s="1"/>
      <c r="AD853"/>
      <c r="AG853"/>
      <c r="AN853" s="36"/>
      <c r="AO853" s="37"/>
      <c r="AP853" s="36"/>
      <c r="AQ853" s="36"/>
      <c r="AR853" s="36"/>
      <c r="AS853" s="89"/>
      <c r="AT853" s="87"/>
      <c r="AU853" s="87"/>
      <c r="AV853" s="87"/>
      <c r="AW853" s="87"/>
      <c r="AX853" s="85"/>
      <c r="AY853" s="85"/>
      <c r="AZ853" s="36"/>
      <c r="BA853" s="1"/>
    </row>
    <row r="854" spans="10:53">
      <c r="J854" s="37"/>
      <c r="K854" s="36"/>
      <c r="L854" s="87"/>
      <c r="M854" s="38"/>
      <c r="N854" s="36"/>
      <c r="O854" s="36"/>
      <c r="P854" s="1"/>
      <c r="AD854"/>
      <c r="AG854"/>
      <c r="AN854" s="36"/>
      <c r="AO854" s="37"/>
      <c r="AP854" s="36"/>
      <c r="AQ854" s="36"/>
      <c r="AR854" s="36"/>
      <c r="AS854" s="89"/>
      <c r="AT854" s="87"/>
      <c r="AU854" s="87"/>
      <c r="AV854" s="87"/>
      <c r="AW854" s="87"/>
      <c r="AX854" s="85"/>
      <c r="AY854" s="85"/>
      <c r="AZ854" s="36"/>
      <c r="BA854" s="1"/>
    </row>
    <row r="855" spans="10:53">
      <c r="J855" s="37"/>
      <c r="K855" s="36"/>
      <c r="L855" s="87"/>
      <c r="M855" s="38"/>
      <c r="N855" s="36"/>
      <c r="O855" s="36"/>
      <c r="P855" s="1"/>
      <c r="AD855"/>
      <c r="AG855"/>
      <c r="AN855" s="36"/>
      <c r="AO855" s="37"/>
      <c r="AP855" s="36"/>
      <c r="AQ855" s="36"/>
      <c r="AR855" s="36"/>
      <c r="AS855" s="89"/>
      <c r="AT855" s="87"/>
      <c r="AU855" s="87"/>
      <c r="AV855" s="87"/>
      <c r="AW855" s="87"/>
      <c r="AX855" s="85"/>
      <c r="AY855" s="85"/>
      <c r="AZ855" s="36"/>
      <c r="BA855" s="1"/>
    </row>
    <row r="856" spans="10:53">
      <c r="J856" s="37"/>
      <c r="K856" s="36"/>
      <c r="L856" s="87"/>
      <c r="M856" s="38"/>
      <c r="N856" s="36"/>
      <c r="O856" s="36"/>
      <c r="P856" s="1"/>
      <c r="AD856"/>
      <c r="AG856"/>
      <c r="AN856" s="36"/>
      <c r="AO856" s="37"/>
      <c r="AP856" s="36"/>
      <c r="AQ856" s="36"/>
      <c r="AR856" s="36"/>
      <c r="AS856" s="89"/>
      <c r="AT856" s="87"/>
      <c r="AU856" s="87"/>
      <c r="AV856" s="87"/>
      <c r="AW856" s="87"/>
      <c r="AX856" s="85"/>
      <c r="AY856" s="85"/>
      <c r="AZ856" s="36"/>
      <c r="BA856" s="1"/>
    </row>
    <row r="857" spans="10:53">
      <c r="J857" s="37"/>
      <c r="K857" s="36"/>
      <c r="L857" s="87"/>
      <c r="M857" s="38"/>
      <c r="N857" s="36"/>
      <c r="O857" s="36"/>
      <c r="P857" s="1"/>
      <c r="AD857"/>
      <c r="AG857"/>
      <c r="AN857" s="36"/>
      <c r="AO857" s="37"/>
      <c r="AP857" s="36"/>
      <c r="AQ857" s="36"/>
      <c r="AR857" s="36"/>
      <c r="AS857" s="89"/>
      <c r="AT857" s="87"/>
      <c r="AU857" s="87"/>
      <c r="AV857" s="87"/>
      <c r="AW857" s="87"/>
      <c r="AX857" s="85"/>
      <c r="AY857" s="85"/>
      <c r="AZ857" s="36"/>
      <c r="BA857" s="1"/>
    </row>
    <row r="858" spans="10:53">
      <c r="J858" s="37"/>
      <c r="K858" s="36"/>
      <c r="L858" s="87"/>
      <c r="M858" s="38"/>
      <c r="N858" s="36"/>
      <c r="O858" s="36"/>
      <c r="P858" s="1"/>
      <c r="AD858"/>
      <c r="AG858"/>
      <c r="AN858" s="36"/>
      <c r="AO858" s="37"/>
      <c r="AP858" s="36"/>
      <c r="AQ858" s="36"/>
      <c r="AR858" s="36"/>
      <c r="AS858" s="89"/>
      <c r="AT858" s="87"/>
      <c r="AU858" s="87"/>
      <c r="AV858" s="87"/>
      <c r="AW858" s="87"/>
      <c r="AX858" s="85"/>
      <c r="AY858" s="85"/>
      <c r="AZ858" s="36"/>
      <c r="BA858" s="1"/>
    </row>
    <row r="859" spans="10:53">
      <c r="J859" s="37"/>
      <c r="K859" s="36"/>
      <c r="L859" s="87"/>
      <c r="M859" s="87"/>
      <c r="N859" s="36"/>
      <c r="O859" s="36"/>
      <c r="P859" s="1"/>
      <c r="AD859"/>
      <c r="AG859"/>
      <c r="AN859" s="18"/>
      <c r="AO859" s="122"/>
      <c r="AP859" s="18"/>
      <c r="AQ859" s="18"/>
      <c r="AR859" s="18"/>
      <c r="AS859" s="123"/>
      <c r="AT859" s="124"/>
      <c r="AU859" s="124"/>
      <c r="AV859" s="124"/>
      <c r="AW859" s="38"/>
      <c r="AX859" s="85"/>
      <c r="AY859" s="85"/>
      <c r="AZ859" s="36"/>
      <c r="BA859" s="1"/>
    </row>
    <row r="860" spans="10:53">
      <c r="J860" s="37"/>
      <c r="K860" s="36"/>
      <c r="L860" s="87"/>
      <c r="M860" s="38"/>
      <c r="N860" s="36"/>
      <c r="O860" s="36"/>
      <c r="P860" s="1"/>
      <c r="AD860"/>
      <c r="AG860"/>
      <c r="AN860" s="36"/>
      <c r="AO860" s="37"/>
      <c r="AP860" s="36"/>
      <c r="AQ860" s="36"/>
      <c r="AR860" s="36"/>
      <c r="AS860" s="89"/>
      <c r="AT860" s="87"/>
      <c r="AU860" s="87"/>
      <c r="AV860" s="87"/>
      <c r="AW860" s="87"/>
      <c r="AX860" s="85"/>
      <c r="AY860" s="85"/>
      <c r="AZ860" s="36"/>
      <c r="BA860" s="1"/>
    </row>
    <row r="861" spans="10:53">
      <c r="J861" s="37"/>
      <c r="K861" s="36"/>
      <c r="L861" s="87"/>
      <c r="M861" s="38"/>
      <c r="N861" s="36"/>
      <c r="O861" s="36"/>
      <c r="P861" s="1"/>
      <c r="AD861"/>
      <c r="AG861"/>
      <c r="AN861" s="36"/>
      <c r="AO861" s="37"/>
      <c r="AP861" s="36"/>
      <c r="AQ861" s="36"/>
      <c r="AR861" s="36"/>
      <c r="AS861" s="89"/>
      <c r="AT861" s="87"/>
      <c r="AU861" s="87"/>
      <c r="AV861" s="87"/>
      <c r="AW861" s="87"/>
      <c r="AX861" s="85"/>
      <c r="AY861" s="85"/>
      <c r="AZ861" s="36"/>
      <c r="BA861" s="1"/>
    </row>
    <row r="862" spans="10:53">
      <c r="J862" s="37"/>
      <c r="K862" s="36"/>
      <c r="L862" s="87"/>
      <c r="M862" s="87"/>
      <c r="N862" s="36"/>
      <c r="O862" s="36"/>
      <c r="P862" s="1"/>
      <c r="AD862"/>
      <c r="AG862"/>
      <c r="AN862" s="36"/>
      <c r="AO862" s="37"/>
      <c r="AP862" s="36"/>
      <c r="AQ862" s="36"/>
      <c r="AR862" s="36"/>
      <c r="AS862" s="89"/>
      <c r="AT862" s="87"/>
      <c r="AU862" s="87"/>
      <c r="AV862" s="87"/>
      <c r="AW862" s="87"/>
      <c r="AX862" s="85"/>
      <c r="AY862" s="85"/>
      <c r="AZ862" s="36"/>
      <c r="BA862" s="1"/>
    </row>
    <row r="863" spans="10:53">
      <c r="J863" s="37"/>
      <c r="K863" s="36"/>
      <c r="L863" s="87"/>
      <c r="M863" s="87"/>
      <c r="N863" s="36"/>
      <c r="O863" s="36"/>
      <c r="P863" s="1"/>
      <c r="AD863"/>
      <c r="AG863"/>
      <c r="AN863" s="36"/>
      <c r="AO863" s="37"/>
      <c r="AP863" s="36"/>
      <c r="AQ863" s="36"/>
      <c r="AR863" s="36"/>
      <c r="AS863" s="89"/>
      <c r="AT863" s="87"/>
      <c r="AU863" s="87"/>
      <c r="AV863" s="87"/>
      <c r="AW863" s="87"/>
      <c r="AX863" s="85"/>
      <c r="AY863" s="85"/>
      <c r="AZ863" s="36"/>
      <c r="BA863" s="1"/>
    </row>
    <row r="864" spans="10:53">
      <c r="J864" s="37"/>
      <c r="K864" s="36"/>
      <c r="L864" s="87"/>
      <c r="M864" s="87"/>
      <c r="N864" s="36"/>
      <c r="O864" s="36"/>
      <c r="P864" s="1"/>
      <c r="AD864"/>
      <c r="AG864"/>
      <c r="AN864" s="36"/>
      <c r="AO864" s="37"/>
      <c r="AP864" s="36"/>
      <c r="AQ864" s="36"/>
      <c r="AR864" s="36"/>
      <c r="AS864" s="89"/>
      <c r="AT864" s="87"/>
      <c r="AU864" s="87"/>
      <c r="AV864" s="87"/>
      <c r="AW864" s="87"/>
      <c r="AX864" s="85"/>
      <c r="AY864" s="85"/>
      <c r="AZ864" s="36"/>
      <c r="BA864" s="1"/>
    </row>
    <row r="865" spans="10:53">
      <c r="J865" s="37"/>
      <c r="K865" s="36"/>
      <c r="L865" s="87"/>
      <c r="M865" s="87"/>
      <c r="N865" s="36"/>
      <c r="O865" s="36"/>
      <c r="P865" s="1"/>
      <c r="AD865"/>
      <c r="AG865"/>
      <c r="AN865" s="36"/>
      <c r="AO865" s="37"/>
      <c r="AP865" s="36"/>
      <c r="AQ865" s="36"/>
      <c r="AR865" s="36"/>
      <c r="AS865" s="89"/>
      <c r="AT865" s="87"/>
      <c r="AU865" s="87"/>
      <c r="AV865" s="87"/>
      <c r="AW865" s="87"/>
      <c r="AX865" s="85"/>
      <c r="AY865" s="85"/>
      <c r="AZ865" s="36"/>
      <c r="BA865" s="1"/>
    </row>
    <row r="866" spans="10:53">
      <c r="J866" s="37"/>
      <c r="K866" s="36"/>
      <c r="L866" s="87"/>
      <c r="M866" s="87"/>
      <c r="N866" s="36"/>
      <c r="O866" s="36"/>
      <c r="P866" s="1"/>
      <c r="AD866"/>
      <c r="AG866"/>
      <c r="AN866" s="36"/>
      <c r="AO866" s="37"/>
      <c r="AP866" s="36"/>
      <c r="AQ866" s="36"/>
      <c r="AR866" s="36"/>
      <c r="AS866" s="89"/>
      <c r="AT866" s="87"/>
      <c r="AU866" s="87"/>
      <c r="AV866" s="87"/>
      <c r="AW866" s="87"/>
      <c r="AX866" s="85"/>
      <c r="AY866" s="85"/>
      <c r="AZ866" s="36"/>
      <c r="BA866" s="1"/>
    </row>
    <row r="867" spans="10:53">
      <c r="J867" s="37"/>
      <c r="K867" s="36"/>
      <c r="L867" s="87"/>
      <c r="M867" s="87"/>
      <c r="N867" s="36"/>
      <c r="O867" s="36"/>
      <c r="P867" s="1"/>
      <c r="AD867"/>
      <c r="AG867"/>
      <c r="AN867" s="36"/>
      <c r="AO867" s="37"/>
      <c r="AP867" s="36"/>
      <c r="AQ867" s="36"/>
      <c r="AR867" s="36"/>
      <c r="AS867" s="89"/>
      <c r="AT867" s="87"/>
      <c r="AU867" s="87"/>
      <c r="AV867" s="87"/>
      <c r="AW867" s="87"/>
      <c r="AX867" s="85"/>
      <c r="AY867" s="85"/>
      <c r="AZ867" s="36"/>
      <c r="BA867" s="1"/>
    </row>
    <row r="868" spans="10:53">
      <c r="J868" s="37"/>
      <c r="K868" s="36"/>
      <c r="L868" s="87"/>
      <c r="M868" s="87"/>
      <c r="N868" s="36"/>
      <c r="O868" s="36"/>
      <c r="P868" s="1"/>
      <c r="AD868"/>
      <c r="AG868"/>
      <c r="AN868" s="36"/>
      <c r="AO868" s="37"/>
      <c r="AP868" s="36"/>
      <c r="AQ868" s="36"/>
      <c r="AR868" s="36"/>
      <c r="AS868" s="89"/>
      <c r="AT868" s="87"/>
      <c r="AU868" s="87"/>
      <c r="AV868" s="87"/>
      <c r="AW868" s="87"/>
      <c r="AX868" s="85"/>
      <c r="AY868" s="85"/>
      <c r="AZ868" s="36"/>
      <c r="BA868" s="1"/>
    </row>
    <row r="869" spans="10:53">
      <c r="J869" s="37"/>
      <c r="K869" s="36"/>
      <c r="L869" s="87"/>
      <c r="M869" s="87"/>
      <c r="N869" s="36"/>
      <c r="O869" s="36"/>
      <c r="P869" s="1"/>
      <c r="AD869"/>
      <c r="AG869"/>
      <c r="AN869" s="36"/>
      <c r="AO869" s="37"/>
      <c r="AP869" s="36"/>
      <c r="AQ869" s="36"/>
      <c r="AR869" s="36"/>
      <c r="AS869" s="89"/>
      <c r="AT869" s="87"/>
      <c r="AU869" s="87"/>
      <c r="AV869" s="87"/>
      <c r="AW869" s="87"/>
      <c r="AX869" s="85"/>
      <c r="AY869" s="85"/>
      <c r="AZ869" s="36"/>
      <c r="BA869" s="1"/>
    </row>
    <row r="870" spans="10:53">
      <c r="J870" s="37"/>
      <c r="K870" s="36"/>
      <c r="L870" s="87"/>
      <c r="M870" s="87"/>
      <c r="N870" s="36"/>
      <c r="O870" s="36"/>
      <c r="P870" s="1"/>
      <c r="AD870"/>
      <c r="AG870"/>
      <c r="AN870" s="36"/>
      <c r="AO870" s="37"/>
      <c r="AP870" s="36"/>
      <c r="AQ870" s="36"/>
      <c r="AR870" s="36"/>
      <c r="AS870" s="89"/>
      <c r="AT870" s="87"/>
      <c r="AU870" s="87"/>
      <c r="AV870" s="87"/>
      <c r="AW870" s="87"/>
      <c r="AX870" s="85"/>
      <c r="AY870" s="85"/>
      <c r="AZ870" s="36"/>
      <c r="BA870" s="1"/>
    </row>
    <row r="871" spans="10:53">
      <c r="J871" s="37"/>
      <c r="K871" s="36"/>
      <c r="L871" s="87"/>
      <c r="M871" s="87"/>
      <c r="N871" s="36"/>
      <c r="O871" s="36"/>
      <c r="P871" s="1"/>
      <c r="AD871"/>
      <c r="AG871"/>
      <c r="AN871" s="36"/>
      <c r="AO871" s="37"/>
      <c r="AP871" s="36"/>
      <c r="AQ871" s="36"/>
      <c r="AR871" s="36"/>
      <c r="AS871" s="89"/>
      <c r="AT871" s="87"/>
      <c r="AU871" s="87"/>
      <c r="AV871" s="87"/>
      <c r="AW871" s="87"/>
      <c r="AX871" s="85"/>
      <c r="AY871" s="85"/>
      <c r="AZ871" s="36"/>
      <c r="BA871" s="1"/>
    </row>
    <row r="872" spans="10:53">
      <c r="J872" s="37"/>
      <c r="K872" s="36"/>
      <c r="L872" s="87"/>
      <c r="M872" s="87"/>
      <c r="N872" s="36"/>
      <c r="O872" s="36"/>
      <c r="P872" s="1"/>
      <c r="AD872"/>
      <c r="AG872"/>
      <c r="AN872" s="36"/>
      <c r="AO872" s="37"/>
      <c r="AP872" s="36"/>
      <c r="AQ872" s="36"/>
      <c r="AR872" s="36"/>
      <c r="AS872" s="89"/>
      <c r="AT872" s="87"/>
      <c r="AU872" s="87"/>
      <c r="AV872" s="87"/>
      <c r="AW872" s="87"/>
      <c r="AX872" s="85"/>
      <c r="AY872" s="85"/>
      <c r="AZ872" s="36"/>
      <c r="BA872" s="1"/>
    </row>
    <row r="873" spans="10:53">
      <c r="J873" s="37"/>
      <c r="K873" s="36"/>
      <c r="L873" s="87"/>
      <c r="M873" s="87"/>
      <c r="N873" s="36"/>
      <c r="O873" s="36"/>
      <c r="P873" s="1"/>
      <c r="AD873"/>
      <c r="AG873"/>
      <c r="AN873" s="36"/>
      <c r="AO873" s="37"/>
      <c r="AP873" s="36"/>
      <c r="AQ873" s="36"/>
      <c r="AR873" s="36"/>
      <c r="AS873" s="89"/>
      <c r="AT873" s="87"/>
      <c r="AU873" s="87"/>
      <c r="AV873" s="87"/>
      <c r="AW873" s="87"/>
      <c r="AX873" s="85"/>
      <c r="AY873" s="85"/>
      <c r="AZ873" s="36"/>
      <c r="BA873" s="1"/>
    </row>
    <row r="874" spans="10:53">
      <c r="J874" s="37"/>
      <c r="K874" s="36"/>
      <c r="L874" s="87"/>
      <c r="M874" s="87"/>
      <c r="N874" s="36"/>
      <c r="O874" s="36"/>
      <c r="P874" s="1"/>
      <c r="AD874"/>
      <c r="AG874"/>
      <c r="AN874" s="36"/>
      <c r="AO874" s="37"/>
      <c r="AP874" s="36"/>
      <c r="AQ874" s="36"/>
      <c r="AR874" s="36"/>
      <c r="AS874" s="89"/>
      <c r="AT874" s="87"/>
      <c r="AU874" s="87"/>
      <c r="AV874" s="87"/>
      <c r="AW874" s="38"/>
      <c r="AX874" s="85"/>
      <c r="AY874" s="85"/>
      <c r="AZ874" s="36"/>
      <c r="BA874" s="1"/>
    </row>
    <row r="875" spans="10:53">
      <c r="J875" s="37"/>
      <c r="K875" s="36"/>
      <c r="L875" s="87"/>
      <c r="M875" s="87"/>
      <c r="N875" s="36"/>
      <c r="O875" s="36"/>
      <c r="P875" s="1"/>
      <c r="AD875"/>
      <c r="AG875"/>
      <c r="AN875" s="36"/>
      <c r="AO875" s="37"/>
      <c r="AP875" s="36"/>
      <c r="AQ875" s="36"/>
      <c r="AR875" s="36"/>
      <c r="AS875" s="89"/>
      <c r="AT875" s="87"/>
      <c r="AU875" s="87"/>
      <c r="AV875" s="87"/>
      <c r="AW875" s="87"/>
      <c r="AX875" s="85"/>
      <c r="AY875" s="85"/>
      <c r="AZ875" s="36"/>
      <c r="BA875" s="1"/>
    </row>
    <row r="876" spans="10:53">
      <c r="J876" s="37"/>
      <c r="K876" s="36"/>
      <c r="L876" s="87"/>
      <c r="M876" s="38"/>
      <c r="N876" s="36"/>
      <c r="O876" s="36"/>
      <c r="P876" s="1"/>
      <c r="AD876"/>
      <c r="AG876"/>
      <c r="AN876" s="36"/>
      <c r="AO876" s="37"/>
      <c r="AP876" s="36"/>
      <c r="AQ876" s="36"/>
      <c r="AR876" s="36"/>
      <c r="AS876" s="89"/>
      <c r="AT876" s="87"/>
      <c r="AU876" s="87"/>
      <c r="AV876" s="87"/>
      <c r="AW876" s="87"/>
      <c r="AX876" s="85"/>
      <c r="AY876" s="85"/>
      <c r="AZ876" s="36"/>
      <c r="BA876" s="1"/>
    </row>
    <row r="877" spans="10:53">
      <c r="J877" s="37"/>
      <c r="K877" s="36"/>
      <c r="L877" s="87"/>
      <c r="M877" s="87"/>
      <c r="N877" s="36"/>
      <c r="O877" s="36"/>
      <c r="P877" s="1"/>
      <c r="AD877"/>
      <c r="AG877"/>
      <c r="AN877" s="36"/>
      <c r="AO877" s="37"/>
      <c r="AP877" s="36"/>
      <c r="AQ877" s="36"/>
      <c r="AR877" s="36"/>
      <c r="AS877" s="89"/>
      <c r="AT877" s="87"/>
      <c r="AU877" s="87"/>
      <c r="AV877" s="87"/>
      <c r="AW877" s="87"/>
      <c r="AX877" s="85"/>
      <c r="AY877" s="85"/>
      <c r="AZ877" s="36"/>
      <c r="BA877" s="1"/>
    </row>
    <row r="878" spans="10:53">
      <c r="J878" s="37"/>
      <c r="K878" s="36"/>
      <c r="L878" s="87"/>
      <c r="M878" s="87"/>
      <c r="N878" s="36"/>
      <c r="O878" s="36"/>
      <c r="P878" s="1"/>
      <c r="AD878"/>
      <c r="AG878"/>
      <c r="AN878" s="36"/>
      <c r="AO878" s="37"/>
      <c r="AP878" s="36"/>
      <c r="AQ878" s="36"/>
      <c r="AR878" s="36"/>
      <c r="AS878" s="89"/>
      <c r="AT878" s="87"/>
      <c r="AU878" s="87"/>
      <c r="AV878" s="87"/>
      <c r="AW878" s="38"/>
      <c r="AX878" s="85"/>
      <c r="AY878" s="85"/>
      <c r="AZ878" s="36"/>
      <c r="BA878" s="1"/>
    </row>
    <row r="879" spans="10:53">
      <c r="J879" s="37"/>
      <c r="K879" s="36"/>
      <c r="L879" s="87"/>
      <c r="M879" s="38"/>
      <c r="N879" s="36"/>
      <c r="O879" s="36"/>
      <c r="P879" s="1"/>
      <c r="AD879"/>
      <c r="AG879"/>
      <c r="AN879" s="36"/>
      <c r="AO879" s="37"/>
      <c r="AP879" s="36"/>
      <c r="AQ879" s="36"/>
      <c r="AR879" s="36"/>
      <c r="AS879" s="89"/>
      <c r="AT879" s="87"/>
      <c r="AU879" s="87"/>
      <c r="AV879" s="87"/>
      <c r="AW879" s="38"/>
      <c r="AX879" s="85"/>
      <c r="AY879" s="85"/>
      <c r="AZ879" s="36"/>
      <c r="BA879" s="1"/>
    </row>
    <row r="880" spans="10:53">
      <c r="J880" s="37"/>
      <c r="K880" s="36"/>
      <c r="L880" s="87"/>
      <c r="M880" s="87"/>
      <c r="N880" s="36"/>
      <c r="O880" s="36"/>
      <c r="P880" s="1"/>
      <c r="AD880"/>
      <c r="AG880"/>
      <c r="AN880" s="36"/>
      <c r="AO880" s="37"/>
      <c r="AP880" s="36"/>
      <c r="AQ880" s="36"/>
      <c r="AR880" s="36"/>
      <c r="AS880" s="89"/>
      <c r="AT880" s="87"/>
      <c r="AU880" s="87"/>
      <c r="AV880" s="87"/>
      <c r="AW880" s="38"/>
      <c r="AX880" s="85"/>
      <c r="AY880" s="85"/>
      <c r="AZ880" s="36"/>
      <c r="BA880" s="1"/>
    </row>
    <row r="881" spans="10:53">
      <c r="J881" s="37"/>
      <c r="K881" s="36"/>
      <c r="L881" s="87"/>
      <c r="M881" s="38"/>
      <c r="N881" s="36"/>
      <c r="O881" s="36"/>
      <c r="P881" s="1"/>
      <c r="AD881"/>
      <c r="AG881"/>
      <c r="AN881" s="36"/>
      <c r="AO881" s="37"/>
      <c r="AP881" s="36"/>
      <c r="AQ881" s="36"/>
      <c r="AR881" s="36"/>
      <c r="AS881" s="89"/>
      <c r="AT881" s="87"/>
      <c r="AU881" s="87"/>
      <c r="AV881" s="87"/>
      <c r="AW881" s="38"/>
      <c r="AX881" s="85"/>
      <c r="AY881" s="85"/>
      <c r="AZ881" s="36"/>
      <c r="BA881" s="1"/>
    </row>
    <row r="882" spans="10:53">
      <c r="J882" s="37"/>
      <c r="K882" s="36"/>
      <c r="L882" s="87"/>
      <c r="M882" s="38"/>
      <c r="N882" s="36"/>
      <c r="O882" s="36"/>
      <c r="P882" s="1"/>
      <c r="AD882"/>
      <c r="AG882"/>
      <c r="AN882" s="36"/>
      <c r="AO882" s="37"/>
      <c r="AP882" s="36"/>
      <c r="AQ882" s="36"/>
      <c r="AR882" s="36"/>
      <c r="AS882" s="89"/>
      <c r="AT882" s="87"/>
      <c r="AU882" s="87"/>
      <c r="AV882" s="87"/>
      <c r="AW882" s="38"/>
      <c r="AX882" s="85"/>
      <c r="AY882" s="85"/>
      <c r="AZ882" s="36"/>
      <c r="BA882" s="1"/>
    </row>
    <row r="883" spans="10:53">
      <c r="J883" s="37"/>
      <c r="K883" s="36"/>
      <c r="L883" s="87"/>
      <c r="M883" s="38"/>
      <c r="N883" s="36"/>
      <c r="O883" s="36"/>
      <c r="P883" s="1"/>
      <c r="AD883"/>
      <c r="AG883"/>
      <c r="AN883" s="36"/>
      <c r="AO883" s="37"/>
      <c r="AP883" s="36"/>
      <c r="AQ883" s="36"/>
      <c r="AR883" s="36"/>
      <c r="AS883" s="89"/>
      <c r="AT883" s="87"/>
      <c r="AU883" s="87"/>
      <c r="AV883" s="87"/>
      <c r="AW883" s="38"/>
      <c r="AX883" s="85"/>
      <c r="AY883" s="85"/>
      <c r="AZ883" s="36"/>
      <c r="BA883" s="1"/>
    </row>
    <row r="884" spans="10:53">
      <c r="J884" s="37"/>
      <c r="K884" s="36"/>
      <c r="L884" s="87"/>
      <c r="M884" s="87"/>
      <c r="N884" s="36"/>
      <c r="O884" s="36"/>
      <c r="P884" s="1"/>
      <c r="AD884"/>
      <c r="AG884"/>
      <c r="AN884" s="36"/>
      <c r="AO884" s="37"/>
      <c r="AP884" s="36"/>
      <c r="AQ884" s="36"/>
      <c r="AR884" s="36"/>
      <c r="AS884" s="89"/>
      <c r="AT884" s="87"/>
      <c r="AU884" s="87"/>
      <c r="AV884" s="87"/>
      <c r="AW884" s="38"/>
      <c r="AX884" s="85"/>
      <c r="AY884" s="85"/>
      <c r="AZ884" s="36"/>
      <c r="BA884" s="1"/>
    </row>
    <row r="885" spans="10:53">
      <c r="J885" s="37"/>
      <c r="K885" s="36"/>
      <c r="L885" s="87"/>
      <c r="M885" s="87"/>
      <c r="N885" s="36"/>
      <c r="O885" s="36"/>
      <c r="P885" s="1"/>
      <c r="AD885"/>
      <c r="AG885"/>
      <c r="AN885" s="36"/>
      <c r="AO885" s="37"/>
      <c r="AP885" s="36"/>
      <c r="AQ885" s="36"/>
      <c r="AR885" s="36"/>
      <c r="AS885" s="89"/>
      <c r="AT885" s="87"/>
      <c r="AU885" s="87"/>
      <c r="AV885" s="87"/>
      <c r="AW885" s="38"/>
      <c r="AX885" s="85"/>
      <c r="AY885" s="85"/>
      <c r="AZ885" s="36"/>
      <c r="BA885" s="1"/>
    </row>
    <row r="886" spans="10:53">
      <c r="J886" s="37"/>
      <c r="K886" s="36"/>
      <c r="L886" s="87"/>
      <c r="M886" s="38"/>
      <c r="N886" s="36"/>
      <c r="O886" s="36"/>
      <c r="P886" s="1"/>
      <c r="AD886"/>
      <c r="AG886"/>
      <c r="AN886" s="36"/>
      <c r="AO886" s="37"/>
      <c r="AP886" s="36"/>
      <c r="AQ886" s="36"/>
      <c r="AR886" s="36"/>
      <c r="AS886" s="89"/>
      <c r="AT886" s="87"/>
      <c r="AU886" s="87"/>
      <c r="AV886" s="87"/>
      <c r="AW886" s="38"/>
      <c r="AX886" s="85"/>
      <c r="AY886" s="85"/>
      <c r="AZ886" s="36"/>
      <c r="BA886" s="1"/>
    </row>
    <row r="887" spans="10:53">
      <c r="J887" s="37"/>
      <c r="K887" s="36"/>
      <c r="L887" s="87"/>
      <c r="M887" s="87"/>
      <c r="N887" s="36"/>
      <c r="O887" s="36"/>
      <c r="P887" s="1"/>
      <c r="AD887"/>
      <c r="AG887"/>
      <c r="AN887" s="36"/>
      <c r="AO887" s="37"/>
      <c r="AP887" s="36"/>
      <c r="AQ887" s="36"/>
      <c r="AR887" s="36"/>
      <c r="AS887" s="89"/>
      <c r="AT887" s="87"/>
      <c r="AU887" s="87"/>
      <c r="AV887" s="87"/>
      <c r="AW887" s="38"/>
      <c r="AX887" s="85"/>
      <c r="AY887" s="85"/>
      <c r="AZ887" s="36"/>
      <c r="BA887" s="1"/>
    </row>
    <row r="888" spans="10:53">
      <c r="J888" s="37"/>
      <c r="K888" s="36"/>
      <c r="L888" s="87"/>
      <c r="M888" s="38"/>
      <c r="N888" s="36"/>
      <c r="O888" s="36"/>
      <c r="P888" s="1"/>
      <c r="AD888"/>
      <c r="AG888"/>
      <c r="AN888" s="36"/>
      <c r="AO888" s="37"/>
      <c r="AP888" s="36"/>
      <c r="AQ888" s="36"/>
      <c r="AR888" s="36"/>
      <c r="AS888" s="89"/>
      <c r="AT888" s="87"/>
      <c r="AU888" s="87"/>
      <c r="AV888" s="87"/>
      <c r="AW888" s="38"/>
      <c r="AX888" s="85"/>
      <c r="AY888" s="85"/>
      <c r="AZ888" s="36"/>
      <c r="BA888" s="1"/>
    </row>
    <row r="889" spans="10:53">
      <c r="J889" s="37"/>
      <c r="K889" s="36"/>
      <c r="L889" s="87"/>
      <c r="M889" s="87"/>
      <c r="N889" s="36"/>
      <c r="O889" s="36"/>
      <c r="P889" s="1"/>
      <c r="AD889"/>
      <c r="AG889"/>
      <c r="AN889" s="36"/>
      <c r="AO889" s="37"/>
      <c r="AP889" s="36"/>
      <c r="AQ889" s="36"/>
      <c r="AR889" s="36"/>
      <c r="AS889" s="89"/>
      <c r="AT889" s="87"/>
      <c r="AU889" s="87"/>
      <c r="AV889" s="87"/>
      <c r="AW889" s="38"/>
      <c r="AX889" s="85"/>
      <c r="AY889" s="85"/>
      <c r="AZ889" s="36"/>
      <c r="BA889" s="1"/>
    </row>
    <row r="890" spans="10:53">
      <c r="J890" s="37"/>
      <c r="K890" s="36"/>
      <c r="L890" s="87"/>
      <c r="M890" s="38"/>
      <c r="N890" s="36"/>
      <c r="O890" s="36"/>
      <c r="P890" s="1"/>
      <c r="AD890"/>
      <c r="AG890"/>
      <c r="AN890" s="36"/>
      <c r="AO890" s="37"/>
      <c r="AP890" s="36"/>
      <c r="AQ890" s="36"/>
      <c r="AR890" s="36"/>
      <c r="AS890" s="89"/>
      <c r="AT890" s="87"/>
      <c r="AU890" s="87"/>
      <c r="AV890" s="87"/>
      <c r="AW890" s="38"/>
      <c r="AX890" s="85"/>
      <c r="AY890" s="85"/>
      <c r="AZ890" s="36"/>
      <c r="BA890" s="1"/>
    </row>
    <row r="891" spans="10:53">
      <c r="J891" s="37"/>
      <c r="K891" s="36"/>
      <c r="L891" s="87"/>
      <c r="M891" s="38"/>
      <c r="N891" s="36"/>
      <c r="O891" s="36"/>
      <c r="P891" s="1"/>
      <c r="AD891"/>
      <c r="AG891"/>
      <c r="AN891" s="36"/>
      <c r="AO891" s="37"/>
      <c r="AP891" s="36"/>
      <c r="AQ891" s="36"/>
      <c r="AR891" s="36"/>
      <c r="AS891" s="89"/>
      <c r="AT891" s="87"/>
      <c r="AU891" s="87"/>
      <c r="AV891" s="87"/>
      <c r="AW891" s="38"/>
      <c r="AX891" s="85"/>
      <c r="AY891" s="85"/>
      <c r="AZ891" s="36"/>
      <c r="BA891" s="1"/>
    </row>
    <row r="892" spans="10:53">
      <c r="J892" s="37"/>
      <c r="K892" s="36"/>
      <c r="L892" s="87"/>
      <c r="M892" s="38"/>
      <c r="N892" s="36"/>
      <c r="O892" s="36"/>
      <c r="P892" s="1"/>
      <c r="AD892"/>
      <c r="AG892"/>
      <c r="AN892" s="36"/>
      <c r="AO892" s="37"/>
      <c r="AP892" s="36"/>
      <c r="AQ892" s="36"/>
      <c r="AR892" s="36"/>
      <c r="AS892" s="89"/>
      <c r="AT892" s="87"/>
      <c r="AU892" s="87"/>
      <c r="AV892" s="87"/>
      <c r="AW892" s="38"/>
      <c r="AX892" s="85"/>
      <c r="AY892" s="85"/>
      <c r="AZ892" s="36"/>
      <c r="BA892" s="1"/>
    </row>
    <row r="893" spans="10:53">
      <c r="J893" s="37"/>
      <c r="K893" s="36"/>
      <c r="L893" s="87"/>
      <c r="M893" s="38"/>
      <c r="N893" s="36"/>
      <c r="O893" s="36"/>
      <c r="P893" s="1"/>
      <c r="AD893"/>
      <c r="AG893"/>
      <c r="AN893" s="36"/>
      <c r="AO893" s="37"/>
      <c r="AP893" s="36"/>
      <c r="AQ893" s="36"/>
      <c r="AR893" s="36"/>
      <c r="AS893" s="89"/>
      <c r="AT893" s="87"/>
      <c r="AU893" s="87"/>
      <c r="AV893" s="87"/>
      <c r="AW893" s="38"/>
      <c r="AX893" s="85"/>
      <c r="AY893" s="85"/>
      <c r="AZ893" s="36"/>
      <c r="BA893" s="1"/>
    </row>
    <row r="894" spans="10:53">
      <c r="J894" s="37"/>
      <c r="K894" s="36"/>
      <c r="L894" s="87"/>
      <c r="M894" s="38"/>
      <c r="N894" s="36"/>
      <c r="O894" s="36"/>
      <c r="P894" s="1"/>
      <c r="AD894"/>
      <c r="AG894"/>
      <c r="AN894" s="36"/>
      <c r="AO894" s="37"/>
      <c r="AP894" s="36"/>
      <c r="AQ894" s="36"/>
      <c r="AR894" s="36"/>
      <c r="AS894" s="89"/>
      <c r="AT894" s="87"/>
      <c r="AU894" s="87"/>
      <c r="AV894" s="87"/>
      <c r="AW894" s="38"/>
      <c r="AX894" s="85"/>
      <c r="AY894" s="85"/>
      <c r="AZ894" s="36"/>
      <c r="BA894" s="1"/>
    </row>
    <row r="895" spans="10:53">
      <c r="J895" s="37"/>
      <c r="K895" s="36"/>
      <c r="L895" s="87"/>
      <c r="M895" s="38"/>
      <c r="N895" s="36"/>
      <c r="O895" s="36"/>
      <c r="P895" s="1"/>
      <c r="AD895"/>
      <c r="AG895"/>
      <c r="AN895" s="36"/>
      <c r="AO895" s="37"/>
      <c r="AP895" s="36"/>
      <c r="AQ895" s="36"/>
      <c r="AR895" s="36"/>
      <c r="AS895" s="89"/>
      <c r="AT895" s="87"/>
      <c r="AU895" s="87"/>
      <c r="AV895" s="87"/>
      <c r="AW895" s="38"/>
      <c r="AX895" s="85"/>
      <c r="AY895" s="85"/>
      <c r="AZ895" s="36"/>
      <c r="BA895" s="1"/>
    </row>
    <row r="896" spans="10:53">
      <c r="J896" s="37"/>
      <c r="K896" s="36"/>
      <c r="L896" s="87"/>
      <c r="M896" s="38"/>
      <c r="N896" s="36"/>
      <c r="O896" s="36"/>
      <c r="P896" s="1"/>
      <c r="AD896"/>
      <c r="AG896"/>
      <c r="AN896" s="36"/>
      <c r="AO896" s="37"/>
      <c r="AP896" s="36"/>
      <c r="AQ896" s="36"/>
      <c r="AR896" s="36"/>
      <c r="AS896" s="89"/>
      <c r="AT896" s="87"/>
      <c r="AU896" s="87"/>
      <c r="AV896" s="87"/>
      <c r="AW896" s="38"/>
      <c r="AX896" s="85"/>
      <c r="AY896" s="85"/>
      <c r="AZ896" s="36"/>
      <c r="BA896" s="1"/>
    </row>
    <row r="897" spans="10:53">
      <c r="J897" s="37"/>
      <c r="K897" s="36"/>
      <c r="L897" s="87"/>
      <c r="M897" s="38"/>
      <c r="N897" s="36"/>
      <c r="O897" s="36"/>
      <c r="P897" s="1"/>
      <c r="AD897"/>
      <c r="AG897"/>
      <c r="AN897" s="36"/>
      <c r="AO897" s="37"/>
      <c r="AP897" s="36"/>
      <c r="AQ897" s="36"/>
      <c r="AR897" s="36"/>
      <c r="AS897" s="89"/>
      <c r="AT897" s="87"/>
      <c r="AU897" s="87"/>
      <c r="AV897" s="87"/>
      <c r="AW897" s="38"/>
      <c r="AX897" s="85"/>
      <c r="AY897" s="85"/>
      <c r="AZ897" s="36"/>
      <c r="BA897" s="1"/>
    </row>
    <row r="898" spans="10:53">
      <c r="J898" s="37"/>
      <c r="K898" s="36"/>
      <c r="L898" s="87"/>
      <c r="M898" s="38"/>
      <c r="N898" s="36"/>
      <c r="O898" s="36"/>
      <c r="P898" s="1"/>
      <c r="AD898"/>
      <c r="AG898"/>
      <c r="AN898" s="36"/>
      <c r="AO898" s="37"/>
      <c r="AP898" s="36"/>
      <c r="AQ898" s="36"/>
      <c r="AR898" s="36"/>
      <c r="AS898" s="89"/>
      <c r="AT898" s="87"/>
      <c r="AU898" s="87"/>
      <c r="AV898" s="87"/>
      <c r="AW898" s="38"/>
      <c r="AX898" s="85"/>
      <c r="AY898" s="85"/>
      <c r="AZ898" s="36"/>
      <c r="BA898" s="1"/>
    </row>
    <row r="899" spans="10:53">
      <c r="J899" s="37"/>
      <c r="K899" s="36"/>
      <c r="L899" s="87"/>
      <c r="M899" s="38"/>
      <c r="N899" s="36"/>
      <c r="O899" s="36"/>
      <c r="P899" s="1"/>
      <c r="AD899"/>
      <c r="AG899"/>
      <c r="AN899" s="36"/>
      <c r="AO899" s="37"/>
      <c r="AP899" s="36"/>
      <c r="AQ899" s="36"/>
      <c r="AR899" s="36"/>
      <c r="AS899" s="89"/>
      <c r="AT899" s="87"/>
      <c r="AU899" s="87"/>
      <c r="AV899" s="87"/>
      <c r="AW899" s="38"/>
      <c r="AX899" s="85"/>
      <c r="AY899" s="85"/>
      <c r="AZ899" s="36"/>
      <c r="BA899" s="1"/>
    </row>
    <row r="900" spans="10:53">
      <c r="J900" s="37"/>
      <c r="K900" s="36"/>
      <c r="L900" s="87"/>
      <c r="M900" s="38"/>
      <c r="N900" s="36"/>
      <c r="O900" s="36"/>
      <c r="P900" s="1"/>
      <c r="AD900"/>
      <c r="AG900"/>
      <c r="AN900" s="36"/>
      <c r="AO900" s="37"/>
      <c r="AP900" s="36"/>
      <c r="AQ900" s="36"/>
      <c r="AR900" s="36"/>
      <c r="AS900" s="89"/>
      <c r="AT900" s="87"/>
      <c r="AU900" s="87"/>
      <c r="AV900" s="87"/>
      <c r="AW900" s="38"/>
      <c r="AX900" s="85"/>
      <c r="AY900" s="85"/>
      <c r="AZ900" s="36"/>
      <c r="BA900" s="1"/>
    </row>
    <row r="901" spans="10:53">
      <c r="J901" s="37"/>
      <c r="K901" s="36"/>
      <c r="L901" s="87"/>
      <c r="M901" s="38"/>
      <c r="N901" s="36"/>
      <c r="O901" s="36"/>
      <c r="P901" s="1"/>
      <c r="AD901"/>
      <c r="AG901"/>
      <c r="AN901" s="36"/>
      <c r="AO901" s="37"/>
      <c r="AP901" s="36"/>
      <c r="AQ901" s="36"/>
      <c r="AR901" s="36"/>
      <c r="AS901" s="89"/>
      <c r="AT901" s="87"/>
      <c r="AU901" s="87"/>
      <c r="AV901" s="87"/>
      <c r="AW901" s="38"/>
      <c r="AX901" s="85"/>
      <c r="AY901" s="85"/>
      <c r="AZ901" s="36"/>
      <c r="BA901" s="1"/>
    </row>
    <row r="902" spans="10:53">
      <c r="J902" s="37"/>
      <c r="K902" s="36"/>
      <c r="L902" s="87"/>
      <c r="M902" s="38"/>
      <c r="N902" s="36"/>
      <c r="O902" s="36"/>
      <c r="P902" s="1"/>
      <c r="AD902"/>
      <c r="AG902"/>
      <c r="AN902" s="36"/>
      <c r="AO902" s="37"/>
      <c r="AP902" s="36"/>
      <c r="AQ902" s="36"/>
      <c r="AR902" s="36"/>
      <c r="AS902" s="89"/>
      <c r="AT902" s="87"/>
      <c r="AU902" s="87"/>
      <c r="AV902" s="87"/>
      <c r="AW902" s="38"/>
      <c r="AX902" s="85"/>
      <c r="AY902" s="85"/>
      <c r="AZ902" s="36"/>
      <c r="BA902" s="1"/>
    </row>
    <row r="903" spans="10:53">
      <c r="J903" s="37"/>
      <c r="K903" s="36"/>
      <c r="L903" s="87"/>
      <c r="M903" s="38"/>
      <c r="N903" s="36"/>
      <c r="O903" s="36"/>
      <c r="P903" s="1"/>
      <c r="AD903"/>
      <c r="AG903"/>
      <c r="AN903" s="36"/>
      <c r="AO903" s="37"/>
      <c r="AP903" s="36"/>
      <c r="AQ903" s="36"/>
      <c r="AR903" s="36"/>
      <c r="AS903" s="89"/>
      <c r="AT903" s="87"/>
      <c r="AU903" s="87"/>
      <c r="AV903" s="87"/>
      <c r="AW903" s="38"/>
      <c r="AX903" s="85"/>
      <c r="AY903" s="85"/>
      <c r="AZ903" s="36"/>
      <c r="BA903" s="1"/>
    </row>
    <row r="904" spans="10:53">
      <c r="J904" s="37"/>
      <c r="K904" s="36"/>
      <c r="L904" s="87"/>
      <c r="M904" s="38"/>
      <c r="N904" s="36"/>
      <c r="O904" s="36"/>
      <c r="P904" s="1"/>
      <c r="AD904"/>
      <c r="AG904"/>
      <c r="AN904" s="36"/>
      <c r="AO904" s="37"/>
      <c r="AP904" s="36"/>
      <c r="AQ904" s="36"/>
      <c r="AR904" s="36"/>
      <c r="AS904" s="89"/>
      <c r="AT904" s="87"/>
      <c r="AU904" s="87"/>
      <c r="AV904" s="87"/>
      <c r="AW904" s="38"/>
      <c r="AX904" s="85"/>
      <c r="AY904" s="85"/>
      <c r="AZ904" s="36"/>
      <c r="BA904" s="1"/>
    </row>
    <row r="905" spans="10:53">
      <c r="J905" s="37"/>
      <c r="K905" s="36"/>
      <c r="L905" s="87"/>
      <c r="M905" s="38"/>
      <c r="N905" s="36"/>
      <c r="O905" s="36"/>
      <c r="P905" s="1"/>
      <c r="AD905"/>
      <c r="AG905"/>
      <c r="AN905" s="36"/>
      <c r="AO905" s="37"/>
      <c r="AP905" s="36"/>
      <c r="AQ905" s="36"/>
      <c r="AR905" s="36"/>
      <c r="AS905" s="89"/>
      <c r="AT905" s="87"/>
      <c r="AU905" s="87"/>
      <c r="AV905" s="87"/>
      <c r="AW905" s="38"/>
      <c r="AX905" s="85"/>
      <c r="AY905" s="85"/>
      <c r="AZ905" s="36"/>
      <c r="BA905" s="1"/>
    </row>
    <row r="906" spans="10:53">
      <c r="J906" s="37"/>
      <c r="K906" s="36"/>
      <c r="L906" s="87"/>
      <c r="M906" s="87"/>
      <c r="N906" s="36"/>
      <c r="O906" s="36"/>
      <c r="P906" s="1"/>
      <c r="AD906"/>
      <c r="AG906"/>
      <c r="AN906" s="36"/>
      <c r="AO906" s="37"/>
      <c r="AP906" s="36"/>
      <c r="AQ906" s="36"/>
      <c r="AR906" s="36"/>
      <c r="AS906" s="89"/>
      <c r="AT906" s="87"/>
      <c r="AU906" s="87"/>
      <c r="AV906" s="87"/>
      <c r="AW906" s="38"/>
      <c r="AX906" s="85"/>
      <c r="AY906" s="85"/>
      <c r="AZ906" s="36"/>
      <c r="BA906" s="1"/>
    </row>
    <row r="907" spans="10:53">
      <c r="J907" s="37"/>
      <c r="K907" s="36"/>
      <c r="L907" s="87"/>
      <c r="M907" s="38"/>
      <c r="N907" s="36"/>
      <c r="O907" s="36"/>
      <c r="P907" s="1"/>
      <c r="AD907"/>
      <c r="AG907"/>
      <c r="AN907" s="36"/>
      <c r="AO907" s="37"/>
      <c r="AP907" s="36"/>
      <c r="AQ907" s="36"/>
      <c r="AR907" s="36"/>
      <c r="AS907" s="89"/>
      <c r="AT907" s="87"/>
      <c r="AU907" s="87"/>
      <c r="AV907" s="87"/>
      <c r="AW907" s="38"/>
      <c r="AX907" s="85"/>
      <c r="AY907" s="85"/>
      <c r="AZ907" s="36"/>
      <c r="BA907" s="1"/>
    </row>
    <row r="908" spans="10:53">
      <c r="J908" s="37"/>
      <c r="K908" s="36"/>
      <c r="L908" s="87"/>
      <c r="M908" s="87"/>
      <c r="N908" s="36"/>
      <c r="O908" s="36"/>
      <c r="P908" s="1"/>
      <c r="AD908"/>
      <c r="AG908"/>
      <c r="AN908" s="36"/>
      <c r="AO908" s="37"/>
      <c r="AP908" s="36"/>
      <c r="AQ908" s="36"/>
      <c r="AR908" s="36"/>
      <c r="AS908" s="89"/>
      <c r="AT908" s="87"/>
      <c r="AU908" s="87"/>
      <c r="AV908" s="87"/>
      <c r="AW908" s="38"/>
      <c r="AX908" s="85"/>
      <c r="AY908" s="85"/>
      <c r="AZ908" s="36"/>
      <c r="BA908" s="1"/>
    </row>
    <row r="909" spans="10:53">
      <c r="J909" s="37"/>
      <c r="K909" s="36"/>
      <c r="L909" s="87"/>
      <c r="M909" s="38"/>
      <c r="N909" s="36"/>
      <c r="O909" s="36"/>
      <c r="P909" s="1"/>
      <c r="AD909"/>
      <c r="AG909"/>
      <c r="AN909" s="36"/>
      <c r="AO909" s="37"/>
      <c r="AP909" s="36"/>
      <c r="AQ909" s="36"/>
      <c r="AR909" s="36"/>
      <c r="AS909" s="89"/>
      <c r="AT909" s="87"/>
      <c r="AU909" s="87"/>
      <c r="AV909" s="87"/>
      <c r="AW909" s="38"/>
      <c r="AX909" s="85"/>
      <c r="AY909" s="85"/>
      <c r="AZ909" s="36"/>
      <c r="BA909" s="1"/>
    </row>
    <row r="910" spans="10:53">
      <c r="J910" s="37"/>
      <c r="K910" s="36"/>
      <c r="L910" s="87"/>
      <c r="M910" s="38"/>
      <c r="N910" s="36"/>
      <c r="O910" s="36"/>
      <c r="P910" s="1"/>
      <c r="AD910"/>
      <c r="AG910"/>
      <c r="AN910" s="36"/>
      <c r="AO910" s="37"/>
      <c r="AP910" s="36"/>
      <c r="AQ910" s="36"/>
      <c r="AR910" s="36"/>
      <c r="AS910" s="89"/>
      <c r="AT910" s="87"/>
      <c r="AU910" s="87"/>
      <c r="AV910" s="87"/>
      <c r="AW910" s="87"/>
      <c r="AX910" s="85"/>
      <c r="AY910" s="85"/>
      <c r="AZ910" s="36"/>
      <c r="BA910" s="1"/>
    </row>
    <row r="911" spans="10:53">
      <c r="J911" s="37"/>
      <c r="K911" s="36"/>
      <c r="L911" s="87"/>
      <c r="M911" s="38"/>
      <c r="N911" s="36"/>
      <c r="O911" s="36"/>
      <c r="P911" s="1"/>
      <c r="AD911"/>
      <c r="AG911"/>
      <c r="AN911" s="36"/>
      <c r="AO911" s="37"/>
      <c r="AP911" s="36"/>
      <c r="AQ911" s="36"/>
      <c r="AR911" s="36"/>
      <c r="AS911" s="89"/>
      <c r="AT911" s="87"/>
      <c r="AU911" s="87"/>
      <c r="AV911" s="87"/>
      <c r="AW911" s="87"/>
      <c r="AX911" s="85"/>
      <c r="AY911" s="85"/>
      <c r="AZ911" s="36"/>
      <c r="BA911" s="1"/>
    </row>
    <row r="912" spans="10:53">
      <c r="J912" s="37"/>
      <c r="K912" s="36"/>
      <c r="L912" s="87"/>
      <c r="M912" s="38"/>
      <c r="N912" s="36"/>
      <c r="O912" s="36"/>
      <c r="P912" s="1"/>
      <c r="AD912"/>
      <c r="AG912"/>
      <c r="AN912" s="36"/>
      <c r="AO912" s="37"/>
      <c r="AP912" s="36"/>
      <c r="AQ912" s="36"/>
      <c r="AR912" s="36"/>
      <c r="AS912" s="89"/>
      <c r="AT912" s="87"/>
      <c r="AU912" s="87"/>
      <c r="AV912" s="87"/>
      <c r="AW912" s="87"/>
      <c r="AX912" s="85"/>
      <c r="AY912" s="85"/>
      <c r="AZ912" s="36"/>
      <c r="BA912" s="1"/>
    </row>
    <row r="913" spans="10:53">
      <c r="J913" s="37"/>
      <c r="K913" s="36"/>
      <c r="L913" s="87"/>
      <c r="M913" s="38"/>
      <c r="N913" s="36"/>
      <c r="O913" s="36"/>
      <c r="P913" s="1"/>
      <c r="AD913"/>
      <c r="AG913"/>
      <c r="AN913" s="36"/>
      <c r="AO913" s="37"/>
      <c r="AP913" s="36"/>
      <c r="AQ913" s="36"/>
      <c r="AR913" s="36"/>
      <c r="AS913" s="89"/>
      <c r="AT913" s="87"/>
      <c r="AU913" s="87"/>
      <c r="AV913" s="87"/>
      <c r="AW913" s="87"/>
      <c r="AX913" s="85"/>
      <c r="AY913" s="85"/>
      <c r="AZ913" s="36"/>
      <c r="BA913" s="1"/>
    </row>
    <row r="914" spans="10:53">
      <c r="J914" s="37"/>
      <c r="K914" s="36"/>
      <c r="L914" s="87"/>
      <c r="M914" s="38"/>
      <c r="N914" s="36"/>
      <c r="O914" s="36"/>
      <c r="P914" s="1"/>
      <c r="AD914"/>
      <c r="AG914"/>
      <c r="AN914" s="36"/>
      <c r="AO914" s="37"/>
      <c r="AP914" s="36"/>
      <c r="AQ914" s="36"/>
      <c r="AR914" s="36"/>
      <c r="AS914" s="89"/>
      <c r="AT914" s="87"/>
      <c r="AU914" s="87"/>
      <c r="AV914" s="87"/>
      <c r="AW914" s="87"/>
      <c r="AX914" s="85"/>
      <c r="AY914" s="85"/>
      <c r="AZ914" s="36"/>
      <c r="BA914" s="1"/>
    </row>
    <row r="915" spans="10:53">
      <c r="J915" s="37"/>
      <c r="K915" s="36"/>
      <c r="L915" s="87"/>
      <c r="M915" s="38"/>
      <c r="N915" s="36"/>
      <c r="O915" s="36"/>
      <c r="P915" s="1"/>
      <c r="AD915"/>
      <c r="AG915"/>
      <c r="AN915" s="36"/>
      <c r="AO915" s="37"/>
      <c r="AP915" s="36"/>
      <c r="AQ915" s="36"/>
      <c r="AR915" s="36"/>
      <c r="AS915" s="89"/>
      <c r="AT915" s="87"/>
      <c r="AU915" s="87"/>
      <c r="AV915" s="87"/>
      <c r="AW915" s="87"/>
      <c r="AX915" s="85"/>
      <c r="AY915" s="85"/>
      <c r="AZ915" s="36"/>
      <c r="BA915" s="1"/>
    </row>
    <row r="916" spans="10:53">
      <c r="J916" s="37"/>
      <c r="K916" s="36"/>
      <c r="L916" s="87"/>
      <c r="M916" s="87"/>
      <c r="N916" s="36"/>
      <c r="O916" s="36"/>
      <c r="P916" s="1"/>
      <c r="AD916"/>
      <c r="AG916"/>
      <c r="AN916" s="36"/>
      <c r="AO916" s="37"/>
      <c r="AP916" s="36"/>
      <c r="AQ916" s="36"/>
      <c r="AR916" s="36"/>
      <c r="AS916" s="89"/>
      <c r="AT916" s="87"/>
      <c r="AU916" s="87"/>
      <c r="AV916" s="87"/>
      <c r="AW916" s="87"/>
      <c r="AX916" s="85"/>
      <c r="AY916" s="85"/>
      <c r="AZ916" s="36"/>
      <c r="BA916" s="1"/>
    </row>
    <row r="917" spans="10:53">
      <c r="J917" s="37"/>
      <c r="K917" s="36"/>
      <c r="L917" s="87"/>
      <c r="M917" s="38"/>
      <c r="N917" s="36"/>
      <c r="O917" s="36"/>
      <c r="P917" s="1"/>
      <c r="AD917"/>
      <c r="AG917"/>
      <c r="AN917" s="36"/>
      <c r="AO917" s="37"/>
      <c r="AP917" s="36"/>
      <c r="AQ917" s="36"/>
      <c r="AR917" s="36"/>
      <c r="AS917" s="89"/>
      <c r="AT917" s="87"/>
      <c r="AU917" s="87"/>
      <c r="AV917" s="87"/>
      <c r="AW917" s="87"/>
      <c r="AX917" s="85"/>
      <c r="AY917" s="85"/>
      <c r="AZ917" s="36"/>
      <c r="BA917" s="1"/>
    </row>
    <row r="918" spans="10:53">
      <c r="J918" s="37"/>
      <c r="K918" s="36"/>
      <c r="L918" s="87"/>
      <c r="M918" s="38"/>
      <c r="N918" s="36"/>
      <c r="O918" s="36"/>
      <c r="P918" s="1"/>
      <c r="AD918"/>
      <c r="AG918"/>
      <c r="AN918" s="36"/>
      <c r="AO918" s="37"/>
      <c r="AP918" s="36"/>
      <c r="AQ918" s="36"/>
      <c r="AR918" s="36"/>
      <c r="AS918" s="89"/>
      <c r="AT918" s="87"/>
      <c r="AU918" s="87"/>
      <c r="AV918" s="87"/>
      <c r="AW918" s="87"/>
      <c r="AX918" s="85"/>
      <c r="AY918" s="85"/>
      <c r="AZ918" s="36"/>
      <c r="BA918" s="1"/>
    </row>
    <row r="919" spans="10:53">
      <c r="J919" s="37"/>
      <c r="K919" s="36"/>
      <c r="L919" s="87"/>
      <c r="M919" s="38"/>
      <c r="N919" s="36"/>
      <c r="O919" s="36"/>
      <c r="P919" s="1"/>
      <c r="AD919"/>
      <c r="AG919"/>
      <c r="AN919" s="36"/>
      <c r="AO919" s="37"/>
      <c r="AP919" s="36"/>
      <c r="AQ919" s="36"/>
      <c r="AR919" s="36"/>
      <c r="AS919" s="89"/>
      <c r="AT919" s="87"/>
      <c r="AU919" s="87"/>
      <c r="AV919" s="87"/>
      <c r="AW919" s="87"/>
      <c r="AX919" s="85"/>
      <c r="AY919" s="85"/>
      <c r="AZ919" s="36"/>
      <c r="BA919" s="1"/>
    </row>
    <row r="920" spans="10:53">
      <c r="J920" s="37"/>
      <c r="K920" s="36"/>
      <c r="L920" s="87"/>
      <c r="M920" s="38"/>
      <c r="N920" s="36"/>
      <c r="O920" s="36"/>
      <c r="P920" s="1"/>
      <c r="AD920"/>
      <c r="AG920"/>
      <c r="AN920" s="36"/>
      <c r="AO920" s="37"/>
      <c r="AP920" s="36"/>
      <c r="AQ920" s="36"/>
      <c r="AR920" s="36"/>
      <c r="AS920" s="89"/>
      <c r="AT920" s="87"/>
      <c r="AU920" s="87"/>
      <c r="AV920" s="87"/>
      <c r="AW920" s="38"/>
      <c r="AX920" s="85"/>
      <c r="AY920" s="85"/>
      <c r="AZ920" s="36"/>
      <c r="BA920" s="1"/>
    </row>
    <row r="921" spans="10:53">
      <c r="J921" s="37"/>
      <c r="K921" s="36"/>
      <c r="L921" s="87"/>
      <c r="M921" s="38"/>
      <c r="N921" s="36"/>
      <c r="O921" s="36"/>
      <c r="P921" s="1"/>
      <c r="AD921"/>
      <c r="AG921"/>
      <c r="AN921" s="36"/>
      <c r="AO921" s="37"/>
      <c r="AP921" s="36"/>
      <c r="AQ921" s="36"/>
      <c r="AR921" s="36"/>
      <c r="AS921" s="89"/>
      <c r="AT921" s="87"/>
      <c r="AU921" s="87"/>
      <c r="AV921" s="87"/>
      <c r="AW921" s="87"/>
      <c r="AX921" s="85"/>
      <c r="AY921" s="85"/>
      <c r="AZ921" s="36"/>
      <c r="BA921" s="1"/>
    </row>
    <row r="922" spans="10:53">
      <c r="J922" s="37"/>
      <c r="K922" s="36"/>
      <c r="L922" s="87"/>
      <c r="M922" s="38"/>
      <c r="N922" s="36"/>
      <c r="O922" s="36"/>
      <c r="P922" s="1"/>
      <c r="AD922"/>
      <c r="AG922"/>
      <c r="AN922" s="36"/>
      <c r="AO922" s="37"/>
      <c r="AP922" s="36"/>
      <c r="AQ922" s="36"/>
      <c r="AR922" s="36"/>
      <c r="AS922" s="89"/>
      <c r="AT922" s="87"/>
      <c r="AU922" s="87"/>
      <c r="AV922" s="87"/>
      <c r="AW922" s="38"/>
      <c r="AX922" s="85"/>
      <c r="AY922" s="85"/>
      <c r="AZ922" s="36"/>
      <c r="BA922" s="1"/>
    </row>
    <row r="923" spans="10:53">
      <c r="J923" s="37"/>
      <c r="K923" s="36"/>
      <c r="L923" s="87"/>
      <c r="M923" s="87"/>
      <c r="N923" s="36"/>
      <c r="O923" s="36"/>
      <c r="P923" s="1"/>
      <c r="AD923"/>
      <c r="AG923"/>
      <c r="AN923" s="36"/>
      <c r="AO923" s="37"/>
      <c r="AP923" s="36"/>
      <c r="AQ923" s="36"/>
      <c r="AR923" s="36"/>
      <c r="AS923" s="89"/>
      <c r="AT923" s="87"/>
      <c r="AU923" s="87"/>
      <c r="AV923" s="87"/>
      <c r="AW923" s="87"/>
      <c r="AX923" s="85"/>
      <c r="AY923" s="85"/>
      <c r="AZ923" s="36"/>
      <c r="BA923" s="1"/>
    </row>
    <row r="924" spans="10:53">
      <c r="J924" s="37"/>
      <c r="K924" s="36"/>
      <c r="L924" s="87"/>
      <c r="M924" s="38"/>
      <c r="N924" s="36"/>
      <c r="O924" s="36"/>
      <c r="P924" s="1"/>
      <c r="AD924"/>
      <c r="AG924"/>
      <c r="AN924" s="36"/>
      <c r="AO924" s="37"/>
      <c r="AP924" s="36"/>
      <c r="AQ924" s="36"/>
      <c r="AR924" s="36"/>
      <c r="AS924" s="89"/>
      <c r="AT924" s="87"/>
      <c r="AU924" s="87"/>
      <c r="AV924" s="87"/>
      <c r="AW924" s="87"/>
      <c r="AX924" s="85"/>
      <c r="AY924" s="85"/>
      <c r="AZ924" s="36"/>
      <c r="BA924" s="1"/>
    </row>
    <row r="925" spans="10:53">
      <c r="J925" s="37"/>
      <c r="K925" s="36"/>
      <c r="L925" s="87"/>
      <c r="M925" s="38"/>
      <c r="N925" s="36"/>
      <c r="O925" s="36"/>
      <c r="P925" s="1"/>
      <c r="AD925"/>
      <c r="AG925"/>
      <c r="AN925" s="36"/>
      <c r="AO925" s="37"/>
      <c r="AP925" s="36"/>
      <c r="AQ925" s="36"/>
      <c r="AR925" s="36"/>
      <c r="AS925" s="89"/>
      <c r="AT925" s="87"/>
      <c r="AU925" s="87"/>
      <c r="AV925" s="87"/>
      <c r="AW925" s="87"/>
      <c r="AX925" s="85"/>
      <c r="AY925" s="85"/>
      <c r="AZ925" s="36"/>
      <c r="BA925" s="1"/>
    </row>
    <row r="926" spans="10:53">
      <c r="J926" s="37"/>
      <c r="K926" s="36"/>
      <c r="L926" s="87"/>
      <c r="M926" s="38"/>
      <c r="N926" s="36"/>
      <c r="O926" s="36"/>
      <c r="P926" s="1"/>
      <c r="AD926"/>
      <c r="AG926"/>
      <c r="AN926" s="36"/>
      <c r="AO926" s="37"/>
      <c r="AP926" s="36"/>
      <c r="AQ926" s="36"/>
      <c r="AR926" s="36"/>
      <c r="AS926" s="89"/>
      <c r="AT926" s="87"/>
      <c r="AU926" s="87"/>
      <c r="AV926" s="87"/>
      <c r="AW926" s="87"/>
      <c r="AX926" s="85"/>
      <c r="AY926" s="85"/>
      <c r="AZ926" s="36"/>
      <c r="BA926" s="1"/>
    </row>
    <row r="927" spans="10:53">
      <c r="J927" s="37"/>
      <c r="K927" s="36"/>
      <c r="L927" s="87"/>
      <c r="M927" s="38"/>
      <c r="N927" s="36"/>
      <c r="O927" s="36"/>
      <c r="P927" s="1"/>
      <c r="AD927"/>
      <c r="AG927"/>
      <c r="AN927" s="36"/>
      <c r="AO927" s="37"/>
      <c r="AP927" s="36"/>
      <c r="AQ927" s="36"/>
      <c r="AR927" s="36"/>
      <c r="AS927" s="89"/>
      <c r="AT927" s="87"/>
      <c r="AU927" s="87"/>
      <c r="AV927" s="87"/>
      <c r="AW927" s="38"/>
      <c r="AX927" s="85"/>
      <c r="AY927" s="85"/>
      <c r="AZ927" s="36"/>
      <c r="BA927" s="1"/>
    </row>
    <row r="928" spans="10:53">
      <c r="J928" s="37"/>
      <c r="K928" s="36"/>
      <c r="L928" s="87"/>
      <c r="M928" s="38"/>
      <c r="N928" s="36"/>
      <c r="O928" s="36"/>
      <c r="P928" s="1"/>
      <c r="AD928"/>
      <c r="AG928"/>
      <c r="AN928" s="36"/>
      <c r="AO928" s="37"/>
      <c r="AP928" s="36"/>
      <c r="AQ928" s="36"/>
      <c r="AR928" s="36"/>
      <c r="AS928" s="89"/>
      <c r="AT928" s="87"/>
      <c r="AU928" s="87"/>
      <c r="AV928" s="87"/>
      <c r="AW928" s="87"/>
      <c r="AX928" s="85"/>
      <c r="AY928" s="85"/>
      <c r="AZ928" s="36"/>
      <c r="BA928" s="1"/>
    </row>
    <row r="929" spans="10:53">
      <c r="J929" s="37"/>
      <c r="K929" s="36"/>
      <c r="L929" s="87"/>
      <c r="M929" s="87"/>
      <c r="N929" s="36"/>
      <c r="O929" s="36"/>
      <c r="P929" s="1"/>
      <c r="AD929"/>
      <c r="AG929"/>
      <c r="AN929" s="36"/>
      <c r="AO929" s="37"/>
      <c r="AP929" s="36"/>
      <c r="AQ929" s="36"/>
      <c r="AR929" s="36"/>
      <c r="AS929" s="89"/>
      <c r="AT929" s="87"/>
      <c r="AU929" s="87"/>
      <c r="AV929" s="87"/>
      <c r="AW929" s="87"/>
      <c r="AX929" s="85"/>
      <c r="AY929" s="85"/>
      <c r="AZ929" s="36"/>
      <c r="BA929" s="1"/>
    </row>
    <row r="930" spans="10:53">
      <c r="J930" s="37"/>
      <c r="K930" s="36"/>
      <c r="L930" s="87"/>
      <c r="M930" s="38"/>
      <c r="N930" s="36"/>
      <c r="O930" s="36"/>
      <c r="P930" s="1"/>
      <c r="AD930"/>
      <c r="AG930"/>
      <c r="AN930" s="36"/>
      <c r="AO930" s="37"/>
      <c r="AP930" s="36"/>
      <c r="AQ930" s="36"/>
      <c r="AR930" s="36"/>
      <c r="AS930" s="89"/>
      <c r="AT930" s="87"/>
      <c r="AU930" s="87"/>
      <c r="AV930" s="87"/>
      <c r="AW930" s="87"/>
      <c r="AX930" s="85"/>
      <c r="AY930" s="85"/>
      <c r="AZ930" s="36"/>
      <c r="BA930" s="1"/>
    </row>
    <row r="931" spans="10:53">
      <c r="J931" s="37"/>
      <c r="K931" s="36"/>
      <c r="L931" s="87"/>
      <c r="M931" s="38"/>
      <c r="N931" s="36"/>
      <c r="O931" s="36"/>
      <c r="P931" s="1"/>
      <c r="AD931"/>
      <c r="AG931"/>
      <c r="AN931" s="36"/>
      <c r="AO931" s="37"/>
      <c r="AP931" s="36"/>
      <c r="AQ931" s="36"/>
      <c r="AR931" s="36"/>
      <c r="AS931" s="89"/>
      <c r="AT931" s="87"/>
      <c r="AU931" s="87"/>
      <c r="AV931" s="87"/>
      <c r="AW931" s="87"/>
      <c r="AX931" s="85"/>
      <c r="AY931" s="85"/>
      <c r="AZ931" s="36"/>
      <c r="BA931" s="1"/>
    </row>
    <row r="932" spans="10:53">
      <c r="J932" s="37"/>
      <c r="K932" s="36"/>
      <c r="L932" s="87"/>
      <c r="M932" s="38"/>
      <c r="N932" s="36"/>
      <c r="O932" s="36"/>
      <c r="P932" s="1"/>
      <c r="AD932"/>
      <c r="AG932"/>
      <c r="AN932" s="36"/>
      <c r="AO932" s="37"/>
      <c r="AP932" s="36"/>
      <c r="AQ932" s="36"/>
      <c r="AR932" s="36"/>
      <c r="AS932" s="89"/>
      <c r="AT932" s="87"/>
      <c r="AU932" s="87"/>
      <c r="AV932" s="87"/>
      <c r="AW932" s="87"/>
      <c r="AX932" s="85"/>
      <c r="AY932" s="85"/>
      <c r="AZ932" s="36"/>
      <c r="BA932" s="1"/>
    </row>
    <row r="933" spans="10:53">
      <c r="J933" s="37"/>
      <c r="K933" s="36"/>
      <c r="L933" s="87"/>
      <c r="M933" s="38"/>
      <c r="N933" s="36"/>
      <c r="O933" s="36"/>
      <c r="P933" s="1"/>
      <c r="AD933"/>
      <c r="AG933"/>
      <c r="AN933" s="36"/>
      <c r="AO933" s="37"/>
      <c r="AP933" s="36"/>
      <c r="AQ933" s="36"/>
      <c r="AR933" s="36"/>
      <c r="AS933" s="89"/>
      <c r="AT933" s="87"/>
      <c r="AU933" s="87"/>
      <c r="AV933" s="87"/>
      <c r="AW933" s="87"/>
      <c r="AX933" s="85"/>
      <c r="AY933" s="85"/>
      <c r="AZ933" s="36"/>
      <c r="BA933" s="1"/>
    </row>
    <row r="934" spans="10:53">
      <c r="J934" s="37"/>
      <c r="K934" s="36"/>
      <c r="L934" s="87"/>
      <c r="M934" s="38"/>
      <c r="N934" s="36"/>
      <c r="O934" s="36"/>
      <c r="P934" s="1"/>
      <c r="AD934"/>
      <c r="AG934"/>
      <c r="AN934" s="36"/>
      <c r="AO934" s="37"/>
      <c r="AP934" s="36"/>
      <c r="AQ934" s="36"/>
      <c r="AR934" s="36"/>
      <c r="AS934" s="89"/>
      <c r="AT934" s="87"/>
      <c r="AU934" s="87"/>
      <c r="AV934" s="87"/>
      <c r="AW934" s="87"/>
      <c r="AX934" s="85"/>
      <c r="AY934" s="85"/>
      <c r="AZ934" s="36"/>
      <c r="BA934" s="1"/>
    </row>
    <row r="935" spans="10:53">
      <c r="J935" s="37"/>
      <c r="K935" s="36"/>
      <c r="L935" s="87"/>
      <c r="M935" s="87"/>
      <c r="N935" s="36"/>
      <c r="O935" s="36"/>
      <c r="P935" s="1"/>
      <c r="AD935"/>
      <c r="AG935"/>
      <c r="AN935" s="36"/>
      <c r="AO935" s="37"/>
      <c r="AP935" s="36"/>
      <c r="AQ935" s="36"/>
      <c r="AR935" s="36"/>
      <c r="AS935" s="89"/>
      <c r="AT935" s="87"/>
      <c r="AU935" s="87"/>
      <c r="AV935" s="87"/>
      <c r="AW935" s="87"/>
      <c r="AX935" s="85"/>
      <c r="AY935" s="85"/>
      <c r="AZ935" s="36"/>
      <c r="BA935" s="1"/>
    </row>
    <row r="936" spans="10:53">
      <c r="J936" s="37"/>
      <c r="K936" s="36"/>
      <c r="L936" s="87"/>
      <c r="M936" s="38"/>
      <c r="N936" s="36"/>
      <c r="O936" s="36"/>
      <c r="P936" s="1"/>
      <c r="AD936"/>
      <c r="AG936"/>
      <c r="AN936" s="36"/>
      <c r="AO936" s="37"/>
      <c r="AP936" s="36"/>
      <c r="AQ936" s="36"/>
      <c r="AR936" s="36"/>
      <c r="AS936" s="89"/>
      <c r="AT936" s="87"/>
      <c r="AU936" s="87"/>
      <c r="AV936" s="87"/>
      <c r="AW936" s="87"/>
      <c r="AX936" s="85"/>
      <c r="AY936" s="85"/>
      <c r="AZ936" s="36"/>
      <c r="BA936" s="1"/>
    </row>
    <row r="937" spans="10:53">
      <c r="J937" s="37"/>
      <c r="K937" s="36"/>
      <c r="L937" s="87"/>
      <c r="M937" s="87"/>
      <c r="N937" s="36"/>
      <c r="O937" s="36"/>
      <c r="P937" s="1"/>
      <c r="AD937"/>
      <c r="AG937"/>
      <c r="AN937" s="36"/>
      <c r="AO937" s="37"/>
      <c r="AP937" s="36"/>
      <c r="AQ937" s="36"/>
      <c r="AR937" s="36"/>
      <c r="AS937" s="89"/>
      <c r="AT937" s="87"/>
      <c r="AU937" s="87"/>
      <c r="AV937" s="87"/>
      <c r="AW937" s="87"/>
      <c r="AX937" s="85"/>
      <c r="AY937" s="85"/>
      <c r="AZ937" s="36"/>
      <c r="BA937" s="1"/>
    </row>
    <row r="938" spans="10:53">
      <c r="J938" s="37"/>
      <c r="K938" s="36"/>
      <c r="L938" s="87"/>
      <c r="M938" s="87"/>
      <c r="N938" s="36"/>
      <c r="O938" s="36"/>
      <c r="P938" s="1"/>
      <c r="AD938"/>
      <c r="AG938"/>
      <c r="AN938" s="36"/>
      <c r="AO938" s="37"/>
      <c r="AP938" s="36"/>
      <c r="AQ938" s="36"/>
      <c r="AR938" s="36"/>
      <c r="AS938" s="89"/>
      <c r="AT938" s="87"/>
      <c r="AU938" s="87"/>
      <c r="AV938" s="87"/>
      <c r="AW938" s="38"/>
      <c r="AX938" s="85"/>
      <c r="AY938" s="85"/>
      <c r="AZ938" s="36"/>
      <c r="BA938" s="1"/>
    </row>
    <row r="939" spans="10:53">
      <c r="J939" s="37"/>
      <c r="K939" s="36"/>
      <c r="L939" s="87"/>
      <c r="M939" s="87"/>
      <c r="N939" s="36"/>
      <c r="O939" s="36"/>
      <c r="P939" s="1"/>
      <c r="AD939"/>
      <c r="AG939"/>
      <c r="AN939" s="36"/>
      <c r="AO939" s="37"/>
      <c r="AP939" s="36"/>
      <c r="AQ939" s="36"/>
      <c r="AR939" s="36"/>
      <c r="AS939" s="89"/>
      <c r="AT939" s="87"/>
      <c r="AU939" s="87"/>
      <c r="AV939" s="87"/>
      <c r="AW939" s="38"/>
      <c r="AX939" s="85"/>
      <c r="AY939" s="85"/>
      <c r="AZ939" s="36"/>
      <c r="BA939" s="1"/>
    </row>
    <row r="940" spans="10:53">
      <c r="J940" s="37"/>
      <c r="K940" s="36"/>
      <c r="L940" s="87"/>
      <c r="M940" s="38"/>
      <c r="N940" s="36"/>
      <c r="O940" s="36"/>
      <c r="P940" s="1"/>
      <c r="AD940"/>
      <c r="AG940"/>
      <c r="AN940" s="36"/>
      <c r="AO940" s="37"/>
      <c r="AP940" s="36"/>
      <c r="AQ940" s="36"/>
      <c r="AR940" s="36"/>
      <c r="AS940" s="89"/>
      <c r="AT940" s="87"/>
      <c r="AU940" s="87"/>
      <c r="AV940" s="87"/>
      <c r="AW940" s="87"/>
      <c r="AX940" s="85"/>
      <c r="AY940" s="85"/>
      <c r="AZ940" s="36"/>
      <c r="BA940" s="1"/>
    </row>
    <row r="941" spans="10:53">
      <c r="J941" s="37"/>
      <c r="K941" s="36"/>
      <c r="L941" s="87"/>
      <c r="M941" s="87"/>
      <c r="N941" s="36"/>
      <c r="O941" s="36"/>
      <c r="P941" s="1"/>
      <c r="AD941"/>
      <c r="AG941"/>
      <c r="AN941" s="36"/>
      <c r="AO941" s="37"/>
      <c r="AP941" s="36"/>
      <c r="AQ941" s="36"/>
      <c r="AR941" s="36"/>
      <c r="AS941" s="89"/>
      <c r="AT941" s="87"/>
      <c r="AU941" s="87"/>
      <c r="AV941" s="87"/>
      <c r="AW941" s="87"/>
      <c r="AX941" s="85"/>
      <c r="AY941" s="85"/>
      <c r="AZ941" s="36"/>
      <c r="BA941" s="1"/>
    </row>
    <row r="942" spans="10:53">
      <c r="J942" s="37"/>
      <c r="K942" s="36"/>
      <c r="L942" s="87"/>
      <c r="M942" s="87"/>
      <c r="N942" s="36"/>
      <c r="O942" s="36"/>
      <c r="P942" s="1"/>
      <c r="AD942"/>
      <c r="AG942"/>
      <c r="AN942" s="36"/>
      <c r="AO942" s="37"/>
      <c r="AP942" s="36"/>
      <c r="AQ942" s="36"/>
      <c r="AR942" s="36"/>
      <c r="AS942" s="89"/>
      <c r="AT942" s="87"/>
      <c r="AU942" s="87"/>
      <c r="AV942" s="87"/>
      <c r="AW942" s="38"/>
      <c r="AX942" s="85"/>
      <c r="AY942" s="85"/>
      <c r="AZ942" s="36"/>
      <c r="BA942" s="1"/>
    </row>
    <row r="943" spans="10:53">
      <c r="J943" s="37"/>
      <c r="K943" s="36"/>
      <c r="L943" s="87"/>
      <c r="M943" s="38"/>
      <c r="N943" s="36"/>
      <c r="O943" s="36"/>
      <c r="P943" s="1"/>
      <c r="AD943"/>
      <c r="AG943"/>
      <c r="AN943" s="36"/>
      <c r="AO943" s="37"/>
      <c r="AP943" s="36"/>
      <c r="AQ943" s="36"/>
      <c r="AR943" s="36"/>
      <c r="AS943" s="89"/>
      <c r="AT943" s="87"/>
      <c r="AU943" s="87"/>
      <c r="AV943" s="87"/>
      <c r="AW943" s="38"/>
      <c r="AX943" s="85"/>
      <c r="AY943" s="85"/>
      <c r="AZ943" s="36"/>
      <c r="BA943" s="1"/>
    </row>
    <row r="944" spans="10:53">
      <c r="J944" s="37"/>
      <c r="K944" s="36"/>
      <c r="L944" s="87"/>
      <c r="M944" s="38"/>
      <c r="N944" s="36"/>
      <c r="O944" s="36"/>
      <c r="P944" s="1"/>
      <c r="AD944"/>
      <c r="AG944"/>
      <c r="AN944" s="36"/>
      <c r="AO944" s="37"/>
      <c r="AP944" s="36"/>
      <c r="AQ944" s="36"/>
      <c r="AR944" s="36"/>
      <c r="AS944" s="89"/>
      <c r="AT944" s="87"/>
      <c r="AU944" s="87"/>
      <c r="AV944" s="87"/>
      <c r="AW944" s="87"/>
      <c r="AX944" s="85"/>
      <c r="AY944" s="85"/>
      <c r="AZ944" s="36"/>
      <c r="BA944" s="1"/>
    </row>
    <row r="945" spans="10:53">
      <c r="J945" s="37"/>
      <c r="K945" s="36"/>
      <c r="L945" s="87"/>
      <c r="M945" s="87"/>
      <c r="N945" s="36"/>
      <c r="O945" s="36"/>
      <c r="P945" s="1"/>
      <c r="AD945"/>
      <c r="AG945"/>
      <c r="AN945" s="36"/>
      <c r="AO945" s="37"/>
      <c r="AP945" s="36"/>
      <c r="AQ945" s="36"/>
      <c r="AR945" s="36"/>
      <c r="AS945" s="89"/>
      <c r="AT945" s="87"/>
      <c r="AU945" s="87"/>
      <c r="AV945" s="87"/>
      <c r="AW945" s="38"/>
      <c r="AX945" s="85"/>
      <c r="AY945" s="85"/>
      <c r="AZ945" s="36"/>
      <c r="BA945" s="1"/>
    </row>
    <row r="946" spans="10:53">
      <c r="J946" s="37"/>
      <c r="K946" s="36"/>
      <c r="L946" s="87"/>
      <c r="M946" s="87"/>
      <c r="N946" s="36"/>
      <c r="O946" s="36"/>
      <c r="P946" s="1"/>
      <c r="AD946"/>
      <c r="AG946"/>
      <c r="AN946" s="36"/>
      <c r="AO946" s="37"/>
      <c r="AP946" s="36"/>
      <c r="AQ946" s="36"/>
      <c r="AR946" s="36"/>
      <c r="AS946" s="89"/>
      <c r="AT946" s="87"/>
      <c r="AU946" s="87"/>
      <c r="AV946" s="87"/>
      <c r="AW946" s="38"/>
      <c r="AX946" s="85"/>
      <c r="AY946" s="85"/>
      <c r="AZ946" s="36"/>
      <c r="BA946" s="1"/>
    </row>
    <row r="947" spans="10:53">
      <c r="J947" s="37"/>
      <c r="K947" s="36"/>
      <c r="L947" s="87"/>
      <c r="M947" s="87"/>
      <c r="N947" s="36"/>
      <c r="O947" s="36"/>
      <c r="P947" s="1"/>
      <c r="AD947"/>
      <c r="AG947"/>
      <c r="AN947" s="36"/>
      <c r="AO947" s="37"/>
      <c r="AP947" s="36"/>
      <c r="AQ947" s="36"/>
      <c r="AR947" s="36"/>
      <c r="AS947" s="89"/>
      <c r="AT947" s="87"/>
      <c r="AU947" s="87"/>
      <c r="AV947" s="87"/>
      <c r="AW947" s="284"/>
      <c r="AX947" s="85"/>
      <c r="AY947" s="85"/>
      <c r="AZ947" s="36"/>
      <c r="BA947" s="1"/>
    </row>
    <row r="948" spans="10:53">
      <c r="J948" s="37"/>
      <c r="K948" s="36"/>
      <c r="L948" s="87"/>
      <c r="M948" s="38"/>
      <c r="N948" s="36"/>
      <c r="O948" s="36"/>
      <c r="P948" s="1"/>
      <c r="AD948"/>
      <c r="AG948"/>
      <c r="AN948" s="36"/>
      <c r="AO948" s="37"/>
      <c r="AP948" s="36"/>
      <c r="AQ948" s="36"/>
      <c r="AR948" s="36"/>
      <c r="AS948" s="89"/>
      <c r="AT948" s="87"/>
      <c r="AU948" s="87"/>
      <c r="AV948" s="87"/>
      <c r="AW948" s="284"/>
      <c r="AX948" s="85"/>
      <c r="AY948" s="85"/>
      <c r="AZ948" s="36"/>
      <c r="BA948" s="1"/>
    </row>
    <row r="949" spans="10:53">
      <c r="J949" s="37"/>
      <c r="K949" s="36"/>
      <c r="L949" s="87"/>
      <c r="M949" s="87"/>
      <c r="N949" s="36"/>
      <c r="O949" s="36"/>
      <c r="P949" s="1"/>
      <c r="AD949"/>
      <c r="AG949"/>
      <c r="AN949" s="36"/>
      <c r="AO949" s="37"/>
      <c r="AP949" s="36"/>
      <c r="AQ949" s="36"/>
      <c r="AR949" s="36"/>
      <c r="AS949" s="89"/>
      <c r="AT949" s="87"/>
      <c r="AU949" s="87"/>
      <c r="AV949" s="87"/>
      <c r="AW949" s="38"/>
      <c r="AX949" s="85"/>
      <c r="AY949" s="85"/>
      <c r="AZ949" s="36"/>
      <c r="BA949" s="1"/>
    </row>
    <row r="950" spans="10:53">
      <c r="J950" s="37"/>
      <c r="K950" s="36"/>
      <c r="L950" s="87"/>
      <c r="M950" s="38"/>
      <c r="N950" s="36"/>
      <c r="O950" s="36"/>
      <c r="P950" s="1"/>
      <c r="AD950"/>
      <c r="AG950"/>
      <c r="AN950" s="36"/>
      <c r="AO950" s="37"/>
      <c r="AP950" s="36"/>
      <c r="AQ950" s="36"/>
      <c r="AR950" s="36"/>
      <c r="AS950" s="89"/>
      <c r="AT950" s="87"/>
      <c r="AU950" s="87"/>
      <c r="AV950" s="87"/>
      <c r="AW950" s="284"/>
      <c r="AX950" s="85"/>
      <c r="AY950" s="85"/>
      <c r="AZ950" s="295"/>
      <c r="BA950" s="1"/>
    </row>
    <row r="951" spans="10:53">
      <c r="J951" s="37"/>
      <c r="K951" s="36"/>
      <c r="L951" s="87"/>
      <c r="M951" s="87"/>
      <c r="N951" s="36"/>
      <c r="O951" s="36"/>
      <c r="P951" s="1"/>
      <c r="AD951"/>
      <c r="AG951"/>
      <c r="AN951" s="36"/>
      <c r="AO951" s="37"/>
      <c r="AP951" s="36"/>
      <c r="AQ951" s="36"/>
      <c r="AR951" s="36"/>
      <c r="AS951" s="89"/>
      <c r="AT951" s="87"/>
      <c r="AU951" s="87"/>
      <c r="AV951" s="87"/>
      <c r="AW951" s="87"/>
      <c r="AX951" s="85"/>
      <c r="AY951" s="85"/>
      <c r="AZ951" s="36"/>
      <c r="BA951" s="1"/>
    </row>
    <row r="952" spans="10:53">
      <c r="J952" s="37"/>
      <c r="K952" s="36"/>
      <c r="L952" s="87"/>
      <c r="M952" s="38"/>
      <c r="N952" s="36"/>
      <c r="O952" s="36"/>
      <c r="P952" s="1"/>
      <c r="AD952"/>
      <c r="AG952"/>
      <c r="AN952" s="36"/>
      <c r="AO952" s="37"/>
      <c r="AP952" s="36"/>
      <c r="AQ952" s="36"/>
      <c r="AR952" s="36"/>
      <c r="AS952" s="89"/>
      <c r="AT952" s="87"/>
      <c r="AU952" s="87"/>
      <c r="AV952" s="87"/>
      <c r="AW952" s="87"/>
      <c r="AX952" s="85"/>
      <c r="AY952" s="85"/>
      <c r="AZ952" s="36"/>
      <c r="BA952" s="1"/>
    </row>
    <row r="953" spans="10:53">
      <c r="J953" s="37"/>
      <c r="K953" s="36"/>
      <c r="L953" s="87"/>
      <c r="M953" s="87"/>
      <c r="N953" s="36"/>
      <c r="O953" s="36"/>
      <c r="P953" s="1"/>
      <c r="AD953"/>
      <c r="AG953"/>
      <c r="AN953" s="36"/>
      <c r="AO953" s="37"/>
      <c r="AP953" s="36"/>
      <c r="AQ953" s="36"/>
      <c r="AR953" s="36"/>
      <c r="AS953" s="89"/>
      <c r="AT953" s="87"/>
      <c r="AU953" s="87"/>
      <c r="AV953" s="87"/>
      <c r="AW953" s="292"/>
      <c r="AX953" s="85"/>
      <c r="AY953" s="85"/>
      <c r="AZ953" s="293"/>
      <c r="BA953" s="1"/>
    </row>
    <row r="954" spans="10:53">
      <c r="J954" s="37"/>
      <c r="K954" s="36"/>
      <c r="L954" s="87"/>
      <c r="M954" s="38"/>
      <c r="N954" s="36"/>
      <c r="O954" s="36"/>
      <c r="P954" s="1"/>
      <c r="AD954"/>
      <c r="AG954"/>
      <c r="AN954" s="36"/>
      <c r="AO954" s="37"/>
      <c r="AP954" s="36"/>
      <c r="AQ954" s="36"/>
      <c r="AR954" s="36"/>
      <c r="AS954" s="89"/>
      <c r="AT954" s="87"/>
      <c r="AU954" s="87"/>
      <c r="AV954" s="87"/>
      <c r="AW954" s="294"/>
      <c r="AX954" s="85"/>
      <c r="AY954" s="85"/>
      <c r="AZ954" s="293"/>
      <c r="BA954" s="1"/>
    </row>
    <row r="955" spans="10:53">
      <c r="J955" s="37"/>
      <c r="K955" s="36"/>
      <c r="L955" s="87"/>
      <c r="M955" s="87"/>
      <c r="N955" s="36"/>
      <c r="O955" s="36"/>
      <c r="P955" s="1"/>
      <c r="AD955"/>
      <c r="AG955"/>
      <c r="AN955" s="36"/>
      <c r="AO955" s="37"/>
      <c r="AP955" s="36"/>
      <c r="AQ955" s="36"/>
      <c r="AR955" s="36"/>
      <c r="AS955" s="89"/>
      <c r="AT955" s="87"/>
      <c r="AU955" s="87"/>
      <c r="AV955" s="87"/>
      <c r="AW955" s="292"/>
      <c r="AX955" s="85"/>
      <c r="AY955" s="85"/>
      <c r="AZ955" s="293"/>
      <c r="BA955" s="1"/>
    </row>
    <row r="956" spans="10:53">
      <c r="J956" s="37"/>
      <c r="K956" s="36"/>
      <c r="L956" s="87"/>
      <c r="M956" s="87"/>
      <c r="N956" s="36"/>
      <c r="O956" s="36"/>
      <c r="P956" s="1"/>
      <c r="AD956"/>
      <c r="AG956"/>
      <c r="AN956" s="36"/>
      <c r="AO956" s="37"/>
      <c r="AP956" s="36"/>
      <c r="AQ956" s="36"/>
      <c r="AR956" s="36"/>
      <c r="AS956" s="89"/>
      <c r="AT956" s="87"/>
      <c r="AU956" s="87"/>
      <c r="AV956" s="87"/>
      <c r="AW956" s="297"/>
      <c r="AX956" s="85"/>
      <c r="AY956" s="85"/>
      <c r="AZ956" s="299"/>
      <c r="BA956" s="1"/>
    </row>
    <row r="957" spans="10:53">
      <c r="J957" s="37"/>
      <c r="K957" s="36"/>
      <c r="L957" s="87"/>
      <c r="M957" s="38"/>
      <c r="N957" s="36"/>
      <c r="O957" s="36"/>
      <c r="P957" s="1"/>
      <c r="AD957"/>
      <c r="AG957"/>
      <c r="AN957" s="36"/>
      <c r="AO957" s="37"/>
      <c r="AP957" s="36"/>
      <c r="AQ957" s="36"/>
      <c r="AR957" s="36"/>
      <c r="AS957" s="89"/>
      <c r="AT957" s="87"/>
      <c r="AU957" s="87"/>
      <c r="AV957" s="87"/>
      <c r="AW957" s="38"/>
      <c r="AX957" s="85"/>
      <c r="AY957" s="85"/>
      <c r="AZ957" s="36"/>
      <c r="BA957" s="1"/>
    </row>
    <row r="958" spans="10:53">
      <c r="J958" s="37"/>
      <c r="K958" s="36"/>
      <c r="L958" s="87"/>
      <c r="M958" s="38"/>
      <c r="N958" s="36"/>
      <c r="O958" s="36"/>
      <c r="P958" s="1"/>
      <c r="AD958"/>
      <c r="AG958"/>
      <c r="AN958" s="36"/>
      <c r="AO958" s="37"/>
      <c r="AP958" s="36"/>
      <c r="AQ958" s="36"/>
      <c r="AR958" s="36"/>
      <c r="AS958" s="89"/>
      <c r="AT958" s="87"/>
      <c r="AU958" s="87"/>
      <c r="AV958" s="87"/>
      <c r="AW958" s="38"/>
      <c r="AX958" s="85"/>
      <c r="AY958" s="85"/>
      <c r="AZ958" s="36"/>
      <c r="BA958" s="1"/>
    </row>
    <row r="959" spans="10:53">
      <c r="J959" s="37"/>
      <c r="K959" s="36"/>
      <c r="L959" s="87"/>
      <c r="M959" s="38"/>
      <c r="N959" s="36"/>
      <c r="O959" s="36"/>
      <c r="P959" s="1"/>
      <c r="AD959"/>
      <c r="AG959"/>
      <c r="AN959" s="36"/>
      <c r="AO959" s="37"/>
      <c r="AP959" s="36"/>
      <c r="AQ959" s="36"/>
      <c r="AR959" s="36"/>
      <c r="AS959" s="89"/>
      <c r="AT959" s="87"/>
      <c r="AU959" s="87"/>
      <c r="AV959" s="87"/>
      <c r="AW959" s="284"/>
      <c r="AX959" s="85"/>
      <c r="AY959" s="85"/>
      <c r="AZ959" s="295"/>
      <c r="BA959" s="1"/>
    </row>
    <row r="960" spans="10:53">
      <c r="J960" s="37"/>
      <c r="K960" s="36"/>
      <c r="L960" s="87"/>
      <c r="M960" s="87"/>
      <c r="N960" s="36"/>
      <c r="O960" s="36"/>
      <c r="P960" s="1"/>
      <c r="AD960"/>
      <c r="AG960"/>
      <c r="AN960" s="36"/>
      <c r="AO960" s="37"/>
      <c r="AP960" s="36"/>
      <c r="AQ960" s="36"/>
      <c r="AR960" s="36"/>
      <c r="AS960" s="89"/>
      <c r="AT960" s="87"/>
      <c r="AU960" s="87"/>
      <c r="AV960" s="87"/>
      <c r="AW960" s="284"/>
      <c r="AX960" s="85"/>
      <c r="AY960" s="85"/>
      <c r="AZ960" s="295"/>
      <c r="BA960" s="1"/>
    </row>
    <row r="961" spans="10:53">
      <c r="J961" s="37"/>
      <c r="K961" s="36"/>
      <c r="L961" s="87"/>
      <c r="M961" s="38"/>
      <c r="N961" s="36"/>
      <c r="O961" s="36"/>
      <c r="P961" s="1"/>
      <c r="AD961"/>
      <c r="AG961"/>
      <c r="AN961" s="36"/>
      <c r="AO961" s="37"/>
      <c r="AP961" s="36"/>
      <c r="AQ961" s="36"/>
      <c r="AR961" s="36"/>
      <c r="AS961" s="89"/>
      <c r="AT961" s="87"/>
      <c r="AU961" s="87"/>
      <c r="AV961" s="87"/>
      <c r="AW961" s="292"/>
      <c r="AX961" s="85"/>
      <c r="AY961" s="85"/>
      <c r="AZ961" s="293"/>
      <c r="BA961" s="1"/>
    </row>
    <row r="962" spans="10:53">
      <c r="J962" s="37"/>
      <c r="K962" s="36"/>
      <c r="L962" s="87"/>
      <c r="M962" s="38"/>
      <c r="N962" s="36"/>
      <c r="O962" s="36"/>
      <c r="P962" s="1"/>
      <c r="AD962"/>
      <c r="AG962"/>
      <c r="AN962" s="36"/>
      <c r="AO962" s="37"/>
      <c r="AP962" s="36"/>
      <c r="AQ962" s="36"/>
      <c r="AR962" s="36"/>
      <c r="AS962" s="89"/>
      <c r="AT962" s="87"/>
      <c r="AU962" s="87"/>
      <c r="AV962" s="87"/>
      <c r="AW962" s="294"/>
      <c r="AX962" s="85"/>
      <c r="AY962" s="85"/>
      <c r="AZ962" s="293"/>
      <c r="BA962" s="1"/>
    </row>
    <row r="963" spans="10:53">
      <c r="J963" s="37"/>
      <c r="K963" s="36"/>
      <c r="L963" s="87"/>
      <c r="M963" s="87"/>
      <c r="N963" s="36"/>
      <c r="O963" s="36"/>
      <c r="P963" s="1"/>
      <c r="AD963"/>
      <c r="AG963"/>
      <c r="AN963" s="36"/>
      <c r="AO963" s="37"/>
      <c r="AP963" s="36"/>
      <c r="AQ963" s="36"/>
      <c r="AR963" s="36"/>
      <c r="AS963" s="89"/>
      <c r="AT963" s="87"/>
      <c r="AU963" s="87"/>
      <c r="AV963" s="87"/>
      <c r="AW963" s="297"/>
      <c r="AX963" s="85"/>
      <c r="AY963" s="85"/>
      <c r="AZ963" s="298"/>
      <c r="BA963" s="1"/>
    </row>
    <row r="964" spans="10:53">
      <c r="J964" s="37"/>
      <c r="K964" s="36"/>
      <c r="L964" s="87"/>
      <c r="M964" s="87"/>
      <c r="N964" s="36"/>
      <c r="O964" s="36"/>
      <c r="P964" s="1"/>
      <c r="AD964"/>
      <c r="AG964"/>
      <c r="AN964" s="36"/>
      <c r="AO964" s="37"/>
      <c r="AP964" s="36"/>
      <c r="AQ964" s="36"/>
      <c r="AR964" s="36"/>
      <c r="AS964" s="89"/>
      <c r="AT964" s="87"/>
      <c r="AU964" s="87"/>
      <c r="AV964" s="87"/>
      <c r="AW964" s="297"/>
      <c r="AX964" s="85"/>
      <c r="AY964" s="85"/>
      <c r="AZ964" s="298"/>
      <c r="BA964" s="1"/>
    </row>
    <row r="965" spans="10:53">
      <c r="J965" s="37"/>
      <c r="K965" s="36"/>
      <c r="L965" s="87"/>
      <c r="M965" s="38"/>
      <c r="N965" s="36"/>
      <c r="O965" s="36"/>
      <c r="P965" s="1"/>
      <c r="AD965"/>
      <c r="AG965"/>
      <c r="AN965" s="36"/>
      <c r="AO965" s="37"/>
      <c r="AP965" s="36"/>
      <c r="AQ965" s="36"/>
      <c r="AR965" s="36"/>
      <c r="AS965" s="89"/>
      <c r="AT965" s="87"/>
      <c r="AU965" s="87"/>
      <c r="AV965" s="87"/>
      <c r="AW965" s="38"/>
      <c r="AX965" s="85"/>
      <c r="AY965" s="85"/>
      <c r="AZ965" s="36"/>
      <c r="BA965" s="1"/>
    </row>
    <row r="966" spans="10:53">
      <c r="J966" s="37"/>
      <c r="K966" s="36"/>
      <c r="L966" s="87"/>
      <c r="M966" s="38"/>
      <c r="N966" s="36"/>
      <c r="O966" s="36"/>
      <c r="P966" s="1"/>
      <c r="AD966"/>
      <c r="AG966"/>
      <c r="AN966" s="36"/>
      <c r="AO966" s="37"/>
      <c r="AP966" s="36"/>
      <c r="AQ966" s="36"/>
      <c r="AR966" s="36"/>
      <c r="AS966" s="89"/>
      <c r="AT966" s="87"/>
      <c r="AU966" s="87"/>
      <c r="AV966" s="87"/>
      <c r="AW966" s="38"/>
      <c r="AX966" s="85"/>
      <c r="AY966" s="85"/>
      <c r="AZ966" s="36"/>
      <c r="BA966" s="1"/>
    </row>
    <row r="967" spans="10:53">
      <c r="J967" s="37"/>
      <c r="K967" s="36"/>
      <c r="L967" s="87"/>
      <c r="M967" s="38"/>
      <c r="N967" s="36"/>
      <c r="O967" s="36"/>
      <c r="P967" s="1"/>
      <c r="AD967"/>
      <c r="AG967"/>
      <c r="AN967" s="36"/>
      <c r="AO967" s="37"/>
      <c r="AP967" s="36"/>
      <c r="AQ967" s="36"/>
      <c r="AR967" s="36"/>
      <c r="AS967" s="89"/>
      <c r="AT967" s="87"/>
      <c r="AU967" s="87"/>
      <c r="AV967" s="87"/>
      <c r="AW967" s="38"/>
      <c r="AX967" s="85"/>
      <c r="AY967" s="85"/>
      <c r="AZ967" s="36"/>
      <c r="BA967" s="1"/>
    </row>
    <row r="968" spans="10:53">
      <c r="J968" s="37"/>
      <c r="K968" s="36"/>
      <c r="L968" s="87"/>
      <c r="M968" s="38"/>
      <c r="N968" s="36"/>
      <c r="O968" s="36"/>
      <c r="P968" s="1"/>
      <c r="AD968"/>
      <c r="AG968"/>
      <c r="AN968" s="36"/>
      <c r="AO968" s="37"/>
      <c r="AP968" s="36"/>
      <c r="AQ968" s="36"/>
      <c r="AR968" s="36"/>
      <c r="AS968" s="89"/>
      <c r="AT968" s="87"/>
      <c r="AU968" s="87"/>
      <c r="AV968" s="87"/>
      <c r="AW968" s="38"/>
      <c r="AX968" s="85"/>
      <c r="AY968" s="85"/>
      <c r="AZ968" s="36"/>
      <c r="BA968" s="1"/>
    </row>
    <row r="969" spans="10:53">
      <c r="J969" s="37"/>
      <c r="K969" s="36"/>
      <c r="L969" s="87"/>
      <c r="M969" s="38"/>
      <c r="N969" s="36"/>
      <c r="O969" s="36"/>
      <c r="P969" s="1"/>
      <c r="AD969"/>
      <c r="AG969"/>
      <c r="AN969" s="36"/>
      <c r="AO969" s="37"/>
      <c r="AP969" s="36"/>
      <c r="AQ969" s="36"/>
      <c r="AR969" s="36"/>
      <c r="AS969" s="89"/>
      <c r="AT969" s="87"/>
      <c r="AU969" s="87"/>
      <c r="AV969" s="87"/>
      <c r="AW969" s="38"/>
      <c r="AX969" s="85"/>
      <c r="AY969" s="85"/>
      <c r="AZ969" s="36"/>
      <c r="BA969" s="1"/>
    </row>
    <row r="970" spans="10:53">
      <c r="J970" s="37"/>
      <c r="K970" s="36"/>
      <c r="L970" s="87"/>
      <c r="M970" s="38"/>
      <c r="N970" s="36"/>
      <c r="O970" s="36"/>
      <c r="P970" s="1"/>
      <c r="AD970"/>
      <c r="AG970"/>
      <c r="AN970" s="36"/>
      <c r="AO970" s="37"/>
      <c r="AP970" s="36"/>
      <c r="AQ970" s="36"/>
      <c r="AR970" s="36"/>
      <c r="AS970" s="89"/>
      <c r="AT970" s="87"/>
      <c r="AU970" s="87"/>
      <c r="AV970" s="87"/>
      <c r="AW970" s="38"/>
      <c r="AX970" s="85"/>
      <c r="AY970" s="85"/>
      <c r="AZ970" s="36"/>
      <c r="BA970" s="1"/>
    </row>
    <row r="971" spans="10:53">
      <c r="J971" s="37"/>
      <c r="K971" s="36"/>
      <c r="L971" s="87"/>
      <c r="M971" s="38"/>
      <c r="N971" s="36"/>
      <c r="O971" s="36"/>
      <c r="P971" s="1"/>
      <c r="AD971"/>
      <c r="AG971"/>
      <c r="AN971" s="36"/>
      <c r="AO971" s="37"/>
      <c r="AP971" s="36"/>
      <c r="AQ971" s="36"/>
      <c r="AR971" s="36"/>
      <c r="AS971" s="89"/>
      <c r="AT971" s="87"/>
      <c r="AU971" s="87"/>
      <c r="AV971" s="87"/>
      <c r="AW971" s="38"/>
      <c r="AX971" s="85"/>
      <c r="AY971" s="85"/>
      <c r="AZ971" s="36"/>
      <c r="BA971" s="1"/>
    </row>
    <row r="972" spans="10:53">
      <c r="J972" s="37"/>
      <c r="K972" s="36"/>
      <c r="L972" s="87"/>
      <c r="M972" s="87"/>
      <c r="N972" s="36"/>
      <c r="O972" s="36"/>
      <c r="P972" s="1"/>
      <c r="AD972"/>
      <c r="AG972"/>
      <c r="AN972" s="36"/>
      <c r="AO972" s="37"/>
      <c r="AP972" s="36"/>
      <c r="AQ972" s="36"/>
      <c r="AR972" s="36"/>
      <c r="AS972" s="89"/>
      <c r="AT972" s="87"/>
      <c r="AU972" s="87"/>
      <c r="AV972" s="87"/>
      <c r="AW972" s="87"/>
      <c r="AX972" s="85"/>
      <c r="AY972" s="85"/>
      <c r="AZ972" s="36"/>
      <c r="BA972" s="1"/>
    </row>
    <row r="973" spans="10:53">
      <c r="J973" s="37"/>
      <c r="K973" s="36"/>
      <c r="L973" s="87"/>
      <c r="M973" s="38"/>
      <c r="N973" s="36"/>
      <c r="O973" s="36"/>
      <c r="P973" s="1"/>
      <c r="AD973"/>
      <c r="AG973"/>
      <c r="AN973" s="36"/>
      <c r="AO973" s="37"/>
      <c r="AP973" s="36"/>
      <c r="AQ973" s="36"/>
      <c r="AR973" s="36"/>
      <c r="AS973" s="89"/>
      <c r="AT973" s="87"/>
      <c r="AU973" s="87"/>
      <c r="AV973" s="87"/>
      <c r="AW973" s="87"/>
      <c r="AX973" s="85"/>
      <c r="AY973" s="85"/>
      <c r="AZ973" s="36"/>
      <c r="BA973" s="1"/>
    </row>
    <row r="974" spans="10:53">
      <c r="J974" s="37"/>
      <c r="K974" s="36"/>
      <c r="L974" s="87"/>
      <c r="M974" s="38"/>
      <c r="N974" s="36"/>
      <c r="O974" s="36"/>
      <c r="P974" s="1"/>
      <c r="AD974"/>
      <c r="AG974"/>
      <c r="AN974" s="36"/>
      <c r="AO974" s="37"/>
      <c r="AP974" s="36"/>
      <c r="AQ974" s="36"/>
      <c r="AR974" s="36"/>
      <c r="AS974" s="89"/>
      <c r="AT974" s="87"/>
      <c r="AU974" s="87"/>
      <c r="AV974" s="87"/>
      <c r="AW974" s="87"/>
      <c r="AX974" s="85"/>
      <c r="AY974" s="85"/>
      <c r="AZ974" s="36"/>
      <c r="BA974" s="1"/>
    </row>
    <row r="975" spans="10:53">
      <c r="J975" s="37"/>
      <c r="K975" s="36"/>
      <c r="L975" s="87"/>
      <c r="M975" s="87"/>
      <c r="N975" s="36"/>
      <c r="O975" s="36"/>
      <c r="P975" s="1"/>
      <c r="AD975"/>
      <c r="AG975"/>
      <c r="AN975" s="36"/>
      <c r="AO975" s="37"/>
      <c r="AP975" s="36"/>
      <c r="AQ975" s="36"/>
      <c r="AR975" s="36"/>
      <c r="AS975" s="89"/>
      <c r="AT975" s="87"/>
      <c r="AU975" s="87"/>
      <c r="AV975" s="87"/>
      <c r="AW975" s="38"/>
      <c r="AX975" s="85"/>
      <c r="AY975" s="85"/>
      <c r="AZ975" s="36"/>
      <c r="BA975" s="1"/>
    </row>
    <row r="976" spans="10:53">
      <c r="J976" s="37"/>
      <c r="K976" s="36"/>
      <c r="L976" s="87"/>
      <c r="M976" s="38"/>
      <c r="N976" s="36"/>
      <c r="O976" s="36"/>
      <c r="P976" s="1"/>
      <c r="AD976"/>
      <c r="AG976"/>
      <c r="AN976" s="36"/>
      <c r="AO976" s="37"/>
      <c r="AP976" s="36"/>
      <c r="AQ976" s="36"/>
      <c r="AR976" s="36"/>
      <c r="AS976" s="89"/>
      <c r="AT976" s="87"/>
      <c r="AU976" s="87"/>
      <c r="AV976" s="87"/>
      <c r="AW976" s="38"/>
      <c r="AX976" s="85"/>
      <c r="AY976" s="85"/>
      <c r="AZ976" s="36"/>
      <c r="BA976" s="1"/>
    </row>
    <row r="977" spans="10:53">
      <c r="J977" s="37"/>
      <c r="K977" s="36"/>
      <c r="L977" s="87"/>
      <c r="M977" s="38"/>
      <c r="N977" s="36"/>
      <c r="O977" s="36"/>
      <c r="P977" s="1"/>
      <c r="AD977"/>
      <c r="AG977"/>
      <c r="AN977" s="36"/>
      <c r="AO977" s="37"/>
      <c r="AP977" s="36"/>
      <c r="AQ977" s="36"/>
      <c r="AR977" s="36"/>
      <c r="AS977" s="89"/>
      <c r="AT977" s="87"/>
      <c r="AU977" s="87"/>
      <c r="AV977" s="87"/>
      <c r="AW977" s="38"/>
      <c r="AX977" s="85"/>
      <c r="AY977" s="85"/>
      <c r="AZ977" s="36"/>
      <c r="BA977" s="1"/>
    </row>
    <row r="978" spans="10:53">
      <c r="J978" s="37"/>
      <c r="K978" s="36"/>
      <c r="L978" s="87"/>
      <c r="M978" s="38"/>
      <c r="N978" s="36"/>
      <c r="O978" s="36"/>
      <c r="P978" s="1"/>
      <c r="AD978"/>
      <c r="AG978"/>
      <c r="AN978" s="36"/>
      <c r="AO978" s="37"/>
      <c r="AP978" s="36"/>
      <c r="AQ978" s="36"/>
      <c r="AR978" s="36"/>
      <c r="AS978" s="89"/>
      <c r="AT978" s="87"/>
      <c r="AU978" s="87"/>
      <c r="AV978" s="87"/>
      <c r="AW978" s="38"/>
      <c r="AX978" s="85"/>
      <c r="AY978" s="85"/>
      <c r="AZ978" s="36"/>
      <c r="BA978" s="1"/>
    </row>
    <row r="979" spans="10:53">
      <c r="J979" s="37"/>
      <c r="K979" s="36"/>
      <c r="L979" s="87"/>
      <c r="M979" s="87"/>
      <c r="N979" s="36"/>
      <c r="O979" s="36"/>
      <c r="P979" s="1"/>
      <c r="AD979"/>
      <c r="AG979"/>
      <c r="AN979" s="36"/>
      <c r="AO979" s="37"/>
      <c r="AP979" s="36"/>
      <c r="AQ979" s="36"/>
      <c r="AR979" s="36"/>
      <c r="AS979" s="89"/>
      <c r="AT979" s="87"/>
      <c r="AU979" s="87"/>
      <c r="AV979" s="87"/>
      <c r="AW979" s="38"/>
      <c r="AX979" s="85"/>
      <c r="AY979" s="85"/>
      <c r="AZ979" s="36"/>
      <c r="BA979" s="1"/>
    </row>
    <row r="980" spans="10:53">
      <c r="J980" s="37"/>
      <c r="K980" s="36"/>
      <c r="L980" s="87"/>
      <c r="M980" s="38"/>
      <c r="N980" s="36"/>
      <c r="O980" s="36"/>
      <c r="P980" s="1"/>
      <c r="AD980"/>
      <c r="AG980"/>
      <c r="AN980" s="36"/>
      <c r="AO980" s="37"/>
      <c r="AP980" s="36"/>
      <c r="AQ980" s="36"/>
      <c r="AR980" s="36"/>
      <c r="AS980" s="89"/>
      <c r="AT980" s="87"/>
      <c r="AU980" s="87"/>
      <c r="AV980" s="87"/>
      <c r="AW980" s="87"/>
      <c r="AX980" s="85"/>
      <c r="AY980" s="85"/>
      <c r="AZ980" s="36"/>
      <c r="BA980" s="1"/>
    </row>
    <row r="981" spans="10:53">
      <c r="J981" s="37"/>
      <c r="K981" s="36"/>
      <c r="L981" s="87"/>
      <c r="M981" s="87"/>
      <c r="N981" s="36"/>
      <c r="O981" s="36"/>
      <c r="P981" s="1"/>
      <c r="AD981"/>
      <c r="AG981"/>
      <c r="AN981" s="36"/>
      <c r="AO981" s="37"/>
      <c r="AP981" s="36"/>
      <c r="AQ981" s="36"/>
      <c r="AR981" s="36"/>
      <c r="AS981" s="89"/>
      <c r="AT981" s="87"/>
      <c r="AU981" s="87"/>
      <c r="AV981" s="87"/>
      <c r="AW981" s="87"/>
      <c r="AX981" s="85"/>
      <c r="AY981" s="85"/>
      <c r="AZ981" s="36"/>
      <c r="BA981" s="1"/>
    </row>
    <row r="982" spans="10:53">
      <c r="J982" s="37"/>
      <c r="K982" s="36"/>
      <c r="L982" s="87"/>
      <c r="M982" s="38"/>
      <c r="N982" s="36"/>
      <c r="O982" s="36"/>
      <c r="P982" s="1"/>
      <c r="AD982"/>
      <c r="AG982"/>
      <c r="AN982" s="36"/>
      <c r="AO982" s="37"/>
      <c r="AP982" s="36"/>
      <c r="AQ982" s="36"/>
      <c r="AR982" s="36"/>
      <c r="AS982" s="89"/>
      <c r="AT982" s="87"/>
      <c r="AU982" s="87"/>
      <c r="AV982" s="87"/>
      <c r="AW982" s="87"/>
      <c r="AX982" s="85"/>
      <c r="AY982" s="85"/>
      <c r="AZ982" s="36"/>
      <c r="BA982" s="1"/>
    </row>
    <row r="983" spans="10:53">
      <c r="J983" s="37"/>
      <c r="K983" s="36"/>
      <c r="L983" s="87"/>
      <c r="M983" s="38"/>
      <c r="N983" s="36"/>
      <c r="O983" s="36"/>
      <c r="P983" s="1"/>
      <c r="AD983"/>
      <c r="AG983"/>
      <c r="AN983" s="36"/>
      <c r="AO983" s="37"/>
      <c r="AP983" s="36"/>
      <c r="AQ983" s="36"/>
      <c r="AR983" s="36"/>
      <c r="AS983" s="89"/>
      <c r="AT983" s="87"/>
      <c r="AU983" s="87"/>
      <c r="AV983" s="87"/>
      <c r="AW983" s="38"/>
      <c r="AX983" s="85"/>
      <c r="AY983" s="85"/>
      <c r="AZ983" s="36"/>
      <c r="BA983" s="1"/>
    </row>
    <row r="984" spans="10:53">
      <c r="J984" s="37"/>
      <c r="K984" s="36"/>
      <c r="L984" s="87"/>
      <c r="M984" s="38"/>
      <c r="N984" s="36"/>
      <c r="O984" s="36"/>
      <c r="P984" s="1"/>
      <c r="AD984"/>
      <c r="AG984"/>
      <c r="AN984" s="36"/>
      <c r="AO984" s="37"/>
      <c r="AP984" s="36"/>
      <c r="AQ984" s="36"/>
      <c r="AR984" s="36"/>
      <c r="AS984" s="89"/>
      <c r="AT984" s="87"/>
      <c r="AU984" s="87"/>
      <c r="AV984" s="87"/>
      <c r="AW984" s="87"/>
      <c r="AX984" s="85"/>
      <c r="AY984" s="85"/>
      <c r="AZ984" s="36"/>
      <c r="BA984" s="1"/>
    </row>
    <row r="985" spans="10:53">
      <c r="J985" s="37"/>
      <c r="K985" s="36"/>
      <c r="L985" s="87"/>
      <c r="M985" s="38"/>
      <c r="N985" s="36"/>
      <c r="O985" s="36"/>
      <c r="P985" s="1"/>
      <c r="AD985"/>
      <c r="AG985"/>
      <c r="AN985" s="36"/>
      <c r="AO985" s="37"/>
      <c r="AP985" s="36"/>
      <c r="AQ985" s="36"/>
      <c r="AR985" s="36"/>
      <c r="AS985" s="89"/>
      <c r="AT985" s="87"/>
      <c r="AU985" s="87"/>
      <c r="AV985" s="87"/>
      <c r="AW985" s="38"/>
      <c r="AX985" s="85"/>
      <c r="AY985" s="85"/>
      <c r="AZ985" s="36"/>
      <c r="BA985" s="1"/>
    </row>
    <row r="986" spans="10:53">
      <c r="J986" s="37"/>
      <c r="K986" s="36"/>
      <c r="L986" s="87"/>
      <c r="M986" s="38"/>
      <c r="N986" s="36"/>
      <c r="O986" s="36"/>
      <c r="P986" s="1"/>
      <c r="AD986"/>
      <c r="AG986"/>
      <c r="AN986" s="36"/>
      <c r="AO986" s="37"/>
      <c r="AP986" s="36"/>
      <c r="AQ986" s="36"/>
      <c r="AR986" s="36"/>
      <c r="AS986" s="89"/>
      <c r="AT986" s="87"/>
      <c r="AU986" s="87"/>
      <c r="AV986" s="87"/>
      <c r="AW986" s="38"/>
      <c r="AX986" s="85"/>
      <c r="AY986" s="85"/>
      <c r="AZ986" s="36"/>
      <c r="BA986" s="1"/>
    </row>
    <row r="987" spans="10:53">
      <c r="J987" s="37"/>
      <c r="K987" s="36"/>
      <c r="L987" s="87"/>
      <c r="M987" s="87"/>
      <c r="N987" s="36"/>
      <c r="O987" s="36"/>
      <c r="P987" s="1"/>
      <c r="AD987"/>
      <c r="AG987"/>
      <c r="AN987" s="36"/>
      <c r="AO987" s="37"/>
      <c r="AP987" s="36"/>
      <c r="AQ987" s="36"/>
      <c r="AR987" s="36"/>
      <c r="AS987" s="89"/>
      <c r="AT987" s="87"/>
      <c r="AU987" s="87"/>
      <c r="AV987" s="87"/>
      <c r="AW987" s="38"/>
      <c r="AX987" s="85"/>
      <c r="AY987" s="85"/>
      <c r="AZ987" s="36"/>
      <c r="BA987" s="1"/>
    </row>
    <row r="988" spans="10:53">
      <c r="J988" s="37"/>
      <c r="K988" s="36"/>
      <c r="L988" s="87"/>
      <c r="M988" s="38"/>
      <c r="N988" s="36"/>
      <c r="O988" s="36"/>
      <c r="P988" s="1"/>
      <c r="AD988"/>
      <c r="AG988"/>
      <c r="AN988" s="36"/>
      <c r="AO988" s="37"/>
      <c r="AP988" s="36"/>
      <c r="AQ988" s="36"/>
      <c r="AR988" s="36"/>
      <c r="AS988" s="89"/>
      <c r="AT988" s="87"/>
      <c r="AU988" s="87"/>
      <c r="AV988" s="87"/>
      <c r="AW988" s="38"/>
      <c r="AX988" s="85"/>
      <c r="AY988" s="85"/>
      <c r="AZ988" s="36"/>
      <c r="BA988" s="1"/>
    </row>
    <row r="989" spans="10:53">
      <c r="J989" s="37"/>
      <c r="K989" s="36"/>
      <c r="L989" s="87"/>
      <c r="M989" s="38"/>
      <c r="N989" s="36"/>
      <c r="O989" s="36"/>
      <c r="P989" s="1"/>
      <c r="AD989"/>
      <c r="AG989"/>
      <c r="AN989" s="36"/>
      <c r="AO989" s="37"/>
      <c r="AP989" s="36"/>
      <c r="AQ989" s="36"/>
      <c r="AR989" s="36"/>
      <c r="AS989" s="89"/>
      <c r="AT989" s="87"/>
      <c r="AU989" s="87"/>
      <c r="AV989" s="87"/>
      <c r="AW989" s="38"/>
      <c r="AX989" s="85"/>
      <c r="AY989" s="85"/>
      <c r="AZ989" s="36"/>
      <c r="BA989" s="1"/>
    </row>
    <row r="990" spans="10:53">
      <c r="J990" s="37"/>
      <c r="K990" s="36"/>
      <c r="L990" s="87"/>
      <c r="M990" s="38"/>
      <c r="N990" s="36"/>
      <c r="O990" s="36"/>
      <c r="P990" s="1"/>
      <c r="AD990"/>
      <c r="AG990"/>
      <c r="AN990" s="36"/>
      <c r="AO990" s="37"/>
      <c r="AP990" s="36"/>
      <c r="AQ990" s="36"/>
      <c r="AR990" s="36"/>
      <c r="AS990" s="89"/>
      <c r="AT990" s="87"/>
      <c r="AU990" s="87"/>
      <c r="AV990" s="87"/>
      <c r="AW990" s="38"/>
      <c r="AX990" s="85"/>
      <c r="AY990" s="85"/>
      <c r="AZ990" s="36"/>
      <c r="BA990" s="1"/>
    </row>
    <row r="991" spans="10:53">
      <c r="J991" s="37"/>
      <c r="K991" s="36"/>
      <c r="L991" s="87"/>
      <c r="M991" s="38"/>
      <c r="N991" s="36"/>
      <c r="O991" s="36"/>
      <c r="P991" s="1"/>
      <c r="AD991"/>
      <c r="AG991"/>
      <c r="AN991" s="36"/>
      <c r="AO991" s="37"/>
      <c r="AP991" s="36"/>
      <c r="AQ991" s="36"/>
      <c r="AR991" s="36"/>
      <c r="AS991" s="89"/>
      <c r="AT991" s="87"/>
      <c r="AU991" s="87"/>
      <c r="AV991" s="87"/>
      <c r="AW991" s="87"/>
      <c r="AX991" s="85"/>
      <c r="AY991" s="85"/>
      <c r="AZ991" s="36"/>
      <c r="BA991" s="1"/>
    </row>
    <row r="992" spans="10:53">
      <c r="J992" s="37"/>
      <c r="K992" s="36"/>
      <c r="L992" s="87"/>
      <c r="M992" s="38"/>
      <c r="N992" s="36"/>
      <c r="O992" s="36"/>
      <c r="P992" s="1"/>
      <c r="AD992"/>
      <c r="AG992"/>
      <c r="AN992" s="36"/>
      <c r="AO992" s="37"/>
      <c r="AP992" s="36"/>
      <c r="AQ992" s="36"/>
      <c r="AR992" s="36"/>
      <c r="AS992" s="89"/>
      <c r="AT992" s="87"/>
      <c r="AU992" s="87"/>
      <c r="AV992" s="87"/>
      <c r="AW992" s="38"/>
      <c r="AX992" s="85"/>
      <c r="AY992" s="85"/>
      <c r="AZ992" s="36"/>
      <c r="BA992" s="1"/>
    </row>
    <row r="993" spans="10:53">
      <c r="J993" s="37"/>
      <c r="K993" s="36"/>
      <c r="L993" s="87"/>
      <c r="M993" s="87"/>
      <c r="N993" s="36"/>
      <c r="O993" s="36"/>
      <c r="P993" s="1"/>
      <c r="AD993"/>
      <c r="AG993"/>
      <c r="AN993" s="36"/>
      <c r="AO993" s="37"/>
      <c r="AP993" s="36"/>
      <c r="AQ993" s="36"/>
      <c r="AR993" s="36"/>
      <c r="AS993" s="89"/>
      <c r="AT993" s="87"/>
      <c r="AU993" s="87"/>
      <c r="AV993" s="87"/>
      <c r="AW993" s="87"/>
      <c r="AX993" s="85"/>
      <c r="AY993" s="85"/>
      <c r="AZ993" s="36"/>
      <c r="BA993" s="1"/>
    </row>
    <row r="994" spans="10:53">
      <c r="J994" s="37"/>
      <c r="K994" s="36"/>
      <c r="L994" s="87"/>
      <c r="M994" s="87"/>
      <c r="N994" s="36"/>
      <c r="O994" s="36"/>
      <c r="P994" s="1"/>
      <c r="AD994"/>
      <c r="AG994"/>
      <c r="AN994" s="36"/>
      <c r="AO994" s="37"/>
      <c r="AP994" s="36"/>
      <c r="AQ994" s="36"/>
      <c r="AR994" s="36"/>
      <c r="AS994" s="89"/>
      <c r="AT994" s="87"/>
      <c r="AU994" s="87"/>
      <c r="AV994" s="87"/>
      <c r="AW994" s="38"/>
      <c r="AX994" s="85"/>
      <c r="AY994" s="85"/>
      <c r="AZ994" s="36"/>
      <c r="BA994" s="1"/>
    </row>
    <row r="995" spans="10:53">
      <c r="J995" s="37"/>
      <c r="K995" s="36"/>
      <c r="L995" s="87"/>
      <c r="M995" s="38"/>
      <c r="N995" s="36"/>
      <c r="O995" s="36"/>
      <c r="P995" s="1"/>
      <c r="AD995"/>
      <c r="AG995"/>
      <c r="AN995" s="36"/>
      <c r="AO995" s="37"/>
      <c r="AP995" s="36"/>
      <c r="AQ995" s="36"/>
      <c r="AR995" s="36"/>
      <c r="AS995" s="89"/>
      <c r="AT995" s="87"/>
      <c r="AU995" s="87"/>
      <c r="AV995" s="87"/>
      <c r="AW995" s="87"/>
      <c r="AX995" s="85"/>
      <c r="AY995" s="85"/>
      <c r="AZ995" s="36"/>
      <c r="BA995" s="1"/>
    </row>
    <row r="996" spans="10:53">
      <c r="J996" s="37"/>
      <c r="K996" s="36"/>
      <c r="L996" s="87"/>
      <c r="M996" s="38"/>
      <c r="N996" s="36"/>
      <c r="O996" s="36"/>
      <c r="P996" s="1"/>
      <c r="AD996"/>
      <c r="AG996"/>
      <c r="AN996" s="36"/>
      <c r="AO996" s="37"/>
      <c r="AP996" s="36"/>
      <c r="AQ996" s="36"/>
      <c r="AR996" s="36"/>
      <c r="AS996" s="89"/>
      <c r="AT996" s="87"/>
      <c r="AU996" s="87"/>
      <c r="AV996" s="87"/>
      <c r="AW996" s="38"/>
      <c r="AX996" s="85"/>
      <c r="AY996" s="85"/>
      <c r="AZ996" s="36"/>
      <c r="BA996" s="1"/>
    </row>
    <row r="997" spans="10:53">
      <c r="J997" s="37"/>
      <c r="K997" s="36"/>
      <c r="L997" s="87"/>
      <c r="M997" s="38"/>
      <c r="N997" s="36"/>
      <c r="O997" s="36"/>
      <c r="P997" s="1"/>
      <c r="AD997"/>
      <c r="AG997"/>
      <c r="AN997" s="36"/>
      <c r="AO997" s="37"/>
      <c r="AP997" s="36"/>
      <c r="AQ997" s="36"/>
      <c r="AR997" s="36"/>
      <c r="AS997" s="89"/>
      <c r="AT997" s="87"/>
      <c r="AU997" s="87"/>
      <c r="AV997" s="87"/>
      <c r="AW997" s="38"/>
      <c r="AX997" s="85"/>
      <c r="AY997" s="85"/>
      <c r="AZ997" s="36"/>
      <c r="BA997" s="1"/>
    </row>
    <row r="998" spans="10:53">
      <c r="J998" s="37"/>
      <c r="K998" s="36"/>
      <c r="L998" s="87"/>
      <c r="M998" s="87"/>
      <c r="N998" s="36"/>
      <c r="O998" s="36"/>
      <c r="P998" s="1"/>
      <c r="AD998"/>
      <c r="AG998"/>
      <c r="AN998" s="36"/>
      <c r="AO998" s="37"/>
      <c r="AP998" s="36"/>
      <c r="AQ998" s="36"/>
      <c r="AR998" s="36"/>
      <c r="AS998" s="89"/>
      <c r="AT998" s="87"/>
      <c r="AU998" s="87"/>
      <c r="AV998" s="87"/>
      <c r="AW998" s="87"/>
      <c r="AX998" s="85"/>
      <c r="AY998" s="85"/>
      <c r="AZ998" s="36"/>
      <c r="BA998" s="1"/>
    </row>
    <row r="999" spans="10:53">
      <c r="J999" s="37"/>
      <c r="K999" s="36"/>
      <c r="L999" s="87"/>
      <c r="M999" s="38"/>
      <c r="N999" s="36"/>
      <c r="O999" s="36"/>
      <c r="P999" s="1"/>
      <c r="AD999"/>
      <c r="AG999"/>
      <c r="AN999" s="36"/>
      <c r="AO999" s="37"/>
      <c r="AP999" s="36"/>
      <c r="AQ999" s="36"/>
      <c r="AR999" s="36"/>
      <c r="AS999" s="89"/>
      <c r="AT999" s="87"/>
      <c r="AU999" s="87"/>
      <c r="AV999" s="87"/>
      <c r="AW999" s="38"/>
      <c r="AX999" s="85"/>
      <c r="AY999" s="85"/>
      <c r="AZ999" s="36"/>
      <c r="BA999" s="1"/>
    </row>
    <row r="1000" spans="10:53">
      <c r="J1000" s="37"/>
      <c r="K1000" s="36"/>
      <c r="L1000" s="87"/>
      <c r="M1000" s="87"/>
      <c r="N1000" s="36"/>
      <c r="O1000" s="36"/>
      <c r="P1000" s="1"/>
      <c r="AD1000"/>
      <c r="AG1000"/>
      <c r="AN1000" s="36"/>
      <c r="AO1000" s="37"/>
      <c r="AP1000" s="36"/>
      <c r="AQ1000" s="36"/>
      <c r="AR1000" s="36"/>
      <c r="AS1000" s="89"/>
      <c r="AT1000" s="87"/>
      <c r="AU1000" s="87"/>
      <c r="AV1000" s="87"/>
      <c r="AW1000" s="87"/>
      <c r="AX1000" s="85"/>
      <c r="AY1000" s="85"/>
      <c r="AZ1000" s="36"/>
      <c r="BA1000" s="1"/>
    </row>
    <row r="1001" spans="10:53">
      <c r="J1001" s="37"/>
      <c r="K1001" s="36"/>
      <c r="L1001" s="87"/>
      <c r="M1001" s="87"/>
      <c r="N1001" s="36"/>
      <c r="O1001" s="36"/>
      <c r="P1001" s="1"/>
      <c r="AD1001"/>
      <c r="AG1001"/>
      <c r="AN1001" s="36"/>
      <c r="AO1001" s="37"/>
      <c r="AP1001" s="36"/>
      <c r="AQ1001" s="36"/>
      <c r="AR1001" s="36"/>
      <c r="AS1001" s="89"/>
      <c r="AT1001" s="87"/>
      <c r="AU1001" s="87"/>
      <c r="AV1001" s="87"/>
      <c r="AW1001" s="87"/>
      <c r="AX1001" s="85"/>
      <c r="AY1001" s="85"/>
      <c r="AZ1001" s="36"/>
      <c r="BA1001" s="1"/>
    </row>
    <row r="1002" spans="10:53">
      <c r="J1002" s="37"/>
      <c r="K1002" s="36"/>
      <c r="L1002" s="87"/>
      <c r="M1002" s="87"/>
      <c r="N1002" s="36"/>
      <c r="O1002" s="36"/>
      <c r="P1002" s="1"/>
      <c r="AD1002"/>
      <c r="AG1002"/>
      <c r="AN1002" s="36"/>
      <c r="AO1002" s="37"/>
      <c r="AP1002" s="36"/>
      <c r="AQ1002" s="36"/>
      <c r="AR1002" s="36"/>
      <c r="AS1002" s="89"/>
      <c r="AT1002" s="87"/>
      <c r="AU1002" s="87"/>
      <c r="AV1002" s="87"/>
      <c r="AW1002" s="87"/>
      <c r="AX1002" s="85"/>
      <c r="AY1002" s="85"/>
      <c r="AZ1002" s="36"/>
      <c r="BA1002" s="1"/>
    </row>
    <row r="1003" spans="10:53">
      <c r="J1003" s="37"/>
      <c r="K1003" s="36"/>
      <c r="L1003" s="87"/>
      <c r="M1003" s="87"/>
      <c r="N1003" s="36"/>
      <c r="O1003" s="36"/>
      <c r="P1003" s="1"/>
      <c r="AD1003"/>
      <c r="AG1003"/>
      <c r="AN1003" s="36"/>
      <c r="AO1003" s="37"/>
      <c r="AP1003" s="36"/>
      <c r="AQ1003" s="36"/>
      <c r="AR1003" s="36"/>
      <c r="AS1003" s="89"/>
      <c r="AT1003" s="87"/>
      <c r="AU1003" s="87"/>
      <c r="AV1003" s="87"/>
      <c r="AW1003" s="38"/>
      <c r="AX1003" s="85"/>
      <c r="AY1003" s="85"/>
      <c r="AZ1003" s="36"/>
      <c r="BA1003" s="1"/>
    </row>
    <row r="1004" spans="10:53">
      <c r="J1004" s="37"/>
      <c r="K1004" s="36"/>
      <c r="L1004" s="87"/>
      <c r="M1004" s="38"/>
      <c r="N1004" s="36"/>
      <c r="O1004" s="36"/>
      <c r="P1004" s="1"/>
      <c r="AD1004"/>
      <c r="AG1004"/>
      <c r="AN1004" s="36"/>
      <c r="AO1004" s="37"/>
      <c r="AP1004" s="36"/>
      <c r="AQ1004" s="36"/>
      <c r="AR1004" s="36"/>
      <c r="AS1004" s="89"/>
      <c r="AT1004" s="87"/>
      <c r="AU1004" s="87"/>
      <c r="AV1004" s="87"/>
      <c r="AW1004" s="87"/>
      <c r="AX1004" s="85"/>
      <c r="AY1004" s="85"/>
      <c r="AZ1004" s="36"/>
      <c r="BA1004" s="1"/>
    </row>
    <row r="1005" spans="10:53">
      <c r="J1005" s="37"/>
      <c r="K1005" s="36"/>
      <c r="L1005" s="87"/>
      <c r="M1005" s="38"/>
      <c r="N1005" s="36"/>
      <c r="O1005" s="36"/>
      <c r="P1005" s="1"/>
      <c r="AD1005"/>
      <c r="AG1005"/>
      <c r="AN1005" s="36"/>
      <c r="AO1005" s="37"/>
      <c r="AP1005" s="36"/>
      <c r="AQ1005" s="36"/>
      <c r="AR1005" s="36"/>
      <c r="AS1005" s="89"/>
      <c r="AT1005" s="87"/>
      <c r="AU1005" s="87"/>
      <c r="AV1005" s="87"/>
      <c r="AW1005" s="87"/>
      <c r="AX1005" s="85"/>
      <c r="AY1005" s="85"/>
      <c r="AZ1005" s="36"/>
      <c r="BA1005" s="1"/>
    </row>
    <row r="1006" spans="10:53">
      <c r="J1006" s="37"/>
      <c r="K1006" s="36"/>
      <c r="L1006" s="87"/>
      <c r="M1006" s="38"/>
      <c r="N1006" s="36"/>
      <c r="O1006" s="36"/>
      <c r="P1006" s="1"/>
      <c r="AD1006"/>
      <c r="AG1006"/>
      <c r="AN1006" s="36"/>
      <c r="AO1006" s="37"/>
      <c r="AP1006" s="36"/>
      <c r="AQ1006" s="36"/>
      <c r="AR1006" s="36"/>
      <c r="AS1006" s="89"/>
      <c r="AT1006" s="87"/>
      <c r="AU1006" s="87"/>
      <c r="AV1006" s="87"/>
      <c r="AW1006" s="87"/>
      <c r="AX1006" s="85"/>
      <c r="AY1006" s="85"/>
      <c r="AZ1006" s="36"/>
      <c r="BA1006" s="1"/>
    </row>
    <row r="1007" spans="10:53">
      <c r="J1007" s="37"/>
      <c r="K1007" s="36"/>
      <c r="L1007" s="87"/>
      <c r="M1007" s="38"/>
      <c r="N1007" s="36"/>
      <c r="O1007" s="36"/>
      <c r="P1007" s="1"/>
      <c r="AD1007"/>
      <c r="AG1007"/>
      <c r="AN1007" s="36"/>
      <c r="AO1007" s="37"/>
      <c r="AP1007" s="36"/>
      <c r="AQ1007" s="36"/>
      <c r="AR1007" s="36"/>
      <c r="AS1007" s="89"/>
      <c r="AT1007" s="87"/>
      <c r="AU1007" s="87"/>
      <c r="AV1007" s="87"/>
      <c r="AW1007" s="38"/>
      <c r="AX1007" s="85"/>
      <c r="AY1007" s="85"/>
      <c r="AZ1007" s="36"/>
      <c r="BA1007" s="1"/>
    </row>
    <row r="1008" spans="10:53">
      <c r="J1008" s="37"/>
      <c r="K1008" s="36"/>
      <c r="L1008" s="87"/>
      <c r="M1008" s="87"/>
      <c r="N1008" s="36"/>
      <c r="O1008" s="36"/>
      <c r="P1008" s="1"/>
      <c r="AD1008"/>
      <c r="AG1008"/>
      <c r="AN1008" s="36"/>
      <c r="AO1008" s="37"/>
      <c r="AP1008" s="36"/>
      <c r="AQ1008" s="36"/>
      <c r="AR1008" s="36"/>
      <c r="AS1008" s="89"/>
      <c r="AT1008" s="87"/>
      <c r="AU1008" s="87"/>
      <c r="AV1008" s="87"/>
      <c r="AW1008" s="38"/>
      <c r="AX1008" s="85"/>
      <c r="AY1008" s="85"/>
      <c r="AZ1008" s="36"/>
      <c r="BA1008" s="1"/>
    </row>
    <row r="1009" spans="10:53">
      <c r="J1009" s="37"/>
      <c r="K1009" s="36"/>
      <c r="L1009" s="87"/>
      <c r="M1009" s="87"/>
      <c r="N1009" s="36"/>
      <c r="O1009" s="36"/>
      <c r="P1009" s="1"/>
      <c r="AD1009"/>
      <c r="AG1009"/>
      <c r="AN1009" s="36"/>
      <c r="AO1009" s="37"/>
      <c r="AP1009" s="36"/>
      <c r="AQ1009" s="36"/>
      <c r="AR1009" s="36"/>
      <c r="AS1009" s="89"/>
      <c r="AT1009" s="87"/>
      <c r="AU1009" s="87"/>
      <c r="AV1009" s="87"/>
      <c r="AW1009" s="87"/>
      <c r="AX1009" s="85"/>
      <c r="AY1009" s="85"/>
      <c r="AZ1009" s="36"/>
      <c r="BA1009" s="1"/>
    </row>
    <row r="1010" spans="10:53">
      <c r="J1010" s="37"/>
      <c r="K1010" s="36"/>
      <c r="L1010" s="87"/>
      <c r="M1010" s="38"/>
      <c r="N1010" s="36"/>
      <c r="O1010" s="36"/>
      <c r="P1010" s="1"/>
      <c r="AD1010"/>
      <c r="AG1010"/>
      <c r="AN1010" s="36"/>
      <c r="AO1010" s="37"/>
      <c r="AP1010" s="36"/>
      <c r="AQ1010" s="36"/>
      <c r="AR1010" s="36"/>
      <c r="AS1010" s="89"/>
      <c r="AT1010" s="87"/>
      <c r="AU1010" s="87"/>
      <c r="AV1010" s="87"/>
      <c r="AW1010" s="87"/>
      <c r="AX1010" s="85"/>
      <c r="AY1010" s="85"/>
      <c r="AZ1010" s="36"/>
      <c r="BA1010" s="1"/>
    </row>
    <row r="1011" spans="10:53">
      <c r="J1011" s="37"/>
      <c r="K1011" s="36"/>
      <c r="L1011" s="87"/>
      <c r="M1011" s="38"/>
      <c r="N1011" s="36"/>
      <c r="O1011" s="36"/>
      <c r="P1011" s="1"/>
      <c r="AD1011"/>
      <c r="AG1011"/>
      <c r="AN1011" s="36"/>
      <c r="AO1011" s="37"/>
      <c r="AP1011" s="36"/>
      <c r="AQ1011" s="36"/>
      <c r="AR1011" s="36"/>
      <c r="AS1011" s="89"/>
      <c r="AT1011" s="87"/>
      <c r="AU1011" s="87"/>
      <c r="AV1011" s="87"/>
      <c r="AW1011" s="87"/>
      <c r="AX1011" s="85"/>
      <c r="AY1011" s="85"/>
      <c r="AZ1011" s="36"/>
      <c r="BA1011" s="1"/>
    </row>
    <row r="1012" spans="10:53">
      <c r="J1012" s="37"/>
      <c r="K1012" s="36"/>
      <c r="L1012" s="87"/>
      <c r="M1012" s="87"/>
      <c r="N1012" s="36"/>
      <c r="O1012" s="36"/>
      <c r="P1012" s="1"/>
      <c r="AD1012"/>
      <c r="AG1012"/>
      <c r="AN1012" s="36"/>
      <c r="AO1012" s="37"/>
      <c r="AP1012" s="36"/>
      <c r="AQ1012" s="36"/>
      <c r="AR1012" s="36"/>
      <c r="AS1012" s="89"/>
      <c r="AT1012" s="87"/>
      <c r="AU1012" s="87"/>
      <c r="AV1012" s="87"/>
      <c r="AW1012" s="87"/>
      <c r="AX1012" s="85"/>
      <c r="AY1012" s="85"/>
      <c r="AZ1012" s="36"/>
      <c r="BA1012" s="1"/>
    </row>
    <row r="1013" spans="10:53">
      <c r="J1013" s="37"/>
      <c r="K1013" s="36"/>
      <c r="L1013" s="87"/>
      <c r="M1013" s="38"/>
      <c r="N1013" s="36"/>
      <c r="O1013" s="36"/>
      <c r="P1013" s="1"/>
      <c r="AD1013"/>
      <c r="AG1013"/>
      <c r="AN1013" s="36"/>
      <c r="AO1013" s="37"/>
      <c r="AP1013" s="36"/>
      <c r="AQ1013" s="36"/>
      <c r="AR1013" s="36"/>
      <c r="AS1013" s="89"/>
      <c r="AT1013" s="87"/>
      <c r="AU1013" s="87"/>
      <c r="AV1013" s="87"/>
      <c r="AW1013" s="87"/>
      <c r="AX1013" s="85"/>
      <c r="AY1013" s="85"/>
      <c r="AZ1013" s="36"/>
      <c r="BA1013" s="1"/>
    </row>
    <row r="1014" spans="10:53">
      <c r="J1014" s="37"/>
      <c r="K1014" s="36"/>
      <c r="L1014" s="87"/>
      <c r="M1014" s="87"/>
      <c r="N1014" s="36"/>
      <c r="O1014" s="36"/>
      <c r="P1014" s="1"/>
      <c r="AD1014"/>
      <c r="AG1014"/>
      <c r="AN1014" s="36"/>
      <c r="AO1014" s="37"/>
      <c r="AP1014" s="36"/>
      <c r="AQ1014" s="36"/>
      <c r="AR1014" s="36"/>
      <c r="AS1014" s="89"/>
      <c r="AT1014" s="87"/>
      <c r="AU1014" s="87"/>
      <c r="AV1014" s="87"/>
      <c r="AW1014" s="87"/>
      <c r="AX1014" s="85"/>
      <c r="AY1014" s="85"/>
      <c r="AZ1014" s="36"/>
      <c r="BA1014" s="1"/>
    </row>
    <row r="1015" spans="10:53">
      <c r="J1015" s="37"/>
      <c r="K1015" s="36"/>
      <c r="L1015" s="87"/>
      <c r="M1015" s="38"/>
      <c r="N1015" s="36"/>
      <c r="O1015" s="36"/>
      <c r="P1015" s="1"/>
      <c r="AD1015"/>
      <c r="AG1015"/>
      <c r="AN1015" s="36"/>
      <c r="AO1015" s="37"/>
      <c r="AP1015" s="36"/>
      <c r="AQ1015" s="36"/>
      <c r="AR1015" s="36"/>
      <c r="AS1015" s="89"/>
      <c r="AT1015" s="87"/>
      <c r="AU1015" s="87"/>
      <c r="AV1015" s="87"/>
      <c r="AW1015" s="38"/>
      <c r="AX1015" s="85"/>
      <c r="AY1015" s="85"/>
      <c r="AZ1015" s="36"/>
      <c r="BA1015" s="1"/>
    </row>
    <row r="1016" spans="10:53">
      <c r="J1016" s="37"/>
      <c r="K1016" s="36"/>
      <c r="L1016" s="87"/>
      <c r="M1016" s="38"/>
      <c r="N1016" s="36"/>
      <c r="O1016" s="36"/>
      <c r="P1016" s="1"/>
      <c r="AD1016"/>
      <c r="AG1016"/>
      <c r="AN1016" s="36"/>
      <c r="AO1016" s="37"/>
      <c r="AP1016" s="36"/>
      <c r="AQ1016" s="36"/>
      <c r="AR1016" s="36"/>
      <c r="AS1016" s="89"/>
      <c r="AT1016" s="87"/>
      <c r="AU1016" s="87"/>
      <c r="AV1016" s="87"/>
      <c r="AW1016" s="38"/>
      <c r="AX1016" s="85"/>
      <c r="AY1016" s="85"/>
      <c r="AZ1016" s="36"/>
      <c r="BA1016" s="1"/>
    </row>
    <row r="1017" spans="10:53">
      <c r="J1017" s="37"/>
      <c r="K1017" s="36"/>
      <c r="L1017" s="87"/>
      <c r="M1017" s="38"/>
      <c r="N1017" s="36"/>
      <c r="O1017" s="36"/>
      <c r="P1017" s="1"/>
      <c r="AD1017"/>
      <c r="AG1017"/>
      <c r="AN1017" s="36"/>
      <c r="AO1017" s="37"/>
      <c r="AP1017" s="36"/>
      <c r="AQ1017" s="36"/>
      <c r="AR1017" s="36"/>
      <c r="AS1017" s="89"/>
      <c r="AT1017" s="87"/>
      <c r="AU1017" s="87"/>
      <c r="AV1017" s="87"/>
      <c r="AW1017" s="38"/>
      <c r="AX1017" s="85"/>
      <c r="AY1017" s="85"/>
      <c r="AZ1017" s="36"/>
      <c r="BA1017" s="1"/>
    </row>
    <row r="1018" spans="10:53">
      <c r="J1018" s="37"/>
      <c r="K1018" s="36"/>
      <c r="L1018" s="87"/>
      <c r="M1018" s="87"/>
      <c r="N1018" s="36"/>
      <c r="O1018" s="36"/>
      <c r="P1018" s="1"/>
      <c r="AD1018"/>
      <c r="AG1018"/>
      <c r="AN1018" s="36"/>
      <c r="AO1018" s="37"/>
      <c r="AP1018" s="36"/>
      <c r="AQ1018" s="36"/>
      <c r="AR1018" s="36"/>
      <c r="AS1018" s="89"/>
      <c r="AT1018" s="87"/>
      <c r="AU1018" s="87"/>
      <c r="AV1018" s="87"/>
      <c r="AW1018" s="87"/>
      <c r="AX1018" s="85"/>
      <c r="AY1018" s="85"/>
      <c r="AZ1018" s="36"/>
      <c r="BA1018" s="1"/>
    </row>
    <row r="1019" spans="10:53">
      <c r="J1019" s="37"/>
      <c r="K1019" s="36"/>
      <c r="L1019" s="87"/>
      <c r="M1019" s="38"/>
      <c r="N1019" s="36"/>
      <c r="O1019" s="36"/>
      <c r="P1019" s="1"/>
      <c r="AD1019"/>
      <c r="AG1019"/>
      <c r="AN1019" s="36"/>
      <c r="AO1019" s="37"/>
      <c r="AP1019" s="36"/>
      <c r="AQ1019" s="36"/>
      <c r="AR1019" s="36"/>
      <c r="AS1019" s="89"/>
      <c r="AT1019" s="87"/>
      <c r="AU1019" s="87"/>
      <c r="AV1019" s="87"/>
      <c r="AW1019" s="87"/>
      <c r="AX1019" s="85"/>
      <c r="AY1019" s="85"/>
      <c r="AZ1019" s="36"/>
      <c r="BA1019" s="1"/>
    </row>
    <row r="1020" spans="10:53">
      <c r="J1020" s="37"/>
      <c r="K1020" s="36"/>
      <c r="L1020" s="87"/>
      <c r="M1020" s="38"/>
      <c r="N1020" s="36"/>
      <c r="O1020" s="36"/>
      <c r="P1020" s="1"/>
      <c r="AD1020"/>
      <c r="AG1020"/>
      <c r="AN1020" s="36"/>
      <c r="AO1020" s="37"/>
      <c r="AP1020" s="36"/>
      <c r="AQ1020" s="36"/>
      <c r="AR1020" s="36"/>
      <c r="AS1020" s="89"/>
      <c r="AT1020" s="87"/>
      <c r="AU1020" s="87"/>
      <c r="AV1020" s="87"/>
      <c r="AW1020" s="87"/>
      <c r="AX1020" s="85"/>
      <c r="AY1020" s="85"/>
      <c r="AZ1020" s="36"/>
      <c r="BA1020" s="1"/>
    </row>
    <row r="1021" spans="10:53">
      <c r="J1021" s="37"/>
      <c r="K1021" s="36"/>
      <c r="L1021" s="87"/>
      <c r="M1021" s="87"/>
      <c r="N1021" s="36"/>
      <c r="O1021" s="36"/>
      <c r="P1021" s="1"/>
      <c r="AD1021"/>
      <c r="AG1021"/>
      <c r="AN1021" s="36"/>
      <c r="AO1021" s="37"/>
      <c r="AP1021" s="36"/>
      <c r="AQ1021" s="36"/>
      <c r="AR1021" s="36"/>
      <c r="AS1021" s="89"/>
      <c r="AT1021" s="87"/>
      <c r="AU1021" s="87"/>
      <c r="AV1021" s="87"/>
      <c r="AW1021" s="87"/>
      <c r="AX1021" s="85"/>
      <c r="AY1021" s="85"/>
      <c r="AZ1021" s="36"/>
      <c r="BA1021" s="1"/>
    </row>
    <row r="1022" spans="10:53">
      <c r="J1022" s="37"/>
      <c r="K1022" s="36"/>
      <c r="L1022" s="87"/>
      <c r="M1022" s="87"/>
      <c r="N1022" s="36"/>
      <c r="O1022" s="36"/>
      <c r="P1022" s="1"/>
      <c r="AD1022"/>
      <c r="AG1022"/>
      <c r="AN1022" s="36"/>
      <c r="AO1022" s="37"/>
      <c r="AP1022" s="36"/>
      <c r="AQ1022" s="36"/>
      <c r="AR1022" s="36"/>
      <c r="AS1022" s="89"/>
      <c r="AT1022" s="87"/>
      <c r="AU1022" s="87"/>
      <c r="AV1022" s="87"/>
      <c r="AW1022" s="87"/>
      <c r="AX1022" s="85"/>
      <c r="AY1022" s="85"/>
      <c r="AZ1022" s="36"/>
      <c r="BA1022" s="1"/>
    </row>
    <row r="1023" spans="10:53">
      <c r="J1023" s="37"/>
      <c r="K1023" s="36"/>
      <c r="L1023" s="87"/>
      <c r="M1023" s="87"/>
      <c r="N1023" s="36"/>
      <c r="O1023" s="36"/>
      <c r="P1023" s="1"/>
      <c r="AD1023"/>
      <c r="AG1023"/>
      <c r="AN1023" s="36"/>
      <c r="AO1023" s="37"/>
      <c r="AP1023" s="36"/>
      <c r="AQ1023" s="36"/>
      <c r="AR1023" s="36"/>
      <c r="AS1023" s="89"/>
      <c r="AT1023" s="87"/>
      <c r="AU1023" s="87"/>
      <c r="AV1023" s="87"/>
      <c r="AW1023" s="87"/>
      <c r="AX1023" s="85"/>
      <c r="AY1023" s="85"/>
      <c r="AZ1023" s="36"/>
      <c r="BA1023" s="1"/>
    </row>
    <row r="1024" spans="10:53">
      <c r="J1024" s="37"/>
      <c r="K1024" s="36"/>
      <c r="L1024" s="87"/>
      <c r="M1024" s="87"/>
      <c r="N1024" s="36"/>
      <c r="O1024" s="36"/>
      <c r="P1024" s="1"/>
      <c r="AD1024"/>
      <c r="AG1024"/>
      <c r="AN1024" s="36"/>
      <c r="AO1024" s="37"/>
      <c r="AP1024" s="36"/>
      <c r="AQ1024" s="36"/>
      <c r="AR1024" s="36"/>
      <c r="AS1024" s="89"/>
      <c r="AT1024" s="87"/>
      <c r="AU1024" s="87"/>
      <c r="AV1024" s="87"/>
      <c r="AW1024" s="38"/>
      <c r="AX1024" s="85"/>
      <c r="AY1024" s="85"/>
      <c r="AZ1024" s="36"/>
      <c r="BA1024" s="1"/>
    </row>
    <row r="1025" spans="10:53">
      <c r="J1025" s="37"/>
      <c r="K1025" s="36"/>
      <c r="L1025" s="87"/>
      <c r="M1025" s="87"/>
      <c r="N1025" s="36"/>
      <c r="O1025" s="36"/>
      <c r="P1025" s="1"/>
      <c r="AD1025"/>
      <c r="AG1025"/>
      <c r="AN1025" s="36"/>
      <c r="AO1025" s="37"/>
      <c r="AP1025" s="36"/>
      <c r="AQ1025" s="36"/>
      <c r="AR1025" s="36"/>
      <c r="AS1025" s="89"/>
      <c r="AT1025" s="87"/>
      <c r="AU1025" s="87"/>
      <c r="AV1025" s="87"/>
      <c r="AW1025" s="87"/>
      <c r="AX1025" s="85"/>
      <c r="AY1025" s="85"/>
      <c r="AZ1025" s="36"/>
      <c r="BA1025" s="1"/>
    </row>
    <row r="1026" spans="10:53">
      <c r="J1026" s="37"/>
      <c r="K1026" s="36"/>
      <c r="L1026" s="87"/>
      <c r="M1026" s="87"/>
      <c r="N1026" s="36"/>
      <c r="O1026" s="36"/>
      <c r="P1026" s="1"/>
      <c r="AD1026"/>
      <c r="AG1026"/>
      <c r="AN1026" s="36"/>
      <c r="AO1026" s="37"/>
      <c r="AP1026" s="36"/>
      <c r="AQ1026" s="36"/>
      <c r="AR1026" s="36"/>
      <c r="AS1026" s="89"/>
      <c r="AT1026" s="87"/>
      <c r="AU1026" s="87"/>
      <c r="AV1026" s="87"/>
      <c r="AW1026" s="87"/>
      <c r="AX1026" s="85"/>
      <c r="AY1026" s="85"/>
      <c r="AZ1026" s="36"/>
      <c r="BA1026" s="1"/>
    </row>
    <row r="1027" spans="10:53">
      <c r="J1027" s="37"/>
      <c r="K1027" s="36"/>
      <c r="L1027" s="87"/>
      <c r="M1027" s="87"/>
      <c r="N1027" s="36"/>
      <c r="O1027" s="36"/>
      <c r="P1027" s="1"/>
      <c r="AD1027"/>
      <c r="AG1027"/>
      <c r="AN1027" s="36"/>
      <c r="AO1027" s="37"/>
      <c r="AP1027" s="36"/>
      <c r="AQ1027" s="36"/>
      <c r="AR1027" s="36"/>
      <c r="AS1027" s="89"/>
      <c r="AT1027" s="87"/>
      <c r="AU1027" s="87"/>
      <c r="AV1027" s="87"/>
      <c r="AW1027" s="87"/>
      <c r="AX1027" s="85"/>
      <c r="AY1027" s="85"/>
      <c r="AZ1027" s="36"/>
      <c r="BA1027" s="1"/>
    </row>
    <row r="1028" spans="10:53">
      <c r="J1028" s="37"/>
      <c r="K1028" s="36"/>
      <c r="L1028" s="87"/>
      <c r="M1028" s="87"/>
      <c r="N1028" s="36"/>
      <c r="O1028" s="36"/>
      <c r="P1028" s="1"/>
      <c r="AD1028"/>
      <c r="AG1028"/>
      <c r="AN1028" s="36"/>
      <c r="AO1028" s="37"/>
      <c r="AP1028" s="36"/>
      <c r="AQ1028" s="36"/>
      <c r="AR1028" s="36"/>
      <c r="AS1028" s="89"/>
      <c r="AT1028" s="87"/>
      <c r="AU1028" s="87"/>
      <c r="AV1028" s="87"/>
      <c r="AW1028" s="38"/>
      <c r="AX1028" s="85"/>
      <c r="AY1028" s="85"/>
      <c r="AZ1028" s="36"/>
      <c r="BA1028" s="1"/>
    </row>
    <row r="1029" spans="10:53">
      <c r="J1029" s="37"/>
      <c r="K1029" s="36"/>
      <c r="L1029" s="87"/>
      <c r="M1029" s="87"/>
      <c r="N1029" s="36"/>
      <c r="O1029" s="36"/>
      <c r="P1029" s="1"/>
      <c r="AD1029"/>
      <c r="AG1029"/>
      <c r="AN1029" s="36"/>
      <c r="AO1029" s="37"/>
      <c r="AP1029" s="36"/>
      <c r="AQ1029" s="36"/>
      <c r="AR1029" s="36"/>
      <c r="AS1029" s="89"/>
      <c r="AT1029" s="87"/>
      <c r="AU1029" s="87"/>
      <c r="AV1029" s="87"/>
      <c r="AW1029" s="87"/>
      <c r="AX1029" s="85"/>
      <c r="AY1029" s="85"/>
      <c r="AZ1029" s="36"/>
      <c r="BA1029" s="1"/>
    </row>
    <row r="1030" spans="10:53">
      <c r="J1030" s="37"/>
      <c r="K1030" s="36"/>
      <c r="L1030" s="87"/>
      <c r="M1030" s="87"/>
      <c r="N1030" s="36"/>
      <c r="O1030" s="36"/>
      <c r="P1030" s="1"/>
      <c r="AD1030"/>
      <c r="AG1030"/>
      <c r="AN1030" s="36"/>
      <c r="AO1030" s="37"/>
      <c r="AP1030" s="36"/>
      <c r="AQ1030" s="36"/>
      <c r="AR1030" s="36"/>
      <c r="AS1030" s="89"/>
      <c r="AT1030" s="87"/>
      <c r="AU1030" s="87"/>
      <c r="AV1030" s="87"/>
      <c r="AW1030" s="87"/>
      <c r="AX1030" s="85"/>
      <c r="AY1030" s="85"/>
      <c r="AZ1030" s="36"/>
      <c r="BA1030" s="1"/>
    </row>
    <row r="1031" spans="10:53">
      <c r="J1031" s="37"/>
      <c r="K1031" s="36"/>
      <c r="L1031" s="87"/>
      <c r="M1031" s="87"/>
      <c r="N1031" s="36"/>
      <c r="O1031" s="36"/>
      <c r="P1031" s="1"/>
      <c r="AD1031"/>
      <c r="AG1031"/>
      <c r="AN1031" s="36"/>
      <c r="AO1031" s="37"/>
      <c r="AP1031" s="36"/>
      <c r="AQ1031" s="36"/>
      <c r="AR1031" s="36"/>
      <c r="AS1031" s="89"/>
      <c r="AT1031" s="87"/>
      <c r="AU1031" s="87"/>
      <c r="AV1031" s="87"/>
      <c r="AW1031" s="87"/>
      <c r="AX1031" s="85"/>
      <c r="AY1031" s="85"/>
      <c r="AZ1031" s="36"/>
      <c r="BA1031" s="1"/>
    </row>
    <row r="1032" spans="10:53">
      <c r="J1032" s="37"/>
      <c r="K1032" s="36"/>
      <c r="L1032" s="87"/>
      <c r="M1032" s="87"/>
      <c r="N1032" s="36"/>
      <c r="O1032" s="36"/>
      <c r="P1032" s="1"/>
      <c r="AD1032"/>
      <c r="AG1032"/>
      <c r="AN1032" s="36"/>
      <c r="AO1032" s="37"/>
      <c r="AP1032" s="36"/>
      <c r="AQ1032" s="36"/>
      <c r="AR1032" s="36"/>
      <c r="AS1032" s="89"/>
      <c r="AT1032" s="87"/>
      <c r="AU1032" s="87"/>
      <c r="AV1032" s="87"/>
      <c r="AW1032" s="38"/>
      <c r="AX1032" s="85"/>
      <c r="AY1032" s="85"/>
      <c r="AZ1032" s="36"/>
      <c r="BA1032" s="1"/>
    </row>
    <row r="1033" spans="10:53">
      <c r="J1033" s="37"/>
      <c r="K1033" s="36"/>
      <c r="L1033" s="87"/>
      <c r="M1033" s="87"/>
      <c r="N1033" s="36"/>
      <c r="O1033" s="36"/>
      <c r="P1033" s="1"/>
      <c r="AD1033"/>
      <c r="AG1033"/>
      <c r="AN1033" s="36"/>
      <c r="AO1033" s="37"/>
      <c r="AP1033" s="36"/>
      <c r="AQ1033" s="36"/>
      <c r="AR1033" s="36"/>
      <c r="AS1033" s="89"/>
      <c r="AT1033" s="87"/>
      <c r="AU1033" s="87"/>
      <c r="AV1033" s="87"/>
      <c r="AW1033" s="38"/>
      <c r="AX1033" s="85"/>
      <c r="AY1033" s="85"/>
      <c r="AZ1033" s="36"/>
      <c r="BA1033" s="1"/>
    </row>
    <row r="1034" spans="10:53">
      <c r="J1034" s="37"/>
      <c r="K1034" s="36"/>
      <c r="L1034" s="87"/>
      <c r="M1034" s="87"/>
      <c r="N1034" s="36"/>
      <c r="O1034" s="36"/>
      <c r="P1034" s="1"/>
      <c r="AD1034"/>
      <c r="AG1034"/>
      <c r="AN1034" s="36"/>
      <c r="AO1034" s="37"/>
      <c r="AP1034" s="36"/>
      <c r="AQ1034" s="36"/>
      <c r="AR1034" s="36"/>
      <c r="AS1034" s="89"/>
      <c r="AT1034" s="87"/>
      <c r="AU1034" s="87"/>
      <c r="AV1034" s="87"/>
      <c r="AW1034" s="38"/>
      <c r="AX1034" s="85"/>
      <c r="AY1034" s="85"/>
      <c r="AZ1034" s="36"/>
      <c r="BA1034" s="1"/>
    </row>
    <row r="1035" spans="10:53">
      <c r="J1035" s="37"/>
      <c r="K1035" s="36"/>
      <c r="L1035" s="87"/>
      <c r="M1035" s="87"/>
      <c r="N1035" s="36"/>
      <c r="O1035" s="36"/>
      <c r="P1035" s="1"/>
      <c r="AD1035"/>
      <c r="AG1035"/>
      <c r="AN1035" s="36"/>
      <c r="AO1035" s="37"/>
      <c r="AP1035" s="36"/>
      <c r="AQ1035" s="36"/>
      <c r="AR1035" s="36"/>
      <c r="AS1035" s="89"/>
      <c r="AT1035" s="87"/>
      <c r="AU1035" s="87"/>
      <c r="AV1035" s="87"/>
      <c r="AW1035" s="38"/>
      <c r="AX1035" s="85"/>
      <c r="AY1035" s="85"/>
      <c r="AZ1035" s="36"/>
      <c r="BA1035" s="1"/>
    </row>
    <row r="1036" spans="10:53">
      <c r="J1036" s="37"/>
      <c r="K1036" s="36"/>
      <c r="L1036" s="87"/>
      <c r="M1036" s="87"/>
      <c r="N1036" s="36"/>
      <c r="O1036" s="36"/>
      <c r="P1036" s="1"/>
      <c r="AD1036"/>
      <c r="AG1036"/>
      <c r="AN1036" s="36"/>
      <c r="AO1036" s="37"/>
      <c r="AP1036" s="36"/>
      <c r="AQ1036" s="36"/>
      <c r="AR1036" s="36"/>
      <c r="AS1036" s="89"/>
      <c r="AT1036" s="87"/>
      <c r="AU1036" s="87"/>
      <c r="AV1036" s="87"/>
      <c r="AW1036" s="38"/>
      <c r="AX1036" s="85"/>
      <c r="AY1036" s="85"/>
      <c r="AZ1036" s="36"/>
      <c r="BA1036" s="1"/>
    </row>
    <row r="1037" spans="10:53">
      <c r="J1037" s="37"/>
      <c r="K1037" s="36"/>
      <c r="L1037" s="87"/>
      <c r="M1037" s="38"/>
      <c r="N1037" s="36"/>
      <c r="O1037" s="36"/>
      <c r="P1037" s="1"/>
      <c r="AD1037"/>
      <c r="AG1037"/>
      <c r="AN1037" s="36"/>
      <c r="AO1037" s="37"/>
      <c r="AP1037" s="36"/>
      <c r="AQ1037" s="36"/>
      <c r="AR1037" s="36"/>
      <c r="AS1037" s="89"/>
      <c r="AT1037" s="87"/>
      <c r="AU1037" s="87"/>
      <c r="AV1037" s="87"/>
      <c r="AW1037" s="38"/>
      <c r="AX1037" s="85"/>
      <c r="AY1037" s="85"/>
      <c r="AZ1037" s="36"/>
      <c r="BA1037" s="1"/>
    </row>
    <row r="1038" spans="10:53">
      <c r="J1038" s="37"/>
      <c r="K1038" s="36"/>
      <c r="L1038" s="87"/>
      <c r="M1038" s="87"/>
      <c r="N1038" s="36"/>
      <c r="O1038" s="36"/>
      <c r="P1038" s="1"/>
      <c r="AD1038"/>
      <c r="AG1038"/>
      <c r="AN1038" s="36"/>
      <c r="AO1038" s="37"/>
      <c r="AP1038" s="36"/>
      <c r="AQ1038" s="36"/>
      <c r="AR1038" s="36"/>
      <c r="AS1038" s="89"/>
      <c r="AT1038" s="87"/>
      <c r="AU1038" s="87"/>
      <c r="AV1038" s="87"/>
      <c r="AW1038" s="38"/>
      <c r="AX1038" s="85"/>
      <c r="AY1038" s="85"/>
      <c r="AZ1038" s="36"/>
      <c r="BA1038" s="1"/>
    </row>
    <row r="1039" spans="10:53">
      <c r="J1039" s="37"/>
      <c r="K1039" s="36"/>
      <c r="L1039" s="87"/>
      <c r="M1039" s="38"/>
      <c r="N1039" s="36"/>
      <c r="O1039" s="36"/>
      <c r="P1039" s="1"/>
      <c r="AD1039"/>
      <c r="AG1039"/>
      <c r="AN1039" s="36"/>
      <c r="AO1039" s="37"/>
      <c r="AP1039" s="36"/>
      <c r="AQ1039" s="36"/>
      <c r="AR1039" s="36"/>
      <c r="AS1039" s="89"/>
      <c r="AT1039" s="87"/>
      <c r="AU1039" s="87"/>
      <c r="AV1039" s="87"/>
      <c r="AW1039" s="38"/>
      <c r="AX1039" s="85"/>
      <c r="AY1039" s="85"/>
      <c r="AZ1039" s="36"/>
      <c r="BA1039" s="1"/>
    </row>
    <row r="1040" spans="10:53">
      <c r="J1040" s="37"/>
      <c r="K1040" s="36"/>
      <c r="L1040" s="87"/>
      <c r="M1040" s="38"/>
      <c r="N1040" s="36"/>
      <c r="O1040" s="36"/>
      <c r="P1040" s="1"/>
      <c r="AD1040"/>
      <c r="AG1040"/>
      <c r="AN1040" s="36"/>
      <c r="AO1040" s="37"/>
      <c r="AP1040" s="36"/>
      <c r="AQ1040" s="36"/>
      <c r="AR1040" s="36"/>
      <c r="AS1040" s="89"/>
      <c r="AT1040" s="87"/>
      <c r="AU1040" s="87"/>
      <c r="AV1040" s="87"/>
      <c r="AW1040" s="38"/>
      <c r="AX1040" s="85"/>
      <c r="AY1040" s="85"/>
      <c r="AZ1040" s="36"/>
      <c r="BA1040" s="1"/>
    </row>
    <row r="1041" spans="10:53">
      <c r="J1041" s="37"/>
      <c r="K1041" s="36"/>
      <c r="L1041" s="87"/>
      <c r="M1041" s="38"/>
      <c r="N1041" s="36"/>
      <c r="O1041" s="36"/>
      <c r="P1041" s="1"/>
      <c r="AD1041"/>
      <c r="AG1041"/>
      <c r="AN1041" s="36"/>
      <c r="AO1041" s="37"/>
      <c r="AP1041" s="36"/>
      <c r="AQ1041" s="36"/>
      <c r="AR1041" s="36"/>
      <c r="AS1041" s="89"/>
      <c r="AT1041" s="87"/>
      <c r="AU1041" s="87"/>
      <c r="AV1041" s="87"/>
      <c r="AW1041" s="38"/>
      <c r="AX1041" s="85"/>
      <c r="AY1041" s="85"/>
      <c r="AZ1041" s="36"/>
      <c r="BA1041" s="1"/>
    </row>
    <row r="1042" spans="10:53">
      <c r="J1042" s="37"/>
      <c r="K1042" s="36"/>
      <c r="L1042" s="87"/>
      <c r="M1042" s="38"/>
      <c r="N1042" s="36"/>
      <c r="O1042" s="36"/>
      <c r="P1042" s="1"/>
      <c r="AD1042"/>
      <c r="AG1042"/>
      <c r="AN1042" s="36"/>
      <c r="AO1042" s="37"/>
      <c r="AP1042" s="36"/>
      <c r="AQ1042" s="36"/>
      <c r="AR1042" s="36"/>
      <c r="AS1042" s="89"/>
      <c r="AT1042" s="87"/>
      <c r="AU1042" s="87"/>
      <c r="AV1042" s="87"/>
      <c r="AW1042" s="38"/>
      <c r="AX1042" s="85"/>
      <c r="AY1042" s="85"/>
      <c r="AZ1042" s="36"/>
      <c r="BA1042" s="1"/>
    </row>
    <row r="1043" spans="10:53">
      <c r="J1043" s="37"/>
      <c r="K1043" s="36"/>
      <c r="L1043" s="87"/>
      <c r="M1043" s="38"/>
      <c r="N1043" s="36"/>
      <c r="O1043" s="36"/>
      <c r="P1043" s="1"/>
      <c r="AD1043"/>
      <c r="AG1043"/>
      <c r="AN1043" s="36"/>
      <c r="AO1043" s="37"/>
      <c r="AP1043" s="36"/>
      <c r="AQ1043" s="36"/>
      <c r="AR1043" s="36"/>
      <c r="AS1043" s="89"/>
      <c r="AT1043" s="87"/>
      <c r="AU1043" s="87"/>
      <c r="AV1043" s="87"/>
      <c r="AW1043" s="38"/>
      <c r="AX1043" s="85"/>
      <c r="AY1043" s="85"/>
      <c r="AZ1043" s="36"/>
      <c r="BA1043" s="1"/>
    </row>
    <row r="1044" spans="10:53">
      <c r="J1044" s="37"/>
      <c r="K1044" s="36"/>
      <c r="L1044" s="87"/>
      <c r="M1044" s="38"/>
      <c r="N1044" s="36"/>
      <c r="O1044" s="36"/>
      <c r="P1044" s="1"/>
      <c r="AD1044"/>
      <c r="AG1044"/>
      <c r="AN1044" s="36"/>
      <c r="AO1044" s="37"/>
      <c r="AP1044" s="36"/>
      <c r="AQ1044" s="36"/>
      <c r="AR1044" s="36"/>
      <c r="AS1044" s="89"/>
      <c r="AT1044" s="87"/>
      <c r="AU1044" s="87"/>
      <c r="AV1044" s="87"/>
      <c r="AW1044" s="38"/>
      <c r="AX1044" s="85"/>
      <c r="AY1044" s="85"/>
      <c r="AZ1044" s="36"/>
      <c r="BA1044" s="1"/>
    </row>
    <row r="1045" spans="10:53">
      <c r="J1045" s="37"/>
      <c r="K1045" s="36"/>
      <c r="L1045" s="87"/>
      <c r="M1045" s="38"/>
      <c r="N1045" s="36"/>
      <c r="O1045" s="36"/>
      <c r="P1045" s="1"/>
      <c r="AD1045"/>
      <c r="AG1045"/>
      <c r="AN1045" s="36"/>
      <c r="AO1045" s="37"/>
      <c r="AP1045" s="36"/>
      <c r="AQ1045" s="36"/>
      <c r="AR1045" s="36"/>
      <c r="AS1045" s="89"/>
      <c r="AT1045" s="87"/>
      <c r="AU1045" s="87"/>
      <c r="AV1045" s="87"/>
      <c r="AW1045" s="38"/>
      <c r="AX1045" s="85"/>
      <c r="AY1045" s="85"/>
      <c r="AZ1045" s="36"/>
      <c r="BA1045" s="1"/>
    </row>
    <row r="1046" spans="10:53">
      <c r="J1046" s="37"/>
      <c r="K1046" s="36"/>
      <c r="L1046" s="87"/>
      <c r="M1046" s="38"/>
      <c r="N1046" s="36"/>
      <c r="O1046" s="36"/>
      <c r="P1046" s="1"/>
      <c r="AD1046"/>
      <c r="AG1046"/>
      <c r="AN1046" s="36"/>
      <c r="AO1046" s="37"/>
      <c r="AP1046" s="36"/>
      <c r="AQ1046" s="36"/>
      <c r="AR1046" s="36"/>
      <c r="AS1046" s="89"/>
      <c r="AT1046" s="87"/>
      <c r="AU1046" s="87"/>
      <c r="AV1046" s="87"/>
      <c r="AW1046" s="38"/>
      <c r="AX1046" s="85"/>
      <c r="AY1046" s="85"/>
      <c r="AZ1046" s="36"/>
      <c r="BA1046" s="1"/>
    </row>
    <row r="1047" spans="10:53">
      <c r="J1047" s="37"/>
      <c r="K1047" s="36"/>
      <c r="L1047" s="87"/>
      <c r="M1047" s="38"/>
      <c r="N1047" s="36"/>
      <c r="O1047" s="36"/>
      <c r="P1047" s="1"/>
      <c r="AD1047"/>
      <c r="AG1047"/>
      <c r="AN1047" s="36"/>
      <c r="AO1047" s="37"/>
      <c r="AP1047" s="36"/>
      <c r="AQ1047" s="36"/>
      <c r="AR1047" s="36"/>
      <c r="AS1047" s="89"/>
      <c r="AT1047" s="87"/>
      <c r="AU1047" s="87"/>
      <c r="AV1047" s="87"/>
      <c r="AW1047" s="38"/>
      <c r="AX1047" s="85"/>
      <c r="AY1047" s="85"/>
      <c r="AZ1047" s="36"/>
      <c r="BA1047" s="1"/>
    </row>
    <row r="1048" spans="10:53">
      <c r="J1048" s="37"/>
      <c r="K1048" s="36"/>
      <c r="L1048" s="87"/>
      <c r="M1048" s="38"/>
      <c r="N1048" s="36"/>
      <c r="O1048" s="36"/>
      <c r="P1048" s="1"/>
      <c r="AD1048"/>
      <c r="AG1048"/>
      <c r="AN1048" s="36"/>
      <c r="AO1048" s="37"/>
      <c r="AP1048" s="36"/>
      <c r="AQ1048" s="36"/>
      <c r="AR1048" s="36"/>
      <c r="AS1048" s="89"/>
      <c r="AT1048" s="87"/>
      <c r="AU1048" s="87"/>
      <c r="AV1048" s="87"/>
      <c r="AW1048" s="38"/>
      <c r="AX1048" s="85"/>
      <c r="AY1048" s="85"/>
      <c r="AZ1048" s="36"/>
      <c r="BA1048" s="1"/>
    </row>
    <row r="1049" spans="10:53">
      <c r="J1049" s="37"/>
      <c r="K1049" s="36"/>
      <c r="L1049" s="87"/>
      <c r="M1049" s="87"/>
      <c r="N1049" s="36"/>
      <c r="O1049" s="36"/>
      <c r="P1049" s="1"/>
      <c r="AD1049"/>
      <c r="AG1049"/>
      <c r="AN1049" s="36"/>
      <c r="AO1049" s="37"/>
      <c r="AP1049" s="36"/>
      <c r="AQ1049" s="36"/>
      <c r="AR1049" s="36"/>
      <c r="AS1049" s="89"/>
      <c r="AT1049" s="87"/>
      <c r="AU1049" s="87"/>
      <c r="AV1049" s="87"/>
      <c r="AW1049" s="38"/>
      <c r="AX1049" s="85"/>
      <c r="AY1049" s="85"/>
      <c r="AZ1049" s="36"/>
      <c r="BA1049" s="1"/>
    </row>
    <row r="1050" spans="10:53">
      <c r="J1050" s="37"/>
      <c r="K1050" s="36"/>
      <c r="L1050" s="87"/>
      <c r="M1050" s="38"/>
      <c r="N1050" s="36"/>
      <c r="O1050" s="36"/>
      <c r="P1050" s="1"/>
      <c r="AD1050"/>
      <c r="AG1050"/>
      <c r="AN1050" s="36"/>
      <c r="AO1050" s="37"/>
      <c r="AP1050" s="36"/>
      <c r="AQ1050" s="36"/>
      <c r="AR1050" s="36"/>
      <c r="AS1050" s="89"/>
      <c r="AT1050" s="87"/>
      <c r="AU1050" s="87"/>
      <c r="AV1050" s="87"/>
      <c r="AW1050" s="38"/>
      <c r="AX1050" s="85"/>
      <c r="AY1050" s="85"/>
      <c r="AZ1050" s="36"/>
      <c r="BA1050" s="1"/>
    </row>
    <row r="1051" spans="10:53">
      <c r="J1051" s="37"/>
      <c r="K1051" s="36"/>
      <c r="L1051" s="87"/>
      <c r="M1051" s="38"/>
      <c r="N1051" s="36"/>
      <c r="O1051" s="36"/>
      <c r="P1051" s="1"/>
      <c r="AD1051"/>
      <c r="AG1051"/>
      <c r="AN1051" s="36"/>
      <c r="AO1051" s="37"/>
      <c r="AP1051" s="36"/>
      <c r="AQ1051" s="36"/>
      <c r="AR1051" s="36"/>
      <c r="AS1051" s="89"/>
      <c r="AT1051" s="87"/>
      <c r="AU1051" s="87"/>
      <c r="AV1051" s="87"/>
      <c r="AW1051" s="38"/>
      <c r="AX1051" s="85"/>
      <c r="AY1051" s="85"/>
      <c r="AZ1051" s="36"/>
      <c r="BA1051" s="1"/>
    </row>
    <row r="1052" spans="10:53">
      <c r="J1052" s="37"/>
      <c r="K1052" s="36"/>
      <c r="L1052" s="87"/>
      <c r="M1052" s="38"/>
      <c r="N1052" s="36"/>
      <c r="O1052" s="36"/>
      <c r="P1052" s="1"/>
      <c r="AD1052"/>
      <c r="AG1052"/>
      <c r="AN1052" s="36"/>
      <c r="AO1052" s="37"/>
      <c r="AP1052" s="36"/>
      <c r="AQ1052" s="36"/>
      <c r="AR1052" s="36"/>
      <c r="AS1052" s="89"/>
      <c r="AT1052" s="87"/>
      <c r="AU1052" s="87"/>
      <c r="AV1052" s="87"/>
      <c r="AW1052" s="38"/>
      <c r="AX1052" s="85"/>
      <c r="AY1052" s="85"/>
      <c r="AZ1052" s="36"/>
      <c r="BA1052" s="1"/>
    </row>
    <row r="1053" spans="10:53">
      <c r="J1053" s="37"/>
      <c r="K1053" s="36"/>
      <c r="L1053" s="87"/>
      <c r="M1053" s="87"/>
      <c r="N1053" s="36"/>
      <c r="O1053" s="36"/>
      <c r="P1053" s="1"/>
      <c r="AD1053"/>
      <c r="AG1053"/>
      <c r="AN1053" s="36"/>
      <c r="AO1053" s="37"/>
      <c r="AP1053" s="36"/>
      <c r="AQ1053" s="36"/>
      <c r="AR1053" s="36"/>
      <c r="AS1053" s="89"/>
      <c r="AT1053" s="87"/>
      <c r="AU1053" s="87"/>
      <c r="AV1053" s="87"/>
      <c r="AW1053" s="38"/>
      <c r="AX1053" s="85"/>
      <c r="AY1053" s="85"/>
      <c r="AZ1053" s="36"/>
      <c r="BA1053" s="1"/>
    </row>
    <row r="1054" spans="10:53">
      <c r="J1054" s="37"/>
      <c r="K1054" s="36"/>
      <c r="L1054" s="87"/>
      <c r="M1054" s="38"/>
      <c r="N1054" s="36"/>
      <c r="O1054" s="36"/>
      <c r="P1054" s="1"/>
      <c r="AD1054"/>
      <c r="AG1054"/>
      <c r="AN1054" s="36"/>
      <c r="AO1054" s="37"/>
      <c r="AP1054" s="36"/>
      <c r="AQ1054" s="36"/>
      <c r="AR1054" s="36"/>
      <c r="AS1054" s="89"/>
      <c r="AT1054" s="87"/>
      <c r="AU1054" s="87"/>
      <c r="AV1054" s="87"/>
      <c r="AW1054" s="38"/>
      <c r="AX1054" s="85"/>
      <c r="AY1054" s="85"/>
      <c r="AZ1054" s="36"/>
      <c r="BA1054" s="1"/>
    </row>
    <row r="1055" spans="10:53">
      <c r="J1055" s="37"/>
      <c r="K1055" s="36"/>
      <c r="L1055" s="87"/>
      <c r="M1055" s="87"/>
      <c r="N1055" s="36"/>
      <c r="O1055" s="36"/>
      <c r="P1055" s="1"/>
      <c r="AD1055"/>
      <c r="AG1055"/>
      <c r="AN1055" s="36"/>
      <c r="AO1055" s="37"/>
      <c r="AP1055" s="36"/>
      <c r="AQ1055" s="36"/>
      <c r="AR1055" s="36"/>
      <c r="AS1055" s="89"/>
      <c r="AT1055" s="87"/>
      <c r="AU1055" s="87"/>
      <c r="AV1055" s="87"/>
      <c r="AW1055" s="38"/>
      <c r="AX1055" s="85"/>
      <c r="AY1055" s="85"/>
      <c r="AZ1055" s="36"/>
      <c r="BA1055" s="1"/>
    </row>
    <row r="1056" spans="10:53">
      <c r="J1056" s="37"/>
      <c r="K1056" s="36"/>
      <c r="L1056" s="87"/>
      <c r="M1056" s="38"/>
      <c r="N1056" s="36"/>
      <c r="O1056" s="36"/>
      <c r="P1056" s="1"/>
      <c r="AD1056"/>
      <c r="AG1056"/>
      <c r="AN1056" s="36"/>
      <c r="AO1056" s="37"/>
      <c r="AP1056" s="36"/>
      <c r="AQ1056" s="36"/>
      <c r="AR1056" s="36"/>
      <c r="AS1056" s="89"/>
      <c r="AT1056" s="87"/>
      <c r="AU1056" s="87"/>
      <c r="AV1056" s="87"/>
      <c r="AW1056" s="38"/>
      <c r="AX1056" s="85"/>
      <c r="AY1056" s="85"/>
      <c r="AZ1056" s="36"/>
      <c r="BA1056" s="1"/>
    </row>
    <row r="1057" spans="10:53">
      <c r="J1057" s="37"/>
      <c r="K1057" s="36"/>
      <c r="L1057" s="87"/>
      <c r="M1057" s="87"/>
      <c r="N1057" s="36"/>
      <c r="O1057" s="36"/>
      <c r="P1057" s="1"/>
      <c r="AD1057"/>
      <c r="AG1057"/>
      <c r="AN1057" s="36"/>
      <c r="AO1057" s="37"/>
      <c r="AP1057" s="36"/>
      <c r="AQ1057" s="36"/>
      <c r="AR1057" s="36"/>
      <c r="AS1057" s="89"/>
      <c r="AT1057" s="87"/>
      <c r="AU1057" s="87"/>
      <c r="AV1057" s="87"/>
      <c r="AW1057" s="38"/>
      <c r="AX1057" s="85"/>
      <c r="AY1057" s="85"/>
      <c r="AZ1057" s="36"/>
      <c r="BA1057" s="1"/>
    </row>
    <row r="1058" spans="10:53">
      <c r="J1058" s="37"/>
      <c r="K1058" s="36"/>
      <c r="L1058" s="87"/>
      <c r="M1058" s="38"/>
      <c r="N1058" s="36"/>
      <c r="O1058" s="36"/>
      <c r="P1058" s="1"/>
      <c r="AD1058"/>
      <c r="AG1058"/>
      <c r="AN1058" s="36"/>
      <c r="AO1058" s="37"/>
      <c r="AP1058" s="36"/>
      <c r="AQ1058" s="36"/>
      <c r="AR1058" s="36"/>
      <c r="AS1058" s="89"/>
      <c r="AT1058" s="87"/>
      <c r="AU1058" s="87"/>
      <c r="AV1058" s="87"/>
      <c r="AW1058" s="38"/>
      <c r="AX1058" s="85"/>
      <c r="AY1058" s="85"/>
      <c r="AZ1058" s="36"/>
      <c r="BA1058" s="1"/>
    </row>
    <row r="1059" spans="10:53">
      <c r="J1059" s="37"/>
      <c r="K1059" s="36"/>
      <c r="L1059" s="87"/>
      <c r="M1059" s="38"/>
      <c r="N1059" s="36"/>
      <c r="O1059" s="36"/>
      <c r="P1059" s="1"/>
      <c r="AD1059"/>
      <c r="AG1059"/>
      <c r="AN1059" s="36"/>
      <c r="AO1059" s="37"/>
      <c r="AP1059" s="36"/>
      <c r="AQ1059" s="36"/>
      <c r="AR1059" s="36"/>
      <c r="AS1059" s="89"/>
      <c r="AT1059" s="87"/>
      <c r="AU1059" s="87"/>
      <c r="AV1059" s="87"/>
      <c r="AW1059" s="38"/>
      <c r="AX1059" s="85"/>
      <c r="AY1059" s="85"/>
      <c r="AZ1059" s="36"/>
      <c r="BA1059" s="1"/>
    </row>
    <row r="1060" spans="10:53">
      <c r="J1060" s="37"/>
      <c r="K1060" s="36"/>
      <c r="L1060" s="87"/>
      <c r="M1060" s="38"/>
      <c r="N1060" s="36"/>
      <c r="O1060" s="36"/>
      <c r="P1060" s="1"/>
      <c r="AD1060"/>
      <c r="AG1060"/>
      <c r="AN1060" s="36"/>
      <c r="AO1060" s="37"/>
      <c r="AP1060" s="36"/>
      <c r="AQ1060" s="36"/>
      <c r="AR1060" s="36"/>
      <c r="AS1060" s="89"/>
      <c r="AT1060" s="87"/>
      <c r="AU1060" s="87"/>
      <c r="AV1060" s="87"/>
      <c r="AW1060" s="38"/>
      <c r="AX1060" s="85"/>
      <c r="AY1060" s="85"/>
      <c r="AZ1060" s="36"/>
      <c r="BA1060" s="1"/>
    </row>
    <row r="1061" spans="10:53">
      <c r="J1061" s="37"/>
      <c r="K1061" s="36"/>
      <c r="L1061" s="87"/>
      <c r="M1061" s="38"/>
      <c r="N1061" s="36"/>
      <c r="O1061" s="36"/>
      <c r="P1061" s="1"/>
      <c r="AD1061"/>
      <c r="AG1061"/>
      <c r="AN1061" s="36"/>
      <c r="AO1061" s="37"/>
      <c r="AP1061" s="36"/>
      <c r="AQ1061" s="36"/>
      <c r="AR1061" s="36"/>
      <c r="AS1061" s="89"/>
      <c r="AT1061" s="87"/>
      <c r="AU1061" s="87"/>
      <c r="AV1061" s="87"/>
      <c r="AW1061" s="87"/>
      <c r="AX1061" s="85"/>
      <c r="AY1061" s="85"/>
      <c r="AZ1061" s="36"/>
      <c r="BA1061" s="1"/>
    </row>
    <row r="1062" spans="10:53">
      <c r="J1062" s="37"/>
      <c r="K1062" s="36"/>
      <c r="L1062" s="87"/>
      <c r="M1062" s="87"/>
      <c r="N1062" s="36"/>
      <c r="O1062" s="36"/>
      <c r="P1062" s="1"/>
      <c r="AD1062"/>
      <c r="AG1062"/>
      <c r="AN1062" s="36"/>
      <c r="AO1062" s="37"/>
      <c r="AP1062" s="36"/>
      <c r="AQ1062" s="36"/>
      <c r="AR1062" s="36"/>
      <c r="AS1062" s="89"/>
      <c r="AT1062" s="87"/>
      <c r="AU1062" s="87"/>
      <c r="AV1062" s="87"/>
      <c r="AW1062" s="87"/>
      <c r="AX1062" s="85"/>
      <c r="AY1062" s="85"/>
      <c r="AZ1062" s="36"/>
      <c r="BA1062" s="1"/>
    </row>
    <row r="1063" spans="10:53">
      <c r="J1063" s="37"/>
      <c r="K1063" s="36"/>
      <c r="L1063" s="87"/>
      <c r="M1063" s="38"/>
      <c r="N1063" s="36"/>
      <c r="O1063" s="36"/>
      <c r="P1063" s="1"/>
      <c r="AD1063"/>
      <c r="AG1063"/>
      <c r="AN1063" s="36"/>
      <c r="AO1063" s="37"/>
      <c r="AP1063" s="36"/>
      <c r="AQ1063" s="36"/>
      <c r="AR1063" s="36"/>
      <c r="AS1063" s="89"/>
      <c r="AT1063" s="87"/>
      <c r="AU1063" s="87"/>
      <c r="AV1063" s="87"/>
      <c r="AW1063" s="87"/>
      <c r="AX1063" s="85"/>
      <c r="AY1063" s="85"/>
      <c r="AZ1063" s="36"/>
      <c r="BA1063" s="1"/>
    </row>
    <row r="1064" spans="10:53">
      <c r="J1064" s="37"/>
      <c r="K1064" s="36"/>
      <c r="L1064" s="87"/>
      <c r="M1064" s="38"/>
      <c r="N1064" s="36"/>
      <c r="O1064" s="36"/>
      <c r="P1064" s="1"/>
      <c r="AD1064"/>
      <c r="AG1064"/>
      <c r="AN1064" s="36"/>
      <c r="AO1064" s="37"/>
      <c r="AP1064" s="36"/>
      <c r="AQ1064" s="36"/>
      <c r="AR1064" s="36"/>
      <c r="AS1064" s="89"/>
      <c r="AT1064" s="87"/>
      <c r="AU1064" s="87"/>
      <c r="AV1064" s="87"/>
      <c r="AW1064" s="87"/>
      <c r="AX1064" s="85"/>
      <c r="AY1064" s="85"/>
      <c r="AZ1064" s="36"/>
      <c r="BA1064" s="1"/>
    </row>
    <row r="1065" spans="10:53">
      <c r="J1065" s="37"/>
      <c r="K1065" s="36"/>
      <c r="L1065" s="87"/>
      <c r="M1065" s="38"/>
      <c r="N1065" s="36"/>
      <c r="O1065" s="36"/>
      <c r="P1065" s="1"/>
      <c r="AD1065"/>
      <c r="AG1065"/>
      <c r="AN1065" s="36"/>
      <c r="AO1065" s="37"/>
      <c r="AP1065" s="36"/>
      <c r="AQ1065" s="36"/>
      <c r="AR1065" s="36"/>
      <c r="AS1065" s="89"/>
      <c r="AT1065" s="87"/>
      <c r="AU1065" s="87"/>
      <c r="AV1065" s="87"/>
      <c r="AW1065" s="87"/>
      <c r="AX1065" s="85"/>
      <c r="AY1065" s="85"/>
      <c r="AZ1065" s="36"/>
      <c r="BA1065" s="1"/>
    </row>
    <row r="1066" spans="10:53">
      <c r="J1066" s="37"/>
      <c r="K1066" s="36"/>
      <c r="L1066" s="87"/>
      <c r="M1066" s="38"/>
      <c r="N1066" s="36"/>
      <c r="O1066" s="36"/>
      <c r="P1066" s="1"/>
      <c r="AD1066"/>
      <c r="AG1066"/>
      <c r="AN1066" s="36"/>
      <c r="AO1066" s="37"/>
      <c r="AP1066" s="36"/>
      <c r="AQ1066" s="36"/>
      <c r="AR1066" s="36"/>
      <c r="AS1066" s="89"/>
      <c r="AT1066" s="87"/>
      <c r="AU1066" s="87"/>
      <c r="AV1066" s="87"/>
      <c r="AW1066" s="87"/>
      <c r="AX1066" s="85"/>
      <c r="AY1066" s="85"/>
      <c r="AZ1066" s="36"/>
      <c r="BA1066" s="1"/>
    </row>
    <row r="1067" spans="10:53">
      <c r="J1067" s="37"/>
      <c r="K1067" s="36"/>
      <c r="L1067" s="87"/>
      <c r="M1067" s="38"/>
      <c r="N1067" s="36"/>
      <c r="O1067" s="36"/>
      <c r="P1067" s="1"/>
      <c r="AD1067"/>
      <c r="AG1067"/>
      <c r="AN1067" s="36"/>
      <c r="AO1067" s="37"/>
      <c r="AP1067" s="36"/>
      <c r="AQ1067" s="36"/>
      <c r="AR1067" s="36"/>
      <c r="AS1067" s="89"/>
      <c r="AT1067" s="87"/>
      <c r="AU1067" s="87"/>
      <c r="AV1067" s="87"/>
      <c r="AW1067" s="87"/>
      <c r="AX1067" s="85"/>
      <c r="AY1067" s="85"/>
      <c r="AZ1067" s="36"/>
      <c r="BA1067" s="1"/>
    </row>
    <row r="1068" spans="10:53">
      <c r="J1068" s="37"/>
      <c r="K1068" s="36"/>
      <c r="L1068" s="87"/>
      <c r="M1068" s="38"/>
      <c r="N1068" s="36"/>
      <c r="O1068" s="36"/>
      <c r="P1068" s="1"/>
      <c r="AD1068"/>
      <c r="AG1068"/>
      <c r="AN1068" s="36"/>
      <c r="AO1068" s="37"/>
      <c r="AP1068" s="36"/>
      <c r="AQ1068" s="36"/>
      <c r="AR1068" s="36"/>
      <c r="AS1068" s="89"/>
      <c r="AT1068" s="87"/>
      <c r="AU1068" s="87"/>
      <c r="AV1068" s="87"/>
      <c r="AW1068" s="87"/>
      <c r="AX1068" s="85"/>
      <c r="AY1068" s="85"/>
      <c r="AZ1068" s="36"/>
      <c r="BA1068" s="1"/>
    </row>
    <row r="1069" spans="10:53">
      <c r="J1069" s="37"/>
      <c r="K1069" s="36"/>
      <c r="L1069" s="87"/>
      <c r="M1069" s="87"/>
      <c r="N1069" s="36"/>
      <c r="O1069" s="36"/>
      <c r="P1069" s="1"/>
      <c r="AD1069"/>
      <c r="AG1069"/>
      <c r="AN1069" s="36"/>
      <c r="AO1069" s="37"/>
      <c r="AP1069" s="36"/>
      <c r="AQ1069" s="36"/>
      <c r="AR1069" s="36"/>
      <c r="AS1069" s="89"/>
      <c r="AT1069" s="87"/>
      <c r="AU1069" s="87"/>
      <c r="AV1069" s="87"/>
      <c r="AW1069" s="87"/>
      <c r="AX1069" s="85"/>
      <c r="AY1069" s="85"/>
      <c r="AZ1069" s="36"/>
      <c r="BA1069" s="1"/>
    </row>
    <row r="1070" spans="10:53">
      <c r="J1070" s="37"/>
      <c r="K1070" s="36"/>
      <c r="L1070" s="87"/>
      <c r="M1070" s="38"/>
      <c r="N1070" s="36"/>
      <c r="O1070" s="36"/>
      <c r="P1070" s="1"/>
      <c r="AD1070"/>
      <c r="AG1070"/>
      <c r="AN1070" s="36"/>
      <c r="AO1070" s="37"/>
      <c r="AP1070" s="36"/>
      <c r="AQ1070" s="36"/>
      <c r="AR1070" s="36"/>
      <c r="AS1070" s="89"/>
      <c r="AT1070" s="87"/>
      <c r="AU1070" s="87"/>
      <c r="AV1070" s="87"/>
      <c r="AW1070" s="87"/>
      <c r="AX1070" s="85"/>
      <c r="AY1070" s="85"/>
      <c r="AZ1070" s="36"/>
      <c r="BA1070" s="1"/>
    </row>
    <row r="1071" spans="10:53">
      <c r="J1071" s="37"/>
      <c r="K1071" s="36"/>
      <c r="L1071" s="87"/>
      <c r="M1071" s="38"/>
      <c r="N1071" s="36"/>
      <c r="O1071" s="36"/>
      <c r="P1071" s="1"/>
      <c r="AD1071"/>
      <c r="AG1071"/>
      <c r="AN1071" s="36"/>
      <c r="AO1071" s="37"/>
      <c r="AP1071" s="36"/>
      <c r="AQ1071" s="36"/>
      <c r="AR1071" s="36"/>
      <c r="AS1071" s="89"/>
      <c r="AT1071" s="87"/>
      <c r="AU1071" s="87"/>
      <c r="AV1071" s="87"/>
      <c r="AW1071" s="87"/>
      <c r="AX1071" s="85"/>
      <c r="AY1071" s="85"/>
      <c r="AZ1071" s="36"/>
      <c r="BA1071" s="1"/>
    </row>
    <row r="1072" spans="10:53">
      <c r="J1072" s="37"/>
      <c r="K1072" s="36"/>
      <c r="L1072" s="87"/>
      <c r="M1072" s="38"/>
      <c r="N1072" s="36"/>
      <c r="O1072" s="36"/>
      <c r="P1072" s="1"/>
      <c r="AD1072"/>
      <c r="AG1072"/>
      <c r="AN1072" s="36"/>
      <c r="AO1072" s="37"/>
      <c r="AP1072" s="36"/>
      <c r="AQ1072" s="36"/>
      <c r="AR1072" s="36"/>
      <c r="AS1072" s="89"/>
      <c r="AT1072" s="87"/>
      <c r="AU1072" s="87"/>
      <c r="AV1072" s="87"/>
      <c r="AW1072" s="87"/>
      <c r="AX1072" s="85"/>
      <c r="AY1072" s="85"/>
      <c r="AZ1072" s="36"/>
      <c r="BA1072" s="1"/>
    </row>
    <row r="1073" spans="10:53">
      <c r="J1073" s="37"/>
      <c r="K1073" s="36"/>
      <c r="L1073" s="87"/>
      <c r="M1073" s="87"/>
      <c r="N1073" s="36"/>
      <c r="O1073" s="36"/>
      <c r="P1073" s="1"/>
      <c r="AD1073"/>
      <c r="AG1073"/>
      <c r="AN1073" s="36"/>
      <c r="AO1073" s="37"/>
      <c r="AP1073" s="36"/>
      <c r="AQ1073" s="36"/>
      <c r="AR1073" s="36"/>
      <c r="AS1073" s="89"/>
      <c r="AT1073" s="87"/>
      <c r="AU1073" s="87"/>
      <c r="AV1073" s="87"/>
      <c r="AW1073" s="87"/>
      <c r="AX1073" s="85"/>
      <c r="AY1073" s="85"/>
      <c r="AZ1073" s="36"/>
      <c r="BA1073" s="1"/>
    </row>
    <row r="1074" spans="10:53">
      <c r="J1074" s="37"/>
      <c r="K1074" s="36"/>
      <c r="L1074" s="87"/>
      <c r="M1074" s="38"/>
      <c r="N1074" s="36"/>
      <c r="O1074" s="36"/>
      <c r="P1074" s="1"/>
      <c r="AD1074"/>
      <c r="AG1074"/>
      <c r="AN1074" s="36"/>
      <c r="AO1074" s="37"/>
      <c r="AP1074" s="36"/>
      <c r="AQ1074" s="36"/>
      <c r="AR1074" s="36"/>
      <c r="AS1074" s="89"/>
      <c r="AT1074" s="87"/>
      <c r="AU1074" s="87"/>
      <c r="AV1074" s="87"/>
      <c r="AW1074" s="87"/>
      <c r="AX1074" s="85"/>
      <c r="AY1074" s="85"/>
      <c r="AZ1074" s="36"/>
      <c r="BA1074" s="1"/>
    </row>
    <row r="1075" spans="10:53">
      <c r="J1075" s="37"/>
      <c r="K1075" s="36"/>
      <c r="L1075" s="87"/>
      <c r="M1075" s="38"/>
      <c r="N1075" s="36"/>
      <c r="O1075" s="36"/>
      <c r="P1075" s="1"/>
      <c r="AD1075"/>
      <c r="AG1075"/>
      <c r="AN1075" s="36"/>
      <c r="AO1075" s="37"/>
      <c r="AP1075" s="36"/>
      <c r="AQ1075" s="36"/>
      <c r="AR1075" s="36"/>
      <c r="AS1075" s="89"/>
      <c r="AT1075" s="87"/>
      <c r="AU1075" s="87"/>
      <c r="AV1075" s="87"/>
      <c r="AW1075" s="87"/>
      <c r="AX1075" s="85"/>
      <c r="AY1075" s="85"/>
      <c r="AZ1075" s="36"/>
      <c r="BA1075" s="1"/>
    </row>
    <row r="1076" spans="10:53">
      <c r="J1076" s="37"/>
      <c r="K1076" s="36"/>
      <c r="L1076" s="87"/>
      <c r="M1076" s="38"/>
      <c r="N1076" s="36"/>
      <c r="O1076" s="36"/>
      <c r="P1076" s="1"/>
      <c r="AD1076"/>
      <c r="AG1076"/>
      <c r="AN1076" s="36"/>
      <c r="AO1076" s="37"/>
      <c r="AP1076" s="36"/>
      <c r="AQ1076" s="36"/>
      <c r="AR1076" s="36"/>
      <c r="AS1076" s="89"/>
      <c r="AT1076" s="87"/>
      <c r="AU1076" s="87"/>
      <c r="AV1076" s="87"/>
      <c r="AW1076" s="87"/>
      <c r="AX1076" s="85"/>
      <c r="AY1076" s="85"/>
      <c r="AZ1076" s="36"/>
      <c r="BA1076" s="1"/>
    </row>
    <row r="1077" spans="10:53">
      <c r="J1077" s="37"/>
      <c r="K1077" s="36"/>
      <c r="L1077" s="87"/>
      <c r="M1077" s="87"/>
      <c r="N1077" s="36"/>
      <c r="O1077" s="36"/>
      <c r="P1077" s="1"/>
      <c r="AN1077" s="36"/>
      <c r="AO1077" s="37"/>
      <c r="AP1077" s="36"/>
      <c r="AQ1077" s="36"/>
      <c r="AR1077" s="36"/>
      <c r="AS1077" s="89"/>
      <c r="AT1077" s="87"/>
      <c r="AU1077" s="87"/>
      <c r="AV1077" s="87"/>
      <c r="AW1077" s="38"/>
      <c r="AX1077" s="85"/>
      <c r="AY1077" s="85"/>
      <c r="AZ1077" s="36"/>
      <c r="BA1077" s="1"/>
    </row>
    <row r="1078" spans="10:53">
      <c r="J1078" s="37"/>
      <c r="K1078" s="36"/>
      <c r="L1078" s="87"/>
      <c r="M1078" s="87"/>
      <c r="N1078" s="36"/>
      <c r="O1078" s="36"/>
      <c r="P1078" s="1"/>
      <c r="AN1078" s="36"/>
      <c r="AO1078" s="37"/>
      <c r="AP1078" s="36"/>
      <c r="AQ1078" s="36"/>
      <c r="AR1078" s="36"/>
      <c r="AS1078" s="89"/>
      <c r="AT1078" s="87"/>
      <c r="AU1078" s="87"/>
      <c r="AV1078" s="87"/>
      <c r="AW1078" s="87"/>
      <c r="AX1078" s="85"/>
      <c r="AY1078" s="85"/>
      <c r="AZ1078" s="36"/>
      <c r="BA1078" s="1"/>
    </row>
    <row r="1079" spans="10:53">
      <c r="J1079" s="37"/>
      <c r="K1079" s="36"/>
      <c r="L1079" s="87"/>
      <c r="M1079" s="87"/>
      <c r="N1079" s="36"/>
      <c r="O1079" s="36"/>
      <c r="P1079" s="1"/>
      <c r="AN1079" s="36"/>
      <c r="AO1079" s="37"/>
      <c r="AP1079" s="36"/>
      <c r="AQ1079" s="36"/>
      <c r="AR1079" s="36"/>
      <c r="AS1079" s="89"/>
      <c r="AT1079" s="87"/>
      <c r="AU1079" s="87"/>
      <c r="AV1079" s="87"/>
      <c r="AW1079" s="87"/>
      <c r="AX1079" s="85"/>
      <c r="AY1079" s="85"/>
      <c r="AZ1079" s="36"/>
      <c r="BA1079" s="1"/>
    </row>
    <row r="1080" spans="10:53">
      <c r="J1080" s="37"/>
      <c r="K1080" s="36"/>
      <c r="L1080" s="87"/>
      <c r="M1080" s="87"/>
      <c r="N1080" s="36"/>
      <c r="O1080" s="36"/>
      <c r="P1080" s="1"/>
      <c r="AN1080" s="36"/>
      <c r="AO1080" s="37"/>
      <c r="AP1080" s="36"/>
      <c r="AQ1080" s="36"/>
      <c r="AR1080" s="36"/>
      <c r="AS1080" s="89"/>
      <c r="AT1080" s="87"/>
      <c r="AU1080" s="87"/>
      <c r="AV1080" s="87"/>
      <c r="AW1080" s="87"/>
      <c r="AX1080" s="85"/>
      <c r="AY1080" s="85"/>
      <c r="AZ1080" s="36"/>
      <c r="BA1080" s="1"/>
    </row>
    <row r="1081" spans="10:53">
      <c r="J1081" s="37"/>
      <c r="K1081" s="36"/>
      <c r="L1081" s="87"/>
      <c r="M1081" s="38"/>
      <c r="N1081" s="36"/>
      <c r="O1081" s="36"/>
      <c r="P1081" s="1"/>
      <c r="AN1081" s="36"/>
      <c r="AO1081" s="37"/>
      <c r="AP1081" s="36"/>
      <c r="AQ1081" s="36"/>
      <c r="AR1081" s="36"/>
      <c r="AS1081" s="89"/>
      <c r="AT1081" s="87"/>
      <c r="AU1081" s="87"/>
      <c r="AV1081" s="87"/>
      <c r="AW1081" s="87"/>
      <c r="AX1081" s="85"/>
      <c r="AY1081" s="85"/>
      <c r="AZ1081" s="36"/>
      <c r="BA1081" s="1"/>
    </row>
    <row r="1082" spans="10:53">
      <c r="J1082" s="37"/>
      <c r="K1082" s="36"/>
      <c r="L1082" s="87"/>
      <c r="M1082" s="38"/>
      <c r="N1082" s="36"/>
      <c r="O1082" s="36"/>
      <c r="P1082" s="1"/>
      <c r="AN1082" s="36"/>
      <c r="AO1082" s="37"/>
      <c r="AP1082" s="36"/>
      <c r="AQ1082" s="36"/>
      <c r="AR1082" s="36"/>
      <c r="AS1082" s="89"/>
      <c r="AT1082" s="87"/>
      <c r="AU1082" s="87"/>
      <c r="AV1082" s="87"/>
      <c r="AW1082" s="87"/>
      <c r="AX1082" s="85"/>
      <c r="AY1082" s="85"/>
      <c r="AZ1082" s="36"/>
      <c r="BA1082" s="1"/>
    </row>
    <row r="1083" spans="10:53">
      <c r="J1083" s="37"/>
      <c r="K1083" s="36"/>
      <c r="L1083" s="87"/>
      <c r="M1083" s="87"/>
      <c r="N1083" s="36"/>
      <c r="O1083" s="36"/>
      <c r="P1083" s="1"/>
      <c r="AN1083" s="36"/>
      <c r="AO1083" s="37"/>
      <c r="AP1083" s="36"/>
      <c r="AQ1083" s="36"/>
      <c r="AR1083" s="36"/>
      <c r="AS1083" s="89"/>
      <c r="AT1083" s="87"/>
      <c r="AU1083" s="87"/>
      <c r="AV1083" s="87"/>
      <c r="AW1083" s="87"/>
      <c r="AX1083" s="85"/>
      <c r="AY1083" s="85"/>
      <c r="AZ1083" s="36"/>
      <c r="BA1083" s="1"/>
    </row>
    <row r="1084" spans="10:53">
      <c r="J1084" s="37"/>
      <c r="K1084" s="36"/>
      <c r="L1084" s="87"/>
      <c r="M1084" s="38"/>
      <c r="N1084" s="36"/>
      <c r="O1084" s="36"/>
      <c r="P1084" s="1"/>
      <c r="AN1084" s="36"/>
      <c r="AO1084" s="37"/>
      <c r="AP1084" s="36"/>
      <c r="AQ1084" s="36"/>
      <c r="AR1084" s="36"/>
      <c r="AS1084" s="89"/>
      <c r="AT1084" s="87"/>
      <c r="AU1084" s="87"/>
      <c r="AV1084" s="87"/>
      <c r="AW1084" s="38"/>
      <c r="AX1084" s="85"/>
      <c r="AY1084" s="85"/>
      <c r="AZ1084" s="36"/>
      <c r="BA1084" s="1"/>
    </row>
    <row r="1085" spans="10:53">
      <c r="J1085" s="37"/>
      <c r="K1085" s="36"/>
      <c r="L1085" s="87"/>
      <c r="M1085" s="87"/>
      <c r="N1085" s="36"/>
      <c r="O1085" s="36"/>
      <c r="P1085" s="1"/>
      <c r="AN1085" s="36"/>
      <c r="AO1085" s="37"/>
      <c r="AP1085" s="36"/>
      <c r="AQ1085" s="36"/>
      <c r="AR1085" s="36"/>
      <c r="AS1085" s="89"/>
      <c r="AT1085" s="87"/>
      <c r="AU1085" s="87"/>
      <c r="AV1085" s="87"/>
      <c r="AW1085" s="87"/>
      <c r="AX1085" s="85"/>
      <c r="AY1085" s="85"/>
      <c r="AZ1085" s="36"/>
      <c r="BA1085" s="1"/>
    </row>
    <row r="1086" spans="10:53">
      <c r="J1086" s="37"/>
      <c r="K1086" s="36"/>
      <c r="L1086" s="87"/>
      <c r="M1086" s="87"/>
      <c r="N1086" s="36"/>
      <c r="O1086" s="36"/>
      <c r="P1086" s="1"/>
      <c r="AN1086" s="36"/>
      <c r="AO1086" s="37"/>
      <c r="AP1086" s="36"/>
      <c r="AQ1086" s="36"/>
      <c r="AR1086" s="36"/>
      <c r="AS1086" s="89"/>
      <c r="AT1086" s="87"/>
      <c r="AU1086" s="87"/>
      <c r="AV1086" s="87"/>
      <c r="AW1086" s="87"/>
      <c r="AX1086" s="85"/>
      <c r="AY1086" s="85"/>
      <c r="AZ1086" s="36"/>
      <c r="BA1086" s="1"/>
    </row>
    <row r="1087" spans="10:53">
      <c r="J1087" s="37"/>
      <c r="K1087" s="36"/>
      <c r="L1087" s="87"/>
      <c r="M1087" s="87"/>
      <c r="N1087" s="36"/>
      <c r="O1087" s="36"/>
      <c r="P1087" s="1"/>
      <c r="AN1087" s="36"/>
      <c r="AO1087" s="37"/>
      <c r="AP1087" s="36"/>
      <c r="AQ1087" s="36"/>
      <c r="AR1087" s="36"/>
      <c r="AS1087" s="89"/>
      <c r="AT1087" s="87"/>
      <c r="AU1087" s="87"/>
      <c r="AV1087" s="87"/>
      <c r="AW1087" s="87"/>
      <c r="AX1087" s="85"/>
      <c r="AY1087" s="85"/>
      <c r="AZ1087" s="36"/>
      <c r="BA1087" s="1"/>
    </row>
    <row r="1088" spans="10:53">
      <c r="J1088" s="37"/>
      <c r="K1088" s="36"/>
      <c r="L1088" s="87"/>
      <c r="M1088" s="87"/>
      <c r="N1088" s="36"/>
      <c r="O1088" s="36"/>
      <c r="P1088" s="1"/>
      <c r="AN1088" s="36"/>
      <c r="AO1088" s="37"/>
      <c r="AP1088" s="36"/>
      <c r="AQ1088" s="36"/>
      <c r="AR1088" s="36"/>
      <c r="AS1088" s="89"/>
      <c r="AT1088" s="87"/>
      <c r="AU1088" s="87"/>
      <c r="AV1088" s="87"/>
      <c r="AW1088" s="38"/>
      <c r="AX1088" s="85"/>
      <c r="AY1088" s="85"/>
      <c r="AZ1088" s="235"/>
      <c r="BA1088" s="1"/>
    </row>
    <row r="1089" spans="10:53">
      <c r="J1089" s="37"/>
      <c r="K1089" s="36"/>
      <c r="L1089" s="87"/>
      <c r="M1089" s="87"/>
      <c r="N1089" s="36"/>
      <c r="O1089" s="36"/>
      <c r="P1089" s="1"/>
      <c r="AN1089" s="36"/>
      <c r="AO1089" s="37"/>
      <c r="AP1089" s="36"/>
      <c r="AQ1089" s="36"/>
      <c r="AR1089" s="36"/>
      <c r="AS1089" s="89"/>
      <c r="AT1089" s="87"/>
      <c r="AU1089" s="87"/>
      <c r="AV1089" s="87"/>
      <c r="AW1089" s="87"/>
      <c r="AX1089" s="85"/>
      <c r="AY1089" s="85"/>
      <c r="AZ1089" s="235"/>
      <c r="BA1089" s="1"/>
    </row>
    <row r="1090" spans="10:53">
      <c r="J1090" s="37"/>
      <c r="K1090" s="36"/>
      <c r="L1090" s="87"/>
      <c r="M1090" s="87"/>
      <c r="N1090" s="36"/>
      <c r="O1090" s="36"/>
      <c r="P1090" s="1"/>
      <c r="AN1090" s="36"/>
      <c r="AO1090" s="37"/>
      <c r="AP1090" s="36"/>
      <c r="AQ1090" s="36"/>
      <c r="AR1090" s="36"/>
      <c r="AS1090" s="89"/>
      <c r="AT1090" s="87"/>
      <c r="AU1090" s="87"/>
      <c r="AV1090" s="87"/>
      <c r="AW1090" s="87"/>
      <c r="AX1090" s="85"/>
      <c r="AY1090" s="85"/>
      <c r="AZ1090" s="235"/>
      <c r="BA1090" s="1"/>
    </row>
    <row r="1091" spans="10:53">
      <c r="J1091" s="37"/>
      <c r="K1091" s="36"/>
      <c r="L1091" s="87"/>
      <c r="M1091" s="87"/>
      <c r="N1091" s="36"/>
      <c r="O1091" s="36"/>
      <c r="P1091" s="1"/>
      <c r="AN1091" s="36"/>
      <c r="AO1091" s="37"/>
      <c r="AP1091" s="36"/>
      <c r="AQ1091" s="36"/>
      <c r="AR1091" s="36"/>
      <c r="AS1091" s="89"/>
      <c r="AT1091" s="87"/>
      <c r="AU1091" s="87"/>
      <c r="AV1091" s="87"/>
      <c r="AW1091" s="87"/>
      <c r="AX1091" s="85"/>
      <c r="AY1091" s="85"/>
      <c r="AZ1091" s="235"/>
      <c r="BA1091" s="1"/>
    </row>
    <row r="1092" spans="10:53">
      <c r="J1092" s="37"/>
      <c r="K1092" s="36"/>
      <c r="L1092" s="87"/>
      <c r="M1092" s="38"/>
      <c r="N1092" s="36"/>
      <c r="O1092" s="36"/>
      <c r="P1092" s="1"/>
      <c r="AN1092" s="36"/>
      <c r="AO1092" s="37"/>
      <c r="AP1092" s="36"/>
      <c r="AQ1092" s="36"/>
      <c r="AR1092" s="36"/>
      <c r="AS1092" s="89"/>
      <c r="AT1092" s="87"/>
      <c r="AU1092" s="87"/>
      <c r="AV1092" s="87"/>
      <c r="AW1092" s="38"/>
      <c r="AX1092" s="85"/>
      <c r="AY1092" s="85"/>
      <c r="AZ1092" s="36"/>
      <c r="BA1092" s="1"/>
    </row>
    <row r="1093" spans="10:53">
      <c r="J1093" s="37"/>
      <c r="K1093" s="36"/>
      <c r="L1093" s="87"/>
      <c r="M1093" s="38"/>
      <c r="N1093" s="36"/>
      <c r="O1093" s="36"/>
      <c r="P1093" s="1"/>
      <c r="AN1093" s="36"/>
      <c r="AO1093" s="37"/>
      <c r="AP1093" s="36"/>
      <c r="AQ1093" s="36"/>
      <c r="AR1093" s="36"/>
      <c r="AS1093" s="89"/>
      <c r="AT1093" s="87"/>
      <c r="AU1093" s="87"/>
      <c r="AV1093" s="87"/>
      <c r="AW1093" s="87"/>
      <c r="AX1093" s="85"/>
      <c r="AY1093" s="85"/>
      <c r="AZ1093" s="235"/>
      <c r="BA1093" s="1"/>
    </row>
    <row r="1094" spans="10:53">
      <c r="J1094" s="37"/>
      <c r="K1094" s="36"/>
      <c r="L1094" s="87"/>
      <c r="M1094" s="87"/>
      <c r="N1094" s="36"/>
      <c r="O1094" s="36"/>
      <c r="P1094" s="1"/>
      <c r="AN1094" s="36"/>
      <c r="AO1094" s="37"/>
      <c r="AP1094" s="36"/>
      <c r="AQ1094" s="36"/>
      <c r="AR1094" s="36"/>
      <c r="AS1094" s="89"/>
      <c r="AT1094" s="87"/>
      <c r="AU1094" s="87"/>
      <c r="AV1094" s="87"/>
      <c r="AW1094" s="87"/>
      <c r="AX1094" s="85"/>
      <c r="AY1094" s="85"/>
      <c r="AZ1094" s="235"/>
      <c r="BA1094" s="1"/>
    </row>
    <row r="1095" spans="10:53">
      <c r="J1095" s="37"/>
      <c r="K1095" s="36"/>
      <c r="L1095" s="87"/>
      <c r="M1095" s="87"/>
      <c r="N1095" s="36"/>
      <c r="O1095" s="36"/>
      <c r="P1095" s="1"/>
      <c r="AN1095" s="36"/>
      <c r="AO1095" s="37"/>
      <c r="AP1095" s="36"/>
      <c r="AQ1095" s="36"/>
      <c r="AR1095" s="36"/>
      <c r="AS1095" s="89"/>
      <c r="AT1095" s="87"/>
      <c r="AU1095" s="87"/>
      <c r="AV1095" s="87"/>
      <c r="AW1095" s="87"/>
      <c r="AX1095" s="85"/>
      <c r="AY1095" s="85"/>
      <c r="AZ1095" s="36"/>
      <c r="BA1095" s="1"/>
    </row>
    <row r="1096" spans="10:53">
      <c r="J1096" s="37"/>
      <c r="K1096" s="36"/>
      <c r="L1096" s="87"/>
      <c r="M1096" s="87"/>
      <c r="N1096" s="36"/>
      <c r="O1096" s="36"/>
      <c r="P1096" s="1"/>
      <c r="AN1096" s="36"/>
      <c r="AO1096" s="37"/>
      <c r="AP1096" s="36"/>
      <c r="AQ1096" s="36"/>
      <c r="AR1096" s="36"/>
      <c r="AS1096" s="89"/>
      <c r="AT1096" s="87"/>
      <c r="AU1096" s="87"/>
      <c r="AV1096" s="87"/>
      <c r="AW1096" s="87"/>
      <c r="AX1096" s="85"/>
      <c r="AY1096" s="85"/>
      <c r="AZ1096" s="36"/>
      <c r="BA1096" s="1"/>
    </row>
    <row r="1097" spans="10:53">
      <c r="J1097" s="37"/>
      <c r="K1097" s="36"/>
      <c r="L1097" s="87"/>
      <c r="M1097" s="87"/>
      <c r="N1097" s="36"/>
      <c r="O1097" s="36"/>
      <c r="P1097" s="1"/>
      <c r="AN1097" s="36"/>
      <c r="AO1097" s="37"/>
      <c r="AP1097" s="36"/>
      <c r="AQ1097" s="36"/>
      <c r="AR1097" s="36"/>
      <c r="AS1097" s="89"/>
      <c r="AT1097" s="87"/>
      <c r="AU1097" s="87"/>
      <c r="AV1097" s="87"/>
      <c r="AW1097" s="87"/>
      <c r="AX1097" s="85"/>
      <c r="AY1097" s="85"/>
      <c r="AZ1097" s="36"/>
      <c r="BA1097" s="1"/>
    </row>
    <row r="1098" spans="10:53">
      <c r="J1098" s="37"/>
      <c r="K1098" s="36"/>
      <c r="L1098" s="87"/>
      <c r="M1098" s="38"/>
      <c r="N1098" s="36"/>
      <c r="O1098" s="36"/>
      <c r="P1098" s="1"/>
      <c r="AN1098" s="36"/>
      <c r="AO1098" s="37"/>
      <c r="AP1098" s="36"/>
      <c r="AQ1098" s="36"/>
      <c r="AR1098" s="36"/>
      <c r="AS1098" s="89"/>
      <c r="AT1098" s="87"/>
      <c r="AU1098" s="87"/>
      <c r="AV1098" s="87"/>
      <c r="AW1098" s="87"/>
      <c r="AX1098" s="85"/>
      <c r="AY1098" s="85"/>
      <c r="AZ1098" s="36"/>
      <c r="BA1098" s="1"/>
    </row>
    <row r="1099" spans="10:53">
      <c r="J1099" s="37"/>
      <c r="K1099" s="36"/>
      <c r="L1099" s="87"/>
      <c r="M1099" s="38"/>
      <c r="N1099" s="36"/>
      <c r="O1099" s="36"/>
      <c r="P1099" s="1"/>
      <c r="AN1099" s="36"/>
      <c r="AO1099" s="37"/>
      <c r="AP1099" s="36"/>
      <c r="AQ1099" s="36"/>
      <c r="AR1099" s="36"/>
      <c r="AS1099" s="89"/>
      <c r="AT1099" s="87"/>
      <c r="AU1099" s="87"/>
      <c r="AV1099" s="87"/>
      <c r="AW1099" s="87"/>
      <c r="AX1099" s="85"/>
      <c r="AY1099" s="85"/>
      <c r="AZ1099" s="36"/>
      <c r="BA1099" s="1"/>
    </row>
    <row r="1100" spans="10:53">
      <c r="J1100" s="37"/>
      <c r="K1100" s="36"/>
      <c r="L1100" s="87"/>
      <c r="M1100" s="38"/>
      <c r="N1100" s="36"/>
      <c r="O1100" s="36"/>
      <c r="P1100" s="1"/>
      <c r="AN1100" s="36"/>
      <c r="AO1100" s="37"/>
      <c r="AP1100" s="36"/>
      <c r="AQ1100" s="36"/>
      <c r="AR1100" s="36"/>
      <c r="AS1100" s="89"/>
      <c r="AT1100" s="87"/>
      <c r="AU1100" s="87"/>
      <c r="AV1100" s="87"/>
      <c r="AW1100" s="87"/>
      <c r="AX1100" s="85"/>
      <c r="AY1100" s="85"/>
      <c r="AZ1100" s="36"/>
      <c r="BA1100" s="1"/>
    </row>
    <row r="1101" spans="10:53">
      <c r="J1101" s="37"/>
      <c r="K1101" s="36"/>
      <c r="L1101" s="87"/>
      <c r="M1101" s="87"/>
      <c r="N1101" s="36"/>
      <c r="O1101" s="36"/>
      <c r="P1101" s="1"/>
      <c r="AN1101" s="36"/>
      <c r="AO1101" s="37"/>
      <c r="AP1101" s="36"/>
      <c r="AQ1101" s="36"/>
      <c r="AR1101" s="36"/>
      <c r="AS1101" s="89"/>
      <c r="AT1101" s="87"/>
      <c r="AU1101" s="87"/>
      <c r="AV1101" s="87"/>
      <c r="AW1101" s="87"/>
      <c r="AX1101" s="85"/>
      <c r="AY1101" s="85"/>
      <c r="AZ1101" s="36"/>
      <c r="BA1101" s="1"/>
    </row>
    <row r="1102" spans="10:53">
      <c r="J1102" s="37"/>
      <c r="K1102" s="36"/>
      <c r="L1102" s="87"/>
      <c r="M1102" s="38"/>
      <c r="N1102" s="36"/>
      <c r="O1102" s="36"/>
      <c r="P1102" s="1"/>
      <c r="AN1102" s="36"/>
      <c r="AO1102" s="37"/>
      <c r="AP1102" s="36"/>
      <c r="AQ1102" s="36"/>
      <c r="AR1102" s="36"/>
      <c r="AS1102" s="89"/>
      <c r="AT1102" s="87"/>
      <c r="AU1102" s="87"/>
      <c r="AV1102" s="87"/>
      <c r="AW1102" s="87"/>
      <c r="AX1102" s="85"/>
      <c r="AY1102" s="85"/>
      <c r="AZ1102" s="36"/>
      <c r="BA1102" s="1"/>
    </row>
    <row r="1103" spans="10:53">
      <c r="J1103" s="37"/>
      <c r="K1103" s="36"/>
      <c r="L1103" s="87"/>
      <c r="M1103" s="38"/>
      <c r="N1103" s="36"/>
      <c r="O1103" s="36"/>
      <c r="P1103" s="1"/>
      <c r="AN1103" s="36"/>
      <c r="AO1103" s="37"/>
      <c r="AP1103" s="36"/>
      <c r="AQ1103" s="36"/>
      <c r="AR1103" s="36"/>
      <c r="AS1103" s="89"/>
      <c r="AT1103" s="87"/>
      <c r="AU1103" s="87"/>
      <c r="AV1103" s="87"/>
      <c r="AW1103" s="87"/>
      <c r="AX1103" s="85"/>
      <c r="AY1103" s="85"/>
      <c r="AZ1103" s="36"/>
      <c r="BA1103" s="1"/>
    </row>
    <row r="1104" spans="10:53">
      <c r="J1104" s="37"/>
      <c r="K1104" s="36"/>
      <c r="L1104" s="87"/>
      <c r="M1104" s="38"/>
      <c r="N1104" s="36"/>
      <c r="O1104" s="36"/>
      <c r="P1104" s="1"/>
      <c r="AN1104" s="36"/>
      <c r="AO1104" s="37"/>
      <c r="AP1104" s="36"/>
      <c r="AQ1104" s="36"/>
      <c r="AR1104" s="36"/>
      <c r="AS1104" s="89"/>
      <c r="AT1104" s="87"/>
      <c r="AU1104" s="87"/>
      <c r="AV1104" s="87"/>
      <c r="AW1104" s="87"/>
      <c r="AX1104" s="85"/>
      <c r="AY1104" s="85"/>
      <c r="AZ1104" s="36"/>
      <c r="BA1104" s="1"/>
    </row>
    <row r="1105" spans="10:53">
      <c r="J1105" s="37"/>
      <c r="K1105" s="36"/>
      <c r="L1105" s="87"/>
      <c r="M1105" s="38"/>
      <c r="N1105" s="36"/>
      <c r="O1105" s="36"/>
      <c r="P1105" s="1"/>
      <c r="AN1105" s="36"/>
      <c r="AO1105" s="37"/>
      <c r="AP1105" s="36"/>
      <c r="AQ1105" s="36"/>
      <c r="AR1105" s="36"/>
      <c r="AS1105" s="89"/>
      <c r="AT1105" s="87"/>
      <c r="AU1105" s="87"/>
      <c r="AV1105" s="87"/>
      <c r="AW1105" s="87"/>
      <c r="AX1105" s="85"/>
      <c r="AY1105" s="85"/>
      <c r="AZ1105" s="36"/>
      <c r="BA1105" s="1"/>
    </row>
    <row r="1106" spans="10:53">
      <c r="J1106" s="37"/>
      <c r="K1106" s="36"/>
      <c r="L1106" s="87"/>
      <c r="M1106" s="38"/>
      <c r="N1106" s="36"/>
      <c r="O1106" s="36"/>
      <c r="P1106" s="1"/>
      <c r="AN1106" s="36"/>
      <c r="AO1106" s="37"/>
      <c r="AP1106" s="36"/>
      <c r="AQ1106" s="36"/>
      <c r="AR1106" s="36"/>
      <c r="AS1106" s="89"/>
      <c r="AT1106" s="87"/>
      <c r="AU1106" s="87"/>
      <c r="AV1106" s="87"/>
      <c r="AW1106" s="87"/>
      <c r="AX1106" s="85"/>
      <c r="AY1106" s="85"/>
      <c r="AZ1106" s="36"/>
      <c r="BA1106" s="1"/>
    </row>
    <row r="1107" spans="10:53">
      <c r="J1107" s="37"/>
      <c r="K1107" s="36"/>
      <c r="L1107" s="87"/>
      <c r="M1107" s="38"/>
      <c r="N1107" s="36"/>
      <c r="O1107" s="36"/>
      <c r="P1107" s="1"/>
      <c r="AN1107" s="36"/>
      <c r="AO1107" s="37"/>
      <c r="AP1107" s="36"/>
      <c r="AQ1107" s="36"/>
      <c r="AR1107" s="36"/>
      <c r="AS1107" s="89"/>
      <c r="AT1107" s="87"/>
      <c r="AU1107" s="87"/>
      <c r="AV1107" s="87"/>
      <c r="AW1107" s="87"/>
      <c r="AX1107" s="85"/>
      <c r="AY1107" s="85"/>
      <c r="AZ1107" s="36"/>
      <c r="BA1107" s="1"/>
    </row>
    <row r="1108" spans="10:53">
      <c r="J1108" s="37"/>
      <c r="K1108" s="36"/>
      <c r="L1108" s="87"/>
      <c r="M1108" s="38"/>
      <c r="N1108" s="36"/>
      <c r="O1108" s="36"/>
      <c r="P1108" s="1"/>
      <c r="AN1108" s="36"/>
      <c r="AO1108" s="37"/>
      <c r="AP1108" s="36"/>
      <c r="AQ1108" s="36"/>
      <c r="AR1108" s="36"/>
      <c r="AS1108" s="89"/>
      <c r="AT1108" s="87"/>
      <c r="AU1108" s="87"/>
      <c r="AV1108" s="87"/>
      <c r="AW1108" s="87"/>
      <c r="AX1108" s="85"/>
      <c r="AY1108" s="85"/>
      <c r="AZ1108" s="36"/>
      <c r="BA1108" s="1"/>
    </row>
    <row r="1109" spans="10:53">
      <c r="J1109" s="37"/>
      <c r="K1109" s="36"/>
      <c r="L1109" s="87"/>
      <c r="M1109" s="38"/>
      <c r="N1109" s="36"/>
      <c r="O1109" s="36"/>
      <c r="P1109" s="1"/>
      <c r="AN1109" s="36"/>
      <c r="AO1109" s="37"/>
      <c r="AP1109" s="36"/>
      <c r="AQ1109" s="36"/>
      <c r="AR1109" s="36"/>
      <c r="AS1109" s="89"/>
      <c r="AT1109" s="87"/>
      <c r="AU1109" s="236"/>
      <c r="AV1109" s="87"/>
      <c r="AW1109" s="38"/>
      <c r="AX1109" s="85"/>
      <c r="AY1109" s="85"/>
      <c r="AZ1109" s="36"/>
      <c r="BA1109" s="1"/>
    </row>
    <row r="1110" spans="10:53">
      <c r="J1110" s="37"/>
      <c r="K1110" s="36"/>
      <c r="L1110" s="87"/>
      <c r="M1110" s="87"/>
      <c r="N1110" s="36"/>
      <c r="O1110" s="36"/>
      <c r="P1110" s="1"/>
      <c r="AN1110" s="36"/>
      <c r="AO1110" s="37"/>
      <c r="AP1110" s="36"/>
      <c r="AQ1110" s="36"/>
      <c r="AR1110" s="36"/>
      <c r="AS1110" s="89"/>
      <c r="AT1110" s="87"/>
      <c r="AU1110" s="87"/>
      <c r="AV1110" s="87"/>
      <c r="AW1110" s="87"/>
      <c r="AX1110" s="85"/>
      <c r="AY1110" s="85"/>
      <c r="AZ1110" s="36"/>
      <c r="BA1110" s="1"/>
    </row>
    <row r="1111" spans="10:53">
      <c r="J1111" s="37"/>
      <c r="K1111" s="36"/>
      <c r="L1111" s="87"/>
      <c r="M1111" s="87"/>
      <c r="N1111" s="36"/>
      <c r="O1111" s="36"/>
      <c r="P1111" s="1"/>
      <c r="AN1111" s="36"/>
      <c r="AO1111" s="37"/>
      <c r="AP1111" s="36"/>
      <c r="AQ1111" s="36"/>
      <c r="AR1111" s="36"/>
      <c r="AS1111" s="89"/>
      <c r="AT1111" s="87"/>
      <c r="AU1111" s="87"/>
      <c r="AV1111" s="87"/>
      <c r="AW1111" s="87"/>
      <c r="AX1111" s="85"/>
      <c r="AY1111" s="85"/>
      <c r="AZ1111" s="36"/>
      <c r="BA1111" s="1"/>
    </row>
    <row r="1112" spans="10:53">
      <c r="J1112" s="37"/>
      <c r="K1112" s="36"/>
      <c r="L1112" s="87"/>
      <c r="M1112" s="38"/>
      <c r="N1112" s="36"/>
      <c r="O1112" s="36"/>
      <c r="P1112" s="1"/>
      <c r="AN1112" s="36"/>
      <c r="AO1112" s="37"/>
      <c r="AP1112" s="36"/>
      <c r="AQ1112" s="36"/>
      <c r="AR1112" s="36"/>
      <c r="AS1112" s="89"/>
      <c r="AT1112" s="87"/>
      <c r="AU1112" s="87"/>
      <c r="AV1112" s="87"/>
      <c r="AW1112" s="87"/>
      <c r="AX1112" s="85"/>
      <c r="AY1112" s="85"/>
      <c r="AZ1112" s="36"/>
      <c r="BA1112" s="1"/>
    </row>
    <row r="1113" spans="10:53">
      <c r="J1113" s="37"/>
      <c r="K1113" s="36"/>
      <c r="L1113" s="87"/>
      <c r="M1113" s="38"/>
      <c r="N1113" s="36"/>
      <c r="O1113" s="36"/>
      <c r="P1113" s="1"/>
      <c r="AN1113" s="36"/>
      <c r="AO1113" s="37"/>
      <c r="AP1113" s="36"/>
      <c r="AQ1113" s="36"/>
      <c r="AR1113" s="36"/>
      <c r="AS1113" s="89"/>
      <c r="AT1113" s="87"/>
      <c r="AU1113" s="87"/>
      <c r="AV1113" s="87"/>
      <c r="AW1113" s="87"/>
      <c r="AX1113" s="85"/>
      <c r="AY1113" s="85"/>
      <c r="AZ1113" s="36"/>
      <c r="BA1113" s="1"/>
    </row>
    <row r="1114" spans="10:53">
      <c r="J1114" s="37"/>
      <c r="K1114" s="36"/>
      <c r="L1114" s="87"/>
      <c r="M1114" s="38"/>
      <c r="N1114" s="36"/>
      <c r="O1114" s="36"/>
      <c r="P1114" s="1"/>
      <c r="AN1114" s="36"/>
      <c r="AO1114" s="37"/>
      <c r="AP1114" s="36"/>
      <c r="AQ1114" s="36"/>
      <c r="AR1114" s="36"/>
      <c r="AS1114" s="89"/>
      <c r="AT1114" s="87"/>
      <c r="AU1114" s="87"/>
      <c r="AV1114" s="87"/>
      <c r="AW1114" s="87"/>
      <c r="AX1114" s="85"/>
      <c r="AY1114" s="85"/>
      <c r="AZ1114" s="36"/>
      <c r="BA1114" s="1"/>
    </row>
    <row r="1115" spans="10:53">
      <c r="J1115" s="37"/>
      <c r="K1115" s="36"/>
      <c r="L1115" s="87"/>
      <c r="M1115" s="38"/>
      <c r="N1115" s="36"/>
      <c r="O1115" s="36"/>
      <c r="P1115" s="1"/>
      <c r="AN1115" s="36"/>
      <c r="AO1115" s="37"/>
      <c r="AP1115" s="36"/>
      <c r="AQ1115" s="36"/>
      <c r="AR1115" s="36"/>
      <c r="AS1115" s="89"/>
      <c r="AT1115" s="87"/>
      <c r="AU1115" s="87"/>
      <c r="AV1115" s="87"/>
      <c r="AW1115" s="38"/>
      <c r="AX1115" s="85"/>
      <c r="AY1115" s="85"/>
      <c r="AZ1115" s="36"/>
      <c r="BA1115" s="1"/>
    </row>
    <row r="1116" spans="10:53">
      <c r="J1116" s="37"/>
      <c r="K1116" s="36"/>
      <c r="L1116" s="87"/>
      <c r="M1116" s="38"/>
      <c r="N1116" s="36"/>
      <c r="O1116" s="36"/>
      <c r="P1116" s="1"/>
      <c r="AN1116" s="36"/>
      <c r="AO1116" s="37"/>
      <c r="AP1116" s="36"/>
      <c r="AQ1116" s="36"/>
      <c r="AR1116" s="36"/>
      <c r="AS1116" s="89"/>
      <c r="AT1116" s="87"/>
      <c r="AU1116" s="87"/>
      <c r="AV1116" s="87"/>
      <c r="AW1116" s="87"/>
      <c r="AX1116" s="85"/>
      <c r="AY1116" s="85"/>
      <c r="AZ1116" s="36"/>
      <c r="BA1116" s="1"/>
    </row>
    <row r="1117" spans="10:53">
      <c r="J1117" s="37"/>
      <c r="K1117" s="36"/>
      <c r="L1117" s="87"/>
      <c r="M1117" s="87"/>
      <c r="N1117" s="36"/>
      <c r="O1117" s="36"/>
      <c r="P1117" s="1"/>
      <c r="AN1117" s="36"/>
      <c r="AO1117" s="37"/>
      <c r="AP1117" s="36"/>
      <c r="AQ1117" s="36"/>
      <c r="AR1117" s="36"/>
      <c r="AS1117" s="89"/>
      <c r="AT1117" s="87"/>
      <c r="AU1117" s="87"/>
      <c r="AV1117" s="87"/>
      <c r="AW1117" s="87"/>
      <c r="AX1117" s="85"/>
      <c r="AY1117" s="85"/>
      <c r="AZ1117" s="36"/>
      <c r="BA1117" s="1"/>
    </row>
    <row r="1118" spans="10:53">
      <c r="J1118" s="37"/>
      <c r="K1118" s="36"/>
      <c r="L1118" s="87"/>
      <c r="M1118" s="38"/>
      <c r="N1118" s="36"/>
      <c r="O1118" s="36"/>
      <c r="P1118" s="1"/>
      <c r="AN1118" s="36"/>
      <c r="AO1118" s="37"/>
      <c r="AP1118" s="36"/>
      <c r="AQ1118" s="36"/>
      <c r="AR1118" s="36"/>
      <c r="AS1118" s="89"/>
      <c r="AT1118" s="87"/>
      <c r="AU1118" s="87"/>
      <c r="AV1118" s="87"/>
      <c r="AW1118" s="38"/>
      <c r="AX1118" s="85"/>
      <c r="AY1118" s="85"/>
      <c r="AZ1118" s="36"/>
      <c r="BA1118" s="1"/>
    </row>
    <row r="1119" spans="10:53">
      <c r="J1119" s="37"/>
      <c r="K1119" s="36"/>
      <c r="L1119" s="87"/>
      <c r="M1119" s="87"/>
      <c r="N1119" s="36"/>
      <c r="O1119" s="36"/>
      <c r="P1119" s="1"/>
      <c r="AN1119" s="36"/>
      <c r="AO1119" s="37"/>
      <c r="AP1119" s="36"/>
      <c r="AQ1119" s="36"/>
      <c r="AR1119" s="36"/>
      <c r="AS1119" s="89"/>
      <c r="AT1119" s="87"/>
      <c r="AU1119" s="87"/>
      <c r="AV1119" s="87"/>
      <c r="AW1119" s="87"/>
      <c r="AX1119" s="85"/>
      <c r="AY1119" s="85"/>
      <c r="AZ1119" s="36"/>
      <c r="BA1119" s="1"/>
    </row>
    <row r="1120" spans="10:53">
      <c r="J1120" s="37"/>
      <c r="K1120" s="36"/>
      <c r="L1120" s="87"/>
      <c r="M1120" s="38"/>
      <c r="N1120" s="36"/>
      <c r="O1120" s="36"/>
      <c r="P1120" s="1"/>
      <c r="AN1120" s="36"/>
      <c r="AO1120" s="37"/>
      <c r="AP1120" s="36"/>
      <c r="AQ1120" s="36"/>
      <c r="AR1120" s="36"/>
      <c r="AS1120" s="89"/>
      <c r="AT1120" s="87"/>
      <c r="AU1120" s="87"/>
      <c r="AV1120" s="87"/>
      <c r="AW1120" s="38"/>
      <c r="AX1120" s="85"/>
      <c r="AY1120" s="85"/>
      <c r="AZ1120" s="36"/>
      <c r="BA1120" s="1"/>
    </row>
    <row r="1121" spans="10:53">
      <c r="J1121" s="37"/>
      <c r="K1121" s="36"/>
      <c r="L1121" s="87"/>
      <c r="M1121" s="38"/>
      <c r="N1121" s="36"/>
      <c r="O1121" s="36"/>
      <c r="P1121" s="1"/>
      <c r="AN1121" s="36"/>
      <c r="AO1121" s="37"/>
      <c r="AP1121" s="36"/>
      <c r="AQ1121" s="36"/>
      <c r="AR1121" s="36"/>
      <c r="AS1121" s="89"/>
      <c r="AT1121" s="87"/>
      <c r="AU1121" s="87"/>
      <c r="AV1121" s="87"/>
      <c r="AW1121" s="38"/>
      <c r="AX1121" s="85"/>
      <c r="AY1121" s="85"/>
      <c r="AZ1121" s="36"/>
      <c r="BA1121" s="1"/>
    </row>
    <row r="1122" spans="10:53">
      <c r="J1122" s="37"/>
      <c r="K1122" s="36"/>
      <c r="L1122" s="87"/>
      <c r="M1122" s="38"/>
      <c r="N1122" s="36"/>
      <c r="O1122" s="36"/>
      <c r="P1122" s="1"/>
      <c r="AN1122" s="36"/>
      <c r="AO1122" s="37"/>
      <c r="AP1122" s="36"/>
      <c r="AQ1122" s="36"/>
      <c r="AR1122" s="36"/>
      <c r="AS1122" s="89"/>
      <c r="AT1122" s="87"/>
      <c r="AU1122" s="87"/>
      <c r="AV1122" s="87"/>
      <c r="AW1122" s="87"/>
      <c r="AX1122" s="85"/>
      <c r="AY1122" s="85"/>
      <c r="AZ1122" s="36"/>
      <c r="BA1122" s="1"/>
    </row>
    <row r="1123" spans="10:53">
      <c r="J1123" s="37"/>
      <c r="K1123" s="36"/>
      <c r="L1123" s="87"/>
      <c r="M1123" s="38"/>
      <c r="N1123" s="36"/>
      <c r="O1123" s="36"/>
      <c r="P1123" s="1"/>
      <c r="AN1123" s="36"/>
      <c r="AO1123" s="37"/>
      <c r="AP1123" s="36"/>
      <c r="AQ1123" s="36"/>
      <c r="AR1123" s="36"/>
      <c r="AS1123" s="89"/>
      <c r="AT1123" s="87"/>
      <c r="AU1123" s="87"/>
      <c r="AV1123" s="87"/>
      <c r="AW1123" s="87"/>
      <c r="AX1123" s="85"/>
      <c r="AY1123" s="85"/>
      <c r="AZ1123" s="36"/>
      <c r="BA1123" s="1"/>
    </row>
    <row r="1124" spans="10:53">
      <c r="J1124" s="37"/>
      <c r="K1124" s="36"/>
      <c r="L1124" s="87"/>
      <c r="M1124" s="87"/>
      <c r="N1124" s="36"/>
      <c r="O1124" s="36"/>
      <c r="P1124" s="1"/>
      <c r="AN1124" s="36"/>
      <c r="AO1124" s="37"/>
      <c r="AP1124" s="36"/>
      <c r="AQ1124" s="36"/>
      <c r="AR1124" s="36"/>
      <c r="AS1124" s="89"/>
      <c r="AT1124" s="87"/>
      <c r="AU1124" s="87"/>
      <c r="AV1124" s="87"/>
      <c r="AW1124" s="38"/>
      <c r="AX1124" s="85"/>
      <c r="AY1124" s="85"/>
      <c r="AZ1124" s="36"/>
      <c r="BA1124" s="1"/>
    </row>
    <row r="1125" spans="10:53">
      <c r="J1125" s="37"/>
      <c r="K1125" s="36"/>
      <c r="L1125" s="87"/>
      <c r="M1125" s="38"/>
      <c r="N1125" s="36"/>
      <c r="O1125" s="36"/>
      <c r="P1125" s="1"/>
      <c r="AN1125" s="36"/>
      <c r="AO1125" s="37"/>
      <c r="AP1125" s="36"/>
      <c r="AQ1125" s="36"/>
      <c r="AR1125" s="36"/>
      <c r="AS1125" s="89"/>
      <c r="AT1125" s="87"/>
      <c r="AU1125" s="87"/>
      <c r="AV1125" s="87"/>
      <c r="AW1125" s="87"/>
      <c r="AX1125" s="85"/>
      <c r="AY1125" s="85"/>
      <c r="AZ1125" s="36"/>
      <c r="BA1125" s="1"/>
    </row>
    <row r="1126" spans="10:53">
      <c r="J1126" s="37"/>
      <c r="K1126" s="36"/>
      <c r="L1126" s="87"/>
      <c r="M1126" s="38"/>
      <c r="N1126" s="36"/>
      <c r="O1126" s="36"/>
      <c r="P1126" s="1"/>
      <c r="AN1126" s="36"/>
      <c r="AO1126" s="37"/>
      <c r="AP1126" s="36"/>
      <c r="AQ1126" s="36"/>
      <c r="AR1126" s="36"/>
      <c r="AS1126" s="89"/>
      <c r="AT1126" s="87"/>
      <c r="AU1126" s="87"/>
      <c r="AV1126" s="87"/>
      <c r="AW1126" s="38"/>
      <c r="AX1126" s="85"/>
      <c r="AY1126" s="85"/>
      <c r="AZ1126" s="36"/>
      <c r="BA1126" s="1"/>
    </row>
    <row r="1127" spans="10:53">
      <c r="J1127" s="37"/>
      <c r="K1127" s="36"/>
      <c r="L1127" s="87"/>
      <c r="M1127" s="38"/>
      <c r="N1127" s="36"/>
      <c r="O1127" s="36"/>
      <c r="P1127" s="1"/>
      <c r="AN1127" s="36"/>
      <c r="AO1127" s="37"/>
      <c r="AP1127" s="36"/>
      <c r="AQ1127" s="36"/>
      <c r="AR1127" s="36"/>
      <c r="AS1127" s="89"/>
      <c r="AT1127" s="87"/>
      <c r="AU1127" s="87"/>
      <c r="AV1127" s="87"/>
      <c r="AW1127" s="87"/>
      <c r="AX1127" s="85"/>
      <c r="AY1127" s="85"/>
      <c r="AZ1127" s="36"/>
      <c r="BA1127" s="1"/>
    </row>
    <row r="1128" spans="10:53">
      <c r="J1128" s="37"/>
      <c r="K1128" s="36"/>
      <c r="L1128" s="87"/>
      <c r="M1128" s="38"/>
      <c r="N1128" s="36"/>
      <c r="O1128" s="36"/>
      <c r="P1128" s="1"/>
      <c r="AN1128" s="36"/>
      <c r="AO1128" s="37"/>
      <c r="AP1128" s="36"/>
      <c r="AQ1128" s="36"/>
      <c r="AR1128" s="36"/>
      <c r="AS1128" s="89"/>
      <c r="AT1128" s="87"/>
      <c r="AU1128" s="87"/>
      <c r="AV1128" s="87"/>
      <c r="AW1128" s="38"/>
      <c r="AX1128" s="85"/>
      <c r="AY1128" s="85"/>
      <c r="AZ1128" s="36"/>
      <c r="BA1128" s="1"/>
    </row>
    <row r="1129" spans="10:53">
      <c r="J1129" s="37"/>
      <c r="K1129" s="36"/>
      <c r="L1129" s="87"/>
      <c r="M1129" s="38"/>
      <c r="N1129" s="36"/>
      <c r="O1129" s="36"/>
      <c r="P1129" s="1"/>
      <c r="AN1129" s="36"/>
      <c r="AO1129" s="37"/>
      <c r="AP1129" s="36"/>
      <c r="AQ1129" s="36"/>
      <c r="AR1129" s="36"/>
      <c r="AS1129" s="89"/>
      <c r="AT1129" s="87"/>
      <c r="AU1129" s="87"/>
      <c r="AV1129" s="87"/>
      <c r="AW1129" s="38"/>
      <c r="AX1129" s="85"/>
      <c r="AY1129" s="85"/>
      <c r="AZ1129" s="36"/>
      <c r="BA1129" s="1"/>
    </row>
    <row r="1130" spans="10:53">
      <c r="J1130" s="37"/>
      <c r="K1130" s="36"/>
      <c r="L1130" s="87"/>
      <c r="M1130" s="38"/>
      <c r="N1130" s="36"/>
      <c r="O1130" s="36"/>
      <c r="P1130" s="1"/>
      <c r="AN1130" s="36"/>
      <c r="AO1130" s="37"/>
      <c r="AP1130" s="36"/>
      <c r="AQ1130" s="36"/>
      <c r="AR1130" s="36"/>
      <c r="AS1130" s="89"/>
      <c r="AT1130" s="87"/>
      <c r="AU1130" s="87"/>
      <c r="AV1130" s="87"/>
      <c r="AW1130" s="38"/>
      <c r="AX1130" s="85"/>
      <c r="AY1130" s="85"/>
      <c r="AZ1130" s="36"/>
      <c r="BA1130" s="1"/>
    </row>
    <row r="1131" spans="10:53">
      <c r="J1131" s="37"/>
      <c r="K1131" s="36"/>
      <c r="L1131" s="87"/>
      <c r="M1131" s="38"/>
      <c r="N1131" s="36"/>
      <c r="O1131" s="36"/>
      <c r="P1131" s="1"/>
      <c r="AN1131" s="36"/>
      <c r="AO1131" s="37"/>
      <c r="AP1131" s="36"/>
      <c r="AQ1131" s="36"/>
      <c r="AR1131" s="36"/>
      <c r="AS1131" s="89"/>
      <c r="AT1131" s="87"/>
      <c r="AU1131" s="87"/>
      <c r="AV1131" s="87"/>
      <c r="AW1131" s="38"/>
      <c r="AX1131" s="85"/>
      <c r="AY1131" s="85"/>
      <c r="AZ1131" s="36"/>
      <c r="BA1131" s="1"/>
    </row>
    <row r="1132" spans="10:53">
      <c r="J1132" s="37"/>
      <c r="K1132" s="36"/>
      <c r="L1132" s="87"/>
      <c r="M1132" s="38"/>
      <c r="N1132" s="36"/>
      <c r="O1132" s="36"/>
      <c r="P1132" s="1"/>
      <c r="AN1132" s="36"/>
      <c r="AO1132" s="37"/>
      <c r="AP1132" s="36"/>
      <c r="AQ1132" s="36"/>
      <c r="AR1132" s="36"/>
      <c r="AS1132" s="89"/>
      <c r="AT1132" s="87"/>
      <c r="AU1132" s="87"/>
      <c r="AV1132" s="87"/>
      <c r="AW1132" s="87"/>
      <c r="AX1132" s="85"/>
      <c r="AY1132" s="85"/>
      <c r="AZ1132" s="36"/>
      <c r="BA1132" s="1"/>
    </row>
    <row r="1133" spans="10:53">
      <c r="J1133" s="37"/>
      <c r="K1133" s="36"/>
      <c r="L1133" s="87"/>
      <c r="M1133" s="38"/>
      <c r="N1133" s="36"/>
      <c r="O1133" s="36"/>
      <c r="P1133" s="1"/>
      <c r="AN1133" s="36"/>
      <c r="AO1133" s="37"/>
      <c r="AP1133" s="36"/>
      <c r="AQ1133" s="36"/>
      <c r="AR1133" s="36"/>
      <c r="AS1133" s="89"/>
      <c r="AT1133" s="87"/>
      <c r="AU1133" s="87"/>
      <c r="AV1133" s="87"/>
      <c r="AW1133" s="87"/>
      <c r="AX1133" s="85"/>
      <c r="AY1133" s="85"/>
      <c r="AZ1133" s="36"/>
      <c r="BA1133" s="1"/>
    </row>
    <row r="1134" spans="10:53">
      <c r="J1134" s="37"/>
      <c r="K1134" s="36"/>
      <c r="L1134" s="87"/>
      <c r="M1134" s="38"/>
      <c r="N1134" s="36"/>
      <c r="O1134" s="36"/>
      <c r="P1134" s="1"/>
      <c r="AN1134" s="36"/>
      <c r="AO1134" s="37"/>
      <c r="AP1134" s="36"/>
      <c r="AQ1134" s="36"/>
      <c r="AR1134" s="36"/>
      <c r="AS1134" s="89"/>
      <c r="AT1134" s="87"/>
      <c r="AU1134" s="87"/>
      <c r="AV1134" s="87"/>
      <c r="AW1134" s="38"/>
      <c r="AX1134" s="85"/>
      <c r="AY1134" s="85"/>
      <c r="AZ1134" s="36"/>
      <c r="BA1134" s="1"/>
    </row>
    <row r="1135" spans="10:53">
      <c r="J1135" s="37"/>
      <c r="K1135" s="36"/>
      <c r="L1135" s="87"/>
      <c r="M1135" s="38"/>
      <c r="N1135" s="36"/>
      <c r="O1135" s="36"/>
      <c r="P1135" s="1"/>
      <c r="AN1135" s="36"/>
      <c r="AO1135" s="37"/>
      <c r="AP1135" s="36"/>
      <c r="AQ1135" s="36"/>
      <c r="AR1135" s="36"/>
      <c r="AS1135" s="89"/>
      <c r="AT1135" s="87"/>
      <c r="AU1135" s="87"/>
      <c r="AV1135" s="87"/>
      <c r="AW1135" s="38"/>
      <c r="AX1135" s="85"/>
      <c r="AY1135" s="85"/>
      <c r="AZ1135" s="36"/>
      <c r="BA1135" s="1"/>
    </row>
    <row r="1136" spans="10:53">
      <c r="J1136" s="37"/>
      <c r="K1136" s="36"/>
      <c r="L1136" s="87"/>
      <c r="M1136" s="87"/>
      <c r="N1136" s="36"/>
      <c r="O1136" s="36"/>
      <c r="P1136" s="1"/>
      <c r="AN1136" s="36"/>
      <c r="AO1136" s="37"/>
      <c r="AP1136" s="36"/>
      <c r="AQ1136" s="36"/>
      <c r="AR1136" s="36"/>
      <c r="AS1136" s="89"/>
      <c r="AT1136" s="87"/>
      <c r="AU1136" s="87"/>
      <c r="AV1136" s="87"/>
      <c r="AW1136" s="38"/>
      <c r="AX1136" s="85"/>
      <c r="AY1136" s="85"/>
      <c r="AZ1136" s="36"/>
      <c r="BA1136" s="1"/>
    </row>
    <row r="1137" spans="10:53">
      <c r="J1137" s="37"/>
      <c r="K1137" s="36"/>
      <c r="L1137" s="87"/>
      <c r="M1137" s="87"/>
      <c r="N1137" s="36"/>
      <c r="O1137" s="36"/>
      <c r="P1137" s="1"/>
      <c r="AN1137" s="36"/>
      <c r="AO1137" s="37"/>
      <c r="AP1137" s="36"/>
      <c r="AQ1137" s="36"/>
      <c r="AR1137" s="36"/>
      <c r="AS1137" s="89"/>
      <c r="AT1137" s="87"/>
      <c r="AU1137" s="87"/>
      <c r="AV1137" s="87"/>
      <c r="AW1137" s="38"/>
      <c r="AX1137" s="85"/>
      <c r="AY1137" s="85"/>
      <c r="AZ1137" s="36"/>
      <c r="BA1137" s="1"/>
    </row>
    <row r="1138" spans="10:53">
      <c r="J1138" s="37"/>
      <c r="K1138" s="36"/>
      <c r="L1138" s="87"/>
      <c r="M1138" s="87"/>
      <c r="N1138" s="36"/>
      <c r="O1138" s="36"/>
      <c r="P1138" s="1"/>
      <c r="AN1138" s="36"/>
      <c r="AO1138" s="37"/>
      <c r="AP1138" s="36"/>
      <c r="AQ1138" s="36"/>
      <c r="AR1138" s="36"/>
      <c r="AS1138" s="89"/>
      <c r="AT1138" s="87"/>
      <c r="AU1138" s="87"/>
      <c r="AV1138" s="87"/>
      <c r="AW1138" s="38"/>
      <c r="AX1138" s="85"/>
      <c r="AY1138" s="85"/>
      <c r="AZ1138" s="36"/>
      <c r="BA1138" s="1"/>
    </row>
    <row r="1139" spans="10:53">
      <c r="J1139" s="37"/>
      <c r="K1139" s="36"/>
      <c r="L1139" s="87"/>
      <c r="M1139" s="87"/>
      <c r="N1139" s="36"/>
      <c r="O1139" s="36"/>
      <c r="P1139" s="1"/>
      <c r="AN1139" s="36"/>
      <c r="AO1139" s="37"/>
      <c r="AP1139" s="36"/>
      <c r="AQ1139" s="36"/>
      <c r="AR1139" s="36"/>
      <c r="AS1139" s="89"/>
      <c r="AT1139" s="87"/>
      <c r="AU1139" s="87"/>
      <c r="AV1139" s="87"/>
      <c r="AW1139" s="38"/>
      <c r="AX1139" s="85"/>
      <c r="AY1139" s="85"/>
      <c r="AZ1139" s="36"/>
      <c r="BA1139" s="1"/>
    </row>
    <row r="1140" spans="10:53">
      <c r="J1140" s="37"/>
      <c r="K1140" s="36"/>
      <c r="L1140" s="87"/>
      <c r="M1140" s="38"/>
      <c r="N1140" s="36"/>
      <c r="O1140" s="36"/>
      <c r="P1140" s="1"/>
      <c r="AN1140" s="36"/>
      <c r="AO1140" s="37"/>
      <c r="AP1140" s="36"/>
      <c r="AQ1140" s="36"/>
      <c r="AR1140" s="36"/>
      <c r="AS1140" s="89"/>
      <c r="AT1140" s="87"/>
      <c r="AU1140" s="87"/>
      <c r="AV1140" s="87"/>
      <c r="AW1140" s="38"/>
      <c r="AX1140" s="85"/>
      <c r="AY1140" s="85"/>
      <c r="AZ1140" s="36"/>
      <c r="BA1140" s="1"/>
    </row>
    <row r="1141" spans="10:53">
      <c r="J1141" s="37"/>
      <c r="K1141" s="36"/>
      <c r="L1141" s="87"/>
      <c r="M1141" s="87"/>
      <c r="N1141" s="36"/>
      <c r="O1141" s="36"/>
      <c r="P1141" s="1"/>
      <c r="AN1141" s="36"/>
      <c r="AO1141" s="37"/>
      <c r="AP1141" s="36"/>
      <c r="AQ1141" s="36"/>
      <c r="AR1141" s="36"/>
      <c r="AS1141" s="89"/>
      <c r="AT1141" s="87"/>
      <c r="AU1141" s="87"/>
      <c r="AV1141" s="87"/>
      <c r="AW1141" s="38"/>
      <c r="AX1141" s="85"/>
      <c r="AY1141" s="85"/>
      <c r="AZ1141" s="36"/>
      <c r="BA1141" s="1"/>
    </row>
    <row r="1142" spans="10:53">
      <c r="J1142" s="37"/>
      <c r="K1142" s="36"/>
      <c r="L1142" s="87"/>
      <c r="M1142" s="87"/>
      <c r="N1142" s="36"/>
      <c r="O1142" s="36"/>
      <c r="P1142" s="1"/>
      <c r="AN1142" s="36"/>
      <c r="AO1142" s="37"/>
      <c r="AP1142" s="36"/>
      <c r="AQ1142" s="36"/>
      <c r="AR1142" s="36"/>
      <c r="AS1142" s="89"/>
      <c r="AT1142" s="87"/>
      <c r="AU1142" s="87"/>
      <c r="AV1142" s="87"/>
      <c r="AW1142" s="38"/>
      <c r="AX1142" s="85"/>
      <c r="AY1142" s="85"/>
      <c r="AZ1142" s="36"/>
      <c r="BA1142" s="1"/>
    </row>
    <row r="1143" spans="10:53">
      <c r="J1143" s="37"/>
      <c r="K1143" s="36"/>
      <c r="L1143" s="87"/>
      <c r="M1143" s="38"/>
      <c r="N1143" s="36"/>
      <c r="O1143" s="36"/>
      <c r="P1143" s="1"/>
      <c r="AN1143" s="36"/>
      <c r="AO1143" s="37"/>
      <c r="AP1143" s="36"/>
      <c r="AQ1143" s="36"/>
      <c r="AR1143" s="36"/>
      <c r="AS1143" s="89"/>
      <c r="AT1143" s="87"/>
      <c r="AU1143" s="87"/>
      <c r="AV1143" s="87"/>
      <c r="AW1143" s="87"/>
      <c r="AX1143" s="85"/>
      <c r="AY1143" s="85"/>
      <c r="AZ1143" s="36"/>
      <c r="BA1143" s="1"/>
    </row>
    <row r="1144" spans="10:53">
      <c r="J1144" s="37"/>
      <c r="K1144" s="36"/>
      <c r="L1144" s="87"/>
      <c r="M1144" s="38"/>
      <c r="N1144" s="36"/>
      <c r="O1144" s="36"/>
      <c r="P1144" s="1"/>
      <c r="AN1144" s="36"/>
      <c r="AO1144" s="37"/>
      <c r="AP1144" s="36"/>
      <c r="AQ1144" s="36"/>
      <c r="AR1144" s="36"/>
      <c r="AS1144" s="89"/>
      <c r="AT1144" s="87"/>
      <c r="AU1144" s="87"/>
      <c r="AV1144" s="87"/>
      <c r="AW1144" s="87"/>
      <c r="AX1144" s="85"/>
      <c r="AY1144" s="85"/>
      <c r="AZ1144" s="36"/>
      <c r="BA1144" s="1"/>
    </row>
    <row r="1145" spans="10:53">
      <c r="J1145" s="37"/>
      <c r="K1145" s="36"/>
      <c r="L1145" s="87"/>
      <c r="M1145" s="38"/>
      <c r="N1145" s="36"/>
      <c r="O1145" s="36"/>
      <c r="P1145" s="1"/>
    </row>
    <row r="1146" spans="10:53">
      <c r="J1146" s="37"/>
      <c r="K1146" s="36"/>
      <c r="L1146" s="87"/>
      <c r="M1146" s="38"/>
      <c r="N1146" s="36"/>
      <c r="O1146" s="36"/>
      <c r="P1146" s="1"/>
    </row>
    <row r="1147" spans="10:53">
      <c r="J1147" s="37"/>
      <c r="K1147" s="36"/>
      <c r="L1147" s="87"/>
      <c r="M1147" s="38"/>
      <c r="N1147" s="36"/>
      <c r="O1147" s="36"/>
      <c r="P1147" s="1"/>
    </row>
    <row r="1148" spans="10:53">
      <c r="J1148" s="37"/>
      <c r="K1148" s="36"/>
      <c r="L1148" s="87"/>
      <c r="M1148" s="38"/>
      <c r="N1148" s="36"/>
      <c r="O1148" s="36"/>
      <c r="P1148" s="1"/>
    </row>
    <row r="1149" spans="10:53">
      <c r="J1149" s="37"/>
      <c r="K1149" s="36"/>
      <c r="L1149" s="87"/>
      <c r="M1149" s="38"/>
      <c r="N1149" s="36"/>
      <c r="O1149" s="36"/>
      <c r="P1149" s="1"/>
    </row>
    <row r="1150" spans="10:53">
      <c r="J1150" s="37"/>
      <c r="K1150" s="36"/>
      <c r="L1150" s="87"/>
      <c r="M1150" s="38"/>
      <c r="N1150" s="36"/>
      <c r="O1150" s="36"/>
      <c r="P1150" s="1"/>
    </row>
    <row r="1151" spans="10:53">
      <c r="J1151" s="37"/>
      <c r="K1151" s="36"/>
      <c r="L1151" s="87"/>
      <c r="M1151" s="38"/>
      <c r="N1151" s="36"/>
      <c r="O1151" s="36"/>
      <c r="P1151" s="1"/>
    </row>
    <row r="1152" spans="10:53">
      <c r="J1152" s="37"/>
      <c r="K1152" s="36"/>
      <c r="L1152" s="87"/>
      <c r="M1152" s="38"/>
      <c r="N1152" s="36"/>
      <c r="O1152" s="36"/>
      <c r="P1152" s="1"/>
    </row>
    <row r="1153" spans="10:16">
      <c r="J1153" s="37"/>
      <c r="K1153" s="36"/>
      <c r="L1153" s="87"/>
      <c r="M1153" s="38"/>
      <c r="N1153" s="36"/>
      <c r="O1153" s="36"/>
      <c r="P1153" s="1"/>
    </row>
    <row r="1154" spans="10:16">
      <c r="J1154" s="37"/>
      <c r="K1154" s="36"/>
      <c r="L1154" s="87"/>
      <c r="M1154" s="38"/>
      <c r="N1154" s="36"/>
      <c r="O1154" s="36"/>
      <c r="P1154" s="1"/>
    </row>
    <row r="1155" spans="10:16">
      <c r="J1155" s="37"/>
      <c r="K1155" s="36"/>
      <c r="L1155" s="87"/>
      <c r="M1155" s="38"/>
      <c r="N1155" s="36"/>
      <c r="O1155" s="36"/>
      <c r="P1155" s="1"/>
    </row>
    <row r="1156" spans="10:16">
      <c r="J1156" s="37"/>
      <c r="K1156" s="36"/>
      <c r="L1156" s="87"/>
      <c r="M1156" s="38"/>
      <c r="N1156" s="36"/>
      <c r="O1156" s="36"/>
      <c r="P1156" s="1"/>
    </row>
    <row r="1157" spans="10:16">
      <c r="J1157" s="37"/>
      <c r="K1157" s="36"/>
      <c r="L1157" s="87"/>
      <c r="M1157" s="87"/>
      <c r="N1157" s="36"/>
      <c r="O1157" s="36"/>
      <c r="P1157" s="1"/>
    </row>
    <row r="1158" spans="10:16">
      <c r="J1158" s="37"/>
      <c r="K1158" s="36"/>
      <c r="L1158" s="87"/>
      <c r="M1158" s="87"/>
      <c r="N1158" s="36"/>
      <c r="O1158" s="36"/>
      <c r="P1158" s="1"/>
    </row>
    <row r="1159" spans="10:16">
      <c r="J1159" s="37"/>
      <c r="K1159" s="36"/>
      <c r="L1159" s="87"/>
      <c r="M1159" s="87"/>
      <c r="N1159" s="36"/>
      <c r="O1159" s="36"/>
      <c r="P1159" s="1"/>
    </row>
    <row r="1160" spans="10:16">
      <c r="J1160" s="37"/>
      <c r="K1160" s="36"/>
      <c r="L1160" s="87"/>
      <c r="M1160" s="87"/>
      <c r="N1160" s="36"/>
      <c r="O1160" s="36"/>
      <c r="P1160" s="1"/>
    </row>
    <row r="1161" spans="10:16">
      <c r="J1161" s="37"/>
      <c r="K1161" s="36"/>
      <c r="L1161" s="87"/>
      <c r="M1161" s="87"/>
      <c r="N1161" s="36"/>
      <c r="O1161" s="36"/>
      <c r="P1161" s="1"/>
    </row>
    <row r="1162" spans="10:16">
      <c r="J1162" s="37"/>
      <c r="K1162" s="36"/>
      <c r="L1162" s="87"/>
      <c r="M1162" s="87"/>
      <c r="N1162" s="36"/>
      <c r="O1162" s="36"/>
      <c r="P1162" s="1"/>
    </row>
    <row r="1163" spans="10:16">
      <c r="J1163" s="37"/>
      <c r="K1163" s="36"/>
      <c r="L1163" s="87"/>
      <c r="M1163" s="38"/>
      <c r="N1163" s="36"/>
      <c r="O1163" s="36"/>
      <c r="P1163" s="1"/>
    </row>
    <row r="1164" spans="10:16">
      <c r="J1164" s="37"/>
      <c r="K1164" s="36"/>
      <c r="L1164" s="87"/>
      <c r="M1164" s="38"/>
      <c r="N1164" s="36"/>
      <c r="O1164" s="36"/>
      <c r="P1164" s="1"/>
    </row>
    <row r="1165" spans="10:16">
      <c r="J1165" s="37"/>
      <c r="K1165" s="36"/>
      <c r="L1165" s="87"/>
      <c r="M1165" s="87"/>
      <c r="N1165" s="36"/>
      <c r="O1165" s="36"/>
      <c r="P1165" s="1"/>
    </row>
    <row r="1166" spans="10:16">
      <c r="J1166" s="37"/>
      <c r="K1166" s="36"/>
      <c r="L1166" s="87"/>
      <c r="M1166" s="87"/>
      <c r="N1166" s="36"/>
      <c r="O1166" s="36"/>
      <c r="P1166" s="1"/>
    </row>
    <row r="1167" spans="10:16">
      <c r="J1167" s="37"/>
      <c r="K1167" s="36"/>
      <c r="L1167" s="87"/>
      <c r="M1167" s="38"/>
      <c r="N1167" s="36"/>
      <c r="O1167" s="36"/>
      <c r="P1167" s="1"/>
    </row>
    <row r="1168" spans="10:16">
      <c r="J1168" s="37"/>
      <c r="K1168" s="36"/>
      <c r="L1168" s="87"/>
      <c r="M1168" s="87"/>
      <c r="N1168" s="36"/>
      <c r="O1168" s="36"/>
      <c r="P1168" s="1"/>
    </row>
    <row r="1169" spans="10:16">
      <c r="J1169" s="37"/>
      <c r="K1169" s="36"/>
      <c r="L1169" s="87"/>
      <c r="M1169" s="87"/>
      <c r="N1169" s="36"/>
      <c r="O1169" s="36"/>
      <c r="P1169" s="1"/>
    </row>
    <row r="1170" spans="10:16">
      <c r="J1170" s="37"/>
      <c r="K1170" s="36"/>
      <c r="L1170" s="87"/>
      <c r="M1170" s="87"/>
      <c r="N1170" s="36"/>
      <c r="O1170" s="36"/>
      <c r="P1170" s="1"/>
    </row>
    <row r="1171" spans="10:16">
      <c r="J1171" s="37"/>
      <c r="K1171" s="36"/>
      <c r="L1171" s="87"/>
      <c r="M1171" s="87"/>
      <c r="N1171" s="36"/>
      <c r="O1171" s="36"/>
      <c r="P1171" s="1"/>
    </row>
    <row r="1172" spans="10:16">
      <c r="J1172" s="37"/>
      <c r="K1172" s="36"/>
      <c r="L1172" s="87"/>
      <c r="M1172" s="38"/>
      <c r="N1172" s="36"/>
      <c r="O1172" s="36"/>
      <c r="P1172" s="1"/>
    </row>
    <row r="1173" spans="10:16">
      <c r="J1173" s="37"/>
      <c r="K1173" s="36"/>
      <c r="L1173" s="87"/>
      <c r="M1173" s="87"/>
      <c r="N1173" s="36"/>
      <c r="O1173" s="36"/>
      <c r="P1173" s="1"/>
    </row>
    <row r="1174" spans="10:16">
      <c r="J1174" s="37"/>
      <c r="K1174" s="36"/>
      <c r="L1174" s="87"/>
      <c r="M1174" s="38"/>
      <c r="N1174" s="36"/>
      <c r="O1174" s="36"/>
      <c r="P1174" s="1"/>
    </row>
    <row r="1175" spans="10:16">
      <c r="J1175" s="37"/>
      <c r="K1175" s="36"/>
      <c r="L1175" s="87"/>
      <c r="M1175" s="87"/>
      <c r="N1175" s="36"/>
      <c r="O1175" s="36"/>
      <c r="P1175" s="1"/>
    </row>
    <row r="1176" spans="10:16">
      <c r="J1176" s="37"/>
      <c r="K1176" s="36"/>
      <c r="L1176" s="87"/>
      <c r="M1176" s="87"/>
      <c r="N1176" s="36"/>
      <c r="O1176" s="36"/>
      <c r="P1176" s="1"/>
    </row>
    <row r="1177" spans="10:16">
      <c r="J1177" s="37"/>
      <c r="K1177" s="36"/>
      <c r="L1177" s="87"/>
      <c r="M1177" s="38"/>
      <c r="N1177" s="36"/>
      <c r="O1177" s="36"/>
      <c r="P1177" s="1"/>
    </row>
    <row r="1178" spans="10:16">
      <c r="J1178" s="37"/>
      <c r="K1178" s="36"/>
      <c r="L1178" s="87"/>
      <c r="M1178" s="87"/>
      <c r="N1178" s="36"/>
      <c r="O1178" s="36"/>
      <c r="P1178" s="1"/>
    </row>
    <row r="1179" spans="10:16">
      <c r="J1179" s="37"/>
      <c r="K1179" s="36"/>
      <c r="L1179" s="87"/>
      <c r="M1179" s="38"/>
      <c r="N1179" s="36"/>
      <c r="O1179" s="36"/>
      <c r="P1179" s="1"/>
    </row>
    <row r="1180" spans="10:16">
      <c r="J1180" s="37"/>
      <c r="K1180" s="36"/>
      <c r="L1180" s="87"/>
      <c r="M1180" s="38"/>
      <c r="N1180" s="36"/>
      <c r="O1180" s="36"/>
      <c r="P1180" s="1"/>
    </row>
    <row r="1181" spans="10:16">
      <c r="J1181" s="37"/>
      <c r="K1181" s="36"/>
      <c r="L1181" s="87"/>
      <c r="M1181" s="38"/>
      <c r="N1181" s="36"/>
      <c r="O1181" s="36"/>
      <c r="P1181" s="1"/>
    </row>
    <row r="1182" spans="10:16">
      <c r="J1182" s="37"/>
      <c r="K1182" s="36"/>
      <c r="L1182" s="87"/>
      <c r="M1182" s="87"/>
      <c r="N1182" s="36"/>
      <c r="O1182" s="36"/>
      <c r="P1182" s="1"/>
    </row>
    <row r="1183" spans="10:16">
      <c r="J1183" s="37"/>
      <c r="K1183" s="36"/>
      <c r="L1183" s="87"/>
      <c r="M1183" s="87"/>
      <c r="N1183" s="36"/>
      <c r="O1183" s="36"/>
      <c r="P1183" s="1"/>
    </row>
    <row r="1184" spans="10:16">
      <c r="J1184" s="37"/>
      <c r="K1184" s="36"/>
      <c r="L1184" s="87"/>
      <c r="M1184" s="87"/>
      <c r="N1184" s="36"/>
      <c r="O1184" s="36"/>
      <c r="P1184" s="1"/>
    </row>
    <row r="1185" spans="10:16">
      <c r="J1185" s="37"/>
      <c r="K1185" s="36"/>
      <c r="L1185" s="87"/>
      <c r="M1185" s="87"/>
      <c r="N1185" s="36"/>
      <c r="O1185" s="36"/>
      <c r="P1185" s="1"/>
    </row>
    <row r="1186" spans="10:16">
      <c r="J1186" s="37"/>
      <c r="K1186" s="36"/>
      <c r="L1186" s="87"/>
      <c r="M1186" s="87"/>
      <c r="N1186" s="36"/>
      <c r="O1186" s="36"/>
      <c r="P1186" s="1"/>
    </row>
    <row r="1187" spans="10:16">
      <c r="J1187" s="37"/>
      <c r="K1187" s="36"/>
      <c r="L1187" s="87"/>
      <c r="M1187" s="87"/>
      <c r="N1187" s="36"/>
      <c r="O1187" s="36"/>
      <c r="P1187" s="1"/>
    </row>
    <row r="1188" spans="10:16">
      <c r="J1188" s="37"/>
      <c r="K1188" s="36"/>
      <c r="L1188" s="87"/>
      <c r="M1188" s="87"/>
      <c r="N1188" s="36"/>
      <c r="O1188" s="36"/>
      <c r="P1188" s="1"/>
    </row>
    <row r="1189" spans="10:16">
      <c r="J1189" s="37"/>
      <c r="K1189" s="36"/>
      <c r="L1189" s="87"/>
      <c r="M1189" s="87"/>
      <c r="N1189" s="36"/>
      <c r="O1189" s="36"/>
      <c r="P1189" s="1"/>
    </row>
    <row r="1190" spans="10:16">
      <c r="J1190" s="37"/>
      <c r="K1190" s="36"/>
      <c r="L1190" s="87"/>
      <c r="M1190" s="87"/>
      <c r="N1190" s="36"/>
      <c r="O1190" s="36"/>
      <c r="P1190" s="1"/>
    </row>
    <row r="1191" spans="10:16">
      <c r="J1191" s="37"/>
      <c r="K1191" s="36"/>
      <c r="L1191" s="87"/>
      <c r="M1191" s="38"/>
      <c r="N1191" s="36"/>
      <c r="O1191" s="36"/>
      <c r="P1191" s="1"/>
    </row>
    <row r="1192" spans="10:16">
      <c r="J1192" s="37"/>
      <c r="K1192" s="36"/>
      <c r="L1192" s="87"/>
      <c r="M1192" s="38"/>
      <c r="N1192" s="36"/>
      <c r="O1192" s="36"/>
      <c r="P1192" s="1"/>
    </row>
    <row r="1193" spans="10:16">
      <c r="J1193" s="37"/>
      <c r="K1193" s="36"/>
      <c r="L1193" s="87"/>
      <c r="M1193" s="38"/>
      <c r="N1193" s="36"/>
      <c r="O1193" s="36"/>
      <c r="P1193" s="1"/>
    </row>
    <row r="1194" spans="10:16">
      <c r="J1194" s="37"/>
      <c r="K1194" s="36"/>
      <c r="L1194" s="87"/>
      <c r="M1194" s="38"/>
      <c r="N1194" s="36"/>
      <c r="O1194" s="36"/>
      <c r="P1194" s="1"/>
    </row>
    <row r="1195" spans="10:16">
      <c r="J1195" s="37"/>
      <c r="K1195" s="36"/>
      <c r="L1195" s="87"/>
      <c r="M1195" s="38"/>
      <c r="N1195" s="36"/>
      <c r="O1195" s="36"/>
      <c r="P1195" s="1"/>
    </row>
    <row r="1196" spans="10:16">
      <c r="J1196" s="37"/>
      <c r="K1196" s="36"/>
      <c r="L1196" s="87"/>
      <c r="M1196" s="38"/>
      <c r="N1196" s="36"/>
      <c r="O1196" s="36"/>
      <c r="P1196" s="1"/>
    </row>
    <row r="1197" spans="10:16">
      <c r="J1197" s="37"/>
      <c r="K1197" s="36"/>
      <c r="L1197" s="87"/>
      <c r="M1197" s="38"/>
      <c r="N1197" s="36"/>
      <c r="O1197" s="36"/>
      <c r="P1197" s="1"/>
    </row>
    <row r="1198" spans="10:16">
      <c r="J1198" s="37"/>
      <c r="K1198" s="36"/>
      <c r="L1198" s="87"/>
      <c r="M1198" s="38"/>
      <c r="N1198" s="36"/>
      <c r="O1198" s="36"/>
      <c r="P1198" s="1"/>
    </row>
    <row r="1199" spans="10:16">
      <c r="J1199" s="37"/>
      <c r="K1199" s="36"/>
      <c r="L1199" s="87"/>
      <c r="M1199" s="87"/>
      <c r="N1199" s="36"/>
      <c r="O1199" s="36"/>
      <c r="P1199" s="1"/>
    </row>
    <row r="1200" spans="10:16">
      <c r="J1200" s="37"/>
      <c r="K1200" s="36"/>
      <c r="L1200" s="87"/>
      <c r="M1200" s="38"/>
      <c r="N1200" s="36"/>
      <c r="O1200" s="36"/>
      <c r="P1200" s="1"/>
    </row>
    <row r="1201" spans="10:16">
      <c r="J1201" s="37"/>
      <c r="K1201" s="36"/>
      <c r="L1201" s="87"/>
      <c r="M1201" s="38"/>
      <c r="N1201" s="36"/>
      <c r="O1201" s="36"/>
      <c r="P1201" s="1"/>
    </row>
    <row r="1202" spans="10:16">
      <c r="J1202" s="37"/>
      <c r="K1202" s="36"/>
      <c r="L1202" s="87"/>
      <c r="M1202" s="38"/>
      <c r="N1202" s="36"/>
      <c r="O1202" s="36"/>
      <c r="P1202" s="1"/>
    </row>
    <row r="1203" spans="10:16">
      <c r="J1203" s="37"/>
      <c r="K1203" s="36"/>
      <c r="L1203" s="87"/>
      <c r="M1203" s="38"/>
      <c r="N1203" s="36"/>
      <c r="O1203" s="36"/>
      <c r="P1203" s="1"/>
    </row>
    <row r="1204" spans="10:16">
      <c r="J1204" s="37"/>
      <c r="K1204" s="36"/>
      <c r="L1204" s="87"/>
      <c r="M1204" s="87"/>
      <c r="N1204" s="36"/>
      <c r="O1204" s="36"/>
      <c r="P1204" s="1"/>
    </row>
    <row r="1205" spans="10:16">
      <c r="J1205" s="37"/>
      <c r="K1205" s="36"/>
      <c r="L1205" s="87"/>
      <c r="M1205" s="38"/>
      <c r="N1205" s="36"/>
      <c r="O1205" s="36"/>
      <c r="P1205" s="1"/>
    </row>
    <row r="1206" spans="10:16">
      <c r="J1206" s="37"/>
      <c r="K1206" s="36"/>
      <c r="L1206" s="87"/>
      <c r="M1206" s="38"/>
      <c r="N1206" s="36"/>
      <c r="O1206" s="36"/>
      <c r="P1206" s="1"/>
    </row>
    <row r="1207" spans="10:16">
      <c r="J1207" s="37"/>
      <c r="K1207" s="36"/>
      <c r="L1207" s="87"/>
      <c r="M1207" s="38"/>
      <c r="N1207" s="36"/>
      <c r="O1207" s="36"/>
      <c r="P1207" s="1"/>
    </row>
    <row r="1208" spans="10:16">
      <c r="J1208" s="37"/>
      <c r="K1208" s="36"/>
      <c r="L1208" s="87"/>
      <c r="M1208" s="87"/>
      <c r="N1208" s="36"/>
      <c r="O1208" s="36"/>
      <c r="P1208" s="1"/>
    </row>
    <row r="1209" spans="10:16">
      <c r="J1209" s="37"/>
      <c r="K1209" s="36"/>
      <c r="L1209" s="87"/>
      <c r="M1209" s="38"/>
      <c r="N1209" s="36"/>
      <c r="O1209" s="36"/>
      <c r="P1209" s="1"/>
    </row>
    <row r="1210" spans="10:16">
      <c r="J1210" s="37"/>
      <c r="K1210" s="36"/>
      <c r="L1210" s="87"/>
      <c r="M1210" s="38"/>
      <c r="N1210" s="36"/>
      <c r="O1210" s="36"/>
      <c r="P1210" s="1"/>
    </row>
    <row r="1211" spans="10:16">
      <c r="J1211" s="37"/>
      <c r="K1211" s="36"/>
      <c r="L1211" s="87"/>
      <c r="M1211" s="38"/>
      <c r="N1211" s="36"/>
      <c r="O1211" s="36"/>
      <c r="P1211" s="1"/>
    </row>
    <row r="1212" spans="10:16">
      <c r="J1212" s="37"/>
      <c r="K1212" s="36"/>
      <c r="L1212" s="87"/>
      <c r="M1212" s="38"/>
      <c r="N1212" s="36"/>
      <c r="O1212" s="36"/>
      <c r="P1212" s="1"/>
    </row>
    <row r="1213" spans="10:16">
      <c r="J1213" s="37"/>
      <c r="K1213" s="36"/>
      <c r="L1213" s="87"/>
      <c r="M1213" s="38"/>
      <c r="N1213" s="36"/>
      <c r="O1213" s="36"/>
      <c r="P1213" s="1"/>
    </row>
  </sheetData>
  <phoneticPr fontId="2"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6</vt:i4>
      </vt:variant>
    </vt:vector>
  </HeadingPairs>
  <TitlesOfParts>
    <vt:vector size="13" baseType="lpstr">
      <vt:lpstr>입력폼</vt:lpstr>
      <vt:lpstr>조회(매출,매입거래장)</vt:lpstr>
      <vt:lpstr>전체 조회</vt:lpstr>
      <vt:lpstr>현장별 원가계산</vt:lpstr>
      <vt:lpstr>DB</vt:lpstr>
      <vt:lpstr>사용설명서(이건 안만들어 주셔도 됩니다)</vt:lpstr>
      <vt:lpstr>계산</vt:lpstr>
      <vt:lpstr>계산!Criteria</vt:lpstr>
      <vt:lpstr>계산!Extract</vt:lpstr>
      <vt:lpstr>'사용설명서(이건 안만들어 주셔도 됩니다)'!Print_Area</vt:lpstr>
      <vt:lpstr>'전체 조회'!Print_Area</vt:lpstr>
      <vt:lpstr>'조회(매출,매입거래장)'!Print_Area</vt:lpstr>
      <vt:lpstr>'사용설명서(이건 안만들어 주셔도 됩니다)'!Print_Titles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창순 이</cp:lastModifiedBy>
  <cp:lastPrinted>2025-11-12T02:32:36Z</cp:lastPrinted>
  <dcterms:created xsi:type="dcterms:W3CDTF">2018-10-14T07:54:35Z</dcterms:created>
  <dcterms:modified xsi:type="dcterms:W3CDTF">2026-03-12T04:40:32Z</dcterms:modified>
</cp:coreProperties>
</file>